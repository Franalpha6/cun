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Mesa de Inversiones\Bottom-Up\2 Proceso de Inversión Renta Fija\Corporates - Emisiones\Crédito - BU\3. ESG\9. ESG Manager - MSCI\2. Reportes\Medición Huella de Carbono\Huella Total  (SURA e Integra)\"/>
    </mc:Choice>
  </mc:AlternateContent>
  <xr:revisionPtr revIDLastSave="0" documentId="13_ncr:1_{C93CD481-AF51-41CA-9A3A-639A633099B9}" xr6:coauthVersionLast="47" xr6:coauthVersionMax="47" xr10:uidLastSave="{00000000-0000-0000-0000-000000000000}"/>
  <bookViews>
    <workbookView xWindow="-110" yWindow="-110" windowWidth="19420" windowHeight="10300" firstSheet="1" activeTab="3" xr2:uid="{53BF0F79-1891-4487-85FF-6133A69CD256}"/>
  </bookViews>
  <sheets>
    <sheet name="guia" sheetId="7" r:id="rId1"/>
    <sheet name="202606" sheetId="9" r:id="rId2"/>
    <sheet name="202607" sheetId="10" r:id="rId3"/>
    <sheet name="Reporte ASG Mensual" sheetId="12" r:id="rId4"/>
    <sheet name="202608" sheetId="11" r:id="rId5"/>
    <sheet name="TD" sheetId="4" r:id="rId6"/>
    <sheet name="Alts" sheetId="2" r:id="rId7"/>
    <sheet name="BU" sheetId="3" r:id="rId8"/>
    <sheet name="Formato BD" sheetId="5" r:id="rId9"/>
  </sheets>
  <definedNames>
    <definedName name="_xlnm._FilterDatabase" localSheetId="7" hidden="1">BU!$A$1:$J$90</definedName>
    <definedName name="_xlnm._FilterDatabase" localSheetId="3" hidden="1">'Reporte ASG Mensual'!$A$1:$I$1102</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46210.6621180556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 r="A2" i="7"/>
  <c r="R14" i="3"/>
  <c r="R13" i="3"/>
  <c r="R12" i="3"/>
  <c r="J20" i="3" s="1"/>
  <c r="AM22" i="3" s="1"/>
  <c r="R11" i="3"/>
  <c r="R10" i="3"/>
  <c r="J7" i="3" s="1"/>
  <c r="AM9" i="3" s="1"/>
  <c r="R9" i="3"/>
  <c r="R8" i="3"/>
  <c r="R7" i="3"/>
  <c r="J2" i="3" s="1"/>
  <c r="AM4" i="3" s="1"/>
  <c r="R6" i="3"/>
  <c r="R5" i="3"/>
  <c r="J38" i="3" s="1"/>
  <c r="AM40" i="3" s="1"/>
  <c r="I2" i="3"/>
  <c r="M2" i="3"/>
  <c r="M3" i="3" s="1"/>
  <c r="I3" i="3"/>
  <c r="J6" i="3"/>
  <c r="AM8" i="3" s="1"/>
  <c r="I4" i="3"/>
  <c r="J5" i="3"/>
  <c r="AM7" i="3" s="1"/>
  <c r="U4" i="3"/>
  <c r="V4" i="3"/>
  <c r="W4" i="3"/>
  <c r="I5" i="3"/>
  <c r="U5" i="3"/>
  <c r="V5" i="3"/>
  <c r="W5" i="3"/>
  <c r="I6" i="3"/>
  <c r="U6" i="3"/>
  <c r="V6" i="3"/>
  <c r="W6" i="3"/>
  <c r="I7" i="3"/>
  <c r="U7" i="3"/>
  <c r="V7" i="3"/>
  <c r="W7" i="3"/>
  <c r="I8" i="3"/>
  <c r="U8" i="3"/>
  <c r="V8" i="3"/>
  <c r="W8" i="3"/>
  <c r="I9" i="3"/>
  <c r="U9" i="3"/>
  <c r="V9" i="3"/>
  <c r="W9" i="3"/>
  <c r="I10" i="3"/>
  <c r="U10" i="3"/>
  <c r="V10" i="3"/>
  <c r="W10" i="3"/>
  <c r="I11" i="3"/>
  <c r="U11" i="3"/>
  <c r="V11" i="3"/>
  <c r="W11" i="3"/>
  <c r="I12" i="3"/>
  <c r="J12" i="3"/>
  <c r="AM14" i="3" s="1"/>
  <c r="U12" i="3"/>
  <c r="V12" i="3"/>
  <c r="W12" i="3"/>
  <c r="I13" i="3"/>
  <c r="J13" i="3"/>
  <c r="AM15" i="3" s="1"/>
  <c r="J33" i="3"/>
  <c r="AM35" i="3" s="1"/>
  <c r="U13" i="3"/>
  <c r="V13" i="3"/>
  <c r="W13" i="3"/>
  <c r="I14" i="3"/>
  <c r="J14" i="3"/>
  <c r="AM16" i="3" s="1"/>
  <c r="J41" i="3"/>
  <c r="AM43" i="3" s="1"/>
  <c r="U14" i="3"/>
  <c r="V14" i="3"/>
  <c r="W14" i="3"/>
  <c r="I15" i="3"/>
  <c r="J15" i="3"/>
  <c r="AM17" i="3" s="1"/>
  <c r="U15" i="3"/>
  <c r="V15" i="3"/>
  <c r="W15" i="3"/>
  <c r="I16" i="3"/>
  <c r="J16" i="3"/>
  <c r="AM18" i="3" s="1"/>
  <c r="U16" i="3"/>
  <c r="V16" i="3"/>
  <c r="W16" i="3"/>
  <c r="I17" i="3"/>
  <c r="U17" i="3"/>
  <c r="V17" i="3"/>
  <c r="W17" i="3"/>
  <c r="I18" i="3"/>
  <c r="J18" i="3"/>
  <c r="AM20" i="3" s="1"/>
  <c r="U18" i="3"/>
  <c r="V18" i="3"/>
  <c r="W18" i="3"/>
  <c r="I19" i="3"/>
  <c r="U19" i="3"/>
  <c r="V19" i="3"/>
  <c r="W19" i="3"/>
  <c r="I20" i="3"/>
  <c r="U20" i="3"/>
  <c r="V20" i="3"/>
  <c r="W20" i="3"/>
  <c r="I21" i="3"/>
  <c r="U21" i="3"/>
  <c r="V21" i="3"/>
  <c r="W21" i="3"/>
  <c r="I22" i="3"/>
  <c r="U22" i="3"/>
  <c r="V22" i="3"/>
  <c r="W22" i="3"/>
  <c r="I23" i="3"/>
  <c r="U23" i="3"/>
  <c r="V23" i="3"/>
  <c r="W23" i="3"/>
  <c r="I24" i="3"/>
  <c r="J24" i="3"/>
  <c r="AM26" i="3" s="1"/>
  <c r="U24" i="3"/>
  <c r="V24" i="3"/>
  <c r="W24" i="3"/>
  <c r="I25" i="3"/>
  <c r="U25" i="3"/>
  <c r="V25" i="3"/>
  <c r="W25" i="3"/>
  <c r="I26" i="3"/>
  <c r="U26" i="3"/>
  <c r="V26" i="3"/>
  <c r="W26" i="3"/>
  <c r="I27" i="3"/>
  <c r="U27" i="3"/>
  <c r="V27" i="3"/>
  <c r="W27" i="3"/>
  <c r="I28" i="3"/>
  <c r="U28" i="3"/>
  <c r="V28" i="3"/>
  <c r="W28" i="3"/>
  <c r="I29" i="3"/>
  <c r="U29" i="3"/>
  <c r="V29" i="3"/>
  <c r="W29" i="3"/>
  <c r="I30" i="3"/>
  <c r="U30" i="3"/>
  <c r="V30" i="3"/>
  <c r="W30" i="3"/>
  <c r="I31" i="3"/>
  <c r="J31" i="3"/>
  <c r="AM33" i="3" s="1"/>
  <c r="U31" i="3"/>
  <c r="V31" i="3"/>
  <c r="W31" i="3"/>
  <c r="I32" i="3"/>
  <c r="J32" i="3"/>
  <c r="AM34" i="3" s="1"/>
  <c r="U32" i="3"/>
  <c r="V32" i="3"/>
  <c r="W32" i="3"/>
  <c r="I33" i="3"/>
  <c r="U33" i="3"/>
  <c r="V33" i="3"/>
  <c r="W33" i="3"/>
  <c r="I34" i="3"/>
  <c r="U34" i="3"/>
  <c r="V34" i="3"/>
  <c r="W34" i="3"/>
  <c r="I35" i="3"/>
  <c r="U35" i="3"/>
  <c r="V35" i="3"/>
  <c r="W35" i="3"/>
  <c r="I36" i="3"/>
  <c r="J36" i="3"/>
  <c r="AM38" i="3" s="1"/>
  <c r="U36" i="3"/>
  <c r="V36" i="3"/>
  <c r="W36" i="3"/>
  <c r="I37" i="3"/>
  <c r="U37" i="3"/>
  <c r="V37" i="3"/>
  <c r="W37" i="3"/>
  <c r="I38" i="3"/>
  <c r="U38" i="3"/>
  <c r="V38" i="3"/>
  <c r="W38" i="3"/>
  <c r="I39" i="3"/>
  <c r="U39" i="3"/>
  <c r="V39" i="3"/>
  <c r="W39" i="3"/>
  <c r="I40" i="3"/>
  <c r="U40" i="3"/>
  <c r="V40" i="3"/>
  <c r="W40" i="3"/>
  <c r="I41" i="3"/>
  <c r="U41" i="3"/>
  <c r="V41" i="3"/>
  <c r="W41" i="3"/>
  <c r="I42" i="3"/>
  <c r="J42" i="3"/>
  <c r="AM44" i="3" s="1"/>
  <c r="U42" i="3"/>
  <c r="V42" i="3"/>
  <c r="W42" i="3"/>
  <c r="I43" i="3"/>
  <c r="U43" i="3"/>
  <c r="V43" i="3"/>
  <c r="W43" i="3"/>
  <c r="I44" i="3"/>
  <c r="J44" i="3"/>
  <c r="AM46" i="3" s="1"/>
  <c r="U44" i="3"/>
  <c r="V44" i="3"/>
  <c r="W44" i="3"/>
  <c r="I45" i="3"/>
  <c r="J45" i="3"/>
  <c r="AM47" i="3" s="1"/>
  <c r="U45" i="3"/>
  <c r="V45" i="3"/>
  <c r="W45" i="3"/>
  <c r="I46" i="3"/>
  <c r="J46" i="3"/>
  <c r="AM48" i="3" s="1"/>
  <c r="U46" i="3"/>
  <c r="V46" i="3"/>
  <c r="W46" i="3"/>
  <c r="I47" i="3"/>
  <c r="J47" i="3"/>
  <c r="AM49" i="3" s="1"/>
  <c r="U47" i="3"/>
  <c r="V47" i="3"/>
  <c r="W47" i="3"/>
  <c r="I48" i="3"/>
  <c r="U48" i="3"/>
  <c r="V48" i="3"/>
  <c r="W48" i="3"/>
  <c r="I49" i="3"/>
  <c r="J49" i="3"/>
  <c r="AM51" i="3" s="1"/>
  <c r="U49" i="3"/>
  <c r="V49" i="3"/>
  <c r="W49" i="3"/>
  <c r="I50" i="3"/>
  <c r="J50" i="3"/>
  <c r="AM52" i="3" s="1"/>
  <c r="U50" i="3"/>
  <c r="V50" i="3"/>
  <c r="W50" i="3"/>
  <c r="I51" i="3"/>
  <c r="U51" i="3"/>
  <c r="V51" i="3"/>
  <c r="W51" i="3"/>
  <c r="I52" i="3"/>
  <c r="J52" i="3"/>
  <c r="AM54" i="3" s="1"/>
  <c r="U52" i="3"/>
  <c r="V52" i="3"/>
  <c r="W52" i="3"/>
  <c r="I53" i="3"/>
  <c r="J53" i="3"/>
  <c r="AM55" i="3" s="1"/>
  <c r="U53" i="3"/>
  <c r="V53" i="3"/>
  <c r="W53" i="3"/>
  <c r="I54" i="3"/>
  <c r="J54" i="3"/>
  <c r="AM56" i="3" s="1"/>
  <c r="U54" i="3"/>
  <c r="V54" i="3"/>
  <c r="W54" i="3"/>
  <c r="I55" i="3"/>
  <c r="J55" i="3"/>
  <c r="AM57" i="3" s="1"/>
  <c r="U55" i="3"/>
  <c r="V55" i="3"/>
  <c r="W55" i="3"/>
  <c r="I56" i="3"/>
  <c r="J56" i="3"/>
  <c r="AM58" i="3" s="1"/>
  <c r="U56" i="3"/>
  <c r="V56" i="3"/>
  <c r="W56" i="3"/>
  <c r="I57" i="3"/>
  <c r="J57" i="3"/>
  <c r="AM59" i="3" s="1"/>
  <c r="U57" i="3"/>
  <c r="V57" i="3"/>
  <c r="W57" i="3"/>
  <c r="I58" i="3"/>
  <c r="J58" i="3"/>
  <c r="AM60" i="3" s="1"/>
  <c r="U58" i="3"/>
  <c r="V58" i="3"/>
  <c r="W58" i="3"/>
  <c r="I59" i="3"/>
  <c r="U59" i="3"/>
  <c r="V59" i="3"/>
  <c r="W59" i="3"/>
  <c r="I60" i="3"/>
  <c r="U60" i="3"/>
  <c r="V60" i="3"/>
  <c r="W60" i="3"/>
  <c r="I61" i="3"/>
  <c r="U61" i="3"/>
  <c r="V61" i="3"/>
  <c r="W61" i="3"/>
  <c r="I62" i="3"/>
  <c r="J62" i="3"/>
  <c r="AM64" i="3" s="1"/>
  <c r="U62" i="3"/>
  <c r="V62" i="3"/>
  <c r="W62" i="3"/>
  <c r="I63" i="3"/>
  <c r="J63" i="3"/>
  <c r="AM65" i="3" s="1"/>
  <c r="U63" i="3"/>
  <c r="V63" i="3"/>
  <c r="W63" i="3"/>
  <c r="I64" i="3"/>
  <c r="J64" i="3"/>
  <c r="AM66" i="3" s="1"/>
  <c r="U64" i="3"/>
  <c r="V64" i="3"/>
  <c r="W64" i="3"/>
  <c r="I65" i="3"/>
  <c r="J65" i="3"/>
  <c r="AM67" i="3" s="1"/>
  <c r="U65" i="3"/>
  <c r="V65" i="3"/>
  <c r="W65" i="3"/>
  <c r="I66" i="3"/>
  <c r="J66" i="3"/>
  <c r="AM68" i="3" s="1"/>
  <c r="U66" i="3"/>
  <c r="V66" i="3"/>
  <c r="W66" i="3"/>
  <c r="I67" i="3"/>
  <c r="J67" i="3"/>
  <c r="AM69" i="3" s="1"/>
  <c r="U67" i="3"/>
  <c r="V67" i="3"/>
  <c r="W67" i="3"/>
  <c r="I68" i="3"/>
  <c r="J68" i="3"/>
  <c r="AM70" i="3" s="1"/>
  <c r="U68" i="3"/>
  <c r="V68" i="3"/>
  <c r="W68" i="3"/>
  <c r="I69" i="3"/>
  <c r="J69" i="3"/>
  <c r="AM71" i="3" s="1"/>
  <c r="U69" i="3"/>
  <c r="V69" i="3"/>
  <c r="W69" i="3"/>
  <c r="I70" i="3"/>
  <c r="J70" i="3"/>
  <c r="AM72" i="3" s="1"/>
  <c r="U70" i="3"/>
  <c r="V70" i="3"/>
  <c r="W70" i="3"/>
  <c r="I71" i="3"/>
  <c r="J71" i="3"/>
  <c r="AM73" i="3" s="1"/>
  <c r="U71" i="3"/>
  <c r="V71" i="3"/>
  <c r="W71" i="3"/>
  <c r="I72" i="3"/>
  <c r="J72" i="3"/>
  <c r="AM74" i="3" s="1"/>
  <c r="U72" i="3"/>
  <c r="V72" i="3"/>
  <c r="W72" i="3"/>
  <c r="I73" i="3"/>
  <c r="J73" i="3"/>
  <c r="AM75" i="3" s="1"/>
  <c r="U73" i="3"/>
  <c r="V73" i="3"/>
  <c r="W73" i="3"/>
  <c r="I74" i="3"/>
  <c r="J74" i="3"/>
  <c r="AM76" i="3" s="1"/>
  <c r="U74" i="3"/>
  <c r="V74" i="3"/>
  <c r="W74" i="3"/>
  <c r="I75" i="3"/>
  <c r="U75" i="3"/>
  <c r="V75" i="3"/>
  <c r="W75" i="3"/>
  <c r="I76" i="3"/>
  <c r="J76" i="3"/>
  <c r="AM78" i="3" s="1"/>
  <c r="U76" i="3"/>
  <c r="V76" i="3"/>
  <c r="W76" i="3"/>
  <c r="I77" i="3"/>
  <c r="J77" i="3"/>
  <c r="AM79" i="3" s="1"/>
  <c r="U77" i="3"/>
  <c r="V77" i="3"/>
  <c r="W77" i="3"/>
  <c r="I78" i="3"/>
  <c r="J78" i="3"/>
  <c r="AM80" i="3" s="1"/>
  <c r="U78" i="3"/>
  <c r="V78" i="3"/>
  <c r="W78" i="3"/>
  <c r="I79" i="3"/>
  <c r="J79" i="3"/>
  <c r="AM81" i="3" s="1"/>
  <c r="U79" i="3"/>
  <c r="V79" i="3"/>
  <c r="W79" i="3"/>
  <c r="I80" i="3"/>
  <c r="J80" i="3"/>
  <c r="AM82" i="3" s="1"/>
  <c r="U80" i="3"/>
  <c r="V80" i="3"/>
  <c r="W80" i="3"/>
  <c r="I81" i="3"/>
  <c r="J81" i="3"/>
  <c r="AM83" i="3" s="1"/>
  <c r="U81" i="3"/>
  <c r="V81" i="3"/>
  <c r="W81" i="3"/>
  <c r="I82" i="3"/>
  <c r="J82" i="3"/>
  <c r="AM84" i="3" s="1"/>
  <c r="U82" i="3"/>
  <c r="V82" i="3"/>
  <c r="W82" i="3"/>
  <c r="I83" i="3"/>
  <c r="J83" i="3"/>
  <c r="AM85" i="3" s="1"/>
  <c r="U83" i="3"/>
  <c r="V83" i="3"/>
  <c r="W83" i="3"/>
  <c r="I84" i="3"/>
  <c r="J84" i="3"/>
  <c r="AM86" i="3" s="1"/>
  <c r="U84" i="3"/>
  <c r="V84" i="3"/>
  <c r="W84" i="3"/>
  <c r="I85" i="3"/>
  <c r="U85" i="3"/>
  <c r="V85" i="3"/>
  <c r="W85" i="3"/>
  <c r="I86" i="3"/>
  <c r="J86" i="3"/>
  <c r="AM88" i="3" s="1"/>
  <c r="U86" i="3"/>
  <c r="V86" i="3"/>
  <c r="W86" i="3"/>
  <c r="I87" i="3"/>
  <c r="J87" i="3"/>
  <c r="U87" i="3"/>
  <c r="V87" i="3"/>
  <c r="W87" i="3"/>
  <c r="I88" i="3"/>
  <c r="J88" i="3"/>
  <c r="AM89" i="3" s="1"/>
  <c r="U88" i="3"/>
  <c r="V88" i="3"/>
  <c r="W88" i="3"/>
  <c r="I89" i="3"/>
  <c r="U89" i="3"/>
  <c r="V89" i="3"/>
  <c r="W89" i="3"/>
  <c r="I90" i="3"/>
  <c r="J90" i="3"/>
  <c r="AM91" i="3" s="1"/>
  <c r="U90" i="3"/>
  <c r="V90" i="3"/>
  <c r="W90" i="3"/>
  <c r="I91" i="3"/>
  <c r="J91" i="3"/>
  <c r="AM92" i="3" s="1"/>
  <c r="U91" i="3"/>
  <c r="V91" i="3"/>
  <c r="W91" i="3"/>
  <c r="I92" i="3"/>
  <c r="J92" i="3"/>
  <c r="U92" i="3"/>
  <c r="V92" i="3"/>
  <c r="W92" i="3"/>
  <c r="V4" i="2"/>
  <c r="W4" i="2"/>
  <c r="X4" i="2"/>
  <c r="V5" i="2"/>
  <c r="W5" i="2"/>
  <c r="X5" i="2"/>
  <c r="V6" i="2"/>
  <c r="W6" i="2"/>
  <c r="X6" i="2"/>
  <c r="V7" i="2"/>
  <c r="W7" i="2"/>
  <c r="X7" i="2"/>
  <c r="V8" i="2"/>
  <c r="W8" i="2"/>
  <c r="X8" i="2"/>
  <c r="V9" i="2"/>
  <c r="W9" i="2"/>
  <c r="X9" i="2"/>
  <c r="V10" i="2"/>
  <c r="W10" i="2"/>
  <c r="X10" i="2"/>
  <c r="V11" i="2"/>
  <c r="W11" i="2"/>
  <c r="X11" i="2"/>
  <c r="V12" i="2"/>
  <c r="W12" i="2"/>
  <c r="X12" i="2"/>
  <c r="V13" i="2"/>
  <c r="W13" i="2"/>
  <c r="X13" i="2"/>
  <c r="V14" i="2"/>
  <c r="W14" i="2"/>
  <c r="X14" i="2"/>
  <c r="V15" i="2"/>
  <c r="W15" i="2"/>
  <c r="X15" i="2"/>
  <c r="V16" i="2"/>
  <c r="W16" i="2"/>
  <c r="X16" i="2"/>
  <c r="V17" i="2"/>
  <c r="W17" i="2"/>
  <c r="X17" i="2"/>
  <c r="V18" i="2"/>
  <c r="W18" i="2"/>
  <c r="X18" i="2"/>
  <c r="V19" i="2"/>
  <c r="W19" i="2"/>
  <c r="X19" i="2"/>
  <c r="V20" i="2"/>
  <c r="W20" i="2"/>
  <c r="X20" i="2"/>
  <c r="V21" i="2"/>
  <c r="W21" i="2"/>
  <c r="X21" i="2"/>
  <c r="V22" i="2"/>
  <c r="W22" i="2"/>
  <c r="X22" i="2"/>
  <c r="V23" i="2"/>
  <c r="W23" i="2"/>
  <c r="X23" i="2"/>
  <c r="V24" i="2"/>
  <c r="W24" i="2"/>
  <c r="X24" i="2"/>
  <c r="V25" i="2"/>
  <c r="W25" i="2"/>
  <c r="X25" i="2"/>
  <c r="V26" i="2"/>
  <c r="W26" i="2"/>
  <c r="X26" i="2"/>
  <c r="V27" i="2"/>
  <c r="W27" i="2"/>
  <c r="X27" i="2"/>
  <c r="V28" i="2"/>
  <c r="W28" i="2"/>
  <c r="X28" i="2"/>
  <c r="V29" i="2"/>
  <c r="W29" i="2"/>
  <c r="X29" i="2"/>
  <c r="V30" i="2"/>
  <c r="W30" i="2"/>
  <c r="X30" i="2"/>
  <c r="V31" i="2"/>
  <c r="W31" i="2"/>
  <c r="X31" i="2"/>
  <c r="V32" i="2"/>
  <c r="W32" i="2"/>
  <c r="X32" i="2"/>
  <c r="V33" i="2"/>
  <c r="W33" i="2"/>
  <c r="X33" i="2"/>
  <c r="V34" i="2"/>
  <c r="W34" i="2"/>
  <c r="X34" i="2"/>
  <c r="V35" i="2"/>
  <c r="W35" i="2"/>
  <c r="X35" i="2"/>
  <c r="V36" i="2"/>
  <c r="W36" i="2"/>
  <c r="X36" i="2"/>
  <c r="V37" i="2"/>
  <c r="W37" i="2"/>
  <c r="X37" i="2"/>
  <c r="V38" i="2"/>
  <c r="W38" i="2"/>
  <c r="X38" i="2"/>
  <c r="V39" i="2"/>
  <c r="W39" i="2"/>
  <c r="X39" i="2"/>
  <c r="V40" i="2"/>
  <c r="W40" i="2"/>
  <c r="X40" i="2"/>
  <c r="V41" i="2"/>
  <c r="W41" i="2"/>
  <c r="X41" i="2"/>
  <c r="V42" i="2"/>
  <c r="W42" i="2"/>
  <c r="X42" i="2"/>
  <c r="V43" i="2"/>
  <c r="W43" i="2"/>
  <c r="X43" i="2"/>
  <c r="V44" i="2"/>
  <c r="W44" i="2"/>
  <c r="X44" i="2"/>
  <c r="V45" i="2"/>
  <c r="W45" i="2"/>
  <c r="X45" i="2"/>
  <c r="V46" i="2"/>
  <c r="W46" i="2"/>
  <c r="X46" i="2"/>
  <c r="V47" i="2"/>
  <c r="W47" i="2"/>
  <c r="X47" i="2"/>
  <c r="V48" i="2"/>
  <c r="W48" i="2"/>
  <c r="X48" i="2"/>
  <c r="V49" i="2"/>
  <c r="W49" i="2"/>
  <c r="X49" i="2"/>
  <c r="V50" i="2"/>
  <c r="W50" i="2"/>
  <c r="X50" i="2"/>
  <c r="V51" i="2"/>
  <c r="W51" i="2"/>
  <c r="X51" i="2"/>
  <c r="V52" i="2"/>
  <c r="W52" i="2"/>
  <c r="X52" i="2"/>
  <c r="V53" i="2"/>
  <c r="W53" i="2"/>
  <c r="X53" i="2"/>
  <c r="V4" i="4"/>
  <c r="W4" i="4"/>
  <c r="X4" i="4"/>
  <c r="V5" i="4"/>
  <c r="W5" i="4"/>
  <c r="X5" i="4"/>
  <c r="V6" i="4"/>
  <c r="W6" i="4"/>
  <c r="X6" i="4"/>
  <c r="V7" i="4"/>
  <c r="W7" i="4"/>
  <c r="X7" i="4"/>
  <c r="V8" i="4"/>
  <c r="W8" i="4"/>
  <c r="X8" i="4"/>
  <c r="V9" i="4"/>
  <c r="W9" i="4"/>
  <c r="X9" i="4"/>
  <c r="V10" i="4"/>
  <c r="W10" i="4"/>
  <c r="X10" i="4"/>
  <c r="V11" i="4"/>
  <c r="W11" i="4"/>
  <c r="X11" i="4"/>
  <c r="V12" i="4"/>
  <c r="W12" i="4"/>
  <c r="X12" i="4"/>
  <c r="V13" i="4"/>
  <c r="W13" i="4"/>
  <c r="X13" i="4"/>
  <c r="R7" i="2"/>
  <c r="J40" i="3" l="1"/>
  <c r="AM42" i="3" s="1"/>
  <c r="J37" i="3"/>
  <c r="AM39" i="3" s="1"/>
  <c r="J9" i="3"/>
  <c r="AM11" i="3" s="1"/>
  <c r="K28" i="2"/>
  <c r="AN30" i="2" s="1"/>
  <c r="K31" i="2"/>
  <c r="AN33" i="2" s="1"/>
  <c r="K21" i="2"/>
  <c r="AN23" i="2" s="1"/>
  <c r="J11" i="3"/>
  <c r="AM13" i="3" s="1"/>
  <c r="J39" i="3"/>
  <c r="AM41" i="3" s="1"/>
  <c r="J51" i="3"/>
  <c r="AM53" i="3" s="1"/>
  <c r="J19" i="3"/>
  <c r="AM21" i="3" s="1"/>
  <c r="J48" i="3"/>
  <c r="AM50" i="3" s="1"/>
  <c r="J4" i="3"/>
  <c r="AM6" i="3" s="1"/>
  <c r="K30" i="2"/>
  <c r="AN32" i="2" s="1"/>
  <c r="K32" i="2"/>
  <c r="AN34" i="2" s="1"/>
  <c r="J34" i="3"/>
  <c r="AM36" i="3" s="1"/>
  <c r="J3" i="3"/>
  <c r="AM5" i="3" s="1"/>
  <c r="J10" i="3"/>
  <c r="AM12" i="3" s="1"/>
  <c r="J8" i="3"/>
  <c r="AM10" i="3" s="1"/>
  <c r="J89" i="3"/>
  <c r="AM90" i="3" s="1"/>
  <c r="J85" i="3"/>
  <c r="AM87" i="3" s="1"/>
  <c r="J75" i="3"/>
  <c r="AM77" i="3" s="1"/>
  <c r="J43" i="3"/>
  <c r="AM45" i="3" s="1"/>
  <c r="J35" i="3"/>
  <c r="AM37" i="3" s="1"/>
  <c r="J25" i="3"/>
  <c r="AM27" i="3" s="1"/>
  <c r="J23" i="3"/>
  <c r="AM25" i="3" s="1"/>
  <c r="J21" i="3"/>
  <c r="AM23" i="3" s="1"/>
  <c r="J17" i="3"/>
  <c r="AM19" i="3" s="1"/>
  <c r="R6" i="2"/>
  <c r="R4" i="3"/>
  <c r="R8" i="4"/>
  <c r="R5" i="2"/>
  <c r="R4" i="4"/>
  <c r="R10" i="2"/>
  <c r="R4" i="2"/>
  <c r="R7" i="4"/>
  <c r="R6" i="4"/>
  <c r="R3" i="4"/>
  <c r="R9" i="2"/>
  <c r="R11" i="2"/>
  <c r="R12" i="2"/>
  <c r="R5" i="4"/>
  <c r="R8" i="2"/>
  <c r="R13" i="2"/>
  <c r="K35" i="2" l="1"/>
  <c r="AN37" i="2" s="1"/>
  <c r="K36" i="2"/>
  <c r="AN38" i="2" s="1"/>
  <c r="K39" i="2"/>
  <c r="AN41" i="2" s="1"/>
  <c r="K20" i="2"/>
  <c r="AN22" i="2" s="1"/>
  <c r="J8" i="4"/>
  <c r="AN8" i="4" s="1"/>
  <c r="J7" i="4"/>
  <c r="AN7" i="4" s="1"/>
  <c r="J12" i="4"/>
  <c r="AN12" i="4" s="1"/>
  <c r="K9" i="2"/>
  <c r="AN11" i="2" s="1"/>
  <c r="K17" i="2"/>
  <c r="AN19" i="2" s="1"/>
  <c r="K7" i="2"/>
  <c r="AN9" i="2" s="1"/>
  <c r="K2" i="2"/>
  <c r="AN4" i="2" s="1"/>
  <c r="K5" i="2"/>
  <c r="AN7" i="2" s="1"/>
  <c r="K4" i="2"/>
  <c r="AN6" i="2" s="1"/>
  <c r="K16" i="2"/>
  <c r="AN18" i="2" s="1"/>
  <c r="K13" i="2"/>
  <c r="AN15" i="2" s="1"/>
  <c r="K15" i="2"/>
  <c r="AN17" i="2" s="1"/>
  <c r="K14" i="2"/>
  <c r="AN16" i="2" s="1"/>
  <c r="K12" i="2"/>
  <c r="AN14" i="2" s="1"/>
  <c r="K10" i="2"/>
  <c r="AN12" i="2" s="1"/>
  <c r="K8" i="2"/>
  <c r="AN10" i="2" s="1"/>
  <c r="K3" i="2"/>
  <c r="AN5" i="2" s="1"/>
  <c r="K6" i="2"/>
  <c r="AN8" i="2" s="1"/>
  <c r="K11" i="2"/>
  <c r="AN13" i="2" s="1"/>
  <c r="J61" i="3"/>
  <c r="AM63" i="3" s="1"/>
  <c r="J59" i="3"/>
  <c r="AM61" i="3" s="1"/>
  <c r="J29" i="3"/>
  <c r="AM31" i="3" s="1"/>
  <c r="J30" i="3"/>
  <c r="AM32" i="3" s="1"/>
  <c r="J27" i="3"/>
  <c r="AM29" i="3" s="1"/>
  <c r="J28" i="3"/>
  <c r="AM30" i="3" s="1"/>
  <c r="J60" i="3"/>
  <c r="AM62" i="3" s="1"/>
  <c r="J26" i="3"/>
  <c r="AM28" i="3" s="1"/>
  <c r="J22" i="3"/>
  <c r="AM24" i="3" s="1"/>
  <c r="J10" i="4"/>
  <c r="AN10" i="4" s="1"/>
  <c r="J4" i="4"/>
  <c r="AN4" i="4" s="1"/>
  <c r="J5" i="4"/>
  <c r="AN5" i="4" s="1"/>
  <c r="J6" i="4"/>
  <c r="AN6" i="4" s="1"/>
  <c r="J13" i="4"/>
  <c r="AN13" i="4" s="1"/>
  <c r="J9" i="4"/>
  <c r="AN9" i="4" s="1"/>
  <c r="J11" i="4"/>
  <c r="AN11" i="4" s="1"/>
  <c r="K48" i="2"/>
  <c r="AN50" i="2" s="1"/>
  <c r="K49" i="2"/>
  <c r="AN51" i="2" s="1"/>
  <c r="K40" i="2"/>
  <c r="AN42" i="2" s="1"/>
  <c r="K19" i="2"/>
  <c r="AN21" i="2" s="1"/>
  <c r="K51" i="2"/>
  <c r="AN53" i="2" s="1"/>
  <c r="K37" i="2"/>
  <c r="AN39" i="2" s="1"/>
  <c r="K27" i="2"/>
  <c r="AN29" i="2" s="1"/>
  <c r="K29" i="2"/>
  <c r="AN31" i="2" s="1"/>
  <c r="K18" i="2"/>
  <c r="AN20" i="2" s="1"/>
  <c r="K22" i="2"/>
  <c r="AN24" i="2" s="1"/>
  <c r="K41" i="2"/>
  <c r="AN43" i="2" s="1"/>
  <c r="K42" i="2"/>
  <c r="AN44" i="2" s="1"/>
  <c r="K34" i="2"/>
  <c r="AN36" i="2" s="1"/>
  <c r="K26" i="2"/>
  <c r="AN28" i="2" s="1"/>
  <c r="K50" i="2"/>
  <c r="AN52" i="2" s="1"/>
  <c r="K47" i="2"/>
  <c r="AN49" i="2" s="1"/>
  <c r="K46" i="2"/>
  <c r="AN48" i="2" s="1"/>
  <c r="K24" i="2"/>
  <c r="AN26" i="2" s="1"/>
  <c r="K44" i="2"/>
  <c r="AN46" i="2" s="1"/>
  <c r="K23" i="2"/>
  <c r="AN25" i="2" s="1"/>
  <c r="K33" i="2"/>
  <c r="AN35" i="2" s="1"/>
  <c r="K25" i="2"/>
  <c r="AN27" i="2" s="1"/>
  <c r="K43" i="2"/>
  <c r="AN45" i="2" s="1"/>
  <c r="K45" i="2"/>
  <c r="AN47" i="2" s="1"/>
  <c r="K38" i="2"/>
  <c r="AN40" i="2" s="1"/>
</calcChain>
</file>

<file path=xl/sharedStrings.xml><?xml version="1.0" encoding="utf-8"?>
<sst xmlns="http://schemas.openxmlformats.org/spreadsheetml/2006/main" count="12355" uniqueCount="1514">
  <si>
    <t>GRUPO</t>
  </si>
  <si>
    <t>CODIGO_SBS</t>
  </si>
  <si>
    <t>Nombre</t>
  </si>
  <si>
    <t>CODIGO_ISIN</t>
  </si>
  <si>
    <t>BNP</t>
  </si>
  <si>
    <t>182096345816</t>
  </si>
  <si>
    <t>Línea Amarilla S.A.C.</t>
  </si>
  <si>
    <t>XS0799645816</t>
  </si>
  <si>
    <t>BEP</t>
  </si>
  <si>
    <t>22212211502U</t>
  </si>
  <si>
    <t>Norvial</t>
  </si>
  <si>
    <t>PEP74850M025</t>
  </si>
  <si>
    <t>22212521501A</t>
  </si>
  <si>
    <t>Jockey Plaza</t>
  </si>
  <si>
    <t>PEP71320M014</t>
  </si>
  <si>
    <t>22212511603A</t>
  </si>
  <si>
    <t>PEP71320M030</t>
  </si>
  <si>
    <t>22207130704A</t>
  </si>
  <si>
    <t xml:space="preserve">Concesionario Trasvase Olmos </t>
  </si>
  <si>
    <t>PEP72900M046</t>
  </si>
  <si>
    <t>22207130603A</t>
  </si>
  <si>
    <t>PEP72900M038</t>
  </si>
  <si>
    <t>22582811701A</t>
  </si>
  <si>
    <t>Hermes</t>
  </si>
  <si>
    <t>PEP73668M014</t>
  </si>
  <si>
    <t>22583521701U</t>
  </si>
  <si>
    <t>Inca Rail</t>
  </si>
  <si>
    <t>CVL14017HL12</t>
  </si>
  <si>
    <t>22583911801U</t>
  </si>
  <si>
    <t>InRetail Pharma</t>
  </si>
  <si>
    <t>CVL11000A018</t>
  </si>
  <si>
    <t>22585911901A</t>
  </si>
  <si>
    <t>Palo Alto</t>
  </si>
  <si>
    <t>CVL71370PA16</t>
  </si>
  <si>
    <t>22586511901A</t>
  </si>
  <si>
    <t>Tecsup</t>
  </si>
  <si>
    <t>CVL75840TB14</t>
  </si>
  <si>
    <t>225917115156</t>
  </si>
  <si>
    <t>Site del Perú</t>
  </si>
  <si>
    <t>XS2693815156</t>
  </si>
  <si>
    <t>22201111801A</t>
  </si>
  <si>
    <t>PEP21400M106</t>
  </si>
  <si>
    <t>TCDC</t>
  </si>
  <si>
    <t>274325396355</t>
  </si>
  <si>
    <t>Huascacocha Finance Limited</t>
  </si>
  <si>
    <t>XS0511096355</t>
  </si>
  <si>
    <t>274325395894</t>
  </si>
  <si>
    <t>XS0511095894</t>
  </si>
  <si>
    <t>274329357609</t>
  </si>
  <si>
    <t>Taboada Finance Limited</t>
  </si>
  <si>
    <t>XS0601857609</t>
  </si>
  <si>
    <t>2702021ADP1A</t>
  </si>
  <si>
    <t>ADP</t>
  </si>
  <si>
    <t>CVL80050A019</t>
  </si>
  <si>
    <t>2702011INS3U</t>
  </si>
  <si>
    <t>Colegios Peruanos - Internacional de Titulos Soc. Titulizadora</t>
  </si>
  <si>
    <t>CVL800702P33</t>
  </si>
  <si>
    <t>2702011IS11A</t>
  </si>
  <si>
    <t>PEP80070F166</t>
  </si>
  <si>
    <t>2702011INSC2</t>
  </si>
  <si>
    <t>CVL800703P16</t>
  </si>
  <si>
    <t>ACT</t>
  </si>
  <si>
    <t>312025100001</t>
  </si>
  <si>
    <t>El Comercio</t>
  </si>
  <si>
    <t>PEP294015008</t>
  </si>
  <si>
    <t>ADR</t>
  </si>
  <si>
    <t>3221282L1089</t>
  </si>
  <si>
    <t>Fossal SA</t>
  </si>
  <si>
    <t>US34988L5049</t>
  </si>
  <si>
    <t>ACX</t>
  </si>
  <si>
    <t>345874294721</t>
  </si>
  <si>
    <t>LU2791994721</t>
  </si>
  <si>
    <t>3458857M1032</t>
  </si>
  <si>
    <t>Aclara Resources Inc.</t>
  </si>
  <si>
    <t>CA00461M1032</t>
  </si>
  <si>
    <t>FMAELL</t>
  </si>
  <si>
    <t>4871412CLPEF</t>
  </si>
  <si>
    <t>Carlyle Peru</t>
  </si>
  <si>
    <t>FIT</t>
  </si>
  <si>
    <t>4911141MIND1</t>
  </si>
  <si>
    <t>Macrocapitales SAFI S.A.</t>
  </si>
  <si>
    <t>CVL79560FI39</t>
  </si>
  <si>
    <t>4974252SCBDC</t>
  </si>
  <si>
    <t>BD Capital - Senior Loans C</t>
  </si>
  <si>
    <t>CVL79590GA30</t>
  </si>
  <si>
    <t>491105206SI1</t>
  </si>
  <si>
    <t>Sigma - Leasing Operativo</t>
  </si>
  <si>
    <t>CVL795509FD6</t>
  </si>
  <si>
    <t>FM</t>
  </si>
  <si>
    <t>5076822E0800</t>
  </si>
  <si>
    <t>Van Eck - El Dorado Peru</t>
  </si>
  <si>
    <t>PEP798008004</t>
  </si>
  <si>
    <t>FIV</t>
  </si>
  <si>
    <t>5111141KFIIP</t>
  </si>
  <si>
    <t>Kandeo - II Private Equity</t>
  </si>
  <si>
    <t>CVL795602F20</t>
  </si>
  <si>
    <t>5111142FFOR1</t>
  </si>
  <si>
    <t>Macrocapitales - Fortaleza</t>
  </si>
  <si>
    <t>CVL79560FI05</t>
  </si>
  <si>
    <t>5111181FDVI1</t>
  </si>
  <si>
    <t>W Capital - Fondo Inmobiliario</t>
  </si>
  <si>
    <t>CVL225501V53</t>
  </si>
  <si>
    <t>5111302INFAM</t>
  </si>
  <si>
    <t>Sura Credicorp Infraestructura</t>
  </si>
  <si>
    <t>CVL79610C019</t>
  </si>
  <si>
    <t>5111042INF2A</t>
  </si>
  <si>
    <t>AC Capitales - Infraestructura II</t>
  </si>
  <si>
    <t>CVL79410FH16</t>
  </si>
  <si>
    <t>5111042FINM2</t>
  </si>
  <si>
    <t>AC Capitales - Inmobiliario II</t>
  </si>
  <si>
    <t>CVL79410FI80</t>
  </si>
  <si>
    <t>5111042INF1U</t>
  </si>
  <si>
    <t>AC Capitales - Infraestructura</t>
  </si>
  <si>
    <t>CVL79410FI15</t>
  </si>
  <si>
    <t>5111022FINR2</t>
  </si>
  <si>
    <t>Compass - Inmobiliario B</t>
  </si>
  <si>
    <t>CVL790409F59</t>
  </si>
  <si>
    <t>5111011CCINM</t>
  </si>
  <si>
    <t>BCP Fondo Inmobiliario</t>
  </si>
  <si>
    <t>CVL790801F46</t>
  </si>
  <si>
    <t>5111072DES1B</t>
  </si>
  <si>
    <t>Enfoca - Descubridor 1</t>
  </si>
  <si>
    <t>CVL79010FI43</t>
  </si>
  <si>
    <t>5111072DES2B</t>
  </si>
  <si>
    <t>Enfoca - Descubridor 2</t>
  </si>
  <si>
    <t>CVL79010FO29</t>
  </si>
  <si>
    <t>5111152FCRET</t>
  </si>
  <si>
    <t xml:space="preserve">Faro Capital - Fondo de Inversión Retail </t>
  </si>
  <si>
    <t>CVL793501F27</t>
  </si>
  <si>
    <t>5111102FIBR3</t>
  </si>
  <si>
    <t>LarraínVial Colliers - Fibra III</t>
  </si>
  <si>
    <t>CVL79033FI87</t>
  </si>
  <si>
    <t>5111102FIBR2</t>
  </si>
  <si>
    <t>LarraínVial Colliers - Fibra II</t>
  </si>
  <si>
    <t>CVL79033FI61</t>
  </si>
  <si>
    <t>5111052INFS1</t>
  </si>
  <si>
    <t>Sigma- Infraestructura</t>
  </si>
  <si>
    <t>CVL79550FD69</t>
  </si>
  <si>
    <t>FMX</t>
  </si>
  <si>
    <t>5274822F3552</t>
  </si>
  <si>
    <t>Moneda - Deuda Latam LCC</t>
  </si>
  <si>
    <t>CL0002535525</t>
  </si>
  <si>
    <t>5274822F3551</t>
  </si>
  <si>
    <t>Moneda S.A. Administradora General de Fondos - Deuda Latam</t>
  </si>
  <si>
    <t>CL0002535517</t>
  </si>
  <si>
    <t>5277192F9LZQ</t>
  </si>
  <si>
    <t>Moneda - Latam High Yield</t>
  </si>
  <si>
    <t>IE000NG9LZQ6</t>
  </si>
  <si>
    <t>FIAX</t>
  </si>
  <si>
    <t>5358472ASF8G</t>
  </si>
  <si>
    <t>ASF VIII GP Limited</t>
  </si>
  <si>
    <t>5370862TRGL1</t>
  </si>
  <si>
    <t>TRG Rohatyn - LAPEF I</t>
  </si>
  <si>
    <t>PRIVATE1</t>
  </si>
  <si>
    <t>5370904PGD09</t>
  </si>
  <si>
    <t>Partners - PGD 2009</t>
  </si>
  <si>
    <t>PARTNERS1</t>
  </si>
  <si>
    <t>5371072PBCR2</t>
  </si>
  <si>
    <t xml:space="preserve">PineBridge - Credit Opportunities II </t>
  </si>
  <si>
    <t>PINEBRIDGE</t>
  </si>
  <si>
    <t>5371242PAVIL</t>
  </si>
  <si>
    <t>Pantheon - PASIA VI</t>
  </si>
  <si>
    <t>PANTHEON</t>
  </si>
  <si>
    <t>5371262AGPII</t>
  </si>
  <si>
    <t>ARCM - ARC Fund II</t>
  </si>
  <si>
    <t>ARCFUNDII</t>
  </si>
  <si>
    <t>5371332COL6A</t>
  </si>
  <si>
    <t>Coller - Coller VI</t>
  </si>
  <si>
    <t>COLLER</t>
  </si>
  <si>
    <t>5371362PGS11</t>
  </si>
  <si>
    <t>Partners - PG Secondary 2011</t>
  </si>
  <si>
    <t>5371484A8AFE</t>
  </si>
  <si>
    <t>Apax VIII</t>
  </si>
  <si>
    <t>APAX VIII</t>
  </si>
  <si>
    <t>5372842LCP8F</t>
  </si>
  <si>
    <t>Lexington Partners GP Holdings VIII LLC</t>
  </si>
  <si>
    <t>5373382ACOA3</t>
  </si>
  <si>
    <t>Apollo Credit Opportunity III</t>
  </si>
  <si>
    <t>APOLLO</t>
  </si>
  <si>
    <t>5373542PGS15</t>
  </si>
  <si>
    <t>Partners - PG Secondary 2015</t>
  </si>
  <si>
    <t>PGS15</t>
  </si>
  <si>
    <t>5373592OPF6F</t>
  </si>
  <si>
    <t>Oaktree Principal Fund VI GP, L.P.</t>
  </si>
  <si>
    <t>OPF6F</t>
  </si>
  <si>
    <t>5373852ASSIV</t>
  </si>
  <si>
    <t>ASSF - Operating Manager IV, LP</t>
  </si>
  <si>
    <t>5373892AESS3</t>
  </si>
  <si>
    <t>Avenue - Europe Capital Partners III, LLC</t>
  </si>
  <si>
    <t>AESS3</t>
  </si>
  <si>
    <t>5373962COL7F</t>
  </si>
  <si>
    <t>Coller</t>
  </si>
  <si>
    <t>COL7F</t>
  </si>
  <si>
    <t>5374062AIXFE</t>
  </si>
  <si>
    <t xml:space="preserve">Apax IX </t>
  </si>
  <si>
    <t>5374112KKR12</t>
  </si>
  <si>
    <t>KKR</t>
  </si>
  <si>
    <t>5374192HCI4A</t>
  </si>
  <si>
    <t>HarbourVest Co-Investment Fund IV</t>
  </si>
  <si>
    <t>5374204CVC7A</t>
  </si>
  <si>
    <t>CVC Capital Partners - VII Limited</t>
  </si>
  <si>
    <t>5374272CRF8B</t>
  </si>
  <si>
    <t>Carlyle Realty Partners - VIII</t>
  </si>
  <si>
    <t>5374342CPVII</t>
  </si>
  <si>
    <t>Carlyle Partners VII</t>
  </si>
  <si>
    <t>5374404P7SCS</t>
  </si>
  <si>
    <t>PAI Europe VII</t>
  </si>
  <si>
    <t>5374414P7SLP</t>
  </si>
  <si>
    <t>5374434CEPVF</t>
  </si>
  <si>
    <t>CEP V LUX</t>
  </si>
  <si>
    <t>5374482LCPIX</t>
  </si>
  <si>
    <t>PRIVFAELCPIX</t>
  </si>
  <si>
    <t>LCPIX</t>
  </si>
  <si>
    <t>5374552HFCP9</t>
  </si>
  <si>
    <t>Hellman &amp; Friedman</t>
  </si>
  <si>
    <t>5374632COL8F</t>
  </si>
  <si>
    <t>Coller - Coller VIII</t>
  </si>
  <si>
    <t>5374652VEP7A</t>
  </si>
  <si>
    <t>Vista Equity Partners Fund VII GP, L.P.</t>
  </si>
  <si>
    <t>5374782A10FE</t>
  </si>
  <si>
    <t>Apax X</t>
  </si>
  <si>
    <t>5374792GIP4F</t>
  </si>
  <si>
    <t>Global Infrastructure GP IV, L.P.</t>
  </si>
  <si>
    <t>5374842BREVI</t>
  </si>
  <si>
    <t>Blackstone Real Estate Associates Europe VI</t>
  </si>
  <si>
    <t>5374872ASFCC</t>
  </si>
  <si>
    <t>ASF Cosmos Co-Invest L.P.</t>
  </si>
  <si>
    <t>5311082FIEAM</t>
  </si>
  <si>
    <t>LarraínVial - Energía I</t>
  </si>
  <si>
    <t>CVL79033FI20</t>
  </si>
  <si>
    <t>BEX</t>
  </si>
  <si>
    <t>1252802VAC49</t>
  </si>
  <si>
    <t>Inkia Energy Limited</t>
  </si>
  <si>
    <t>USG4808VAC49</t>
  </si>
  <si>
    <t>BSF</t>
  </si>
  <si>
    <t>21015121901U</t>
  </si>
  <si>
    <t>Interseguro</t>
  </si>
  <si>
    <t>PEP66450D056</t>
  </si>
  <si>
    <t>INTSE3BS1U</t>
  </si>
  <si>
    <t>21003811902A</t>
  </si>
  <si>
    <t>Banco Interamericano de Finanzas</t>
  </si>
  <si>
    <t>PEP12100D292</t>
  </si>
  <si>
    <t>BIF3BS2A</t>
  </si>
  <si>
    <t>22211027AA17</t>
  </si>
  <si>
    <t>San Miguel Industrias Pet S.A.</t>
  </si>
  <si>
    <t>USP84527AA17</t>
  </si>
  <si>
    <t>NORVI1BC2U</t>
  </si>
  <si>
    <t>22212311701A</t>
  </si>
  <si>
    <t>Falabella Perú</t>
  </si>
  <si>
    <t>PEP74190M042</t>
  </si>
  <si>
    <t>FALAB2BC1A</t>
  </si>
  <si>
    <t>JPLAZ1BC1A</t>
  </si>
  <si>
    <t>JPLAZ1BC3A</t>
  </si>
  <si>
    <t>22582511801A</t>
  </si>
  <si>
    <t>Primax</t>
  </si>
  <si>
    <t>PEP73125M049</t>
  </si>
  <si>
    <t>PRIMX2BC1A</t>
  </si>
  <si>
    <t>HERME1BC1A</t>
  </si>
  <si>
    <t>BCIR1P1ESA</t>
  </si>
  <si>
    <t>22584221801U</t>
  </si>
  <si>
    <t>Inversiones Nacionales de Turismo S.A.</t>
  </si>
  <si>
    <t>CVL74200B016</t>
  </si>
  <si>
    <t>INTBC1A</t>
  </si>
  <si>
    <t>PALTO1P1E</t>
  </si>
  <si>
    <t>TECSB1P1A</t>
  </si>
  <si>
    <t>2220111KDW01</t>
  </si>
  <si>
    <t>USP0161KDW01</t>
  </si>
  <si>
    <t>22201111502A</t>
  </si>
  <si>
    <t>PEP21400M064</t>
  </si>
  <si>
    <t>ALICO3BC2A</t>
  </si>
  <si>
    <t>ALIC1DBC1A</t>
  </si>
  <si>
    <t>2223041GAR67</t>
  </si>
  <si>
    <t xml:space="preserve">Telefónica del Perú </t>
  </si>
  <si>
    <t>USP9T36GAR67</t>
  </si>
  <si>
    <t>22230411715A</t>
  </si>
  <si>
    <t>PEP70500M764</t>
  </si>
  <si>
    <t>TDP6BC15A</t>
  </si>
  <si>
    <t>22230411801A</t>
  </si>
  <si>
    <t>CVL70500T015</t>
  </si>
  <si>
    <t>TDP1PP1A</t>
  </si>
  <si>
    <t>22230430819C</t>
  </si>
  <si>
    <t>PEP70500M459</t>
  </si>
  <si>
    <t>TELE4BC19C</t>
  </si>
  <si>
    <t>22230430719A</t>
  </si>
  <si>
    <t>PEP70500M335</t>
  </si>
  <si>
    <t>TELE4BC19A</t>
  </si>
  <si>
    <t>2220472BAA19</t>
  </si>
  <si>
    <t>Orazen</t>
  </si>
  <si>
    <t>USP7372BAA19</t>
  </si>
  <si>
    <t>OSF</t>
  </si>
  <si>
    <t>25008611209A</t>
  </si>
  <si>
    <t>COFIDE</t>
  </si>
  <si>
    <t>PEP11100M245</t>
  </si>
  <si>
    <t>COFI3DBC9A</t>
  </si>
  <si>
    <t>BTADP1EU</t>
  </si>
  <si>
    <t>COLPE1P3E</t>
  </si>
  <si>
    <t>SINT1TCP1A</t>
  </si>
  <si>
    <t>INNSCH2E1U</t>
  </si>
  <si>
    <t>2702042CA11U</t>
  </si>
  <si>
    <t>Casa Andina (Scotia Sociedad Titulizadora)</t>
  </si>
  <si>
    <t>CVL80200F308</t>
  </si>
  <si>
    <t>ACC</t>
  </si>
  <si>
    <t>302107100001</t>
  </si>
  <si>
    <t>Ferreyros S.A.A.</t>
  </si>
  <si>
    <t>PEP736001004</t>
  </si>
  <si>
    <t>302011100001</t>
  </si>
  <si>
    <t>PEP214001005</t>
  </si>
  <si>
    <t>302048100001</t>
  </si>
  <si>
    <t>PEP608001108</t>
  </si>
  <si>
    <t>302072200001</t>
  </si>
  <si>
    <t>Sociedad Minera Cerro Verde S.A.A.</t>
  </si>
  <si>
    <t>PEP646501002</t>
  </si>
  <si>
    <t>CVERDEC1</t>
  </si>
  <si>
    <t>302029100001</t>
  </si>
  <si>
    <t>Graña y Montero S.A.A.</t>
  </si>
  <si>
    <t>PEP736581005</t>
  </si>
  <si>
    <t>AUNA US</t>
  </si>
  <si>
    <t>ARA CN</t>
  </si>
  <si>
    <t>TDEMEX</t>
  </si>
  <si>
    <t>595132FRAZ03</t>
  </si>
  <si>
    <t>Empresas Públicas Medellin</t>
  </si>
  <si>
    <t>USP9379RAZ03</t>
  </si>
  <si>
    <t>Asset Class</t>
  </si>
  <si>
    <t>id_Qest</t>
  </si>
  <si>
    <t>Mercado</t>
  </si>
  <si>
    <t>Cat</t>
  </si>
  <si>
    <t>Alternativos</t>
  </si>
  <si>
    <t>CARLYLEPERU</t>
  </si>
  <si>
    <t>Local</t>
  </si>
  <si>
    <t>Private Equity</t>
  </si>
  <si>
    <t>KANDEOII</t>
  </si>
  <si>
    <t>FORTALEZA</t>
  </si>
  <si>
    <t>W Capital SAFI S.A.</t>
  </si>
  <si>
    <t>Real Estate</t>
  </si>
  <si>
    <t>Infraestructura</t>
  </si>
  <si>
    <t>AC-INF</t>
  </si>
  <si>
    <t>AC-INMB2</t>
  </si>
  <si>
    <t>COMP-INF</t>
  </si>
  <si>
    <t>Credifondo SA SAF</t>
  </si>
  <si>
    <t>Faro Capital</t>
  </si>
  <si>
    <t>FIBRAIII</t>
  </si>
  <si>
    <t>FIBRAII</t>
  </si>
  <si>
    <t>SIGMAINF</t>
  </si>
  <si>
    <t>PRIVFAEASF8G</t>
  </si>
  <si>
    <t>Internacional</t>
  </si>
  <si>
    <t>LAPEFI</t>
  </si>
  <si>
    <t>PGD2009</t>
  </si>
  <si>
    <t>COII</t>
  </si>
  <si>
    <t>Private Debt</t>
  </si>
  <si>
    <t>PASIA VI</t>
  </si>
  <si>
    <t>ARCF2</t>
  </si>
  <si>
    <t>COLLER VI</t>
  </si>
  <si>
    <t>PG2ND11</t>
  </si>
  <si>
    <t>LCP8F</t>
  </si>
  <si>
    <t>PG2ND15</t>
  </si>
  <si>
    <t>ASSIV</t>
  </si>
  <si>
    <t>Avenue Europe Capital Partners III, LLC</t>
  </si>
  <si>
    <t>COLLER VII</t>
  </si>
  <si>
    <t>Apax IX GP Co. Limited</t>
  </si>
  <si>
    <t>CVC Capital Partners VII Limited</t>
  </si>
  <si>
    <t>CARLYLE REALTY VIII</t>
  </si>
  <si>
    <t>CP VII</t>
  </si>
  <si>
    <t>PRIVFAECEPVF</t>
  </si>
  <si>
    <t>Coller International General Partner VIII,L.P</t>
  </si>
  <si>
    <t>PRIVFAEVEP7A</t>
  </si>
  <si>
    <t>APAX X USD GP L.P.</t>
  </si>
  <si>
    <t>LVENERI</t>
  </si>
  <si>
    <t>Renta Fija</t>
  </si>
  <si>
    <t xml:space="preserve">INKENE 5  7/8 11/09/27 </t>
  </si>
  <si>
    <t>IVPRB 6.45 06/30/37</t>
  </si>
  <si>
    <t>SMIPET 3 1/2 08/02/28</t>
  </si>
  <si>
    <t>CTO1BC4U</t>
  </si>
  <si>
    <t>CTO1BC3U</t>
  </si>
  <si>
    <t>INRPHARMA1</t>
  </si>
  <si>
    <t>SILAPE 9 ⅛ 09/21/33 Corp</t>
  </si>
  <si>
    <t>ALIPE 6 7/8 04/17/27</t>
  </si>
  <si>
    <t xml:space="preserve">Alicorp </t>
  </si>
  <si>
    <t>TELEFO 7 3/8 04/10/27</t>
  </si>
  <si>
    <t>ORAZEN 5 5/8 04/28/2027</t>
  </si>
  <si>
    <t>HUASC 5.2 04/01/28</t>
  </si>
  <si>
    <t>TABOA 5.965 01/01/29</t>
  </si>
  <si>
    <t>CASAND11A</t>
  </si>
  <si>
    <t>FIBDCC</t>
  </si>
  <si>
    <t>LEASOP PE</t>
  </si>
  <si>
    <t>MLADLAE CI</t>
  </si>
  <si>
    <t>MDELAAE CI</t>
  </si>
  <si>
    <t>MLATHY1 ID</t>
  </si>
  <si>
    <t>EEPPME 8 3/8 11/08/27</t>
  </si>
  <si>
    <t>Renta Variable</t>
  </si>
  <si>
    <t>FERREYC1 PE</t>
  </si>
  <si>
    <t>ALICORC1 PE</t>
  </si>
  <si>
    <t>Alicorp S.A.</t>
  </si>
  <si>
    <t>ATACOAC1 PE</t>
  </si>
  <si>
    <t>GRAMONC1 PE</t>
  </si>
  <si>
    <t>ELCOMEI1 PE</t>
  </si>
  <si>
    <t>FSSLY US</t>
  </si>
  <si>
    <t>AUNA SA</t>
  </si>
  <si>
    <t>ETFPERUD PE</t>
  </si>
  <si>
    <t>Tiene Huella?</t>
  </si>
  <si>
    <t>Proxy para Huella</t>
  </si>
  <si>
    <t>Ajuste de Huella</t>
  </si>
  <si>
    <t>No</t>
  </si>
  <si>
    <t>Riesgos</t>
  </si>
  <si>
    <t>TOTAL:</t>
  </si>
  <si>
    <t>Proxies</t>
  </si>
  <si>
    <t>EMHY US</t>
  </si>
  <si>
    <t>EMLC US</t>
  </si>
  <si>
    <t>iShares MSCI Peru and Global Exposure ETF (EPU)</t>
  </si>
  <si>
    <t>iShares iBoxx $ High Yield Corporate Bond ETF (HYG)</t>
  </si>
  <si>
    <t>Banco de la Nación</t>
  </si>
  <si>
    <t>Inversiones Portuarias Chancay A</t>
  </si>
  <si>
    <t>Inversiones Portuarias Chancay B</t>
  </si>
  <si>
    <t>21001811601A</t>
  </si>
  <si>
    <t>305923100001</t>
  </si>
  <si>
    <t>305923100002</t>
  </si>
  <si>
    <t>302032100002</t>
  </si>
  <si>
    <t>PEP700511004</t>
  </si>
  <si>
    <t>Orygen</t>
  </si>
  <si>
    <t>PEP746351100</t>
  </si>
  <si>
    <t>PEP746354203</t>
  </si>
  <si>
    <t>PEP12030D010</t>
  </si>
  <si>
    <t>BN1BS1A</t>
  </si>
  <si>
    <t>ACC_SOL EDEG</t>
  </si>
  <si>
    <t>IPCHAC1</t>
  </si>
  <si>
    <t>IPCHBC1</t>
  </si>
  <si>
    <t>Sector Empresa</t>
  </si>
  <si>
    <t>Intesidad Proxy</t>
  </si>
  <si>
    <t>Intensidad de Proxy</t>
  </si>
  <si>
    <t>Proxy</t>
  </si>
  <si>
    <t>Intensidad Proxy</t>
  </si>
  <si>
    <t>iShares Latin America 40 ETF (ILF)</t>
  </si>
  <si>
    <t>Energy</t>
  </si>
  <si>
    <t>Financials</t>
  </si>
  <si>
    <t>iShares Global Comm Svcs ETF</t>
  </si>
  <si>
    <t>iShares Global Consumer Disc ETF</t>
  </si>
  <si>
    <t>iShares Global Consumer Staples ETF</t>
  </si>
  <si>
    <t>iShares Global Energy ETF</t>
  </si>
  <si>
    <t>iShares Global Financials ETF</t>
  </si>
  <si>
    <t>iShares Global Healthcare ETF</t>
  </si>
  <si>
    <t>iShares Global Industrials ETF</t>
  </si>
  <si>
    <t>iShares Global Materials ETF</t>
  </si>
  <si>
    <t>iShares Global Technology ETF</t>
  </si>
  <si>
    <t>iShares Global Utilities ETF</t>
  </si>
  <si>
    <t>Sector</t>
  </si>
  <si>
    <t>Intensidad</t>
  </si>
  <si>
    <t>Communication Services</t>
  </si>
  <si>
    <t>Consumer Discretionary</t>
  </si>
  <si>
    <t>Consumer Staples</t>
  </si>
  <si>
    <t>Healthcare</t>
  </si>
  <si>
    <t>Industrials</t>
  </si>
  <si>
    <t>Materials</t>
  </si>
  <si>
    <t>Technology</t>
  </si>
  <si>
    <t>Utilities</t>
  </si>
  <si>
    <t>iShares Global REIT ETF (REET)</t>
  </si>
  <si>
    <t>iShares Trust - iShares Global Infrastructure ETF (IGF)</t>
  </si>
  <si>
    <t>iShares Trust - iShares MSCI ACWI ETF (ACWI)</t>
  </si>
  <si>
    <t>iShares Core S&amp;P 500 ETF (IVV)</t>
  </si>
  <si>
    <t>iShares U.S. Real Estate ETF (IYR)</t>
  </si>
  <si>
    <t>iShares US &amp; Intl High Yield Corp Bond ETF (GHYG)</t>
  </si>
  <si>
    <t>iShares Trust - iShares U.S. Infrastructure ETF (IFRA)</t>
  </si>
  <si>
    <t>Formato Reporte huella</t>
  </si>
  <si>
    <t>A</t>
  </si>
  <si>
    <t>B</t>
  </si>
  <si>
    <t>C</t>
  </si>
  <si>
    <t>D</t>
  </si>
  <si>
    <t>E</t>
  </si>
  <si>
    <t>F</t>
  </si>
  <si>
    <t>G</t>
  </si>
  <si>
    <t>H</t>
  </si>
  <si>
    <t>I</t>
  </si>
  <si>
    <t>J</t>
  </si>
  <si>
    <t>K</t>
  </si>
  <si>
    <t>L</t>
  </si>
  <si>
    <t>M</t>
  </si>
  <si>
    <t>N</t>
  </si>
  <si>
    <t>O</t>
  </si>
  <si>
    <t>P</t>
  </si>
  <si>
    <t>Q</t>
  </si>
  <si>
    <t>R</t>
  </si>
  <si>
    <t>S</t>
  </si>
  <si>
    <t>T</t>
  </si>
  <si>
    <t>U</t>
  </si>
  <si>
    <t>V</t>
  </si>
  <si>
    <t>W</t>
  </si>
  <si>
    <t>X</t>
  </si>
  <si>
    <t>Client_ID</t>
  </si>
  <si>
    <t>client1</t>
  </si>
  <si>
    <t>client2</t>
  </si>
  <si>
    <t>Valor</t>
  </si>
  <si>
    <t>País</t>
  </si>
  <si>
    <t>EVIC</t>
  </si>
  <si>
    <t>CO2</t>
  </si>
  <si>
    <t>CO2/EVIC</t>
  </si>
  <si>
    <t>ESG</t>
  </si>
  <si>
    <t>Controversia</t>
  </si>
  <si>
    <t>Co2/Sales</t>
  </si>
  <si>
    <t>Gov_pctl</t>
  </si>
  <si>
    <t>Rating</t>
  </si>
  <si>
    <t>CO2/Debt(Intensidad)</t>
  </si>
  <si>
    <t>%DebtPub</t>
  </si>
  <si>
    <t>CAT</t>
  </si>
  <si>
    <t>Plus</t>
  </si>
  <si>
    <t>Plus_1</t>
  </si>
  <si>
    <t>Alts</t>
  </si>
  <si>
    <t>TD</t>
  </si>
  <si>
    <t>BU</t>
  </si>
  <si>
    <t>Internacional de Titulos Soc. Titulizadora- Innova</t>
  </si>
  <si>
    <t>22582511603A</t>
  </si>
  <si>
    <t>22582511802A</t>
  </si>
  <si>
    <t>PEP73125M031</t>
  </si>
  <si>
    <t>PEP73125M056</t>
  </si>
  <si>
    <t>PRIMX1BC3A</t>
  </si>
  <si>
    <t>PRIMX2BC2A</t>
  </si>
  <si>
    <t>2258402PAC79</t>
  </si>
  <si>
    <t>USP5300PAC79</t>
  </si>
  <si>
    <t>HNTOIL 8.55 09/</t>
  </si>
  <si>
    <t>Hunt Oil</t>
  </si>
  <si>
    <t>Aenza</t>
  </si>
  <si>
    <t>CSP</t>
  </si>
  <si>
    <t>402029100004</t>
  </si>
  <si>
    <t>PEP736586145</t>
  </si>
  <si>
    <t>CSP4 AENZA</t>
  </si>
  <si>
    <t>RENTA VARIABLE</t>
  </si>
  <si>
    <t>5277312FNG56</t>
  </si>
  <si>
    <t>IE00BF4NG566</t>
  </si>
  <si>
    <t>Neuberger Berman - CLO Income Fund</t>
  </si>
  <si>
    <t>SPDR Blackstone Senior Loan ETF (SRLN)</t>
  </si>
  <si>
    <t>FUND_SHARE_CLASS_ID</t>
  </si>
  <si>
    <t>FUND_NAME</t>
  </si>
  <si>
    <t>Security_Status</t>
  </si>
  <si>
    <t>FUND_ISIN</t>
  </si>
  <si>
    <t>FUND_TICKER</t>
  </si>
  <si>
    <t>FUND_FINANCED_CARBON_EMISSIONS</t>
  </si>
  <si>
    <t>FUND_CARBON_EMISSIONS_SCOPE_3_TOT_EVIC_INTEN</t>
  </si>
  <si>
    <t>40056077</t>
  </si>
  <si>
    <t>iShares Core S&amp;P 500 ETF</t>
  </si>
  <si>
    <t>Matched</t>
  </si>
  <si>
    <t>US4642872000</t>
  </si>
  <si>
    <t>IVV</t>
  </si>
  <si>
    <t>40056109</t>
  </si>
  <si>
    <t>iShares US Real Estate ETF</t>
  </si>
  <si>
    <t>US4642877397</t>
  </si>
  <si>
    <t>IYR</t>
  </si>
  <si>
    <t>40068873</t>
  </si>
  <si>
    <t>iShares Latin America 40 ETF</t>
  </si>
  <si>
    <t>US4642873909</t>
  </si>
  <si>
    <t>ILF</t>
  </si>
  <si>
    <t>40073950</t>
  </si>
  <si>
    <t>US4642873412</t>
  </si>
  <si>
    <t>IXC</t>
  </si>
  <si>
    <t>40073951</t>
  </si>
  <si>
    <t>US4642873339</t>
  </si>
  <si>
    <t>IXG</t>
  </si>
  <si>
    <t>40073952</t>
  </si>
  <si>
    <t>US4642873255</t>
  </si>
  <si>
    <t>IXJ</t>
  </si>
  <si>
    <t>40073953</t>
  </si>
  <si>
    <t>iShares Global Tech ETF</t>
  </si>
  <si>
    <t>US4642872919</t>
  </si>
  <si>
    <t>IXN</t>
  </si>
  <si>
    <t>40073954</t>
  </si>
  <si>
    <t>iShares Global Comm Services ETF</t>
  </si>
  <si>
    <t>US4642872752</t>
  </si>
  <si>
    <t>IXP</t>
  </si>
  <si>
    <t>40111267</t>
  </si>
  <si>
    <t>iShares Global Consumer Discretionary ETF</t>
  </si>
  <si>
    <t>US4642887453</t>
  </si>
  <si>
    <t>RXI</t>
  </si>
  <si>
    <t>40111270</t>
  </si>
  <si>
    <t>US4642887370</t>
  </si>
  <si>
    <t>KXI</t>
  </si>
  <si>
    <t>40111272</t>
  </si>
  <si>
    <t>US4642887297</t>
  </si>
  <si>
    <t>EXI</t>
  </si>
  <si>
    <t>40111273</t>
  </si>
  <si>
    <t>US4642887115</t>
  </si>
  <si>
    <t>JXI</t>
  </si>
  <si>
    <t>40111274</t>
  </si>
  <si>
    <t>US4642886950</t>
  </si>
  <si>
    <t>MXI</t>
  </si>
  <si>
    <t>40114659</t>
  </si>
  <si>
    <t>iShares iBoxx $ High Yield Corporate Bond ETF</t>
  </si>
  <si>
    <t>US4642885135</t>
  </si>
  <si>
    <t>HYG</t>
  </si>
  <si>
    <t>40118468</t>
  </si>
  <si>
    <t>iShares Global Infrastructure ETF</t>
  </si>
  <si>
    <t>US4642883726</t>
  </si>
  <si>
    <t>IGF</t>
  </si>
  <si>
    <t>40119505</t>
  </si>
  <si>
    <t>iShares MSCI ACWI ETF</t>
  </si>
  <si>
    <t>US4642882579</t>
  </si>
  <si>
    <t>ACWI</t>
  </si>
  <si>
    <t>40125506</t>
  </si>
  <si>
    <t>iShares MSCI Peru and Global Exposure ETF</t>
  </si>
  <si>
    <t>US4642898427</t>
  </si>
  <si>
    <t>EPU</t>
  </si>
  <si>
    <t>40197668</t>
  </si>
  <si>
    <t>iShares US &amp; Intl High Yield Corp Bond ETF</t>
  </si>
  <si>
    <t>US4642861789</t>
  </si>
  <si>
    <t>GHYG</t>
  </si>
  <si>
    <t>40208212</t>
  </si>
  <si>
    <t>iShares Global REIT ETF</t>
  </si>
  <si>
    <t>US46434V6478</t>
  </si>
  <si>
    <t>REET</t>
  </si>
  <si>
    <t>40223745</t>
  </si>
  <si>
    <t>iShares US Infrastructure ETF</t>
  </si>
  <si>
    <t>US46435U7138</t>
  </si>
  <si>
    <t>IFRA</t>
  </si>
  <si>
    <t>ISIN</t>
  </si>
  <si>
    <t>US78467V6083</t>
  </si>
  <si>
    <t>40203019</t>
  </si>
  <si>
    <t>SRLN</t>
  </si>
  <si>
    <t>PCOM</t>
  </si>
  <si>
    <t>23583412503C</t>
  </si>
  <si>
    <t>23583412403A</t>
  </si>
  <si>
    <t>23583412402C</t>
  </si>
  <si>
    <t>23583412402D</t>
  </si>
  <si>
    <t>23583412401H</t>
  </si>
  <si>
    <t>23583412403B</t>
  </si>
  <si>
    <t>PEP16997V307</t>
  </si>
  <si>
    <t>PEP16997V281</t>
  </si>
  <si>
    <t>PEP16997V265</t>
  </si>
  <si>
    <t>PEP16997V273</t>
  </si>
  <si>
    <t>PEP16997V257</t>
  </si>
  <si>
    <t>PEP16997V299</t>
  </si>
  <si>
    <t>ECSCP2CP3C</t>
  </si>
  <si>
    <t>ECSCP2CP3A</t>
  </si>
  <si>
    <t>ECSCP2CP2C</t>
  </si>
  <si>
    <t>ECSCP2CP2D</t>
  </si>
  <si>
    <t>ECSCP2CP1H</t>
  </si>
  <si>
    <t>ECSCP2CP3B</t>
  </si>
  <si>
    <t>Edpyme Santander Consumo Perú</t>
  </si>
  <si>
    <t>23008612403A</t>
  </si>
  <si>
    <t>PEP11100V196</t>
  </si>
  <si>
    <t>ZCOF4DCP3A</t>
  </si>
  <si>
    <t>302030100001</t>
  </si>
  <si>
    <t>PEP701011004</t>
  </si>
  <si>
    <t>ACC_SOL EDEL</t>
  </si>
  <si>
    <t>Pluz Energía</t>
  </si>
  <si>
    <t>302061100001</t>
  </si>
  <si>
    <t>PEP702101002</t>
  </si>
  <si>
    <t>ACCNLB</t>
  </si>
  <si>
    <t>Engie</t>
  </si>
  <si>
    <t>5274244F1260</t>
  </si>
  <si>
    <t>LU1136112601</t>
  </si>
  <si>
    <t>Janus Henderson - Horizon Euroland Fund</t>
  </si>
  <si>
    <t>Arcano Fund - European Income Fund, ESG Selection</t>
  </si>
  <si>
    <t>Al 30/03</t>
  </si>
  <si>
    <t>LU2343117433</t>
  </si>
  <si>
    <t>5270604F1743</t>
  </si>
  <si>
    <t>IE00B66F4759</t>
  </si>
  <si>
    <t>iShares  High Yield Corp Bond UCITS ETF EUR D</t>
  </si>
  <si>
    <t>IHYG</t>
  </si>
  <si>
    <t>EZU</t>
  </si>
  <si>
    <t>VanEck JP Morgan EM Local Currency Bond ETF (EMLC)</t>
  </si>
  <si>
    <t>US92189H3003</t>
  </si>
  <si>
    <t>iShares MSCI Eurozone ETF</t>
  </si>
  <si>
    <t>US4642866085</t>
  </si>
  <si>
    <t>Global Evolution Funds - Frontier Markets Fund</t>
  </si>
  <si>
    <t>LU1034966249</t>
  </si>
  <si>
    <t>5274262F6624</t>
  </si>
  <si>
    <t>iShares ? High Yield Corp Bond UCITS ETF EUR D</t>
  </si>
  <si>
    <t>68060932</t>
  </si>
  <si>
    <t>VanEck JP Morgan EM Local Currency Bond ETF</t>
  </si>
  <si>
    <t>40183710</t>
  </si>
  <si>
    <t>EMLC</t>
  </si>
  <si>
    <t>40056868</t>
  </si>
  <si>
    <t>OSX</t>
  </si>
  <si>
    <t>15532427PD99</t>
  </si>
  <si>
    <t>USP0R137PD99</t>
  </si>
  <si>
    <t>Banco Davivienda S.A.</t>
  </si>
  <si>
    <t>2258402PAE36</t>
  </si>
  <si>
    <t>USP5300PAE36</t>
  </si>
  <si>
    <t>22204726AA03</t>
  </si>
  <si>
    <t>USP73906AA03</t>
  </si>
  <si>
    <t>US34988L7029</t>
  </si>
  <si>
    <t>5270604F1414</t>
  </si>
  <si>
    <t>LU0646914142</t>
  </si>
  <si>
    <t>5277312FGRM4</t>
  </si>
  <si>
    <t>IE00BHXGRM40</t>
  </si>
  <si>
    <t>5274302F65N6</t>
  </si>
  <si>
    <t>IE00BD065N65</t>
  </si>
  <si>
    <t>Veritas - Asian Fund</t>
  </si>
  <si>
    <t>iShares MSCI All Country Asia ex Japan ETF</t>
  </si>
  <si>
    <t>40120602</t>
  </si>
  <si>
    <t>US4642881829</t>
  </si>
  <si>
    <t>AAXJ</t>
  </si>
  <si>
    <t>Emisores Locales y Latam</t>
  </si>
  <si>
    <t>Fondos Tradicionales Locales</t>
  </si>
  <si>
    <t>ETFs Sectoriales Ishares</t>
  </si>
  <si>
    <t>Fondos Mutuos Latam</t>
  </si>
  <si>
    <t>iShares Latin America 40 ETF (ILF)/SPDR Blackstone Senior Loan ETF (SRLN)/iShares  High Yield Corp Bond UCITS ETF EUR D/VanEck JP Morgan EM Local Currency Bond ETF (EMLC)/iShares MSCI Eurozone ETF/iShares MSCI All Country Asia ex Japan ETF</t>
  </si>
  <si>
    <t>Fondos Locales</t>
  </si>
  <si>
    <t>Fondos Internacionales</t>
  </si>
  <si>
    <t>Buyouts (incluye Secondaries)</t>
  </si>
  <si>
    <t>Cumbra Holdings S.A.A.</t>
  </si>
  <si>
    <t>US34988L8019</t>
  </si>
  <si>
    <t>305962100001</t>
  </si>
  <si>
    <t>CVL800901007</t>
  </si>
  <si>
    <t>CUMHOLC1</t>
  </si>
  <si>
    <t>State Street SPDR Blackstone Senior Loan ETF</t>
  </si>
  <si>
    <t>iShares 202607 Eurozone ETF</t>
  </si>
  <si>
    <t>iShares 202607 All Country Asia ex Japan ETF</t>
  </si>
  <si>
    <t>FUND_ID</t>
  </si>
  <si>
    <t>FUND_FINANCED_CARBON_EMISSIONS_COVERAGE</t>
  </si>
  <si>
    <t>FUND_CARBON_EMISSIONS_SCOPE_3_DOWN_EVIC_INTEN</t>
  </si>
  <si>
    <t>FUND_CARBON_EMISSIONS_SCOPE_3_DOWN_EVIC_INTEN_COV</t>
  </si>
  <si>
    <t>FUND_CARBON_EMISSIONS_SCOPE_3_TOT_EVIC_INTEN_COV</t>
  </si>
  <si>
    <t>FUND_CARBON_EMISSIONS_SCOPE_3_UPST_EVIC_INTEN</t>
  </si>
  <si>
    <t>FUND_CARBON_EMISSIONS_SCOPE_3_UPST_EVIC_INTEN_COV</t>
  </si>
  <si>
    <t>FUND_FOSS_FUEL_SECT_EXP_PCT</t>
  </si>
  <si>
    <t>FUND_FOSSIL_FUEL_REVENUES_PCT</t>
  </si>
  <si>
    <t>FUND_GREEN_REVENUES_PCT</t>
  </si>
  <si>
    <t>FUND_GREEN_FFB_REV_RATIO</t>
  </si>
  <si>
    <t>FUND_OIL_GAS_ANY_TIE</t>
  </si>
  <si>
    <t>FUND_EXP_TO_OG_REV_REFINING</t>
  </si>
  <si>
    <t>FUND_THERMAL_COAL_ANY_TIE</t>
  </si>
  <si>
    <t>FUND_WEIGHTED_AVG_CARBON_INTEN</t>
  </si>
  <si>
    <t>FUND_WEIGHTED_AVG_CARBON_INTEN_COVERAGE</t>
  </si>
  <si>
    <t>FUND_CARBON_EMISSIONS_SCOPE_3_DOWN_SALES_INTEN</t>
  </si>
  <si>
    <t>FUND_CARBON_EMISSIONS_SCOPE_3_DOWN_SALES_INTEN_COV</t>
  </si>
  <si>
    <t>FUND_CARBON_EMISSIONS_SCOPE_3_TOTAL_SALES_INTEN</t>
  </si>
  <si>
    <t>FUND_CARBON_EMISSIONS_SCOPE_3_TOTAL_SALES_INTEN_COV</t>
  </si>
  <si>
    <t>FUND_CARBON_EMISSIONS_SCOPE_3_UPST_INTEN_PROF</t>
  </si>
  <si>
    <t>FUND_CARBON_EMISSIONS_SCOPE_3_UPST_INTEN_PROF_COV</t>
  </si>
  <si>
    <t>FUND_WEIGHTED_AVG_SOV_CARBON_INTEN</t>
  </si>
  <si>
    <t>FUND_WEIGHTED_AVG_SOV_CARBON_INTEN_COVERAGE</t>
  </si>
  <si>
    <t>FUND_OVERSHOOT_GLOBAL_BUDGET_TCRE</t>
  </si>
  <si>
    <t>FUND_IMPLIED_TEMP_RISE_OVERSHOOT</t>
  </si>
  <si>
    <t>FUND_IMPLIED_TEMP_RISE_BUDGET</t>
  </si>
  <si>
    <t>FUND_ITR_1.5_ALIGN_PCT</t>
  </si>
  <si>
    <t>FUND_ITR_2.0_ALIGN_PCT</t>
  </si>
  <si>
    <t>FUND_ITR_BAND</t>
  </si>
  <si>
    <t>FUND_IMPLIED_TEMP_RISE_COVERAGE</t>
  </si>
  <si>
    <t>FUND_ITR_MISALIGN_PCT</t>
  </si>
  <si>
    <t>FUND_ITR_STRONG_MISALIGN_PCT</t>
  </si>
  <si>
    <t>FUND_IMPLIED_TEMP_RISE</t>
  </si>
  <si>
    <t>FUND_PERC_LOW_CARB_VALUE_COV</t>
  </si>
  <si>
    <t>FUND_CBN_LCT_MGMT_SCORE_QUART_1</t>
  </si>
  <si>
    <t>FUND_CARBON_EMISSIONS_CLEANER_ENERGY_SOURCES</t>
  </si>
  <si>
    <t>FUND_PERC_LOW_CARB_VALUE</t>
  </si>
  <si>
    <t>FUND_HAS_SBTI_APPROVED_TARGET</t>
  </si>
  <si>
    <t>FUND_HAS_SBTI_APPROVED_TARGET_COV</t>
  </si>
  <si>
    <t>FUND_AFFORD_HOUSING_INVOLV_PCT</t>
  </si>
  <si>
    <t>FUND_ALT_ENERGY_INVOLV_PCT</t>
  </si>
  <si>
    <t>FUND_CONNECTIVITY_MAX_REV_INVOLV_PCT</t>
  </si>
  <si>
    <t>FUND_EDU_SERVICES_INVOLV_PCT</t>
  </si>
  <si>
    <t>FUND_ENERGY_EFF_INVOLV_PCT</t>
  </si>
  <si>
    <t>FUND_CLEAN_TECH_INVOLV_PCT</t>
  </si>
  <si>
    <t>FUND_GREEN_BLDG_INVOLV_PCT</t>
  </si>
  <si>
    <t>FUND_HEALTHCARE_INVOLV_PCT</t>
  </si>
  <si>
    <t>FUND_NUTRI_FOOD_INVOLV_PCT</t>
  </si>
  <si>
    <t>FUND_POLL_PREV_INVOLV_PCT</t>
  </si>
  <si>
    <t>FUND_AFFORD_HOUSING_PCT</t>
  </si>
  <si>
    <t>FUND_ALT_ENERGY_PCT</t>
  </si>
  <si>
    <t>FUND_CONNECTIVITY_MAX_REV_PCT</t>
  </si>
  <si>
    <t>FUND_EDU_SERVICES_PCT</t>
  </si>
  <si>
    <t>FUND_ENERGY_EFF_PCT</t>
  </si>
  <si>
    <t>FUND_CLEAN_TECH_PCT</t>
  </si>
  <si>
    <t>FUND_GREEN_BLDG_PCT</t>
  </si>
  <si>
    <t>FUND_HEALTHCARE_PCT</t>
  </si>
  <si>
    <t>FUND_NUTRI_FOOD_PCT</t>
  </si>
  <si>
    <t>FUND_POLL_PREV_PCT</t>
  </si>
  <si>
    <t>FUND_SOCIAL_FIN_PCT</t>
  </si>
  <si>
    <t>FUND_SANITARY_PROD_PCT</t>
  </si>
  <si>
    <t>FUND_SOCIAL_IMPACT_PCT</t>
  </si>
  <si>
    <t>FUND_SUST_AG_MAX_REV_PCT</t>
  </si>
  <si>
    <t>FUND_SUSTAINABLE_IMPACT_PCT</t>
  </si>
  <si>
    <t>FUND_SUST_WATER_PCT</t>
  </si>
  <si>
    <t>FUND_SOCIAL_FIN_INVOLV_PCT</t>
  </si>
  <si>
    <t>FUND_SANITARY_PROD_INVOLV_PCT</t>
  </si>
  <si>
    <t>FUND_SOCIAL_IMPACT_INVOLV_PCT</t>
  </si>
  <si>
    <t>FUND_SUST_AG_MAX_REV_INVOLV_PCT</t>
  </si>
  <si>
    <t>FUND_SUSTAINABLE_IMPACT_INVOLV_PCT</t>
  </si>
  <si>
    <t>FUND_SUST_WATER_INVOLV_PCT</t>
  </si>
  <si>
    <t>FUND_EXP_TO_POLLUT_PREVEN_PCT</t>
  </si>
  <si>
    <t>FUND_CT_SUST_AG_MAX_REV</t>
  </si>
  <si>
    <t>FUND_EXP_TO_SUST_WATER_PCT</t>
  </si>
  <si>
    <t>FUND_OVERSHOOT_GLOBAL_BUDGET_TCRE_SIMULATED</t>
  </si>
  <si>
    <t>FUND_CARBON_SCOPE_12_INTEN_3Y_TREND_M_IMPROV</t>
  </si>
  <si>
    <t>FUND_WATER_FRESH_WD_INTEN_3Y_TREND_M_IMPROV</t>
  </si>
  <si>
    <t>FUND_CARBON_SCOPE_12_INTEN_3Y_TREND_M_NON_DETER</t>
  </si>
  <si>
    <t>FUND_WATER_FRESH_WD_INTEN_3Y_TREND_M_NON_DETER</t>
  </si>
  <si>
    <t>FUND_CARBON_SCOPE_12_INTEN_3Y_TREND_M_STABLE</t>
  </si>
  <si>
    <t>FUND_WATER_FRESH_WD_INTEN_3Y_TREND_M_STABLE</t>
  </si>
  <si>
    <t>FUND_CARBON_SCOPE_12_INTEN_3Y_TREND_M_WORSE</t>
  </si>
  <si>
    <t>FUND_WATER_FRESH_WD_INTEN_3Y_TREND_M_WORSE</t>
  </si>
  <si>
    <t>FUND_ACCOUNTING_FLAG_PCT</t>
  </si>
  <si>
    <t>FUND_BOARD_FLAG_PCT</t>
  </si>
  <si>
    <t>FUND_BOARD_INDEP_0_25PCT</t>
  </si>
  <si>
    <t>FUND_BOARD_INDEP_25_50PCT</t>
  </si>
  <si>
    <t>FUND_BOARD_INDEP_50_75PCT</t>
  </si>
  <si>
    <t>FUND_BOARD_INDEP_75_100PCT</t>
  </si>
  <si>
    <t>FUND_CONTROLLING_SHAREHOLDER_PCT</t>
  </si>
  <si>
    <t>FUND_CONTROLLING_SHAREHOLDER_CONCERNS_PCT</t>
  </si>
  <si>
    <t>FUND_CROSS_SHAREHOLDINGS_PCT</t>
  </si>
  <si>
    <t>FUND_MAJORITY_VOTING_PCT</t>
  </si>
  <si>
    <t>FUND_ENTRENCHED_BOARD_PCT</t>
  </si>
  <si>
    <t>FUND_EXEC_PAY_NONDISCLOSURE_PCT</t>
  </si>
  <si>
    <t>FUND_FEMALE_DIRECTORS_30_PCT</t>
  </si>
  <si>
    <t>FUND_GOV_GLOBAL_AVERAGE_PCT</t>
  </si>
  <si>
    <t>FUND_GOV_GLOBAL_LAGGARDS_PCT</t>
  </si>
  <si>
    <t>FUND_GOV_GLOBAL_LEADERS_PCT</t>
  </si>
  <si>
    <t>FUND_GM_EVENT_EVENT_TYPE</t>
  </si>
  <si>
    <t>FUND_GOV_METRICS_RESEARCHED_COVERAGE</t>
  </si>
  <si>
    <t>FUND_HUMAN_CAPITAL_DEV_MGMT_SCORE</t>
  </si>
  <si>
    <t>FUND_HUMAN_CAPITAL_DEV_MGMT_SCORE_COVERAGE</t>
  </si>
  <si>
    <t>FUND_INDEPENDENT_BOARD_MAJORITY</t>
  </si>
  <si>
    <t>FUND_LACK_INDEP_MAJORITY_PCT</t>
  </si>
  <si>
    <t>FUND_LACK_INTERNAL_PAY_EQUITY_PCT</t>
  </si>
  <si>
    <t>FUND_LCT_CAT_ASSET_STRAND_PCT</t>
  </si>
  <si>
    <t>FUND_LCT_CAT_NEUTRAL_PCT</t>
  </si>
  <si>
    <t>FUND_LCT_CAT_OPERAT_TRANSITION_PCT</t>
  </si>
  <si>
    <t>FUND_LCT_CAT_PRODUCT_TRANSITION_PCT</t>
  </si>
  <si>
    <t>FUND_LCT_CAT_SOLUTIONS_PCT</t>
  </si>
  <si>
    <t>FUND_LOW_CARBON_TRANSITION</t>
  </si>
  <si>
    <t>FUND_LOW_CARBON_TRANS_SCORE_COVERAGE</t>
  </si>
  <si>
    <t>FUND_NEGATIVE_DIRECTOR_VOTES_PCT</t>
  </si>
  <si>
    <t>FUND_CLASSIFIED_BOARD_PCT</t>
  </si>
  <si>
    <t>FUND_NO_FEMALE_DIRECTORS_PCT</t>
  </si>
  <si>
    <t>FUND_NO_PAY_PERF_LINK_PCT</t>
  </si>
  <si>
    <t>FUND_ONE_SHARE_ONE_VOTE_PCT</t>
  </si>
  <si>
    <t>FUND_OVERBOARDING_PCT</t>
  </si>
  <si>
    <t>FUND_OWNERSHIP_FLAG_PCT</t>
  </si>
  <si>
    <t>FUND_PAY_FLAG_PCT</t>
  </si>
  <si>
    <t>FUND_PAY_LINKED_TO_SUSTAINABILITY</t>
  </si>
  <si>
    <t>FUND_POISON_PILL_PCT</t>
  </si>
  <si>
    <t>FUND_WASTE_MGMT_THEME_WEIGHT</t>
  </si>
  <si>
    <t>FUND_PROD_CARB_FTPRNT_MGMT_SCORE</t>
  </si>
  <si>
    <t>FUND_PROD_CARB_FTPRNT_MGMT_SCORE_COVERAGE</t>
  </si>
  <si>
    <t>FUND_VOTE_AGAINST_PAY_PRACTICES_PCT</t>
  </si>
  <si>
    <t>FUND_THREE_FEMALE_DIRECTORS_PCT</t>
  </si>
  <si>
    <t>FUND_TOXIC_EMISS_WSTE_MGMT_SCORE</t>
  </si>
  <si>
    <t>FUND_TOXIC_EMISS_WSTE_MGMT_SCORE_COVERAGE</t>
  </si>
  <si>
    <t>FUND_WATER_STRESS_EXP_SCORE_HIGH_PCT</t>
  </si>
  <si>
    <t>FUND_WATER_STRESS_EXP_SCORE_LOW_PCT</t>
  </si>
  <si>
    <t>FUND_WATER_STRESS_EXP_SCORE_MODERATE_PCT</t>
  </si>
  <si>
    <t>FUND_WATER_STRESS_HIGH_RISK_BUS_PCT</t>
  </si>
  <si>
    <t>FUND_WATER_STRESS_HIGH_RISK_GEO_PCT</t>
  </si>
  <si>
    <t>FUND_WEIGHTED_AVG_WATER_FRESH_WD_INTEN</t>
  </si>
  <si>
    <t>FUND_WEIGHTED_AVG_WATER_FRESH_WD_INTEN_COVERAGE</t>
  </si>
  <si>
    <t>FUND_WEIGHTED_AVG_WATER_WD_INTEN</t>
  </si>
  <si>
    <t>FUND_WEIGHTED_AVG_WATER_WD_INTEN_COVERAGE</t>
  </si>
  <si>
    <t>FUND_COMBINED_CEO_CHAIR</t>
  </si>
  <si>
    <t>FUND_DIVERSITY_WORKF_POLICY_M</t>
  </si>
  <si>
    <t>FUND_HUMAN_RIGHT_POLICY_M_YES</t>
  </si>
  <si>
    <t>FUND_MONITOR_EMP_SATISFACTION_M</t>
  </si>
  <si>
    <t>FUND_MONITOR_HUMAN_RIGHTS_POLICY_M</t>
  </si>
  <si>
    <t>FUND_NON_COMP_BENEFITS_M</t>
  </si>
  <si>
    <t>FUND_PAY_CONTROVERSY</t>
  </si>
  <si>
    <t>FUND_PHILANTHROPIC_INVEST_ALIGN_M</t>
  </si>
  <si>
    <t>FUND_LABOR_POLICY_INTL_RECOG_M</t>
  </si>
  <si>
    <t>FUND_PRIV_DATA_SECURITY_PROCESS_M</t>
  </si>
  <si>
    <t>FUND_DIVERSITY_PROGRAMS_M</t>
  </si>
  <si>
    <t>FUND_CBN_RENEW_ENER_USE_M</t>
  </si>
  <si>
    <t>FUND_SDG01_ACHIEVE_SIGNAL</t>
  </si>
  <si>
    <t>FUND_SDG01_ALIGN_PCT</t>
  </si>
  <si>
    <t>FUND_SDG01_ANY_ALIGN_PCT</t>
  </si>
  <si>
    <t>FUND_SDG01_ANY_MISALIGN_PCT</t>
  </si>
  <si>
    <t>FUND_SDG01_MISALIGN_PCT</t>
  </si>
  <si>
    <t>FUND_SDG01_NEUTRAL_PCT</t>
  </si>
  <si>
    <t>FUND_SDG01_STRONG_ALIGN_PCT</t>
  </si>
  <si>
    <t>FUND_SDG01_STRONG_MISALIGN_PCT</t>
  </si>
  <si>
    <t>FUND_SDG02_ACHIEVE_SIGNAL</t>
  </si>
  <si>
    <t>FUND_SDG02_ALIGN_PCT</t>
  </si>
  <si>
    <t>FUND_SDG02_ANY_ALIGN_PCT</t>
  </si>
  <si>
    <t>FUND_SDG02_ANY_MISALIGN_PCT</t>
  </si>
  <si>
    <t>FUND_SDG02_MISALIGN_PCT</t>
  </si>
  <si>
    <t>FUND_SDG02_NEUTRAL_PCT</t>
  </si>
  <si>
    <t>FUND_SDG02_STRONG_ALIGN_PCT</t>
  </si>
  <si>
    <t>FUND_SDG02_STRONG_MISALIGN_PCT</t>
  </si>
  <si>
    <t>FUND_SDG03_ACHIEVE_SIGNAL</t>
  </si>
  <si>
    <t>FUND_SDG03_ALIGN_PCT</t>
  </si>
  <si>
    <t>FUND_SDG03_ANY_ALIGN_PCT</t>
  </si>
  <si>
    <t>FUND_SDG03_ANY_MISALIGN_PCT</t>
  </si>
  <si>
    <t>FUND_SDG03_MISALIGN_PCT</t>
  </si>
  <si>
    <t>FUND_SDG03_NEUTRAL_PCT</t>
  </si>
  <si>
    <t>FUND_SDG03_STRONG_ALIGN_PCT</t>
  </si>
  <si>
    <t>FUND_SDG03_STRONG_MISALIGN_PCT</t>
  </si>
  <si>
    <t>FUND_SDG04_ACHIEVE_SIGNAL</t>
  </si>
  <si>
    <t>FUND_SDG04_ALIGN_PCT</t>
  </si>
  <si>
    <t>FUND_SDG04_ANY_ALIGN_PCT</t>
  </si>
  <si>
    <t>FUND_SDG04_ANY_MISALIGN_PCT</t>
  </si>
  <si>
    <t>FUND_SDG04_MISALIGN_PCT</t>
  </si>
  <si>
    <t>FUND_SDG04_NEUTRAL_PCT</t>
  </si>
  <si>
    <t>FUND_SDG04_STRONG_ALIGN_PCT</t>
  </si>
  <si>
    <t>FUND_SDG04_STRONG_MISALIGN_PCT</t>
  </si>
  <si>
    <t>FUND_SDG05_ACHIEVE_SIGNAL</t>
  </si>
  <si>
    <t>FUND_SDG05_ALIGN_PCT</t>
  </si>
  <si>
    <t>FUND_SDG05_ANY_ALIGN_PCT</t>
  </si>
  <si>
    <t>FUND_SDG05_ANY_MISALIGN_PCT</t>
  </si>
  <si>
    <t>FUND_SDG05_MISALIGN_PCT</t>
  </si>
  <si>
    <t>FUND_SDG05_NEUTRAL_PCT</t>
  </si>
  <si>
    <t>FUND_SDG05_STRONG_ALIGN_PCT</t>
  </si>
  <si>
    <t>FUND_SDG05_STRONG_MISALIGN_PCT</t>
  </si>
  <si>
    <t>FUND_SDG06_ACHIEVE_SIGNAL</t>
  </si>
  <si>
    <t>FUND_SDG06_ALIGN_PCT</t>
  </si>
  <si>
    <t>FUND_SDG06_ANY_ALIGN_PCT</t>
  </si>
  <si>
    <t>FUND_SDG06_ANY_MISALIGN_PCT</t>
  </si>
  <si>
    <t>FUND_SDG06_MISALIGN_PCT</t>
  </si>
  <si>
    <t>FUND_SDG06_NEUTRAL_PCT</t>
  </si>
  <si>
    <t>FUND_SDG06_STRONG_ALIGN_PCT</t>
  </si>
  <si>
    <t>FUND_SDG06_STRONG_MISALIGN_PCT</t>
  </si>
  <si>
    <t>FUND_SDG07_ACHIEVE_SIGNAL</t>
  </si>
  <si>
    <t>FUND_SDG07_ALIGN_PCT</t>
  </si>
  <si>
    <t>FUND_SDG07_ANY_ALIGN_PCT</t>
  </si>
  <si>
    <t>FUND_SDG07_ANY_MISALIGN_PCT</t>
  </si>
  <si>
    <t>FUND_SDG07_MISALIGN_PCT</t>
  </si>
  <si>
    <t>FUND_SDG07_NEUTRAL_PCT</t>
  </si>
  <si>
    <t>FUND_SDG07_STRONG_ALIGN_PCT</t>
  </si>
  <si>
    <t>FUND_SDG07_STRONG_MISALIGN_PCT</t>
  </si>
  <si>
    <t>FUND_SDG08_ACHIEVE_SIGNAL</t>
  </si>
  <si>
    <t>FUND_SDG08_ALIGN_PCT</t>
  </si>
  <si>
    <t>FUND_SDG08_ANY_ALIGN_PCT</t>
  </si>
  <si>
    <t>FUND_SDG08_ANY_MISALIGN_PCT</t>
  </si>
  <si>
    <t>FUND_SDG08_MISALIGN_PCT</t>
  </si>
  <si>
    <t>FUND_SDG08_NEUTRAL_PCT</t>
  </si>
  <si>
    <t>FUND_SDG08_STRONG_ALIGN_PCT</t>
  </si>
  <si>
    <t>FUND_SDG08_STRONG_MISALIGN_PCT</t>
  </si>
  <si>
    <t>FUND_SDG09_ACHIEVE_SIGNAL</t>
  </si>
  <si>
    <t>FUND_SDG09_ALIGN_PCT</t>
  </si>
  <si>
    <t>FUND_SDG09_ANY_ALIGN_PCT</t>
  </si>
  <si>
    <t>FUND_SDG09_ANY_MISALIGN_PCT</t>
  </si>
  <si>
    <t>FUND_SDG09_MISALIGN_PCT</t>
  </si>
  <si>
    <t>FUND_SDG09_NEUTRAL_PCT</t>
  </si>
  <si>
    <t>FUND_SDG09_STRONG_ALIGN_PCT</t>
  </si>
  <si>
    <t>FUND_SDG09_STRONG_MISALIGN_PCT</t>
  </si>
  <si>
    <t>FUND_SDG10_ACHIEVE_SIGNAL</t>
  </si>
  <si>
    <t>FUND_SDG10_ALIGN_PCT</t>
  </si>
  <si>
    <t>FUND_SDG10_ANY_ALIGN_PCT</t>
  </si>
  <si>
    <t>FUND_SDG10_ANY_MISALIGN_PCT</t>
  </si>
  <si>
    <t>FUND_SDG10_MISALIGN_PCT</t>
  </si>
  <si>
    <t>FUND_SDG10_NEUTRAL_PCT</t>
  </si>
  <si>
    <t>FUND_SDG10_STRONG_ALIGN_PCT</t>
  </si>
  <si>
    <t>FUND_SDG10_STRONG_MISALIGN_PCT</t>
  </si>
  <si>
    <t>FUND_SDG11_ACHIEVE_SIGNAL</t>
  </si>
  <si>
    <t>FUND_SDG11_ALIGN_PCT</t>
  </si>
  <si>
    <t>FUND_SDG11_ANY_ALIGN_PCT</t>
  </si>
  <si>
    <t>FUND_SDG11_ANY_MISALIGN_PCT</t>
  </si>
  <si>
    <t>FUND_SDG11_MISALIGN_PCT</t>
  </si>
  <si>
    <t>FUND_SDG11_NEUTRAL_PCT</t>
  </si>
  <si>
    <t>FUND_SDG11_STRONG_ALIGN_PCT</t>
  </si>
  <si>
    <t>FUND_SDG11_STRONG_MISALIGN_PCT</t>
  </si>
  <si>
    <t>FUND_SDG12_ACHIEVE_SIGNAL</t>
  </si>
  <si>
    <t>FUND_SDG12_ALIGN_PCT</t>
  </si>
  <si>
    <t>FUND_SDG12_ANY_ALIGN_PCT</t>
  </si>
  <si>
    <t>FUND_SDG12_ANY_MISALIGN_PCT</t>
  </si>
  <si>
    <t>FUND_SDG12_MISALIGN_PCT</t>
  </si>
  <si>
    <t>FUND_SDG12_NEUTRAL_PCT</t>
  </si>
  <si>
    <t>FUND_SDG12_STRONG_ALIGN_PCT</t>
  </si>
  <si>
    <t>FUND_SDG12_STRONG_MISALIGN_PCT</t>
  </si>
  <si>
    <t>FUND_SDG13_ACHIEVE_SIGNAL</t>
  </si>
  <si>
    <t>FUND_SDG13_ALIGN_PCT</t>
  </si>
  <si>
    <t>FUND_SDG13_ANY_ALIGN_PCT</t>
  </si>
  <si>
    <t>FUND_SDG13_ANY_MISALIGN_PCT</t>
  </si>
  <si>
    <t>FUND_SDG13_MISALIGN_PCT</t>
  </si>
  <si>
    <t>FUND_SDG13_NEUTRAL_PCT</t>
  </si>
  <si>
    <t>FUND_SDG13_STRONG_ALIGN_PCT</t>
  </si>
  <si>
    <t>FUND_SDG13_STRONG_MISALIGN_PCT</t>
  </si>
  <si>
    <t>FUND_SDG14_ACHIEVE_SIGNAL</t>
  </si>
  <si>
    <t>FUND_SDG14_ALIGN_PCT</t>
  </si>
  <si>
    <t>FUND_SDG14_ANY_ALIGN_PCT</t>
  </si>
  <si>
    <t>FUND_SDG14_ANY_MISALIGN_PCT</t>
  </si>
  <si>
    <t>FUND_SDG14_MISALIGN_PCT</t>
  </si>
  <si>
    <t>FUND_SDG14_NEUTRAL_PCT</t>
  </si>
  <si>
    <t>FUND_SDG14_STRONG_ALIGN_PCT</t>
  </si>
  <si>
    <t>FUND_SDG14_STRONG_MISALIGN_PCT</t>
  </si>
  <si>
    <t>FUND_SDG15_ACHIEVE_SIGNAL</t>
  </si>
  <si>
    <t>FUND_SDG15_ALIGN_PCT</t>
  </si>
  <si>
    <t>FUND_SDG15_ANY_ALIGN_PCT</t>
  </si>
  <si>
    <t>FUND_SDG15_ANY_MISALIGN_PCT</t>
  </si>
  <si>
    <t>FUND_SDG15_MISALIGN_PCT</t>
  </si>
  <si>
    <t>FUND_SDG15_NEUTRAL_PCT</t>
  </si>
  <si>
    <t>FUND_SDG15_STRONG_ALIGN_PCT</t>
  </si>
  <si>
    <t>FUND_SDG15_STRONG_MISALIGN_PCT</t>
  </si>
  <si>
    <t>FUND_SDG16_ACHIEVE_SIGNAL</t>
  </si>
  <si>
    <t>FUND_SDG16_ALIGN_PCT</t>
  </si>
  <si>
    <t>FUND_SDG16_ANY_ALIGN_PCT</t>
  </si>
  <si>
    <t>FUND_SDG16_ANY_MISALIGN_PCT</t>
  </si>
  <si>
    <t>FUND_SDG16_MISALIGN_PCT</t>
  </si>
  <si>
    <t>FUND_SDG16_NEUTRAL_PCT</t>
  </si>
  <si>
    <t>FUND_SDG16_STRONG_ALIGN_PCT</t>
  </si>
  <si>
    <t>FUND_SDG16_STRONG_MISALIGN_PCT</t>
  </si>
  <si>
    <t>FUND_SDG17_ACHIEVE_SIGNAL</t>
  </si>
  <si>
    <t>FUND_SDG17_ALIGN_PCT</t>
  </si>
  <si>
    <t>FUND_SDG17_ANY_ALIGN_PCT</t>
  </si>
  <si>
    <t>FUND_SDG17_ANY_MISALIGN_PCT</t>
  </si>
  <si>
    <t>FUND_SDG17_MISALIGN_PCT</t>
  </si>
  <si>
    <t>FUND_SDG17_NEUTRAL_PCT</t>
  </si>
  <si>
    <t>FUND_SDG17_STRONG_ALIGN_PCT</t>
  </si>
  <si>
    <t>FUND_SDG17_STRONG_MISALIGN_PCT</t>
  </si>
  <si>
    <t>FUND_SDG_COVERAGE</t>
  </si>
  <si>
    <t>FUND_ESG_SCORE_ADJUSTMENT</t>
  </si>
  <si>
    <t>FUND_ESG_SCORE_ADJUSTMENT_PCT</t>
  </si>
  <si>
    <t>FUND_ESG_TREND_NEGATIVE_PCT</t>
  </si>
  <si>
    <t>FUND_ASSET_CLASS</t>
  </si>
  <si>
    <t>FUND_ASSET_UNIVERSE</t>
  </si>
  <si>
    <t>FUND_DOMICILE</t>
  </si>
  <si>
    <t>FUND_ESG_AVERAGE_PCT</t>
  </si>
  <si>
    <t>FUND_ESG_COVERAGE</t>
  </si>
  <si>
    <t>FUND_ESG_COVERAGE_OVERALL</t>
  </si>
  <si>
    <t>FUND_ESG_ENV_SCORE_AVG_PEER</t>
  </si>
  <si>
    <t>FUND_ESG_GOV_SCORE_AVG_PEER</t>
  </si>
  <si>
    <t>FUND_ESG_LAGGARDS_PCT</t>
  </si>
  <si>
    <t>FUND_ESG_LEADERS_PCT</t>
  </si>
  <si>
    <t>FUND_ESG_POLICY</t>
  </si>
  <si>
    <t>FUND_ESG_QUALITY_SCORE</t>
  </si>
  <si>
    <t>FUND_ESG_QUALITY_SCORE_PCTL_GLOBAL</t>
  </si>
  <si>
    <t>FUND_ESG_QUALITY_SCORE_AVG_PEER</t>
  </si>
  <si>
    <t>FUND_ESG_QUALITY_SCORE_PCTL_PEER</t>
  </si>
  <si>
    <t>FUND_ESG_RATING</t>
  </si>
  <si>
    <t>ESG_RATING_A</t>
  </si>
  <si>
    <t>ESG_RATING_AA</t>
  </si>
  <si>
    <t>ESG_RATING_AAA</t>
  </si>
  <si>
    <t>ESG_RATING_B</t>
  </si>
  <si>
    <t>ESG_RATING_BB</t>
  </si>
  <si>
    <t>ESG_RATING_BBB</t>
  </si>
  <si>
    <t>ESG_RATING_CCC</t>
  </si>
  <si>
    <t>ESG_RATING_NoValue</t>
  </si>
  <si>
    <t>FUND_ESG_SOCIAL_SCORE_AVG_PEER</t>
  </si>
  <si>
    <t>FUND_ESG_TREND_NONE_PCT</t>
  </si>
  <si>
    <t>FUND_ESG_TREND_POSITIVE_PCT</t>
  </si>
  <si>
    <t>FUND_ESG_TREND_STABLE_PCT</t>
  </si>
  <si>
    <t>ESG_ENVIRONMENTAL_SCORE</t>
  </si>
  <si>
    <t>FUND_ENVIRONMENTAL_WEIGHT</t>
  </si>
  <si>
    <t>FUND_GEO_FOCUS</t>
  </si>
  <si>
    <t>ESG_GOVERNANCE_SCORE</t>
  </si>
  <si>
    <t>FUND_GOVERNANCE_WEIGHT</t>
  </si>
  <si>
    <t>FUND_HOLDINGS_COUNT</t>
  </si>
  <si>
    <t>FUND_HOLDING_FUNDS_COUNT</t>
  </si>
  <si>
    <t>FUND_HOLDINGS_MATCHED</t>
  </si>
  <si>
    <t>FUND_IN_UNIVERSE</t>
  </si>
  <si>
    <t>FUND_INVESTMENT_STRATEGY</t>
  </si>
  <si>
    <t>FUND_LATEST_HOLDINGS_DATE</t>
  </si>
  <si>
    <t>FUND_LIPPER_GLOBAL_CLASS</t>
  </si>
  <si>
    <t>FUND_LIPPER_GLOBAL_CLASS_SIZE</t>
  </si>
  <si>
    <t>FUND_MANAGER</t>
  </si>
  <si>
    <t>FUND_OVERVIEW_NAME</t>
  </si>
  <si>
    <t>ESG_SOCIAL_SCORE</t>
  </si>
  <si>
    <t>FUND_SOCIAL_WEIGHT</t>
  </si>
  <si>
    <t>FUND_NAV_USD</t>
  </si>
  <si>
    <t>FUND_WEIGHTED_AVG_ESG_SCORE</t>
  </si>
  <si>
    <t>FUND_WEIGHTED_AVG_SCORE_PCTL_GLOBAL</t>
  </si>
  <si>
    <t>FUND_WEIGHTED_AVG_SCORE_PCTL_PEER</t>
  </si>
  <si>
    <t>FUND_WEIGHTED_AVG_KEY_ISSUE_SCORE</t>
  </si>
  <si>
    <t>FUND_OF_FUNDS</t>
  </si>
  <si>
    <t>FUND_AE_TIE_PCT</t>
  </si>
  <si>
    <t>FUND_AE_HIGH_RESTRICT_PCT</t>
  </si>
  <si>
    <t>FUND_AE_LEAST_RESTRICT_PCT</t>
  </si>
  <si>
    <t>FUND_AE_MODER_RESTRICT_PCT</t>
  </si>
  <si>
    <t>FUND_ALC_TIE_PCT</t>
  </si>
  <si>
    <t>FUND_ALC_HIGH_RESTRICT_PCT</t>
  </si>
  <si>
    <t>FUND_ALC_LEAST_RESTRICT_PCT</t>
  </si>
  <si>
    <t>FUND_ALC_MODER_RESTRICT_PCT</t>
  </si>
  <si>
    <t>FUND_ANI_TIE_PCT</t>
  </si>
  <si>
    <t>FUND_ANI_HIGH_RESTRICT_PCT</t>
  </si>
  <si>
    <t>FUND_ANI_MODER_RESTRICT_PCT</t>
  </si>
  <si>
    <t>FUND_WEAP_BIO_CHEM_TIE_PCT</t>
  </si>
  <si>
    <t>FUND_CANNA_TIE_PCT</t>
  </si>
  <si>
    <t>FUND_CANNA_HIGH_RESTRICT_PCT</t>
  </si>
  <si>
    <t>FUND_CANNA_MODER_RESTRICT_PCT</t>
  </si>
  <si>
    <t>FUND_CATHOLIC_VALUES_FAIL_PCT</t>
  </si>
  <si>
    <t>FUND_PROD_CIV_ARMS_AUTO_PCT</t>
  </si>
  <si>
    <t>FUND_FIREARM_REV_PCT10_PCT</t>
  </si>
  <si>
    <t>FUND_FIREARM_TIE_PCT</t>
  </si>
  <si>
    <t>FUND_FIREARM_HIGH_RESTRICT_PCT</t>
  </si>
  <si>
    <t>FUND_FIREARM_MODER_RESTRICT_PCT</t>
  </si>
  <si>
    <t>FUND_PROD_CIV_ARMS_PCT</t>
  </si>
  <si>
    <t>FUND_PROD_CIV_ARMS_AMMO_PCT</t>
  </si>
  <si>
    <t>FUND_PROD_CIV_ARMS_SEMI_PCT</t>
  </si>
  <si>
    <t>FUND_FIREARM_RETAILER_PCT</t>
  </si>
  <si>
    <t>FUND_CM_TIE_PCT</t>
  </si>
  <si>
    <t>FUND_CM_HIGH_RESTRICT_PCT</t>
  </si>
  <si>
    <t>FUND_CM_MODER_RESTRICT_PCT</t>
  </si>
  <si>
    <t>FUND_CONTR_WEAP_TIE_PCT</t>
  </si>
  <si>
    <t>FUND_CONTR_CONTROVERSIAL_WORKPLACE_M</t>
  </si>
  <si>
    <t>FUND_CONTR_CONV_WEAP_TIE_PCT</t>
  </si>
  <si>
    <t>FUND_CONV_WEAP_HIGH_RESTRICT_PCT</t>
  </si>
  <si>
    <t>FUND_CONV_WEAP_LEAST_RESTRICT_PCT</t>
  </si>
  <si>
    <t>FUND_CONV_WEAP_MODER_RESTRICT_PCT</t>
  </si>
  <si>
    <t>FUND_PRED_LEND_DIRECT_PCT</t>
  </si>
  <si>
    <t>FUND_FIREARM_LEAST_RESTRICT_PCT</t>
  </si>
  <si>
    <t>FUND_FOSSIL_FUEL_RESERVES_PCT</t>
  </si>
  <si>
    <t>FUND_GAM_TIE_PCT</t>
  </si>
  <si>
    <t>FUND_GAM_HIGH_RESTRICT_PCT</t>
  </si>
  <si>
    <t>FUND_GAM_LEAST_RESTRICT_PCT</t>
  </si>
  <si>
    <t>FUND_GAM_MODER_RESTRICT_PCT</t>
  </si>
  <si>
    <t>FUND_GMO_TIE_PCT</t>
  </si>
  <si>
    <t>FUND_GMO_HIGH_RESTRICT_PCT</t>
  </si>
  <si>
    <t>FUND_GMO_LEAST_RESTRICT_PCT</t>
  </si>
  <si>
    <t>FUND_GMO_MODER_RESTRICT_PCT</t>
  </si>
  <si>
    <t>FUND_UNGC_COMPLIANCE_VIOLATION_PCT</t>
  </si>
  <si>
    <t>FUND_UNGC_COMPLIANCE_VIOLATION_WATCH_LIST_PCT</t>
  </si>
  <si>
    <t>FUND_CONTR_HEALTH_SAFETY_M</t>
  </si>
  <si>
    <t>FUND_HIGH_IMPACT_FOSSIL_FUEL_RESERVES_PCT</t>
  </si>
  <si>
    <t>FUND_HR_COMPLIANCE_VIOLATION_PCT</t>
  </si>
  <si>
    <t>FUND_HR_NORMS_VIOLATION_WATCH_LIST_PCT</t>
  </si>
  <si>
    <t>FUND_ISLAMIC_NON_COMPLIANT_PCT</t>
  </si>
  <si>
    <t>FUND_LABOR_COMPLIANCE_VIOLATION_PCT</t>
  </si>
  <si>
    <t>FUND_LABOR_NORMS_VIOLATION_WATCH_LIST_PCT</t>
  </si>
  <si>
    <t>FUND_LM_TIE_PCT</t>
  </si>
  <si>
    <t>FUND_LM_HIGH_RESTRICT_PCT</t>
  </si>
  <si>
    <t>FUND_LM_MODER_RESTRICT_PCT</t>
  </si>
  <si>
    <t>FUND_NATURAL_GAS_RESERVES</t>
  </si>
  <si>
    <t>FUND_NUC_TIE_PCT</t>
  </si>
  <si>
    <t>FUND_NUC_HIGH_RESTRICT_PCT</t>
  </si>
  <si>
    <t>FUND_NUC_LEAST_RESTRICT_PCT</t>
  </si>
  <si>
    <t>FUND_NUC_MODER_RESTRICT_PCT</t>
  </si>
  <si>
    <t>FUND_WEAP_NUC_TIE_PCT</t>
  </si>
  <si>
    <t>FUND_WEAP_NUC_HIGH_RESTRICT_PCT</t>
  </si>
  <si>
    <t>FUND_WEAP_NUC_LEAST_RESTRICT_PCT</t>
  </si>
  <si>
    <t>FUND_WEAP_NUC_MODER_RESTRICT_PCT</t>
  </si>
  <si>
    <t>FUND_PALM_TIE_PCT</t>
  </si>
  <si>
    <t>FUND_PALM_HIGH_RESTRICT_PCT</t>
  </si>
  <si>
    <t>FUND_PALM_MODER_RESTRICT_PCT</t>
  </si>
  <si>
    <t>FUND_CONTR_PRODUCT_SAFE_M</t>
  </si>
  <si>
    <t>FUND_VERY_SEVERE_CONTROVERSY_PCT</t>
  </si>
  <si>
    <t>FUND_VERY_SEVERE_CUST_CONTROVERSY_PCT</t>
  </si>
  <si>
    <t>FUND_VERY_SEVERE_ENV_CONTROVERSY_PCT</t>
  </si>
  <si>
    <t>FUND_VERY_SEVERE_GOV_CONTROVERSY_PCT</t>
  </si>
  <si>
    <t>FUND_VERY_SEVERE_HR_CONTROVERSY_PCT</t>
  </si>
  <si>
    <t>FUND_VERY_SEVERE_LR_CONTROVERSY_PCT</t>
  </si>
  <si>
    <t>FUND_CHILD_LABOR_CONTROVERSY_PCT</t>
  </si>
  <si>
    <t>FUND_SEVERE_CONTROVERSY_PCT</t>
  </si>
  <si>
    <t>FUND_CUSTOMER_CONTROVERSY_PCT</t>
  </si>
  <si>
    <t>FUND_ENVIRONMENT_CONTROVERSY_PCT</t>
  </si>
  <si>
    <t>FUND_GOVERNANCE_CONTROVERSY_PCT</t>
  </si>
  <si>
    <t>FUND_HUMAN_RIGHTS_CONTROVERSY_PCT</t>
  </si>
  <si>
    <t>FUND_LABOR_RIGHTS_CONTROVERSY_PCT</t>
  </si>
  <si>
    <t>FUND_REV_EXP_AE</t>
  </si>
  <si>
    <t>FUND_REV_EXP_ALC</t>
  </si>
  <si>
    <t>FUND_REV_EXP_CONV_WEAP</t>
  </si>
  <si>
    <t>FUND_REV_EXP_FIREARM</t>
  </si>
  <si>
    <t>FUND_REV_EXP_GAM</t>
  </si>
  <si>
    <t>FUND_REV_EXP_GMO</t>
  </si>
  <si>
    <t>FUND_REV_EXP_NUC</t>
  </si>
  <si>
    <t>FUND_REV_EXP_TOB</t>
  </si>
  <si>
    <t>FUND_SRI_EXCLUSION_CRITERIA_PCT</t>
  </si>
  <si>
    <t>FUND_THERMAL_COAL_TIE_PCT</t>
  </si>
  <si>
    <t>FUND_THERMAL_COAL_HIGH_RESTRICT_PCT</t>
  </si>
  <si>
    <t>FUND_THERMAL_COAL_LEAST_RESTRICT_PCT</t>
  </si>
  <si>
    <t>FUND_THERMAL_COAL_MODER_RESTRICT_PCT</t>
  </si>
  <si>
    <t>FUND_THERMAL_COAL_RESERVES</t>
  </si>
  <si>
    <t>FUND_TOB_TIE_PCT</t>
  </si>
  <si>
    <t>FUND_TOB_HIGH_RESTRICT_PCT</t>
  </si>
  <si>
    <t>FUND_TOB_LEAST_RESTRICT_PCT</t>
  </si>
  <si>
    <t>FUND_TOB_MODER_RESTRICT_PCT</t>
  </si>
  <si>
    <t>FUND_WEAP_GTIE_PCT</t>
  </si>
  <si>
    <t>35557136</t>
  </si>
  <si>
    <t>Misaligned</t>
  </si>
  <si>
    <t>Not Aligned</t>
  </si>
  <si>
    <t>Aligned</t>
  </si>
  <si>
    <t>Equity</t>
  </si>
  <si>
    <t>Exchange Traded Funds</t>
  </si>
  <si>
    <t>USA</t>
  </si>
  <si>
    <t>United States of America</t>
  </si>
  <si>
    <t>The Fund seeks investment results that correspond generally to the price and yield performance of the S&amp;P 500 Index which is composed of large-capitalization U.S. equities. The underlying Index included approximately 86.44% of the market capitalization of all publicly traded U.S. equity securities.</t>
  </si>
  <si>
    <t>Equity US</t>
  </si>
  <si>
    <t>BlackRock Fund Advisors</t>
  </si>
  <si>
    <t>35557182</t>
  </si>
  <si>
    <t>The Fund seeks investment results that correspond generally to the price and yield performance, before fees and expenses, of the Dow Jones US Real Estate Index. Uses a representative sampling strategy. Component firms include hotel and resort firms and REIT's.</t>
  </si>
  <si>
    <t>Equity Sector Real Estate US</t>
  </si>
  <si>
    <t>35557352</t>
  </si>
  <si>
    <t>AA</t>
  </si>
  <si>
    <t>Europe</t>
  </si>
  <si>
    <t>The Fund seeks to track the investment results of an index composed of large- and mid-capitalization equities from developed market countries that use the euro as their official currency. The Fund invests at least 95% of its assets in the securities of its Underlying Index and in depositary receipts in its index.</t>
  </si>
  <si>
    <t>Equity Europe</t>
  </si>
  <si>
    <t>35560680</t>
  </si>
  <si>
    <t>Strongly Misaligned</t>
  </si>
  <si>
    <t>Latin America</t>
  </si>
  <si>
    <t>The Fund seeks to track the investment results of the S&amp;P Latin America 40 composed of 40 of the largest Latin American equities. The Fund invests, under normal circumstances, at least 90% of its assets in securities of the Underlying Index and in depositary receipts representing securities of the Underlying Index.</t>
  </si>
  <si>
    <t>Equity Emerging Markets Latin America</t>
  </si>
  <si>
    <t>35561608</t>
  </si>
  <si>
    <t>Global</t>
  </si>
  <si>
    <t>The Fund seeks to track the investment results of an index composed of global equities in the energy sector. The Fund invests at least 80% of its assets in the component securities of its Index and in investments that have economic characteristics that are substantially identical to the component securities of its Index.</t>
  </si>
  <si>
    <t>Equity Theme - Natural Resources</t>
  </si>
  <si>
    <t>35561610</t>
  </si>
  <si>
    <t>The Fund seeks to track the investment results of the S&amp;P Global 1200 Financials (Sector) Capped Idx composed of global equities in the financials sector. The Fund generally invests at least 90% of its assets in securities of the Underlying Index and in depositary receipts representing securities of the Underlying Index.</t>
  </si>
  <si>
    <t>Equity Sector Financials</t>
  </si>
  <si>
    <t>35561612</t>
  </si>
  <si>
    <t>2.0°C Aligned</t>
  </si>
  <si>
    <t>The Fund seeks investment results that correspond generally to the price and yield performance, before fees and expenses, of companies that Standard &amp; Poor's deems part of the healthcare sector of the economy and important to global markets, as represented by the S&amp;P Global Healthcare Sector Index ("the Index"). The Index is a subset of the Standard &amp; Poor's Global 1200 Index.</t>
  </si>
  <si>
    <t>Equity Sector Healthcare</t>
  </si>
  <si>
    <t>35561614</t>
  </si>
  <si>
    <t>The Fund seeks to track the investment results of the S%P Global 1200 Information Technology Index composed of global equities in the technology sector. The Fund invests at least 90% of its assets in securities of the Underlying Index and in depositary receipts representing securities of the Underlying Index.</t>
  </si>
  <si>
    <t>Equity Sector Information Technology</t>
  </si>
  <si>
    <t>35561616</t>
  </si>
  <si>
    <t>BBB</t>
  </si>
  <si>
    <t>The Fund seeks to track the investment results of the S&amp;P Global 1200 Communication Services Sector Index, a subset of the S&amp;P Global 1200, composed of global equity securities of companies in the communication services sector. The Underlying Index may include large-, mid- or small-capitalization companies.</t>
  </si>
  <si>
    <t>Equity Sector Communication Services</t>
  </si>
  <si>
    <t>35594106</t>
  </si>
  <si>
    <t>The Fund seeks the investment results of the S&amp;P Global 1200 Consumer Sector Discretionary Capped Index that are composed of global equities in the consumer discretionary sector. The Underlying Index is designed to measure the performance of large-capitalization stocks from major global markets, as determined by SPDJI.</t>
  </si>
  <si>
    <t>Equity Sector Consumer Discretionary</t>
  </si>
  <si>
    <t>35594112</t>
  </si>
  <si>
    <t>The Fund seeks the investment results of the S&amp;P Global 1200 Consumer Staples Sector Capped Index composed of global equities in the consumer staples sector. The Underlying Index is a subset of the S&amp;P Global 1200, which is designed to measure the performance of large-capitalization stocks from major global markets.</t>
  </si>
  <si>
    <t>Equity Sector Consumer Staples</t>
  </si>
  <si>
    <t>35594116</t>
  </si>
  <si>
    <t>The Fund seeks investment results that correspond to the S&amp;P Global 1200 Industrials (Sector) Capped Idx. It is a subset of the Standard &amp; Poor's Global 1200 Index, whose components include manufacturers and distributors of capital goods, providers of commercial services and supplies, and transportation service providers.</t>
  </si>
  <si>
    <t>Equity Sector Industrials</t>
  </si>
  <si>
    <t>35594118</t>
  </si>
  <si>
    <t>The Fund seeks investment results that correspond to the S&amp;P Global Utilities Sector Index that deems to be part of the utilities sector of the economy. The Underlying Index is a subset of the S&amp;P Global 1200, which is designed to measure the performance of large-capitalization stocks from major global markets.</t>
  </si>
  <si>
    <t>Equity Sector Utilities</t>
  </si>
  <si>
    <t>35594120</t>
  </si>
  <si>
    <t>The Fund seeks to track the investment results of the S&amp;P Global 1200 Materials (Sector) Capped Idx composed of global equities in the materials sector. The Fund generally invests at least 90% of its assets in securities of the Underlying Index and in depositary receipts representing securities of the Underlying Index.</t>
  </si>
  <si>
    <t>Equity Sector Materials</t>
  </si>
  <si>
    <t>30093152</t>
  </si>
  <si>
    <t>Bond</t>
  </si>
  <si>
    <t>The Fund seeks to track the investment results of the Markit iBoxx USD Liquid High Yield Index composed of US dollar-denominated, high yield corporate bonds. The Fund invests at least 90% of its assets in the component securities of the Underlying Index and may invest up to 10% of its assets in certain futures.</t>
  </si>
  <si>
    <t>Bond USD High Yield</t>
  </si>
  <si>
    <t>35655823</t>
  </si>
  <si>
    <t>The Fund seeks investment results that correspond generally to the price and yield performance, before fees and expenses, of the S&amp;P Global Infrastructure Index. The Fund seeks to track the performance of the stocks of large infrastructure companies around the world.</t>
  </si>
  <si>
    <t>Equity Theme - Infrastructure</t>
  </si>
  <si>
    <t>35665227</t>
  </si>
  <si>
    <t>The Fund seeks to track the investment results of an index composed of large- and mid-capitalization developed and emerging market equities. The Fund seeks to track the MSCI ACWI, a free floatadjusted, market capweighted index that measures combined equity performance across developed and emerging markets countries.</t>
  </si>
  <si>
    <t>Equity Global</t>
  </si>
  <si>
    <t>35818007</t>
  </si>
  <si>
    <t>Asia Pacific ex Japan</t>
  </si>
  <si>
    <t>The Fund seeks investment results that correspond generally to the price and yield performance of the MSCI AC Asia ex Japan Index. The Index is designed to measure equity market performance of China, Hong Kong, India, Indonesia, Malaysia, the Philippines, Singapore, South Korea, Taiwan and Thailand.</t>
  </si>
  <si>
    <t>Equity Asia Pacific ex Japan</t>
  </si>
  <si>
    <t>35925070</t>
  </si>
  <si>
    <t>Peru</t>
  </si>
  <si>
    <t>The Fund seeks to track the investment results of the MSCI All Peru Capped Index, which is a free float-adjusted market capitalization-weighted index designed to measure the performance of the Broad Peru Equity Universe, as defined by MSCI, Inc. targeting a minimum of 25 securities and 20 issuers.</t>
  </si>
  <si>
    <t>Equity Emerging Markets Other</t>
  </si>
  <si>
    <t>36253628</t>
  </si>
  <si>
    <t>Global Emerging Markets</t>
  </si>
  <si>
    <t>The Fund seeks to replicate as closely as possible the price and yield performance of the JP Morgan GBI-EMG Core Index. It invests at least 80% of its total assets in securities that comprise the Fund's benchmark Index. The Index provides direct exposure to local currency bonds issued by emerging market governments.</t>
  </si>
  <si>
    <t>Bond Emerging Markets Global LC</t>
  </si>
  <si>
    <t>Van Eck Associates Corp</t>
  </si>
  <si>
    <t>36406711</t>
  </si>
  <si>
    <t>The Fund seeks to track the investment results of the Markit iBoxx Global Developed Markets High Yield Index composed of US dollar, euro, British pound sterling and Canadian dollar-denominated, high yield corporate bonds. The Fund invests at least 90% of its assets in the component securities of the Underlying Index.</t>
  </si>
  <si>
    <t>Bond Global High Yield USD</t>
  </si>
  <si>
    <t>36499133</t>
  </si>
  <si>
    <t>The Fund seeks to outperform the Morningstar LSTA US Leveraged Loan Index (the Index) by normally investing at least 80% of its net assets (plus any borrowings for investment purposes) in Senior Loans. For purposes of this 80% test, Senior Loans are first lien senior secured floating rate bank loans.</t>
  </si>
  <si>
    <t>Loan Participation Funds</t>
  </si>
  <si>
    <t>SSGA Funds Management Inc</t>
  </si>
  <si>
    <t>36601931</t>
  </si>
  <si>
    <t>The Fund seeks to track the investment results of an index composed of global real estate equities in developed and emerging markets, the FTSE EPRA/NAREIT Global REIT Index. The Index is designed to track the performance of publicly-listed real estate investment trusts in both developed and emerging markets.</t>
  </si>
  <si>
    <t>Equity Sector Real Estate Global</t>
  </si>
  <si>
    <t>36848565</t>
  </si>
  <si>
    <t>The Fund seeks to track the investment results of NYSE FactSet US Infrastructure Index. The Fund generally will invest at least 90% of its assets in the securities of the Underlying Index which is designed to measure the performance of equity securities of US companies involved in US focused infrastructure activities.</t>
  </si>
  <si>
    <t>36264019</t>
  </si>
  <si>
    <t>Ireland</t>
  </si>
  <si>
    <t>The investment objective of the Fund is to provide investors with a total return, taking into account both capital and income returns, which reflects the return of the Markit iBoxx Euro Liquid High Yield Index. The Index measures the performance of the largest and most liquid fixed and floating rate sub-investment grade corporate bonds issued by both Eurozone and non-Eurozone issuers.</t>
  </si>
  <si>
    <t>Bond EUR High Yield</t>
  </si>
  <si>
    <t>BlackRock Asset Management Ireland Ltd</t>
  </si>
  <si>
    <t>iShares ? High Yield Corp Bond UCITS ETF</t>
  </si>
  <si>
    <t>Fecha Reporte</t>
  </si>
  <si>
    <t>SBS</t>
  </si>
  <si>
    <t>Fondo</t>
  </si>
  <si>
    <t>Afp</t>
  </si>
  <si>
    <t>Cobertura</t>
  </si>
  <si>
    <t>12535622BA92</t>
  </si>
  <si>
    <t>USP58072BA92</t>
  </si>
  <si>
    <t>Multifondos</t>
  </si>
  <si>
    <t>Ex_Integra</t>
  </si>
  <si>
    <t>15515123CH47</t>
  </si>
  <si>
    <t>USP32133CH47</t>
  </si>
  <si>
    <t>F1</t>
  </si>
  <si>
    <t>2100022V2H78</t>
  </si>
  <si>
    <t>US05971V2H78</t>
  </si>
  <si>
    <t>Habitat</t>
  </si>
  <si>
    <t>1254342KAB22</t>
  </si>
  <si>
    <t>USP4R21KAB22</t>
  </si>
  <si>
    <t>Prima</t>
  </si>
  <si>
    <t>1551192MAD04</t>
  </si>
  <si>
    <t>USP1400MAD04</t>
  </si>
  <si>
    <t>Profuturo</t>
  </si>
  <si>
    <t>1551112LAN29</t>
  </si>
  <si>
    <t>US05968LAN29</t>
  </si>
  <si>
    <t>1551512PAC05</t>
  </si>
  <si>
    <t>US05890PAC05</t>
  </si>
  <si>
    <t>2100022V2J35</t>
  </si>
  <si>
    <t>US05971V2J35</t>
  </si>
  <si>
    <t>Integra</t>
  </si>
  <si>
    <t>F2</t>
  </si>
  <si>
    <t>2100022V2K08</t>
  </si>
  <si>
    <t>US05971V2K08</t>
  </si>
  <si>
    <t>1552782BAB48</t>
  </si>
  <si>
    <t>USP1S81BAB48</t>
  </si>
  <si>
    <t>1552782GAA15</t>
  </si>
  <si>
    <t>USP2000GAA15</t>
  </si>
  <si>
    <t>F3</t>
  </si>
  <si>
    <t>21000325AF20</t>
  </si>
  <si>
    <t>USP13435AF20</t>
  </si>
  <si>
    <t>21000325AG03</t>
  </si>
  <si>
    <t>USP13435AG03</t>
  </si>
  <si>
    <t>21001112601A</t>
  </si>
  <si>
    <t>PEP11600D110</t>
  </si>
  <si>
    <t>21001120AH74</t>
  </si>
  <si>
    <t>USP07760AH74</t>
  </si>
  <si>
    <t>59509428AW93</t>
  </si>
  <si>
    <t>US279158AW93</t>
  </si>
  <si>
    <t>21015122401A</t>
  </si>
  <si>
    <t>PEP66450D098</t>
  </si>
  <si>
    <t>21015422002A</t>
  </si>
  <si>
    <t>PEP66950D014</t>
  </si>
  <si>
    <t>2220082PAB78</t>
  </si>
  <si>
    <t>USP6680PAB78</t>
  </si>
  <si>
    <t>21015422302B</t>
  </si>
  <si>
    <t>PEP66950D030</t>
  </si>
  <si>
    <t>22200911502A</t>
  </si>
  <si>
    <t>PEP70252M275</t>
  </si>
  <si>
    <t>2220091VAC83</t>
  </si>
  <si>
    <t>USP6411VAC83</t>
  </si>
  <si>
    <t>22200911807A</t>
  </si>
  <si>
    <t>PEP70252M317</t>
  </si>
  <si>
    <t>2220111KEA71</t>
  </si>
  <si>
    <t>USP0161KEA71</t>
  </si>
  <si>
    <t>2220292FAB50</t>
  </si>
  <si>
    <t>USP0091FAB50</t>
  </si>
  <si>
    <t>22203011211A</t>
  </si>
  <si>
    <t>PEP70101M506</t>
  </si>
  <si>
    <t>1551192MAF51</t>
  </si>
  <si>
    <t>USP1400MAF51</t>
  </si>
  <si>
    <t>22203011312A</t>
  </si>
  <si>
    <t>PEP70101M530</t>
  </si>
  <si>
    <t>22203012105A</t>
  </si>
  <si>
    <t>PEP70101M720</t>
  </si>
  <si>
    <t>22203012604B</t>
  </si>
  <si>
    <t>PEP70101M761</t>
  </si>
  <si>
    <t>22204327AE63</t>
  </si>
  <si>
    <t>USP98047AE63</t>
  </si>
  <si>
    <t>59509428AV11</t>
  </si>
  <si>
    <t>US279158AV11</t>
  </si>
  <si>
    <t>1551192MAG35</t>
  </si>
  <si>
    <t>USP1400MAG35</t>
  </si>
  <si>
    <t>22206111703A</t>
  </si>
  <si>
    <t>PEP70210M109</t>
  </si>
  <si>
    <t>2220882KAD92</t>
  </si>
  <si>
    <t>USP6040KAD92</t>
  </si>
  <si>
    <t>2220892BAE13</t>
  </si>
  <si>
    <t>USP7721BAE13</t>
  </si>
  <si>
    <t>22212311802A</t>
  </si>
  <si>
    <t>PEP74100M058</t>
  </si>
  <si>
    <t>22212511502A</t>
  </si>
  <si>
    <t>PEP71320M022</t>
  </si>
  <si>
    <t>22582511602A</t>
  </si>
  <si>
    <t>PEP73125M023</t>
  </si>
  <si>
    <t>22582511904A</t>
  </si>
  <si>
    <t>PEP73125M064</t>
  </si>
  <si>
    <t>5953042VAC78</t>
  </si>
  <si>
    <t>USP4R53VAC78</t>
  </si>
  <si>
    <t>22587612001A</t>
  </si>
  <si>
    <t>PEP70160M015</t>
  </si>
  <si>
    <t>2259582AAA36</t>
  </si>
  <si>
    <t>USP6432AAA36</t>
  </si>
  <si>
    <t>2500021V2F13</t>
  </si>
  <si>
    <t>US05971V2F13</t>
  </si>
  <si>
    <t>25210511905A</t>
  </si>
  <si>
    <t>PEP16880M049</t>
  </si>
  <si>
    <t>25210512006A</t>
  </si>
  <si>
    <t>PEP16880M056</t>
  </si>
  <si>
    <t>25210512503A</t>
  </si>
  <si>
    <t>PEP16880M080</t>
  </si>
  <si>
    <t>25210529AF09</t>
  </si>
  <si>
    <t>USP42009AF09</t>
  </si>
  <si>
    <t>25517212A018</t>
  </si>
  <si>
    <t>CVL52632A018</t>
  </si>
  <si>
    <t>25517212A026</t>
  </si>
  <si>
    <t>CVL52632A026</t>
  </si>
  <si>
    <t>27020219AB41</t>
  </si>
  <si>
    <t>US224939AB41</t>
  </si>
  <si>
    <t>2702021IP02U</t>
  </si>
  <si>
    <t>CVL80050F026</t>
  </si>
  <si>
    <t>2702021PAT1U</t>
  </si>
  <si>
    <t>CVL80050F091</t>
  </si>
  <si>
    <t>2702022AT02A</t>
  </si>
  <si>
    <t>PEP80050F333</t>
  </si>
  <si>
    <t>2721171IRSM1</t>
  </si>
  <si>
    <t>CVL800707107</t>
  </si>
  <si>
    <t>2721171IRSM3</t>
  </si>
  <si>
    <t>CVL800700S24</t>
  </si>
  <si>
    <t>27211723AE14</t>
  </si>
  <si>
    <t>USP56243AE14</t>
  </si>
  <si>
    <t>2743342RDOR1</t>
  </si>
  <si>
    <t>XS1198024827</t>
  </si>
  <si>
    <t>300011100001</t>
  </si>
  <si>
    <t>PEP116001004</t>
  </si>
  <si>
    <t>302002100001</t>
  </si>
  <si>
    <t>PEP761001002</t>
  </si>
  <si>
    <t>302043100001</t>
  </si>
  <si>
    <t>PEP648011109</t>
  </si>
  <si>
    <t>302043100002</t>
  </si>
  <si>
    <t>PEP648014202</t>
  </si>
  <si>
    <t>302051100001</t>
  </si>
  <si>
    <t>PEP239501005</t>
  </si>
  <si>
    <t>302128100001</t>
  </si>
  <si>
    <t>PEP736211009</t>
  </si>
  <si>
    <t>312034100001</t>
  </si>
  <si>
    <t>PEP206015005</t>
  </si>
  <si>
    <t>3220512Q1094</t>
  </si>
  <si>
    <t>US15126Q1094</t>
  </si>
  <si>
    <t>22203012504A</t>
  </si>
  <si>
    <t>PEP70101M746</t>
  </si>
  <si>
    <t>345445281022</t>
  </si>
  <si>
    <t>CA4436281022</t>
  </si>
  <si>
    <t>5277292FB100</t>
  </si>
  <si>
    <t>KYG6963B1005</t>
  </si>
  <si>
    <t>5273982F6385</t>
  </si>
  <si>
    <t>LU1883863851</t>
  </si>
  <si>
    <t>5274542F8758</t>
  </si>
  <si>
    <t>LU1617687584</t>
  </si>
  <si>
    <t>5270582R1157</t>
  </si>
  <si>
    <t>KYG6201R1157</t>
  </si>
  <si>
    <t>5273662CORP1</t>
  </si>
  <si>
    <t>LU1569037366</t>
  </si>
  <si>
    <t>5275262COMP2</t>
  </si>
  <si>
    <t>CL0002633205</t>
  </si>
  <si>
    <t>5274742F1585</t>
  </si>
  <si>
    <t>LU0648315850</t>
  </si>
  <si>
    <t>5277012F9LZQ</t>
  </si>
  <si>
    <t>IE000NG9LZQX</t>
  </si>
  <si>
    <t>5277462F5710</t>
  </si>
  <si>
    <t>LI0229057109</t>
  </si>
  <si>
    <t>PEP795509FD5</t>
  </si>
  <si>
    <t>4974252S2BDC</t>
  </si>
  <si>
    <t>4911102LINAE</t>
  </si>
  <si>
    <t>5272092MACSM</t>
  </si>
  <si>
    <t>LU0721876877</t>
  </si>
  <si>
    <t>4975141HMCPS</t>
  </si>
  <si>
    <t>5274742F8681</t>
  </si>
  <si>
    <t>LU2600586817</t>
  </si>
  <si>
    <t>5274972DI16R</t>
  </si>
  <si>
    <t>LU0939496179</t>
  </si>
  <si>
    <t>52751946750L</t>
  </si>
  <si>
    <t>LU1959967503</t>
  </si>
  <si>
    <t>5275194F2546</t>
  </si>
  <si>
    <t>LU1966825462</t>
  </si>
  <si>
    <t>5277132F2733</t>
  </si>
  <si>
    <t>LU2301227331</t>
  </si>
  <si>
    <t>4911011FCDS1</t>
  </si>
  <si>
    <t>4911011FCDS2</t>
  </si>
  <si>
    <t>4975142HMCPD</t>
  </si>
  <si>
    <t>5275504F6750</t>
  </si>
  <si>
    <t>Inversiones CMPC</t>
  </si>
  <si>
    <t>NoCov</t>
  </si>
  <si>
    <t>Banco de Crédito e Inversiones</t>
  </si>
  <si>
    <t>Banco de Crédito del Perú</t>
  </si>
  <si>
    <t>Grupo Nutresa S.A.</t>
  </si>
  <si>
    <t>Grupo Financiero Banorte</t>
  </si>
  <si>
    <t>Banco de Colombia</t>
  </si>
  <si>
    <t>BBVA Bancomer</t>
  </si>
  <si>
    <t xml:space="preserve">Banco Internacional del Perú </t>
  </si>
  <si>
    <t>Banco Continental</t>
  </si>
  <si>
    <t>Ecopetrol</t>
  </si>
  <si>
    <t>Banco de la Nacion</t>
  </si>
  <si>
    <t>Pacifico Compania de Seguros y Reaseguros</t>
  </si>
  <si>
    <t>Buenaventura</t>
  </si>
  <si>
    <t>Pacífico Peruano Suiza</t>
  </si>
  <si>
    <t>Luz del Sur S.A.A.</t>
  </si>
  <si>
    <t xml:space="preserve">Luz del Sur </t>
  </si>
  <si>
    <t>AENZA S.A.A. (antes Graña &amp; Montero S.A.A.)</t>
  </si>
  <si>
    <t>Pluz Energia Peru, S.A.A.</t>
  </si>
  <si>
    <t>Pluz Energía Perú S.A.A</t>
  </si>
  <si>
    <t>Volcan Cia. Minera</t>
  </si>
  <si>
    <t>ENGIE Energia Peru S.A.</t>
  </si>
  <si>
    <t>Kallpa Generación S.A</t>
  </si>
  <si>
    <t>PERU LNG S.R.L.</t>
  </si>
  <si>
    <t>RED VIAL 5 S.A.</t>
  </si>
  <si>
    <t>ACTIVO INMOBILIARIO PERUANO SOCIEDAD ANONIMA ABIERTA</t>
  </si>
  <si>
    <t>ADMINISTRADORA JOCKEY PLAZA SHOPPING CENTER S.A.</t>
  </si>
  <si>
    <t>Corporacion Primax S.A.</t>
  </si>
  <si>
    <t>Grupo Energia Bogota</t>
  </si>
  <si>
    <t>Electro Dunas S.A.A.</t>
  </si>
  <si>
    <t>Sites del Peru S.A.C.</t>
  </si>
  <si>
    <t>Marcobre S.A.C.</t>
  </si>
  <si>
    <t>Fondo MIVIVIENDA S.A.</t>
  </si>
  <si>
    <t>Fondo Mi Vivienda</t>
  </si>
  <si>
    <t>Intercorp Peru Ltd.</t>
  </si>
  <si>
    <t>INTERNACIONAL DE TITULOS SOCIEDAD TITULIZADORA SA</t>
  </si>
  <si>
    <t>Municipalidad de Lima</t>
  </si>
  <si>
    <t>CREDICORP (CREDITITULOS) SOCIEDAD TITULIZADORA S.A.</t>
  </si>
  <si>
    <t>Credicorp Capital Sociedad Titulizadora S.A.</t>
  </si>
  <si>
    <t>TITIRSM1 - InRetail</t>
  </si>
  <si>
    <t>InRetail Shopping Malls</t>
  </si>
  <si>
    <t>RED DORSAL FINANCE LIMITED</t>
  </si>
  <si>
    <t>HUASCACOCHA FINANCE LIMITED</t>
  </si>
  <si>
    <t>BANCO BBVA PERU SOCIEDAD ANONIMA</t>
  </si>
  <si>
    <t>UNACEM Corp S.A.A.</t>
  </si>
  <si>
    <t>Orygen Peru S.A.A.</t>
  </si>
  <si>
    <t>Volcan Compania Minera S.A.A.</t>
  </si>
  <si>
    <t>Cementos Pacasmayo S.A.A.</t>
  </si>
  <si>
    <t>Fossal SAA</t>
  </si>
  <si>
    <t>Puerto Chancay A</t>
  </si>
  <si>
    <t>Puerto Chancay B</t>
  </si>
  <si>
    <t>Corporacion Aceros Arequipa S.A.</t>
  </si>
  <si>
    <t>Banco Interamericano de Finanzas S.A</t>
  </si>
  <si>
    <t>HERMES TRANSPORTES BLINDADOS S.A.</t>
  </si>
  <si>
    <t>Empresa Editora el Comercio SA</t>
  </si>
  <si>
    <t>HudBays Minerals Inc.</t>
  </si>
  <si>
    <t>Pearl Diver Capital LLC - Floating Rate Global Income</t>
  </si>
  <si>
    <t>Amundi Funds US High Yield Bond - I2 U C</t>
  </si>
  <si>
    <t>Oaktree (Lux.) III - Global Credit Fund I USD acc</t>
  </si>
  <si>
    <t>Moneda - CLOs</t>
  </si>
  <si>
    <t>Credicorp Capital Latin American Corporate Debt S</t>
  </si>
  <si>
    <t>FIGLHYI CI - Compass Latam HY</t>
  </si>
  <si>
    <t>LarrainVial AM SICAV - Latin American Corp Dbt I</t>
  </si>
  <si>
    <t>Solitaire Global Bond Fund - USD</t>
  </si>
  <si>
    <t>BD Capital - Senior Loans 2</t>
  </si>
  <si>
    <t>Fond. de Inversión Activa Financiamiento Estructurado Peru II</t>
  </si>
  <si>
    <t>Matthews Asia Funds - China Innov Fd I Acc USD</t>
  </si>
  <si>
    <t>Fondo HMC  II (PEN)</t>
  </si>
  <si>
    <t>Veritas Asian C USD</t>
  </si>
  <si>
    <t>LarrainVial AM SICAV - Gavekal Latam LC Debt I</t>
  </si>
  <si>
    <t>LarrainVial AM SICAV - Latin American Equity I</t>
  </si>
  <si>
    <t>Berenberg European Small Cap I</t>
  </si>
  <si>
    <t>Joh Berenberg - European Focus Fund</t>
  </si>
  <si>
    <t>Moneda Luxembourg SICAV Latin America Small Cap I</t>
  </si>
  <si>
    <t>Fondo Credicorp Deuda Soles</t>
  </si>
  <si>
    <t>Fondo Credicorp Deuda Soles II</t>
  </si>
  <si>
    <t>Fondo HMC II (USD)</t>
  </si>
  <si>
    <t>Arcano Fund - European Income Fund - ESG Selection</t>
  </si>
  <si>
    <t>Neuberger Berman CLO Inc USD I2 Dis</t>
  </si>
  <si>
    <t>Emisor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</si>
</sst>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 #,##0_ ;_ * \-#,##0_ ;_ * &quot;-&quot;??_ ;_ @_ "/>
    <numFmt numFmtId="165" formatCode="yyyy/mm/dd"/>
  </numFmts>
  <fonts count="15" x14ac:knownFonts="1">
    <font>
      <sz val="11"/>
      <color theme="1"/>
      <name val="Aptos Narrow"/>
      <family val="2"/>
      <scheme val="minor"/>
    </font>
    <font>
      <b/>
      <sz val="11"/>
      <color theme="0"/>
      <name val="Aptos Narrow"/>
      <family val="2"/>
      <scheme val="minor"/>
    </font>
    <font>
      <sz val="11"/>
      <color theme="1"/>
      <name val="Aptos Narrow"/>
      <family val="2"/>
      <scheme val="minor"/>
    </font>
    <font>
      <b/>
      <sz val="10"/>
      <color theme="1"/>
      <name val="Aptos Narrow"/>
      <family val="2"/>
      <scheme val="minor"/>
    </font>
    <font>
      <sz val="10"/>
      <name val="Aptos Narrow"/>
      <family val="2"/>
      <scheme val="minor"/>
    </font>
    <font>
      <sz val="10"/>
      <color theme="1"/>
      <name val="Aptos Narrow"/>
      <family val="2"/>
      <scheme val="minor"/>
    </font>
    <font>
      <sz val="10"/>
      <color rgb="FFFF0000"/>
      <name val="Aptos Narrow"/>
      <family val="2"/>
      <scheme val="minor"/>
    </font>
    <font>
      <sz val="11"/>
      <color rgb="FFFF0000"/>
      <name val="Aptos Narrow"/>
      <family val="2"/>
      <scheme val="minor"/>
    </font>
    <font>
      <sz val="11"/>
      <color indexed="8"/>
      <name val="Aptos Narrow"/>
      <family val="2"/>
      <scheme val="minor"/>
    </font>
    <font>
      <b/>
      <sz val="10"/>
      <color indexed="23"/>
      <name val="Tahoma"/>
      <family val="2"/>
    </font>
    <font>
      <sz val="10"/>
      <name val="Tahoma"/>
      <family val="2"/>
    </font>
    <font>
      <b/>
      <sz val="7"/>
      <color theme="1"/>
      <name val="Trebuchet MS"/>
      <family val="2"/>
    </font>
    <font>
      <sz val="7"/>
      <color theme="1"/>
      <name val="Trebuchet MS"/>
      <family val="2"/>
    </font>
    <font>
      <b/>
      <sz val="10"/>
      <color indexed="23"/>
      <name val="Tahoma"/>
    </font>
    <font>
      <sz val="10"/>
      <name val="Tahoma"/>
    </font>
  </fonts>
  <fills count="13">
    <fill>
      <patternFill patternType="none"/>
    </fill>
    <fill>
      <patternFill patternType="gray125"/>
    </fill>
    <fill>
      <patternFill patternType="solid">
        <fgColor theme="4"/>
        <bgColor theme="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bgColor indexed="64"/>
      </patternFill>
    </fill>
    <fill>
      <patternFill patternType="solid">
        <fgColor theme="2"/>
        <bgColor indexed="64"/>
      </patternFill>
    </fill>
    <fill>
      <patternFill patternType="solid">
        <fgColor theme="3" tint="0.749992370372631"/>
        <bgColor indexed="64"/>
      </patternFill>
    </fill>
    <fill>
      <patternFill patternType="solid">
        <fgColor theme="0" tint="-0.3499862666707357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3">
    <xf numFmtId="0" fontId="0" fillId="0" borderId="0"/>
    <xf numFmtId="43" fontId="2" fillId="0" borderId="0" applyFont="0" applyFill="0" applyBorder="0" applyAlignment="0" applyProtection="0"/>
    <xf numFmtId="0" fontId="8" fillId="0" borderId="0"/>
  </cellStyleXfs>
  <cellXfs count="55">
    <xf numFmtId="0" fontId="0" fillId="0" borderId="0" xfId="0"/>
    <xf numFmtId="0" fontId="3" fillId="3" borderId="1" xfId="0" applyFont="1" applyFill="1" applyBorder="1" applyAlignment="1">
      <alignment horizontal="center" vertical="center" wrapText="1"/>
    </xf>
    <xf numFmtId="164" fontId="4" fillId="0" borderId="1" xfId="1" applyNumberFormat="1" applyFont="1" applyFill="1" applyBorder="1" applyAlignment="1">
      <alignment horizontal="center"/>
    </xf>
    <xf numFmtId="0" fontId="1" fillId="2" borderId="1" xfId="0" applyFont="1" applyFill="1" applyBorder="1"/>
    <xf numFmtId="0" fontId="0" fillId="0" borderId="1" xfId="0" applyBorder="1"/>
    <xf numFmtId="0" fontId="5"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wrapText="1"/>
    </xf>
    <xf numFmtId="164" fontId="4" fillId="0" borderId="1" xfId="1" applyNumberFormat="1" applyFont="1" applyFill="1" applyBorder="1" applyAlignment="1">
      <alignment horizontal="center" vertical="center"/>
    </xf>
    <xf numFmtId="0" fontId="0" fillId="4" borderId="1" xfId="0" applyFill="1" applyBorder="1"/>
    <xf numFmtId="0" fontId="3" fillId="3" borderId="3" xfId="0" applyFont="1" applyFill="1" applyBorder="1" applyAlignment="1">
      <alignment horizontal="center" vertical="center" wrapText="1"/>
    </xf>
    <xf numFmtId="0" fontId="0" fillId="0" borderId="3" xfId="0" applyBorder="1"/>
    <xf numFmtId="0" fontId="0" fillId="4" borderId="4" xfId="0" applyFill="1" applyBorder="1"/>
    <xf numFmtId="0" fontId="0" fillId="0" borderId="4" xfId="0" applyBorder="1"/>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3" fillId="3" borderId="5" xfId="0" applyFont="1" applyFill="1" applyBorder="1" applyAlignment="1">
      <alignment horizontal="center" vertical="center" wrapText="1"/>
    </xf>
    <xf numFmtId="0" fontId="0" fillId="5" borderId="1" xfId="0" applyFill="1" applyBorder="1" applyAlignment="1">
      <alignment horizontal="center" vertical="center"/>
    </xf>
    <xf numFmtId="0" fontId="5" fillId="5" borderId="1" xfId="0" applyFont="1" applyFill="1" applyBorder="1" applyAlignment="1">
      <alignment horizontal="center" vertical="center" wrapText="1"/>
    </xf>
    <xf numFmtId="164" fontId="4" fillId="7" borderId="1" xfId="1" applyNumberFormat="1" applyFont="1" applyFill="1" applyBorder="1" applyAlignment="1">
      <alignment horizontal="center" vertical="center"/>
    </xf>
    <xf numFmtId="164" fontId="4" fillId="8" borderId="1" xfId="1" applyNumberFormat="1" applyFont="1" applyFill="1" applyBorder="1" applyAlignment="1">
      <alignment horizontal="center" vertical="center"/>
    </xf>
    <xf numFmtId="164" fontId="4" fillId="6" borderId="1" xfId="1" applyNumberFormat="1" applyFont="1" applyFill="1" applyBorder="1" applyAlignment="1">
      <alignment horizontal="center" vertical="center"/>
    </xf>
    <xf numFmtId="0" fontId="0" fillId="6" borderId="0" xfId="0" applyFill="1" applyAlignment="1">
      <alignment vertical="center"/>
    </xf>
    <xf numFmtId="0" fontId="0" fillId="0" borderId="0" xfId="0" applyAlignment="1">
      <alignment horizontal="center" vertical="center"/>
    </xf>
    <xf numFmtId="2" fontId="0" fillId="0" borderId="0" xfId="0" applyNumberFormat="1" applyAlignment="1">
      <alignment horizontal="center" vertical="center"/>
    </xf>
    <xf numFmtId="0" fontId="1" fillId="9" borderId="0" xfId="0" applyFont="1" applyFill="1"/>
    <xf numFmtId="0" fontId="0" fillId="9" borderId="0" xfId="0" applyFill="1"/>
    <xf numFmtId="164" fontId="0" fillId="0" borderId="0" xfId="0" applyNumberFormat="1"/>
    <xf numFmtId="0" fontId="0" fillId="10" borderId="0" xfId="0" applyFill="1"/>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wrapText="1"/>
    </xf>
    <xf numFmtId="0" fontId="10" fillId="0" borderId="0" xfId="2" applyFont="1"/>
    <xf numFmtId="2" fontId="5" fillId="0" borderId="1" xfId="0" applyNumberFormat="1" applyFont="1" applyBorder="1" applyAlignment="1">
      <alignment horizontal="center" vertical="center"/>
    </xf>
    <xf numFmtId="0" fontId="10" fillId="0" borderId="0" xfId="0" applyFont="1"/>
    <xf numFmtId="0" fontId="0" fillId="0" borderId="0" xfId="0" applyAlignment="1">
      <alignment wrapText="1"/>
    </xf>
    <xf numFmtId="0" fontId="11" fillId="11"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9" fillId="0" borderId="0" xfId="0" applyFont="1"/>
    <xf numFmtId="4" fontId="10" fillId="0" borderId="0" xfId="0" applyNumberFormat="1" applyFont="1"/>
    <xf numFmtId="0" fontId="13" fillId="0" borderId="0" xfId="0" applyFont="1"/>
    <xf numFmtId="0" fontId="14" fillId="0" borderId="0" xfId="0" applyFont="1"/>
    <xf numFmtId="4" fontId="14" fillId="0" borderId="0" xfId="0" applyNumberFormat="1" applyFont="1"/>
    <xf numFmtId="3" fontId="14" fillId="0" borderId="0" xfId="0" applyNumberFormat="1" applyFont="1"/>
    <xf numFmtId="165" fontId="14" fillId="0" borderId="0" xfId="0" applyNumberFormat="1" applyFont="1"/>
    <xf numFmtId="0" fontId="0" fillId="12" borderId="0" xfId="0" applyFill="1"/>
    <xf numFmtId="0" fontId="1" fillId="2" borderId="5" xfId="0" applyFont="1" applyFill="1" applyBorder="1"/>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11" fillId="11" borderId="6"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6" xfId="0" applyFont="1" applyBorder="1" applyAlignment="1">
      <alignment horizontal="center" vertical="center" wrapText="1"/>
    </xf>
    <xf numFmtId="14" fontId="0" fillId="0" borderId="0" xfId="0" applyNumberFormat="1"/>
  </cellXfs>
  <cellStyles count="3">
    <cellStyle name="Comma" xfId="1" builtinId="3"/>
    <cellStyle name="Normal" xfId="0" builtinId="0"/>
    <cellStyle name="Normal 2" xfId="2" xr:uid="{1058D0A4-0F73-49D4-AC6E-35A964DCF2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21</xdr:row>
      <xdr:rowOff>22330</xdr:rowOff>
    </xdr:from>
    <xdr:to>
      <xdr:col>16</xdr:col>
      <xdr:colOff>306992</xdr:colOff>
      <xdr:row>29</xdr:row>
      <xdr:rowOff>379</xdr:rowOff>
    </xdr:to>
    <xdr:pic>
      <xdr:nvPicPr>
        <xdr:cNvPr id="2" name="Picture 1">
          <a:extLst>
            <a:ext uri="{FF2B5EF4-FFF2-40B4-BE49-F238E27FC236}">
              <a16:creationId xmlns:a16="http://schemas.microsoft.com/office/drawing/2014/main" id="{C14AB179-C616-9DB2-D550-463E8070757A}"/>
            </a:ext>
          </a:extLst>
        </xdr:cNvPr>
        <xdr:cNvPicPr>
          <a:picLocks noChangeAspect="1"/>
        </xdr:cNvPicPr>
      </xdr:nvPicPr>
      <xdr:blipFill>
        <a:blip xmlns:r="http://schemas.openxmlformats.org/officeDocument/2006/relationships" r:embed="rId1"/>
        <a:stretch>
          <a:fillRect/>
        </a:stretch>
      </xdr:blipFill>
      <xdr:spPr>
        <a:xfrm>
          <a:off x="1400175" y="4022830"/>
          <a:ext cx="8660417" cy="1502049"/>
        </a:xfrm>
        <a:prstGeom prst="rect">
          <a:avLst/>
        </a:prstGeom>
      </xdr:spPr>
    </xdr:pic>
    <xdr:clientData/>
  </xdr:twoCellAnchor>
  <xdr:twoCellAnchor editAs="oneCell">
    <xdr:from>
      <xdr:col>2</xdr:col>
      <xdr:colOff>406399</xdr:colOff>
      <xdr:row>3</xdr:row>
      <xdr:rowOff>98910</xdr:rowOff>
    </xdr:from>
    <xdr:to>
      <xdr:col>10</xdr:col>
      <xdr:colOff>5394</xdr:colOff>
      <xdr:row>11</xdr:row>
      <xdr:rowOff>45179</xdr:rowOff>
    </xdr:to>
    <xdr:pic>
      <xdr:nvPicPr>
        <xdr:cNvPr id="3" name="Picture 2">
          <a:extLst>
            <a:ext uri="{FF2B5EF4-FFF2-40B4-BE49-F238E27FC236}">
              <a16:creationId xmlns:a16="http://schemas.microsoft.com/office/drawing/2014/main" id="{8130BF15-499F-45E3-63BC-747D2F27F7AF}"/>
            </a:ext>
          </a:extLst>
        </xdr:cNvPr>
        <xdr:cNvPicPr>
          <a:picLocks noChangeAspect="1"/>
        </xdr:cNvPicPr>
      </xdr:nvPicPr>
      <xdr:blipFill>
        <a:blip xmlns:r="http://schemas.openxmlformats.org/officeDocument/2006/relationships" r:embed="rId2"/>
        <a:stretch>
          <a:fillRect/>
        </a:stretch>
      </xdr:blipFill>
      <xdr:spPr>
        <a:xfrm>
          <a:off x="1892299" y="651360"/>
          <a:ext cx="4475795" cy="1419469"/>
        </a:xfrm>
        <a:prstGeom prst="rect">
          <a:avLst/>
        </a:prstGeom>
      </xdr:spPr>
    </xdr:pic>
    <xdr:clientData/>
  </xdr:twoCellAnchor>
  <xdr:twoCellAnchor editAs="oneCell">
    <xdr:from>
      <xdr:col>2</xdr:col>
      <xdr:colOff>374651</xdr:colOff>
      <xdr:row>12</xdr:row>
      <xdr:rowOff>101886</xdr:rowOff>
    </xdr:from>
    <xdr:to>
      <xdr:col>14</xdr:col>
      <xdr:colOff>304801</xdr:colOff>
      <xdr:row>15</xdr:row>
      <xdr:rowOff>111299</xdr:rowOff>
    </xdr:to>
    <xdr:pic>
      <xdr:nvPicPr>
        <xdr:cNvPr id="4" name="Picture 3">
          <a:extLst>
            <a:ext uri="{FF2B5EF4-FFF2-40B4-BE49-F238E27FC236}">
              <a16:creationId xmlns:a16="http://schemas.microsoft.com/office/drawing/2014/main" id="{4324B750-742C-8DB4-B2B1-58D32CAA4D63}"/>
            </a:ext>
          </a:extLst>
        </xdr:cNvPr>
        <xdr:cNvPicPr>
          <a:picLocks noChangeAspect="1"/>
        </xdr:cNvPicPr>
      </xdr:nvPicPr>
      <xdr:blipFill>
        <a:blip xmlns:r="http://schemas.openxmlformats.org/officeDocument/2006/relationships" r:embed="rId3"/>
        <a:stretch>
          <a:fillRect/>
        </a:stretch>
      </xdr:blipFill>
      <xdr:spPr>
        <a:xfrm>
          <a:off x="1860551" y="2311686"/>
          <a:ext cx="7245350" cy="5618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0</xdr:row>
      <xdr:rowOff>0</xdr:rowOff>
    </xdr:from>
    <xdr:to>
      <xdr:col>16</xdr:col>
      <xdr:colOff>2011787</xdr:colOff>
      <xdr:row>0</xdr:row>
      <xdr:rowOff>171474</xdr:rowOff>
    </xdr:to>
    <xdr:pic>
      <xdr:nvPicPr>
        <xdr:cNvPr id="2" name="Picture 1">
          <a:extLst>
            <a:ext uri="{FF2B5EF4-FFF2-40B4-BE49-F238E27FC236}">
              <a16:creationId xmlns:a16="http://schemas.microsoft.com/office/drawing/2014/main" id="{B28283E0-E319-DE21-1F1D-050B52DF9D30}"/>
            </a:ext>
          </a:extLst>
        </xdr:cNvPr>
        <xdr:cNvPicPr>
          <a:picLocks noChangeAspect="1"/>
        </xdr:cNvPicPr>
      </xdr:nvPicPr>
      <xdr:blipFill>
        <a:blip xmlns:r="http://schemas.openxmlformats.org/officeDocument/2006/relationships" r:embed="rId1"/>
        <a:stretch>
          <a:fillRect/>
        </a:stretch>
      </xdr:blipFill>
      <xdr:spPr>
        <a:xfrm>
          <a:off x="15579587" y="0"/>
          <a:ext cx="2019582" cy="171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2019582</xdr:colOff>
      <xdr:row>1</xdr:row>
      <xdr:rowOff>171474</xdr:rowOff>
    </xdr:to>
    <xdr:pic>
      <xdr:nvPicPr>
        <xdr:cNvPr id="2" name="Picture 1">
          <a:extLst>
            <a:ext uri="{FF2B5EF4-FFF2-40B4-BE49-F238E27FC236}">
              <a16:creationId xmlns:a16="http://schemas.microsoft.com/office/drawing/2014/main" id="{9DDF6D2E-282C-F780-1672-0A5A7E602D29}"/>
            </a:ext>
          </a:extLst>
        </xdr:cNvPr>
        <xdr:cNvPicPr>
          <a:picLocks noChangeAspect="1"/>
        </xdr:cNvPicPr>
      </xdr:nvPicPr>
      <xdr:blipFill>
        <a:blip xmlns:r="http://schemas.openxmlformats.org/officeDocument/2006/relationships" r:embed="rId1"/>
        <a:stretch>
          <a:fillRect/>
        </a:stretch>
      </xdr:blipFill>
      <xdr:spPr>
        <a:xfrm>
          <a:off x="21839464" y="190500"/>
          <a:ext cx="2019582" cy="1714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298076</xdr:colOff>
      <xdr:row>51</xdr:row>
      <xdr:rowOff>171288</xdr:rowOff>
    </xdr:from>
    <xdr:to>
      <xdr:col>19</xdr:col>
      <xdr:colOff>413154</xdr:colOff>
      <xdr:row>68</xdr:row>
      <xdr:rowOff>181209</xdr:rowOff>
    </xdr:to>
    <xdr:pic>
      <xdr:nvPicPr>
        <xdr:cNvPr id="2" name="Picture 1">
          <a:extLst>
            <a:ext uri="{FF2B5EF4-FFF2-40B4-BE49-F238E27FC236}">
              <a16:creationId xmlns:a16="http://schemas.microsoft.com/office/drawing/2014/main" id="{BF191283-12F8-63B1-7650-E2C26788A417}"/>
            </a:ext>
          </a:extLst>
        </xdr:cNvPr>
        <xdr:cNvPicPr>
          <a:picLocks noChangeAspect="1"/>
        </xdr:cNvPicPr>
      </xdr:nvPicPr>
      <xdr:blipFill>
        <a:blip xmlns:r="http://schemas.openxmlformats.org/officeDocument/2006/relationships" r:embed="rId1"/>
        <a:stretch>
          <a:fillRect/>
        </a:stretch>
      </xdr:blipFill>
      <xdr:spPr>
        <a:xfrm>
          <a:off x="16815547" y="10066082"/>
          <a:ext cx="5109165" cy="32484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228600</xdr:colOff>
      <xdr:row>0</xdr:row>
      <xdr:rowOff>133350</xdr:rowOff>
    </xdr:from>
    <xdr:to>
      <xdr:col>20</xdr:col>
      <xdr:colOff>554094</xdr:colOff>
      <xdr:row>10</xdr:row>
      <xdr:rowOff>43543</xdr:rowOff>
    </xdr:to>
    <xdr:pic>
      <xdr:nvPicPr>
        <xdr:cNvPr id="2" name="Imagen 9">
          <a:extLst>
            <a:ext uri="{FF2B5EF4-FFF2-40B4-BE49-F238E27FC236}">
              <a16:creationId xmlns:a16="http://schemas.microsoft.com/office/drawing/2014/main" id="{DBC57AE5-8998-5787-CFDC-C59C3E918D13}"/>
            </a:ext>
          </a:extLst>
        </xdr:cNvPr>
        <xdr:cNvPicPr>
          <a:picLocks noChangeAspect="1"/>
        </xdr:cNvPicPr>
      </xdr:nvPicPr>
      <xdr:blipFill>
        <a:blip xmlns:r="http://schemas.openxmlformats.org/officeDocument/2006/relationships" r:embed="rId1"/>
        <a:stretch>
          <a:fillRect/>
        </a:stretch>
      </xdr:blipFill>
      <xdr:spPr>
        <a:xfrm>
          <a:off x="11001375" y="133350"/>
          <a:ext cx="8250294" cy="3543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B03E5-C831-4525-B39B-2762B0E0F9AF}">
  <sheetPr codeName="Sheet1"/>
  <dimension ref="A1:B2"/>
  <sheetViews>
    <sheetView workbookViewId="0">
      <selection activeCell="M7" sqref="M7"/>
    </sheetView>
  </sheetViews>
  <sheetFormatPr defaultRowHeight="14.5" x14ac:dyDescent="0.35"/>
  <cols>
    <col min="1" max="1" width="12.54296875" bestFit="1" customWidth="1"/>
  </cols>
  <sheetData>
    <row r="1" spans="1:2" x14ac:dyDescent="0.35">
      <c r="A1" t="s">
        <v>1246</v>
      </c>
    </row>
    <row r="2" spans="1:2" x14ac:dyDescent="0.35">
      <c r="A2" t="str">
        <f ca="1">TEXT(EDATE(TODAY(),1),"yyyymm")</f>
        <v>202608</v>
      </c>
      <c r="B2" t="str">
        <f ca="1">TEXT(EDATE(TODAY(),0),"yyyymm")</f>
        <v>202607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991F-14B6-4193-9275-0A2C3F039266}">
  <dimension ref="A1:I26"/>
  <sheetViews>
    <sheetView topLeftCell="A15" workbookViewId="0">
      <selection activeCell="B22" sqref="B22"/>
    </sheetView>
  </sheetViews>
  <sheetFormatPr defaultRowHeight="14.5" x14ac:dyDescent="0.35"/>
  <cols>
    <col min="1" max="1" width="24.36328125" bestFit="1" customWidth="1"/>
    <col min="2" max="2" width="41.1796875" bestFit="1" customWidth="1"/>
    <col min="3" max="3" width="13.36328125" bestFit="1" customWidth="1"/>
    <col min="4" max="4" width="15.7265625" bestFit="1" customWidth="1"/>
    <col min="5" max="5" width="13.36328125" bestFit="1" customWidth="1"/>
    <col min="6" max="6" width="14.36328125" bestFit="1" customWidth="1"/>
    <col min="7" max="7" width="38.6328125" bestFit="1" customWidth="1"/>
    <col min="8" max="8" width="55.08984375" bestFit="1" customWidth="1"/>
    <col min="9" max="9" width="13.36328125" bestFit="1" customWidth="1"/>
  </cols>
  <sheetData>
    <row r="1" spans="1:9" x14ac:dyDescent="0.35">
      <c r="A1" s="38" t="s">
        <v>527</v>
      </c>
      <c r="B1" s="38" t="s">
        <v>528</v>
      </c>
      <c r="C1" s="38" t="s">
        <v>485</v>
      </c>
      <c r="D1" s="38" t="s">
        <v>529</v>
      </c>
      <c r="E1" s="38" t="s">
        <v>530</v>
      </c>
      <c r="F1" s="38" t="s">
        <v>531</v>
      </c>
      <c r="G1" s="38" t="s">
        <v>532</v>
      </c>
      <c r="H1" s="38" t="s">
        <v>533</v>
      </c>
      <c r="I1" s="38" t="s">
        <v>530</v>
      </c>
    </row>
    <row r="2" spans="1:9" x14ac:dyDescent="0.35">
      <c r="A2" s="34" t="s">
        <v>534</v>
      </c>
      <c r="B2" s="34" t="s">
        <v>535</v>
      </c>
      <c r="C2" s="34" t="s">
        <v>537</v>
      </c>
      <c r="D2" s="34" t="s">
        <v>536</v>
      </c>
      <c r="E2" s="34" t="s">
        <v>537</v>
      </c>
      <c r="F2" s="34" t="s">
        <v>538</v>
      </c>
      <c r="G2" s="39">
        <v>22.272456810000001</v>
      </c>
      <c r="H2" s="39">
        <v>177.58505708999999</v>
      </c>
      <c r="I2" s="34" t="s">
        <v>537</v>
      </c>
    </row>
    <row r="3" spans="1:9" x14ac:dyDescent="0.35">
      <c r="A3" s="34" t="s">
        <v>539</v>
      </c>
      <c r="B3" s="34" t="s">
        <v>540</v>
      </c>
      <c r="C3" s="34" t="s">
        <v>541</v>
      </c>
      <c r="D3" s="34" t="s">
        <v>536</v>
      </c>
      <c r="E3" s="34" t="s">
        <v>541</v>
      </c>
      <c r="F3" s="34" t="s">
        <v>542</v>
      </c>
      <c r="G3" s="39">
        <v>6.7584659299999998</v>
      </c>
      <c r="H3" s="39">
        <v>39.940379479999997</v>
      </c>
      <c r="I3" s="34" t="s">
        <v>541</v>
      </c>
    </row>
    <row r="4" spans="1:9" x14ac:dyDescent="0.35">
      <c r="A4" s="34" t="s">
        <v>666</v>
      </c>
      <c r="B4" s="34" t="s">
        <v>656</v>
      </c>
      <c r="C4" s="34" t="s">
        <v>657</v>
      </c>
      <c r="D4" s="34" t="s">
        <v>536</v>
      </c>
      <c r="E4" s="34" t="s">
        <v>657</v>
      </c>
      <c r="F4" s="34" t="s">
        <v>653</v>
      </c>
      <c r="G4" s="39">
        <v>43.232014650000004</v>
      </c>
      <c r="H4" s="39">
        <v>396.91306216999999</v>
      </c>
      <c r="I4" s="34" t="s">
        <v>657</v>
      </c>
    </row>
    <row r="5" spans="1:9" x14ac:dyDescent="0.35">
      <c r="A5" s="34" t="s">
        <v>543</v>
      </c>
      <c r="B5" s="34" t="s">
        <v>544</v>
      </c>
      <c r="C5" s="34" t="s">
        <v>545</v>
      </c>
      <c r="D5" s="34" t="s">
        <v>536</v>
      </c>
      <c r="E5" s="34" t="s">
        <v>545</v>
      </c>
      <c r="F5" s="34" t="s">
        <v>546</v>
      </c>
      <c r="G5" s="39">
        <v>109.30923404000001</v>
      </c>
      <c r="H5" s="39">
        <v>743.38133876999996</v>
      </c>
      <c r="I5" s="34" t="s">
        <v>545</v>
      </c>
    </row>
    <row r="6" spans="1:9" x14ac:dyDescent="0.35">
      <c r="A6" s="34" t="s">
        <v>547</v>
      </c>
      <c r="B6" s="34" t="s">
        <v>436</v>
      </c>
      <c r="C6" s="34" t="s">
        <v>548</v>
      </c>
      <c r="D6" s="34" t="s">
        <v>536</v>
      </c>
      <c r="E6" s="34" t="s">
        <v>548</v>
      </c>
      <c r="F6" s="34" t="s">
        <v>549</v>
      </c>
      <c r="G6" s="39">
        <v>208.75900278</v>
      </c>
      <c r="H6" s="39">
        <v>2220.5206799399998</v>
      </c>
      <c r="I6" s="34" t="s">
        <v>548</v>
      </c>
    </row>
    <row r="7" spans="1:9" x14ac:dyDescent="0.35">
      <c r="A7" s="34" t="s">
        <v>550</v>
      </c>
      <c r="B7" s="34" t="s">
        <v>437</v>
      </c>
      <c r="C7" s="34" t="s">
        <v>551</v>
      </c>
      <c r="D7" s="34" t="s">
        <v>536</v>
      </c>
      <c r="E7" s="34" t="s">
        <v>551</v>
      </c>
      <c r="F7" s="34" t="s">
        <v>552</v>
      </c>
      <c r="G7" s="39">
        <v>3.5338920200000001</v>
      </c>
      <c r="H7" s="39">
        <v>54.296141910000003</v>
      </c>
      <c r="I7" s="34" t="s">
        <v>551</v>
      </c>
    </row>
    <row r="8" spans="1:9" x14ac:dyDescent="0.35">
      <c r="A8" s="34" t="s">
        <v>553</v>
      </c>
      <c r="B8" s="34" t="s">
        <v>438</v>
      </c>
      <c r="C8" s="34" t="s">
        <v>554</v>
      </c>
      <c r="D8" s="34" t="s">
        <v>536</v>
      </c>
      <c r="E8" s="34" t="s">
        <v>554</v>
      </c>
      <c r="F8" s="34" t="s">
        <v>555</v>
      </c>
      <c r="G8" s="39">
        <v>2.7511170800000002</v>
      </c>
      <c r="H8" s="39">
        <v>89.510658500000005</v>
      </c>
      <c r="I8" s="34" t="s">
        <v>554</v>
      </c>
    </row>
    <row r="9" spans="1:9" x14ac:dyDescent="0.35">
      <c r="A9" s="34" t="s">
        <v>556</v>
      </c>
      <c r="B9" s="34" t="s">
        <v>557</v>
      </c>
      <c r="C9" s="34" t="s">
        <v>558</v>
      </c>
      <c r="D9" s="34" t="s">
        <v>536</v>
      </c>
      <c r="E9" s="34" t="s">
        <v>558</v>
      </c>
      <c r="F9" s="34" t="s">
        <v>559</v>
      </c>
      <c r="G9" s="39">
        <v>7.9125585799999998</v>
      </c>
      <c r="H9" s="39">
        <v>72.088830520000002</v>
      </c>
      <c r="I9" s="34" t="s">
        <v>558</v>
      </c>
    </row>
    <row r="10" spans="1:9" x14ac:dyDescent="0.35">
      <c r="A10" s="34" t="s">
        <v>560</v>
      </c>
      <c r="B10" s="34" t="s">
        <v>561</v>
      </c>
      <c r="C10" s="34" t="s">
        <v>562</v>
      </c>
      <c r="D10" s="34" t="s">
        <v>536</v>
      </c>
      <c r="E10" s="34" t="s">
        <v>562</v>
      </c>
      <c r="F10" s="34" t="s">
        <v>563</v>
      </c>
      <c r="G10" s="39">
        <v>3.9668277399999998</v>
      </c>
      <c r="H10" s="39">
        <v>36.215902890000002</v>
      </c>
      <c r="I10" s="34" t="s">
        <v>562</v>
      </c>
    </row>
    <row r="11" spans="1:9" x14ac:dyDescent="0.35">
      <c r="A11" s="34" t="s">
        <v>564</v>
      </c>
      <c r="B11" s="34" t="s">
        <v>565</v>
      </c>
      <c r="C11" s="34" t="s">
        <v>566</v>
      </c>
      <c r="D11" s="34" t="s">
        <v>536</v>
      </c>
      <c r="E11" s="34" t="s">
        <v>566</v>
      </c>
      <c r="F11" s="34" t="s">
        <v>567</v>
      </c>
      <c r="G11" s="39">
        <v>11.680975009999999</v>
      </c>
      <c r="H11" s="39">
        <v>322.22907228999998</v>
      </c>
      <c r="I11" s="34" t="s">
        <v>566</v>
      </c>
    </row>
    <row r="12" spans="1:9" x14ac:dyDescent="0.35">
      <c r="A12" s="34" t="s">
        <v>568</v>
      </c>
      <c r="B12" s="34" t="s">
        <v>435</v>
      </c>
      <c r="C12" s="34" t="s">
        <v>569</v>
      </c>
      <c r="D12" s="34" t="s">
        <v>536</v>
      </c>
      <c r="E12" s="34" t="s">
        <v>569</v>
      </c>
      <c r="F12" s="34" t="s">
        <v>570</v>
      </c>
      <c r="G12" s="39">
        <v>20.599526010000002</v>
      </c>
      <c r="H12" s="39">
        <v>283.85097385</v>
      </c>
      <c r="I12" s="34" t="s">
        <v>569</v>
      </c>
    </row>
    <row r="13" spans="1:9" x14ac:dyDescent="0.35">
      <c r="A13" s="34" t="s">
        <v>571</v>
      </c>
      <c r="B13" s="34" t="s">
        <v>439</v>
      </c>
      <c r="C13" s="34" t="s">
        <v>572</v>
      </c>
      <c r="D13" s="34" t="s">
        <v>536</v>
      </c>
      <c r="E13" s="34" t="s">
        <v>572</v>
      </c>
      <c r="F13" s="34" t="s">
        <v>573</v>
      </c>
      <c r="G13" s="39">
        <v>29.225820110000001</v>
      </c>
      <c r="H13" s="39">
        <v>600.13717153000005</v>
      </c>
      <c r="I13" s="34" t="s">
        <v>572</v>
      </c>
    </row>
    <row r="14" spans="1:9" x14ac:dyDescent="0.35">
      <c r="A14" s="34" t="s">
        <v>574</v>
      </c>
      <c r="B14" s="34" t="s">
        <v>442</v>
      </c>
      <c r="C14" s="34" t="s">
        <v>575</v>
      </c>
      <c r="D14" s="34" t="s">
        <v>536</v>
      </c>
      <c r="E14" s="34" t="s">
        <v>575</v>
      </c>
      <c r="F14" s="34" t="s">
        <v>576</v>
      </c>
      <c r="G14" s="39">
        <v>250.75648330000001</v>
      </c>
      <c r="H14" s="39">
        <v>243.37131549</v>
      </c>
      <c r="I14" s="34" t="s">
        <v>575</v>
      </c>
    </row>
    <row r="15" spans="1:9" x14ac:dyDescent="0.35">
      <c r="A15" s="34" t="s">
        <v>577</v>
      </c>
      <c r="B15" s="34" t="s">
        <v>440</v>
      </c>
      <c r="C15" s="34" t="s">
        <v>578</v>
      </c>
      <c r="D15" s="34" t="s">
        <v>536</v>
      </c>
      <c r="E15" s="34" t="s">
        <v>578</v>
      </c>
      <c r="F15" s="34" t="s">
        <v>579</v>
      </c>
      <c r="G15" s="39">
        <v>207.42773632000001</v>
      </c>
      <c r="H15" s="39">
        <v>964.74705237000001</v>
      </c>
      <c r="I15" s="34" t="s">
        <v>578</v>
      </c>
    </row>
    <row r="16" spans="1:9" x14ac:dyDescent="0.35">
      <c r="A16" s="34" t="s">
        <v>580</v>
      </c>
      <c r="B16" s="34" t="s">
        <v>581</v>
      </c>
      <c r="C16" s="34" t="s">
        <v>582</v>
      </c>
      <c r="D16" s="34" t="s">
        <v>536</v>
      </c>
      <c r="E16" s="34" t="s">
        <v>582</v>
      </c>
      <c r="F16" s="34" t="s">
        <v>583</v>
      </c>
      <c r="G16" s="39">
        <v>95.740075259999998</v>
      </c>
      <c r="H16" s="39">
        <v>689.41539829999999</v>
      </c>
      <c r="I16" s="34" t="s">
        <v>582</v>
      </c>
    </row>
    <row r="17" spans="1:9" x14ac:dyDescent="0.35">
      <c r="A17" s="34" t="s">
        <v>584</v>
      </c>
      <c r="B17" s="34" t="s">
        <v>585</v>
      </c>
      <c r="C17" s="34" t="s">
        <v>586</v>
      </c>
      <c r="D17" s="34" t="s">
        <v>536</v>
      </c>
      <c r="E17" s="34" t="s">
        <v>586</v>
      </c>
      <c r="F17" s="34" t="s">
        <v>587</v>
      </c>
      <c r="G17" s="39">
        <v>138.31438080999999</v>
      </c>
      <c r="H17" s="39">
        <v>183.21951978000001</v>
      </c>
      <c r="I17" s="34" t="s">
        <v>586</v>
      </c>
    </row>
    <row r="18" spans="1:9" x14ac:dyDescent="0.35">
      <c r="A18" s="34" t="s">
        <v>588</v>
      </c>
      <c r="B18" s="34" t="s">
        <v>589</v>
      </c>
      <c r="C18" s="34" t="s">
        <v>590</v>
      </c>
      <c r="D18" s="34" t="s">
        <v>536</v>
      </c>
      <c r="E18" s="34" t="s">
        <v>590</v>
      </c>
      <c r="F18" s="34" t="s">
        <v>591</v>
      </c>
      <c r="G18" s="39">
        <v>33.91793054</v>
      </c>
      <c r="H18" s="39">
        <v>260.76543032000001</v>
      </c>
      <c r="I18" s="34" t="s">
        <v>590</v>
      </c>
    </row>
    <row r="19" spans="1:9" x14ac:dyDescent="0.35">
      <c r="A19" s="34" t="s">
        <v>684</v>
      </c>
      <c r="B19" s="34" t="s">
        <v>683</v>
      </c>
      <c r="C19" s="34" t="s">
        <v>685</v>
      </c>
      <c r="D19" s="34" t="s">
        <v>536</v>
      </c>
      <c r="E19" s="34" t="s">
        <v>685</v>
      </c>
      <c r="F19" s="34" t="s">
        <v>686</v>
      </c>
      <c r="G19" s="39">
        <v>74.314946120000002</v>
      </c>
      <c r="H19" s="39">
        <v>278.09354991999999</v>
      </c>
      <c r="I19" s="34" t="s">
        <v>685</v>
      </c>
    </row>
    <row r="20" spans="1:9" x14ac:dyDescent="0.35">
      <c r="A20" s="34" t="s">
        <v>592</v>
      </c>
      <c r="B20" s="34" t="s">
        <v>593</v>
      </c>
      <c r="C20" s="34" t="s">
        <v>594</v>
      </c>
      <c r="D20" s="34" t="s">
        <v>536</v>
      </c>
      <c r="E20" s="34" t="s">
        <v>594</v>
      </c>
      <c r="F20" s="34" t="s">
        <v>595</v>
      </c>
      <c r="G20" s="39">
        <v>19.591038730000001</v>
      </c>
      <c r="H20" s="39">
        <v>145.5766342</v>
      </c>
      <c r="I20" s="34" t="s">
        <v>594</v>
      </c>
    </row>
    <row r="21" spans="1:9" x14ac:dyDescent="0.35">
      <c r="A21" s="34" t="s">
        <v>664</v>
      </c>
      <c r="B21" s="34" t="s">
        <v>663</v>
      </c>
      <c r="C21" s="34" t="s">
        <v>655</v>
      </c>
      <c r="D21" s="34" t="s">
        <v>536</v>
      </c>
      <c r="E21" s="34" t="s">
        <v>655</v>
      </c>
      <c r="F21" s="34" t="s">
        <v>665</v>
      </c>
      <c r="G21" s="39">
        <v>10.13004703</v>
      </c>
      <c r="H21" s="39">
        <v>58.156966799999999</v>
      </c>
      <c r="I21" s="34" t="s">
        <v>655</v>
      </c>
    </row>
    <row r="22" spans="1:9" x14ac:dyDescent="0.35">
      <c r="A22" s="34" t="s">
        <v>596</v>
      </c>
      <c r="B22" s="34" t="s">
        <v>597</v>
      </c>
      <c r="C22" s="34" t="s">
        <v>598</v>
      </c>
      <c r="D22" s="34" t="s">
        <v>536</v>
      </c>
      <c r="E22" s="34" t="s">
        <v>598</v>
      </c>
      <c r="F22" s="34" t="s">
        <v>599</v>
      </c>
      <c r="G22" s="39">
        <v>92.309100419999993</v>
      </c>
      <c r="H22" s="39">
        <v>679.02699313000005</v>
      </c>
      <c r="I22" s="34" t="s">
        <v>598</v>
      </c>
    </row>
    <row r="23" spans="1:9" x14ac:dyDescent="0.35">
      <c r="A23" s="34" t="s">
        <v>610</v>
      </c>
      <c r="B23" s="34" t="s">
        <v>700</v>
      </c>
      <c r="C23" s="34" t="s">
        <v>609</v>
      </c>
      <c r="D23" s="34" t="s">
        <v>536</v>
      </c>
      <c r="E23" s="34" t="s">
        <v>609</v>
      </c>
      <c r="F23" s="34" t="s">
        <v>611</v>
      </c>
      <c r="G23" s="39">
        <v>112.69892905</v>
      </c>
      <c r="H23" s="39">
        <v>867.76209501999995</v>
      </c>
      <c r="I23" s="34" t="s">
        <v>609</v>
      </c>
    </row>
    <row r="24" spans="1:9" x14ac:dyDescent="0.35">
      <c r="A24" s="34" t="s">
        <v>600</v>
      </c>
      <c r="B24" s="34" t="s">
        <v>601</v>
      </c>
      <c r="C24" s="34" t="s">
        <v>602</v>
      </c>
      <c r="D24" s="34" t="s">
        <v>536</v>
      </c>
      <c r="E24" s="34" t="s">
        <v>602</v>
      </c>
      <c r="F24" s="34" t="s">
        <v>603</v>
      </c>
      <c r="G24" s="39">
        <v>7.0781213300000001</v>
      </c>
      <c r="H24" s="39">
        <v>21.334503850000001</v>
      </c>
      <c r="I24" s="34" t="s">
        <v>602</v>
      </c>
    </row>
    <row r="25" spans="1:9" x14ac:dyDescent="0.35">
      <c r="A25" s="34" t="s">
        <v>604</v>
      </c>
      <c r="B25" s="34" t="s">
        <v>605</v>
      </c>
      <c r="C25" s="34" t="s">
        <v>606</v>
      </c>
      <c r="D25" s="34" t="s">
        <v>536</v>
      </c>
      <c r="E25" s="34" t="s">
        <v>606</v>
      </c>
      <c r="F25" s="34" t="s">
        <v>607</v>
      </c>
      <c r="G25" s="39">
        <v>178.63028557999999</v>
      </c>
      <c r="H25" s="39">
        <v>281.37353995000001</v>
      </c>
      <c r="I25" s="34" t="s">
        <v>606</v>
      </c>
    </row>
    <row r="26" spans="1:9" x14ac:dyDescent="0.35">
      <c r="A26" s="34" t="s">
        <v>662</v>
      </c>
      <c r="B26" s="34" t="s">
        <v>661</v>
      </c>
      <c r="C26" s="34" t="s">
        <v>650</v>
      </c>
      <c r="D26" s="34" t="s">
        <v>536</v>
      </c>
      <c r="E26" s="34" t="s">
        <v>650</v>
      </c>
      <c r="F26" s="34" t="s">
        <v>652</v>
      </c>
      <c r="G26" s="39">
        <v>99.280222629999997</v>
      </c>
      <c r="H26" s="39">
        <v>741.44552843999998</v>
      </c>
      <c r="I26" s="34" t="s">
        <v>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706D-9245-419B-9DD8-CF8953779588}">
  <dimension ref="A1:I26"/>
  <sheetViews>
    <sheetView topLeftCell="A13" workbookViewId="0">
      <selection activeCell="B22" sqref="B22"/>
    </sheetView>
  </sheetViews>
  <sheetFormatPr defaultRowHeight="14.5" x14ac:dyDescent="0.35"/>
  <cols>
    <col min="1" max="1" width="23.26953125" bestFit="1" customWidth="1"/>
    <col min="2" max="2" width="42.26953125" bestFit="1" customWidth="1"/>
    <col min="3" max="3" width="13.54296875" bestFit="1" customWidth="1"/>
    <col min="4" max="4" width="16.1796875" bestFit="1" customWidth="1"/>
    <col min="5" max="5" width="13.54296875" bestFit="1" customWidth="1"/>
    <col min="6" max="6" width="12.81640625" bestFit="1" customWidth="1"/>
    <col min="7" max="7" width="35.7265625" bestFit="1" customWidth="1"/>
    <col min="8" max="8" width="51.453125" bestFit="1" customWidth="1"/>
    <col min="9" max="9" width="13.54296875" bestFit="1" customWidth="1"/>
  </cols>
  <sheetData>
    <row r="1" spans="1:9" x14ac:dyDescent="0.35">
      <c r="A1" s="38" t="s">
        <v>527</v>
      </c>
      <c r="B1" s="38" t="s">
        <v>528</v>
      </c>
      <c r="C1" s="38" t="s">
        <v>485</v>
      </c>
      <c r="D1" s="38" t="s">
        <v>529</v>
      </c>
      <c r="E1" s="38" t="s">
        <v>530</v>
      </c>
      <c r="F1" s="38" t="s">
        <v>531</v>
      </c>
      <c r="G1" s="38" t="s">
        <v>532</v>
      </c>
      <c r="H1" s="38" t="s">
        <v>533</v>
      </c>
      <c r="I1" s="38" t="s">
        <v>530</v>
      </c>
    </row>
    <row r="2" spans="1:9" x14ac:dyDescent="0.35">
      <c r="A2" s="34" t="s">
        <v>534</v>
      </c>
      <c r="B2" s="34" t="s">
        <v>535</v>
      </c>
      <c r="C2" s="34" t="s">
        <v>537</v>
      </c>
      <c r="D2" s="34" t="s">
        <v>536</v>
      </c>
      <c r="E2" s="34" t="s">
        <v>537</v>
      </c>
      <c r="F2" s="34" t="s">
        <v>538</v>
      </c>
      <c r="G2" s="39">
        <v>22.272456810000001</v>
      </c>
      <c r="H2" s="39">
        <v>177.58505708999999</v>
      </c>
      <c r="I2" s="34" t="s">
        <v>537</v>
      </c>
    </row>
    <row r="3" spans="1:9" x14ac:dyDescent="0.35">
      <c r="A3" s="34" t="s">
        <v>539</v>
      </c>
      <c r="B3" s="34" t="s">
        <v>540</v>
      </c>
      <c r="C3" s="34" t="s">
        <v>541</v>
      </c>
      <c r="D3" s="34" t="s">
        <v>536</v>
      </c>
      <c r="E3" s="34" t="s">
        <v>541</v>
      </c>
      <c r="F3" s="34" t="s">
        <v>542</v>
      </c>
      <c r="G3" s="39">
        <v>6.7584659299999998</v>
      </c>
      <c r="H3" s="39">
        <v>39.940379479999997</v>
      </c>
      <c r="I3" s="34" t="s">
        <v>541</v>
      </c>
    </row>
    <row r="4" spans="1:9" x14ac:dyDescent="0.35">
      <c r="A4" s="34" t="s">
        <v>666</v>
      </c>
      <c r="B4" s="34" t="s">
        <v>656</v>
      </c>
      <c r="C4" s="34" t="s">
        <v>657</v>
      </c>
      <c r="D4" s="34" t="s">
        <v>536</v>
      </c>
      <c r="E4" s="34" t="s">
        <v>657</v>
      </c>
      <c r="F4" s="34" t="s">
        <v>653</v>
      </c>
      <c r="G4" s="39">
        <v>43.232014650000004</v>
      </c>
      <c r="H4" s="39">
        <v>396.91306216999999</v>
      </c>
      <c r="I4" s="34" t="s">
        <v>657</v>
      </c>
    </row>
    <row r="5" spans="1:9" x14ac:dyDescent="0.35">
      <c r="A5" s="34" t="s">
        <v>543</v>
      </c>
      <c r="B5" s="34" t="s">
        <v>544</v>
      </c>
      <c r="C5" s="34" t="s">
        <v>545</v>
      </c>
      <c r="D5" s="34" t="s">
        <v>536</v>
      </c>
      <c r="E5" s="34" t="s">
        <v>545</v>
      </c>
      <c r="F5" s="34" t="s">
        <v>546</v>
      </c>
      <c r="G5" s="39">
        <v>109.30923404000001</v>
      </c>
      <c r="H5" s="39">
        <v>743.38133876999996</v>
      </c>
      <c r="I5" s="34" t="s">
        <v>545</v>
      </c>
    </row>
    <row r="6" spans="1:9" x14ac:dyDescent="0.35">
      <c r="A6" s="34" t="s">
        <v>547</v>
      </c>
      <c r="B6" s="34" t="s">
        <v>436</v>
      </c>
      <c r="C6" s="34" t="s">
        <v>548</v>
      </c>
      <c r="D6" s="34" t="s">
        <v>536</v>
      </c>
      <c r="E6" s="34" t="s">
        <v>548</v>
      </c>
      <c r="F6" s="34" t="s">
        <v>549</v>
      </c>
      <c r="G6" s="39">
        <v>208.75900278</v>
      </c>
      <c r="H6" s="39">
        <v>2220.5206799399998</v>
      </c>
      <c r="I6" s="34" t="s">
        <v>548</v>
      </c>
    </row>
    <row r="7" spans="1:9" x14ac:dyDescent="0.35">
      <c r="A7" s="34" t="s">
        <v>550</v>
      </c>
      <c r="B7" s="34" t="s">
        <v>437</v>
      </c>
      <c r="C7" s="34" t="s">
        <v>551</v>
      </c>
      <c r="D7" s="34" t="s">
        <v>536</v>
      </c>
      <c r="E7" s="34" t="s">
        <v>551</v>
      </c>
      <c r="F7" s="34" t="s">
        <v>552</v>
      </c>
      <c r="G7" s="39">
        <v>3.5338920200000001</v>
      </c>
      <c r="H7" s="39">
        <v>54.296141910000003</v>
      </c>
      <c r="I7" s="34" t="s">
        <v>551</v>
      </c>
    </row>
    <row r="8" spans="1:9" x14ac:dyDescent="0.35">
      <c r="A8" s="34" t="s">
        <v>553</v>
      </c>
      <c r="B8" s="34" t="s">
        <v>438</v>
      </c>
      <c r="C8" s="34" t="s">
        <v>554</v>
      </c>
      <c r="D8" s="34" t="s">
        <v>536</v>
      </c>
      <c r="E8" s="34" t="s">
        <v>554</v>
      </c>
      <c r="F8" s="34" t="s">
        <v>555</v>
      </c>
      <c r="G8" s="39">
        <v>2.7511170800000002</v>
      </c>
      <c r="H8" s="39">
        <v>89.510658500000005</v>
      </c>
      <c r="I8" s="34" t="s">
        <v>554</v>
      </c>
    </row>
    <row r="9" spans="1:9" x14ac:dyDescent="0.35">
      <c r="A9" s="34" t="s">
        <v>556</v>
      </c>
      <c r="B9" s="34" t="s">
        <v>557</v>
      </c>
      <c r="C9" s="34" t="s">
        <v>558</v>
      </c>
      <c r="D9" s="34" t="s">
        <v>536</v>
      </c>
      <c r="E9" s="34" t="s">
        <v>558</v>
      </c>
      <c r="F9" s="34" t="s">
        <v>559</v>
      </c>
      <c r="G9" s="39">
        <v>7.9125585799999998</v>
      </c>
      <c r="H9" s="39">
        <v>72.088830520000002</v>
      </c>
      <c r="I9" s="34" t="s">
        <v>558</v>
      </c>
    </row>
    <row r="10" spans="1:9" x14ac:dyDescent="0.35">
      <c r="A10" s="34" t="s">
        <v>560</v>
      </c>
      <c r="B10" s="34" t="s">
        <v>561</v>
      </c>
      <c r="C10" s="34" t="s">
        <v>562</v>
      </c>
      <c r="D10" s="34" t="s">
        <v>536</v>
      </c>
      <c r="E10" s="34" t="s">
        <v>562</v>
      </c>
      <c r="F10" s="34" t="s">
        <v>563</v>
      </c>
      <c r="G10" s="39">
        <v>3.9668277399999998</v>
      </c>
      <c r="H10" s="39">
        <v>36.215902890000002</v>
      </c>
      <c r="I10" s="34" t="s">
        <v>562</v>
      </c>
    </row>
    <row r="11" spans="1:9" x14ac:dyDescent="0.35">
      <c r="A11" s="34" t="s">
        <v>564</v>
      </c>
      <c r="B11" s="34" t="s">
        <v>565</v>
      </c>
      <c r="C11" s="34" t="s">
        <v>566</v>
      </c>
      <c r="D11" s="34" t="s">
        <v>536</v>
      </c>
      <c r="E11" s="34" t="s">
        <v>566</v>
      </c>
      <c r="F11" s="34" t="s">
        <v>567</v>
      </c>
      <c r="G11" s="39">
        <v>11.680975009999999</v>
      </c>
      <c r="H11" s="39">
        <v>322.22907228999998</v>
      </c>
      <c r="I11" s="34" t="s">
        <v>566</v>
      </c>
    </row>
    <row r="12" spans="1:9" x14ac:dyDescent="0.35">
      <c r="A12" s="34" t="s">
        <v>568</v>
      </c>
      <c r="B12" s="34" t="s">
        <v>435</v>
      </c>
      <c r="C12" s="34" t="s">
        <v>569</v>
      </c>
      <c r="D12" s="34" t="s">
        <v>536</v>
      </c>
      <c r="E12" s="34" t="s">
        <v>569</v>
      </c>
      <c r="F12" s="34" t="s">
        <v>570</v>
      </c>
      <c r="G12" s="39">
        <v>20.599526010000002</v>
      </c>
      <c r="H12" s="39">
        <v>283.85097385</v>
      </c>
      <c r="I12" s="34" t="s">
        <v>569</v>
      </c>
    </row>
    <row r="13" spans="1:9" x14ac:dyDescent="0.35">
      <c r="A13" s="34" t="s">
        <v>571</v>
      </c>
      <c r="B13" s="34" t="s">
        <v>439</v>
      </c>
      <c r="C13" s="34" t="s">
        <v>572</v>
      </c>
      <c r="D13" s="34" t="s">
        <v>536</v>
      </c>
      <c r="E13" s="34" t="s">
        <v>572</v>
      </c>
      <c r="F13" s="34" t="s">
        <v>573</v>
      </c>
      <c r="G13" s="39">
        <v>29.225820110000001</v>
      </c>
      <c r="H13" s="39">
        <v>600.13717153000005</v>
      </c>
      <c r="I13" s="34" t="s">
        <v>572</v>
      </c>
    </row>
    <row r="14" spans="1:9" x14ac:dyDescent="0.35">
      <c r="A14" s="34" t="s">
        <v>574</v>
      </c>
      <c r="B14" s="34" t="s">
        <v>442</v>
      </c>
      <c r="C14" s="34" t="s">
        <v>575</v>
      </c>
      <c r="D14" s="34" t="s">
        <v>536</v>
      </c>
      <c r="E14" s="34" t="s">
        <v>575</v>
      </c>
      <c r="F14" s="34" t="s">
        <v>576</v>
      </c>
      <c r="G14" s="39">
        <v>250.75648330000001</v>
      </c>
      <c r="H14" s="39">
        <v>243.37131549</v>
      </c>
      <c r="I14" s="34" t="s">
        <v>575</v>
      </c>
    </row>
    <row r="15" spans="1:9" x14ac:dyDescent="0.35">
      <c r="A15" s="34" t="s">
        <v>577</v>
      </c>
      <c r="B15" s="34" t="s">
        <v>440</v>
      </c>
      <c r="C15" s="34" t="s">
        <v>578</v>
      </c>
      <c r="D15" s="34" t="s">
        <v>536</v>
      </c>
      <c r="E15" s="34" t="s">
        <v>578</v>
      </c>
      <c r="F15" s="34" t="s">
        <v>579</v>
      </c>
      <c r="G15" s="39">
        <v>207.42773632000001</v>
      </c>
      <c r="H15" s="39">
        <v>964.74705237000001</v>
      </c>
      <c r="I15" s="34" t="s">
        <v>578</v>
      </c>
    </row>
    <row r="16" spans="1:9" x14ac:dyDescent="0.35">
      <c r="A16" s="34" t="s">
        <v>580</v>
      </c>
      <c r="B16" s="34" t="s">
        <v>581</v>
      </c>
      <c r="C16" s="34" t="s">
        <v>582</v>
      </c>
      <c r="D16" s="34" t="s">
        <v>536</v>
      </c>
      <c r="E16" s="34" t="s">
        <v>582</v>
      </c>
      <c r="F16" s="34" t="s">
        <v>583</v>
      </c>
      <c r="G16" s="39">
        <v>95.740075259999998</v>
      </c>
      <c r="H16" s="39">
        <v>689.41539829999999</v>
      </c>
      <c r="I16" s="34" t="s">
        <v>582</v>
      </c>
    </row>
    <row r="17" spans="1:9" x14ac:dyDescent="0.35">
      <c r="A17" s="34" t="s">
        <v>584</v>
      </c>
      <c r="B17" s="34" t="s">
        <v>585</v>
      </c>
      <c r="C17" s="34" t="s">
        <v>586</v>
      </c>
      <c r="D17" s="34" t="s">
        <v>536</v>
      </c>
      <c r="E17" s="34" t="s">
        <v>586</v>
      </c>
      <c r="F17" s="34" t="s">
        <v>587</v>
      </c>
      <c r="G17" s="39">
        <v>138.31438080999999</v>
      </c>
      <c r="H17" s="39">
        <v>183.21951978000001</v>
      </c>
      <c r="I17" s="34" t="s">
        <v>586</v>
      </c>
    </row>
    <row r="18" spans="1:9" x14ac:dyDescent="0.35">
      <c r="A18" s="34" t="s">
        <v>588</v>
      </c>
      <c r="B18" s="34" t="s">
        <v>589</v>
      </c>
      <c r="C18" s="34" t="s">
        <v>590</v>
      </c>
      <c r="D18" s="34" t="s">
        <v>536</v>
      </c>
      <c r="E18" s="34" t="s">
        <v>590</v>
      </c>
      <c r="F18" s="34" t="s">
        <v>591</v>
      </c>
      <c r="G18" s="39">
        <v>33.91793054</v>
      </c>
      <c r="H18" s="39">
        <v>260.76543032000001</v>
      </c>
      <c r="I18" s="34" t="s">
        <v>590</v>
      </c>
    </row>
    <row r="19" spans="1:9" x14ac:dyDescent="0.35">
      <c r="A19" s="34" t="s">
        <v>684</v>
      </c>
      <c r="B19" s="34" t="s">
        <v>683</v>
      </c>
      <c r="C19" s="34" t="s">
        <v>685</v>
      </c>
      <c r="D19" s="34" t="s">
        <v>536</v>
      </c>
      <c r="E19" s="34" t="s">
        <v>685</v>
      </c>
      <c r="F19" s="34" t="s">
        <v>686</v>
      </c>
      <c r="G19" s="39">
        <v>74.314946120000002</v>
      </c>
      <c r="H19" s="39">
        <v>278.09354991999999</v>
      </c>
      <c r="I19" s="34" t="s">
        <v>685</v>
      </c>
    </row>
    <row r="20" spans="1:9" x14ac:dyDescent="0.35">
      <c r="A20" s="34" t="s">
        <v>592</v>
      </c>
      <c r="B20" s="34" t="s">
        <v>593</v>
      </c>
      <c r="C20" s="34" t="s">
        <v>594</v>
      </c>
      <c r="D20" s="34" t="s">
        <v>536</v>
      </c>
      <c r="E20" s="34" t="s">
        <v>594</v>
      </c>
      <c r="F20" s="34" t="s">
        <v>595</v>
      </c>
      <c r="G20" s="39">
        <v>19.591038730000001</v>
      </c>
      <c r="H20" s="39">
        <v>145.5766342</v>
      </c>
      <c r="I20" s="34" t="s">
        <v>594</v>
      </c>
    </row>
    <row r="21" spans="1:9" x14ac:dyDescent="0.35">
      <c r="A21" s="34" t="s">
        <v>664</v>
      </c>
      <c r="B21" s="34" t="s">
        <v>663</v>
      </c>
      <c r="C21" s="34" t="s">
        <v>655</v>
      </c>
      <c r="D21" s="34" t="s">
        <v>536</v>
      </c>
      <c r="E21" s="34" t="s">
        <v>655</v>
      </c>
      <c r="F21" s="34" t="s">
        <v>665</v>
      </c>
      <c r="G21" s="39">
        <v>10.13004703</v>
      </c>
      <c r="H21" s="39">
        <v>58.156966799999999</v>
      </c>
      <c r="I21" s="34" t="s">
        <v>655</v>
      </c>
    </row>
    <row r="22" spans="1:9" x14ac:dyDescent="0.35">
      <c r="A22" s="34" t="s">
        <v>596</v>
      </c>
      <c r="B22" s="34" t="s">
        <v>597</v>
      </c>
      <c r="C22" s="34" t="s">
        <v>598</v>
      </c>
      <c r="D22" s="34" t="s">
        <v>536</v>
      </c>
      <c r="E22" s="34" t="s">
        <v>598</v>
      </c>
      <c r="F22" s="34" t="s">
        <v>599</v>
      </c>
      <c r="G22" s="39">
        <v>92.309100419999993</v>
      </c>
      <c r="H22" s="39">
        <v>679.02699313000005</v>
      </c>
      <c r="I22" s="34" t="s">
        <v>598</v>
      </c>
    </row>
    <row r="23" spans="1:9" x14ac:dyDescent="0.35">
      <c r="A23" s="34" t="s">
        <v>610</v>
      </c>
      <c r="B23" s="34" t="s">
        <v>700</v>
      </c>
      <c r="C23" s="34" t="s">
        <v>609</v>
      </c>
      <c r="D23" s="34" t="s">
        <v>536</v>
      </c>
      <c r="E23" s="34" t="s">
        <v>609</v>
      </c>
      <c r="F23" s="34" t="s">
        <v>611</v>
      </c>
      <c r="G23" s="39">
        <v>112.69892905</v>
      </c>
      <c r="H23" s="39">
        <v>867.76209501999995</v>
      </c>
      <c r="I23" s="34" t="s">
        <v>609</v>
      </c>
    </row>
    <row r="24" spans="1:9" x14ac:dyDescent="0.35">
      <c r="A24" s="34" t="s">
        <v>600</v>
      </c>
      <c r="B24" s="34" t="s">
        <v>601</v>
      </c>
      <c r="C24" s="34" t="s">
        <v>602</v>
      </c>
      <c r="D24" s="34" t="s">
        <v>536</v>
      </c>
      <c r="E24" s="34" t="s">
        <v>602</v>
      </c>
      <c r="F24" s="34" t="s">
        <v>603</v>
      </c>
      <c r="G24" s="39">
        <v>7.0781213300000001</v>
      </c>
      <c r="H24" s="39">
        <v>21.334503850000001</v>
      </c>
      <c r="I24" s="34" t="s">
        <v>602</v>
      </c>
    </row>
    <row r="25" spans="1:9" x14ac:dyDescent="0.35">
      <c r="A25" s="34" t="s">
        <v>604</v>
      </c>
      <c r="B25" s="34" t="s">
        <v>605</v>
      </c>
      <c r="C25" s="34" t="s">
        <v>606</v>
      </c>
      <c r="D25" s="34" t="s">
        <v>536</v>
      </c>
      <c r="E25" s="34" t="s">
        <v>606</v>
      </c>
      <c r="F25" s="34" t="s">
        <v>607</v>
      </c>
      <c r="G25" s="39">
        <v>178.63028557999999</v>
      </c>
      <c r="H25" s="39">
        <v>281.37353995000001</v>
      </c>
      <c r="I25" s="34" t="s">
        <v>606</v>
      </c>
    </row>
    <row r="26" spans="1:9" x14ac:dyDescent="0.35">
      <c r="A26" s="34" t="s">
        <v>662</v>
      </c>
      <c r="B26" s="34" t="s">
        <v>661</v>
      </c>
      <c r="C26" s="34" t="s">
        <v>650</v>
      </c>
      <c r="D26" s="34" t="s">
        <v>536</v>
      </c>
      <c r="E26" s="34" t="s">
        <v>650</v>
      </c>
      <c r="F26" s="34" t="s">
        <v>652</v>
      </c>
      <c r="G26" s="39">
        <v>99.280222629999997</v>
      </c>
      <c r="H26" s="39">
        <v>741.44552843999998</v>
      </c>
      <c r="I26" s="34" t="s">
        <v>650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2715-A10A-4E98-B04E-409A8E71EE15}">
  <dimension ref="A1:I1102"/>
  <sheetViews>
    <sheetView tabSelected="1" topLeftCell="B1" workbookViewId="0">
      <selection activeCell="G7" sqref="G7"/>
    </sheetView>
  </sheetViews>
  <sheetFormatPr defaultRowHeight="14.5" x14ac:dyDescent="0.35"/>
  <cols>
    <col min="1" max="1" width="14.26953125" bestFit="1" customWidth="1"/>
    <col min="2" max="2" width="14.08984375" bestFit="1" customWidth="1"/>
    <col min="3" max="3" width="10.26953125" bestFit="1" customWidth="1"/>
    <col min="4" max="4" width="9.08984375" bestFit="1" customWidth="1"/>
    <col min="5" max="5" width="52.81640625" bestFit="1" customWidth="1"/>
    <col min="6" max="6" width="9.1796875" bestFit="1" customWidth="1"/>
    <col min="7" max="7" width="43.1796875" bestFit="1" customWidth="1"/>
    <col min="8" max="8" width="13.26953125" bestFit="1" customWidth="1"/>
    <col min="9" max="9" width="9.08984375" bestFit="1" customWidth="1"/>
  </cols>
  <sheetData>
    <row r="1" spans="1:9" x14ac:dyDescent="0.35">
      <c r="A1" s="3" t="s">
        <v>1247</v>
      </c>
      <c r="B1" s="3" t="s">
        <v>608</v>
      </c>
      <c r="C1" s="3" t="s">
        <v>1248</v>
      </c>
      <c r="D1" s="3" t="s">
        <v>1249</v>
      </c>
      <c r="E1" s="3" t="s">
        <v>1513</v>
      </c>
      <c r="F1" s="3" t="s">
        <v>1250</v>
      </c>
      <c r="G1" s="3" t="s">
        <v>2</v>
      </c>
      <c r="H1" s="46" t="s">
        <v>428</v>
      </c>
      <c r="I1" s="46" t="s">
        <v>428</v>
      </c>
    </row>
    <row r="2" spans="1:9" x14ac:dyDescent="0.35">
      <c r="A2" s="34" t="s">
        <v>1251</v>
      </c>
      <c r="B2" t="s">
        <v>1252</v>
      </c>
      <c r="C2" t="s">
        <v>1253</v>
      </c>
      <c r="D2" t="s">
        <v>1254</v>
      </c>
      <c r="E2" t="s">
        <v>1434</v>
      </c>
      <c r="F2" t="s">
        <v>1435</v>
      </c>
      <c r="G2" t="s">
        <v>440</v>
      </c>
      <c r="H2" t="s">
        <v>578</v>
      </c>
      <c r="I2" s="54">
        <v>46174</v>
      </c>
    </row>
    <row r="3" spans="1:9" x14ac:dyDescent="0.35">
      <c r="A3" s="34" t="s">
        <v>1255</v>
      </c>
      <c r="B3" t="s">
        <v>1256</v>
      </c>
      <c r="C3" t="s">
        <v>1257</v>
      </c>
      <c r="D3" t="s">
        <v>1254</v>
      </c>
      <c r="E3" t="s">
        <v>1436</v>
      </c>
      <c r="F3" t="s">
        <v>1435</v>
      </c>
      <c r="G3" t="s">
        <v>437</v>
      </c>
      <c r="H3" t="s">
        <v>551</v>
      </c>
      <c r="I3" s="54">
        <v>46174</v>
      </c>
    </row>
    <row r="4" spans="1:9" x14ac:dyDescent="0.35">
      <c r="A4" s="34" t="s">
        <v>1258</v>
      </c>
      <c r="B4" t="s">
        <v>1259</v>
      </c>
      <c r="C4" t="s">
        <v>1253</v>
      </c>
      <c r="D4" t="s">
        <v>1260</v>
      </c>
      <c r="E4" t="s">
        <v>1437</v>
      </c>
      <c r="F4" t="s">
        <v>1435</v>
      </c>
      <c r="G4" t="s">
        <v>437</v>
      </c>
      <c r="H4" t="s">
        <v>551</v>
      </c>
      <c r="I4" s="54">
        <v>46174</v>
      </c>
    </row>
    <row r="5" spans="1:9" x14ac:dyDescent="0.35">
      <c r="A5" s="34" t="s">
        <v>1261</v>
      </c>
      <c r="B5" t="s">
        <v>1262</v>
      </c>
      <c r="C5" t="s">
        <v>1253</v>
      </c>
      <c r="D5" t="s">
        <v>1254</v>
      </c>
      <c r="E5" t="s">
        <v>1438</v>
      </c>
      <c r="F5" t="s">
        <v>1435</v>
      </c>
      <c r="G5" t="s">
        <v>565</v>
      </c>
      <c r="H5" t="s">
        <v>566</v>
      </c>
      <c r="I5" s="54">
        <v>46174</v>
      </c>
    </row>
    <row r="6" spans="1:9" x14ac:dyDescent="0.35">
      <c r="A6" s="34" t="s">
        <v>1251</v>
      </c>
      <c r="B6" t="s">
        <v>1252</v>
      </c>
      <c r="C6" t="s">
        <v>1253</v>
      </c>
      <c r="D6" t="s">
        <v>1263</v>
      </c>
      <c r="E6" t="s">
        <v>1434</v>
      </c>
      <c r="F6" t="s">
        <v>1435</v>
      </c>
      <c r="G6" t="s">
        <v>440</v>
      </c>
      <c r="H6" t="s">
        <v>578</v>
      </c>
      <c r="I6" s="54">
        <v>46174</v>
      </c>
    </row>
    <row r="7" spans="1:9" x14ac:dyDescent="0.35">
      <c r="A7" s="34" t="s">
        <v>1264</v>
      </c>
      <c r="B7" t="s">
        <v>1265</v>
      </c>
      <c r="C7" t="s">
        <v>1253</v>
      </c>
      <c r="D7" t="s">
        <v>1266</v>
      </c>
      <c r="E7" t="s">
        <v>1439</v>
      </c>
      <c r="F7" t="s">
        <v>1435</v>
      </c>
      <c r="G7" t="s">
        <v>437</v>
      </c>
      <c r="H7" t="s">
        <v>551</v>
      </c>
      <c r="I7" s="54">
        <v>46174</v>
      </c>
    </row>
    <row r="8" spans="1:9" x14ac:dyDescent="0.35">
      <c r="A8" s="34" t="s">
        <v>1267</v>
      </c>
      <c r="B8" t="s">
        <v>1268</v>
      </c>
      <c r="C8" t="s">
        <v>1253</v>
      </c>
      <c r="D8" t="s">
        <v>1254</v>
      </c>
      <c r="E8" t="s">
        <v>1440</v>
      </c>
      <c r="F8" t="s">
        <v>1435</v>
      </c>
      <c r="G8" t="s">
        <v>437</v>
      </c>
      <c r="H8" t="s">
        <v>551</v>
      </c>
      <c r="I8" s="54">
        <v>46174</v>
      </c>
    </row>
    <row r="9" spans="1:9" x14ac:dyDescent="0.35">
      <c r="A9" s="34" t="s">
        <v>1255</v>
      </c>
      <c r="B9" t="s">
        <v>1256</v>
      </c>
      <c r="C9" t="s">
        <v>1257</v>
      </c>
      <c r="D9" t="s">
        <v>1266</v>
      </c>
      <c r="E9" t="s">
        <v>1436</v>
      </c>
      <c r="F9" t="s">
        <v>1435</v>
      </c>
      <c r="G9" t="s">
        <v>437</v>
      </c>
      <c r="H9" t="s">
        <v>551</v>
      </c>
      <c r="I9" s="54">
        <v>46174</v>
      </c>
    </row>
    <row r="10" spans="1:9" x14ac:dyDescent="0.35">
      <c r="A10" s="34" t="s">
        <v>1269</v>
      </c>
      <c r="B10" t="s">
        <v>1270</v>
      </c>
      <c r="C10" t="s">
        <v>1257</v>
      </c>
      <c r="D10" t="s">
        <v>1254</v>
      </c>
      <c r="E10" t="s">
        <v>1436</v>
      </c>
      <c r="F10" t="s">
        <v>1435</v>
      </c>
      <c r="G10" t="s">
        <v>437</v>
      </c>
      <c r="H10" t="s">
        <v>551</v>
      </c>
      <c r="I10" s="54">
        <v>46174</v>
      </c>
    </row>
    <row r="11" spans="1:9" x14ac:dyDescent="0.35">
      <c r="A11" s="34" t="s">
        <v>1255</v>
      </c>
      <c r="B11" t="s">
        <v>1256</v>
      </c>
      <c r="C11" t="s">
        <v>1257</v>
      </c>
      <c r="D11" t="s">
        <v>1263</v>
      </c>
      <c r="E11" t="s">
        <v>1436</v>
      </c>
      <c r="F11" t="s">
        <v>1435</v>
      </c>
      <c r="G11" t="s">
        <v>437</v>
      </c>
      <c r="H11" t="s">
        <v>551</v>
      </c>
      <c r="I11" s="54">
        <v>46174</v>
      </c>
    </row>
    <row r="12" spans="1:9" x14ac:dyDescent="0.35">
      <c r="A12" s="34" t="s">
        <v>1271</v>
      </c>
      <c r="B12" t="s">
        <v>1272</v>
      </c>
      <c r="C12" t="s">
        <v>1253</v>
      </c>
      <c r="D12" t="s">
        <v>1260</v>
      </c>
      <c r="E12" t="s">
        <v>1437</v>
      </c>
      <c r="F12" t="s">
        <v>1435</v>
      </c>
      <c r="G12" t="s">
        <v>437</v>
      </c>
      <c r="H12" t="s">
        <v>551</v>
      </c>
      <c r="I12" s="54">
        <v>46174</v>
      </c>
    </row>
    <row r="13" spans="1:9" x14ac:dyDescent="0.35">
      <c r="A13" s="34" t="s">
        <v>1264</v>
      </c>
      <c r="B13" t="s">
        <v>1265</v>
      </c>
      <c r="C13" t="s">
        <v>1253</v>
      </c>
      <c r="D13" t="s">
        <v>1254</v>
      </c>
      <c r="E13" t="s">
        <v>1439</v>
      </c>
      <c r="F13" t="s">
        <v>1435</v>
      </c>
      <c r="G13" t="s">
        <v>437</v>
      </c>
      <c r="H13" t="s">
        <v>551</v>
      </c>
      <c r="I13" s="54">
        <v>46174</v>
      </c>
    </row>
    <row r="14" spans="1:9" x14ac:dyDescent="0.35">
      <c r="A14" s="34" t="s">
        <v>1255</v>
      </c>
      <c r="B14" t="s">
        <v>1256</v>
      </c>
      <c r="C14" t="s">
        <v>1253</v>
      </c>
      <c r="D14" t="s">
        <v>1254</v>
      </c>
      <c r="E14" t="s">
        <v>1436</v>
      </c>
      <c r="F14" t="s">
        <v>1435</v>
      </c>
      <c r="G14" t="s">
        <v>437</v>
      </c>
      <c r="H14" t="s">
        <v>551</v>
      </c>
      <c r="I14" s="54">
        <v>46174</v>
      </c>
    </row>
    <row r="15" spans="1:9" x14ac:dyDescent="0.35">
      <c r="A15" s="34" t="s">
        <v>1261</v>
      </c>
      <c r="B15" t="s">
        <v>1262</v>
      </c>
      <c r="C15" t="s">
        <v>1253</v>
      </c>
      <c r="D15" t="s">
        <v>1263</v>
      </c>
      <c r="E15" t="s">
        <v>1438</v>
      </c>
      <c r="F15" t="s">
        <v>1435</v>
      </c>
      <c r="G15" t="s">
        <v>565</v>
      </c>
      <c r="H15" t="s">
        <v>566</v>
      </c>
      <c r="I15" s="54">
        <v>46174</v>
      </c>
    </row>
    <row r="16" spans="1:9" x14ac:dyDescent="0.35">
      <c r="A16" s="34" t="s">
        <v>1264</v>
      </c>
      <c r="B16" t="s">
        <v>1265</v>
      </c>
      <c r="C16" t="s">
        <v>1257</v>
      </c>
      <c r="D16" t="s">
        <v>1254</v>
      </c>
      <c r="E16" t="s">
        <v>1439</v>
      </c>
      <c r="F16" t="s">
        <v>1435</v>
      </c>
      <c r="G16" t="s">
        <v>437</v>
      </c>
      <c r="H16" t="s">
        <v>551</v>
      </c>
      <c r="I16" s="54">
        <v>46174</v>
      </c>
    </row>
    <row r="17" spans="1:9" x14ac:dyDescent="0.35">
      <c r="A17" s="34" t="s">
        <v>1255</v>
      </c>
      <c r="B17" t="s">
        <v>1256</v>
      </c>
      <c r="C17" t="s">
        <v>1253</v>
      </c>
      <c r="D17" t="s">
        <v>1266</v>
      </c>
      <c r="E17" t="s">
        <v>1436</v>
      </c>
      <c r="F17" t="s">
        <v>1435</v>
      </c>
      <c r="G17" t="s">
        <v>437</v>
      </c>
      <c r="H17" t="s">
        <v>551</v>
      </c>
      <c r="I17" s="54">
        <v>46174</v>
      </c>
    </row>
    <row r="18" spans="1:9" x14ac:dyDescent="0.35">
      <c r="A18" s="34" t="s">
        <v>1269</v>
      </c>
      <c r="B18" t="s">
        <v>1270</v>
      </c>
      <c r="C18" t="s">
        <v>1253</v>
      </c>
      <c r="D18" t="s">
        <v>1254</v>
      </c>
      <c r="E18" t="s">
        <v>1436</v>
      </c>
      <c r="F18" t="s">
        <v>1435</v>
      </c>
      <c r="G18" t="s">
        <v>437</v>
      </c>
      <c r="H18" t="s">
        <v>551</v>
      </c>
      <c r="I18" s="54">
        <v>46174</v>
      </c>
    </row>
    <row r="19" spans="1:9" x14ac:dyDescent="0.35">
      <c r="A19" s="34" t="s">
        <v>1261</v>
      </c>
      <c r="B19" t="s">
        <v>1262</v>
      </c>
      <c r="C19" t="s">
        <v>1253</v>
      </c>
      <c r="D19" t="s">
        <v>1273</v>
      </c>
      <c r="E19" t="s">
        <v>1438</v>
      </c>
      <c r="F19" t="s">
        <v>1435</v>
      </c>
      <c r="G19" t="s">
        <v>565</v>
      </c>
      <c r="H19" t="s">
        <v>566</v>
      </c>
      <c r="I19" s="54">
        <v>46174</v>
      </c>
    </row>
    <row r="20" spans="1:9" x14ac:dyDescent="0.35">
      <c r="A20" s="34" t="s">
        <v>1264</v>
      </c>
      <c r="B20" t="s">
        <v>1265</v>
      </c>
      <c r="C20" t="s">
        <v>1274</v>
      </c>
      <c r="D20" t="s">
        <v>1254</v>
      </c>
      <c r="E20" t="s">
        <v>1439</v>
      </c>
      <c r="F20" t="s">
        <v>1435</v>
      </c>
      <c r="G20" t="s">
        <v>437</v>
      </c>
      <c r="H20" t="s">
        <v>551</v>
      </c>
      <c r="I20" s="54">
        <v>46174</v>
      </c>
    </row>
    <row r="21" spans="1:9" x14ac:dyDescent="0.35">
      <c r="A21" s="34" t="s">
        <v>1275</v>
      </c>
      <c r="B21" t="s">
        <v>1276</v>
      </c>
      <c r="C21" t="s">
        <v>1253</v>
      </c>
      <c r="D21" t="s">
        <v>1260</v>
      </c>
      <c r="E21" t="s">
        <v>1437</v>
      </c>
      <c r="F21" t="s">
        <v>1435</v>
      </c>
      <c r="G21" t="s">
        <v>437</v>
      </c>
      <c r="H21" t="s">
        <v>551</v>
      </c>
      <c r="I21" s="54">
        <v>46174</v>
      </c>
    </row>
    <row r="22" spans="1:9" x14ac:dyDescent="0.35">
      <c r="A22" s="34" t="s">
        <v>1277</v>
      </c>
      <c r="B22" t="s">
        <v>1278</v>
      </c>
      <c r="C22" t="s">
        <v>1253</v>
      </c>
      <c r="D22" t="s">
        <v>1266</v>
      </c>
      <c r="E22" t="s">
        <v>1441</v>
      </c>
      <c r="F22" t="s">
        <v>1435</v>
      </c>
      <c r="G22" t="s">
        <v>437</v>
      </c>
      <c r="H22" t="s">
        <v>551</v>
      </c>
      <c r="I22" s="54">
        <v>46174</v>
      </c>
    </row>
    <row r="23" spans="1:9" x14ac:dyDescent="0.35">
      <c r="A23" s="34" t="s">
        <v>1279</v>
      </c>
      <c r="B23" t="s">
        <v>1280</v>
      </c>
      <c r="C23" t="s">
        <v>1257</v>
      </c>
      <c r="D23" t="s">
        <v>1254</v>
      </c>
      <c r="E23" t="s">
        <v>1441</v>
      </c>
      <c r="F23" t="s">
        <v>1435</v>
      </c>
      <c r="G23" t="s">
        <v>437</v>
      </c>
      <c r="H23" t="s">
        <v>551</v>
      </c>
      <c r="I23" s="54">
        <v>46174</v>
      </c>
    </row>
    <row r="24" spans="1:9" x14ac:dyDescent="0.35">
      <c r="A24" s="34" t="s">
        <v>1277</v>
      </c>
      <c r="B24" t="s">
        <v>1278</v>
      </c>
      <c r="C24" t="s">
        <v>1253</v>
      </c>
      <c r="D24" t="s">
        <v>1254</v>
      </c>
      <c r="E24" t="s">
        <v>1441</v>
      </c>
      <c r="F24" t="s">
        <v>1435</v>
      </c>
      <c r="G24" t="s">
        <v>437</v>
      </c>
      <c r="H24" t="s">
        <v>551</v>
      </c>
      <c r="I24" s="54">
        <v>46174</v>
      </c>
    </row>
    <row r="25" spans="1:9" x14ac:dyDescent="0.35">
      <c r="A25" s="34" t="s">
        <v>1267</v>
      </c>
      <c r="B25" t="s">
        <v>1268</v>
      </c>
      <c r="C25" t="s">
        <v>1253</v>
      </c>
      <c r="D25" t="s">
        <v>1263</v>
      </c>
      <c r="E25" t="s">
        <v>1440</v>
      </c>
      <c r="F25" t="s">
        <v>1435</v>
      </c>
      <c r="G25" t="s">
        <v>437</v>
      </c>
      <c r="H25" t="s">
        <v>551</v>
      </c>
      <c r="I25" s="54">
        <v>46174</v>
      </c>
    </row>
    <row r="26" spans="1:9" x14ac:dyDescent="0.35">
      <c r="A26" s="34" t="s">
        <v>1279</v>
      </c>
      <c r="B26" t="s">
        <v>1280</v>
      </c>
      <c r="C26" t="s">
        <v>1253</v>
      </c>
      <c r="D26" t="s">
        <v>1254</v>
      </c>
      <c r="E26" t="s">
        <v>1441</v>
      </c>
      <c r="F26" t="s">
        <v>1435</v>
      </c>
      <c r="G26" t="s">
        <v>437</v>
      </c>
      <c r="H26" t="s">
        <v>551</v>
      </c>
      <c r="I26" s="54">
        <v>46174</v>
      </c>
    </row>
    <row r="27" spans="1:9" x14ac:dyDescent="0.35">
      <c r="A27" t="s">
        <v>1267</v>
      </c>
      <c r="B27" t="s">
        <v>1268</v>
      </c>
      <c r="C27" t="s">
        <v>1253</v>
      </c>
      <c r="D27" t="s">
        <v>1273</v>
      </c>
      <c r="E27" t="s">
        <v>1440</v>
      </c>
      <c r="F27" t="s">
        <v>1435</v>
      </c>
      <c r="G27" t="s">
        <v>437</v>
      </c>
      <c r="H27" t="s">
        <v>551</v>
      </c>
      <c r="I27" s="54">
        <v>46174</v>
      </c>
    </row>
    <row r="28" spans="1:9" x14ac:dyDescent="0.35">
      <c r="A28" t="s">
        <v>1269</v>
      </c>
      <c r="B28" t="s">
        <v>1270</v>
      </c>
      <c r="C28" t="s">
        <v>1257</v>
      </c>
      <c r="D28" t="s">
        <v>1263</v>
      </c>
      <c r="E28" t="s">
        <v>1436</v>
      </c>
      <c r="F28" t="s">
        <v>1435</v>
      </c>
      <c r="G28" t="s">
        <v>437</v>
      </c>
      <c r="H28" t="s">
        <v>551</v>
      </c>
      <c r="I28" s="54">
        <v>46174</v>
      </c>
    </row>
    <row r="29" spans="1:9" x14ac:dyDescent="0.35">
      <c r="A29" t="s">
        <v>1264</v>
      </c>
      <c r="B29" t="s">
        <v>1265</v>
      </c>
      <c r="C29" t="s">
        <v>1253</v>
      </c>
      <c r="D29" t="s">
        <v>1263</v>
      </c>
      <c r="E29" t="s">
        <v>1439</v>
      </c>
      <c r="F29" t="s">
        <v>1435</v>
      </c>
      <c r="G29" t="s">
        <v>437</v>
      </c>
      <c r="H29" t="s">
        <v>551</v>
      </c>
      <c r="I29" s="54">
        <v>46174</v>
      </c>
    </row>
    <row r="30" spans="1:9" x14ac:dyDescent="0.35">
      <c r="A30" t="s">
        <v>1279</v>
      </c>
      <c r="B30" t="s">
        <v>1280</v>
      </c>
      <c r="C30" t="s">
        <v>1281</v>
      </c>
      <c r="D30" t="s">
        <v>1254</v>
      </c>
      <c r="E30" t="s">
        <v>1441</v>
      </c>
      <c r="F30" t="s">
        <v>1435</v>
      </c>
      <c r="G30" t="s">
        <v>437</v>
      </c>
      <c r="H30" t="s">
        <v>551</v>
      </c>
      <c r="I30" s="54">
        <v>46174</v>
      </c>
    </row>
    <row r="31" spans="1:9" x14ac:dyDescent="0.35">
      <c r="A31" t="s">
        <v>668</v>
      </c>
      <c r="B31" t="s">
        <v>669</v>
      </c>
      <c r="C31" t="s">
        <v>1253</v>
      </c>
      <c r="D31" t="s">
        <v>1254</v>
      </c>
      <c r="E31" t="s">
        <v>670</v>
      </c>
      <c r="F31" t="s">
        <v>1435</v>
      </c>
      <c r="G31" t="s">
        <v>437</v>
      </c>
      <c r="H31" t="s">
        <v>551</v>
      </c>
      <c r="I31" s="54">
        <v>46174</v>
      </c>
    </row>
    <row r="32" spans="1:9" x14ac:dyDescent="0.35">
      <c r="A32" t="s">
        <v>1282</v>
      </c>
      <c r="B32" t="s">
        <v>1283</v>
      </c>
      <c r="C32" t="s">
        <v>1253</v>
      </c>
      <c r="D32" t="s">
        <v>1260</v>
      </c>
      <c r="E32" t="s">
        <v>1442</v>
      </c>
      <c r="F32" t="s">
        <v>1435</v>
      </c>
      <c r="G32" t="s">
        <v>437</v>
      </c>
      <c r="H32" t="s">
        <v>551</v>
      </c>
      <c r="I32" s="54">
        <v>46174</v>
      </c>
    </row>
    <row r="33" spans="1:9" x14ac:dyDescent="0.35">
      <c r="A33" t="s">
        <v>5</v>
      </c>
      <c r="B33" t="s">
        <v>7</v>
      </c>
      <c r="C33" t="s">
        <v>1253</v>
      </c>
      <c r="D33" t="s">
        <v>1254</v>
      </c>
      <c r="E33" t="s">
        <v>6</v>
      </c>
      <c r="F33" t="s">
        <v>1435</v>
      </c>
      <c r="G33" t="s">
        <v>439</v>
      </c>
      <c r="H33" t="s">
        <v>572</v>
      </c>
      <c r="I33" s="54">
        <v>46174</v>
      </c>
    </row>
    <row r="34" spans="1:9" x14ac:dyDescent="0.35">
      <c r="A34" t="s">
        <v>5</v>
      </c>
      <c r="B34" t="s">
        <v>7</v>
      </c>
      <c r="C34" t="s">
        <v>1253</v>
      </c>
      <c r="D34" t="s">
        <v>1266</v>
      </c>
      <c r="E34" t="s">
        <v>6</v>
      </c>
      <c r="F34" t="s">
        <v>1435</v>
      </c>
      <c r="G34" t="s">
        <v>439</v>
      </c>
      <c r="H34" t="s">
        <v>572</v>
      </c>
      <c r="I34" s="54">
        <v>46174</v>
      </c>
    </row>
    <row r="35" spans="1:9" x14ac:dyDescent="0.35">
      <c r="A35" t="s">
        <v>1264</v>
      </c>
      <c r="B35" t="s">
        <v>1265</v>
      </c>
      <c r="C35" t="s">
        <v>1257</v>
      </c>
      <c r="D35" t="s">
        <v>1266</v>
      </c>
      <c r="E35" t="s">
        <v>1439</v>
      </c>
      <c r="F35" t="s">
        <v>1435</v>
      </c>
      <c r="G35" t="s">
        <v>437</v>
      </c>
      <c r="H35" t="s">
        <v>551</v>
      </c>
      <c r="I35" s="54">
        <v>46174</v>
      </c>
    </row>
    <row r="36" spans="1:9" x14ac:dyDescent="0.35">
      <c r="A36" t="s">
        <v>1277</v>
      </c>
      <c r="B36" t="s">
        <v>1278</v>
      </c>
      <c r="C36" t="s">
        <v>1257</v>
      </c>
      <c r="D36" t="s">
        <v>1266</v>
      </c>
      <c r="E36" t="s">
        <v>1441</v>
      </c>
      <c r="F36" t="s">
        <v>1435</v>
      </c>
      <c r="G36" t="s">
        <v>437</v>
      </c>
      <c r="H36" t="s">
        <v>551</v>
      </c>
      <c r="I36" s="54">
        <v>46174</v>
      </c>
    </row>
    <row r="37" spans="1:9" x14ac:dyDescent="0.35">
      <c r="A37" t="s">
        <v>1258</v>
      </c>
      <c r="B37" t="s">
        <v>1259</v>
      </c>
      <c r="C37" t="s">
        <v>1253</v>
      </c>
      <c r="D37" t="s">
        <v>1254</v>
      </c>
      <c r="E37" t="s">
        <v>1437</v>
      </c>
      <c r="F37" t="s">
        <v>1435</v>
      </c>
      <c r="G37" t="s">
        <v>437</v>
      </c>
      <c r="H37" t="s">
        <v>551</v>
      </c>
      <c r="I37" s="54">
        <v>46174</v>
      </c>
    </row>
    <row r="38" spans="1:9" x14ac:dyDescent="0.35">
      <c r="A38" t="s">
        <v>1264</v>
      </c>
      <c r="B38" t="s">
        <v>1265</v>
      </c>
      <c r="C38" t="s">
        <v>1257</v>
      </c>
      <c r="D38" t="s">
        <v>1263</v>
      </c>
      <c r="E38" t="s">
        <v>1439</v>
      </c>
      <c r="F38" t="s">
        <v>1435</v>
      </c>
      <c r="G38" t="s">
        <v>437</v>
      </c>
      <c r="H38" t="s">
        <v>551</v>
      </c>
      <c r="I38" s="54">
        <v>46174</v>
      </c>
    </row>
    <row r="39" spans="1:9" x14ac:dyDescent="0.35">
      <c r="A39" t="s">
        <v>1255</v>
      </c>
      <c r="B39" t="s">
        <v>1256</v>
      </c>
      <c r="C39" t="s">
        <v>1253</v>
      </c>
      <c r="D39" t="s">
        <v>1263</v>
      </c>
      <c r="E39" t="s">
        <v>1436</v>
      </c>
      <c r="F39" t="s">
        <v>1435</v>
      </c>
      <c r="G39" t="s">
        <v>437</v>
      </c>
      <c r="H39" t="s">
        <v>551</v>
      </c>
      <c r="I39" s="54">
        <v>46174</v>
      </c>
    </row>
    <row r="40" spans="1:9" x14ac:dyDescent="0.35">
      <c r="A40" t="s">
        <v>1271</v>
      </c>
      <c r="B40" t="s">
        <v>1272</v>
      </c>
      <c r="C40" t="s">
        <v>1253</v>
      </c>
      <c r="D40" t="s">
        <v>1254</v>
      </c>
      <c r="E40" t="s">
        <v>1437</v>
      </c>
      <c r="F40" t="s">
        <v>1435</v>
      </c>
      <c r="G40" t="s">
        <v>437</v>
      </c>
      <c r="H40" t="s">
        <v>551</v>
      </c>
      <c r="I40" s="54">
        <v>46174</v>
      </c>
    </row>
    <row r="41" spans="1:9" x14ac:dyDescent="0.35">
      <c r="A41" t="s">
        <v>1284</v>
      </c>
      <c r="B41" t="s">
        <v>1285</v>
      </c>
      <c r="C41" t="s">
        <v>1253</v>
      </c>
      <c r="D41" t="s">
        <v>1260</v>
      </c>
      <c r="E41" t="s">
        <v>1442</v>
      </c>
      <c r="F41" t="s">
        <v>1435</v>
      </c>
      <c r="G41" t="s">
        <v>437</v>
      </c>
      <c r="H41" t="s">
        <v>551</v>
      </c>
      <c r="I41" s="54">
        <v>46174</v>
      </c>
    </row>
    <row r="42" spans="1:9" x14ac:dyDescent="0.35">
      <c r="A42" t="s">
        <v>1258</v>
      </c>
      <c r="B42" t="s">
        <v>1259</v>
      </c>
      <c r="C42" t="s">
        <v>1253</v>
      </c>
      <c r="D42" t="s">
        <v>1266</v>
      </c>
      <c r="E42" t="s">
        <v>1437</v>
      </c>
      <c r="F42" t="s">
        <v>1435</v>
      </c>
      <c r="G42" t="s">
        <v>437</v>
      </c>
      <c r="H42" t="s">
        <v>551</v>
      </c>
      <c r="I42" s="54">
        <v>46174</v>
      </c>
    </row>
    <row r="43" spans="1:9" x14ac:dyDescent="0.35">
      <c r="A43" t="s">
        <v>1275</v>
      </c>
      <c r="B43" t="s">
        <v>1276</v>
      </c>
      <c r="C43" t="s">
        <v>1253</v>
      </c>
      <c r="D43" t="s">
        <v>1254</v>
      </c>
      <c r="E43" t="s">
        <v>1437</v>
      </c>
      <c r="F43" t="s">
        <v>1435</v>
      </c>
      <c r="G43" t="s">
        <v>437</v>
      </c>
      <c r="H43" t="s">
        <v>551</v>
      </c>
      <c r="I43" s="54">
        <v>46174</v>
      </c>
    </row>
    <row r="44" spans="1:9" x14ac:dyDescent="0.35">
      <c r="A44" t="s">
        <v>1271</v>
      </c>
      <c r="B44" t="s">
        <v>1272</v>
      </c>
      <c r="C44" t="s">
        <v>1253</v>
      </c>
      <c r="D44" t="s">
        <v>1266</v>
      </c>
      <c r="E44" t="s">
        <v>1437</v>
      </c>
      <c r="F44" t="s">
        <v>1435</v>
      </c>
      <c r="G44" t="s">
        <v>437</v>
      </c>
      <c r="H44" t="s">
        <v>551</v>
      </c>
      <c r="I44" s="54">
        <v>46174</v>
      </c>
    </row>
    <row r="45" spans="1:9" x14ac:dyDescent="0.35">
      <c r="A45" t="s">
        <v>1282</v>
      </c>
      <c r="B45" t="s">
        <v>1283</v>
      </c>
      <c r="C45" t="s">
        <v>1253</v>
      </c>
      <c r="D45" t="s">
        <v>1254</v>
      </c>
      <c r="E45" t="s">
        <v>1442</v>
      </c>
      <c r="F45" t="s">
        <v>1435</v>
      </c>
      <c r="G45" t="s">
        <v>437</v>
      </c>
      <c r="H45" t="s">
        <v>551</v>
      </c>
      <c r="I45" s="54">
        <v>46174</v>
      </c>
    </row>
    <row r="46" spans="1:9" x14ac:dyDescent="0.35">
      <c r="A46" t="s">
        <v>1286</v>
      </c>
      <c r="B46" t="s">
        <v>1287</v>
      </c>
      <c r="C46" t="s">
        <v>1253</v>
      </c>
      <c r="D46" t="s">
        <v>1260</v>
      </c>
      <c r="E46" t="s">
        <v>1443</v>
      </c>
      <c r="F46" t="s">
        <v>1435</v>
      </c>
      <c r="G46" t="s">
        <v>437</v>
      </c>
      <c r="H46" t="s">
        <v>551</v>
      </c>
      <c r="I46" s="54">
        <v>46174</v>
      </c>
    </row>
    <row r="47" spans="1:9" x14ac:dyDescent="0.35">
      <c r="A47" t="s">
        <v>1284</v>
      </c>
      <c r="B47" t="s">
        <v>1285</v>
      </c>
      <c r="C47" t="s">
        <v>1253</v>
      </c>
      <c r="D47" t="s">
        <v>1254</v>
      </c>
      <c r="E47" t="s">
        <v>1442</v>
      </c>
      <c r="F47" t="s">
        <v>1435</v>
      </c>
      <c r="G47" t="s">
        <v>437</v>
      </c>
      <c r="H47" t="s">
        <v>551</v>
      </c>
      <c r="I47" s="54">
        <v>46174</v>
      </c>
    </row>
    <row r="48" spans="1:9" x14ac:dyDescent="0.35">
      <c r="A48" t="s">
        <v>1286</v>
      </c>
      <c r="B48" t="s">
        <v>1287</v>
      </c>
      <c r="C48" t="s">
        <v>1253</v>
      </c>
      <c r="D48" t="s">
        <v>1254</v>
      </c>
      <c r="E48" t="s">
        <v>1443</v>
      </c>
      <c r="F48" t="s">
        <v>1435</v>
      </c>
      <c r="G48" t="s">
        <v>437</v>
      </c>
      <c r="H48" t="s">
        <v>551</v>
      </c>
      <c r="I48" s="54">
        <v>46174</v>
      </c>
    </row>
    <row r="49" spans="1:9" x14ac:dyDescent="0.35">
      <c r="A49" t="s">
        <v>1269</v>
      </c>
      <c r="B49" t="s">
        <v>1270</v>
      </c>
      <c r="C49" t="s">
        <v>1253</v>
      </c>
      <c r="D49" t="s">
        <v>1263</v>
      </c>
      <c r="E49" t="s">
        <v>1436</v>
      </c>
      <c r="F49" t="s">
        <v>1435</v>
      </c>
      <c r="G49" t="s">
        <v>437</v>
      </c>
      <c r="H49" t="s">
        <v>551</v>
      </c>
      <c r="I49" s="54">
        <v>46174</v>
      </c>
    </row>
    <row r="50" spans="1:9" x14ac:dyDescent="0.35">
      <c r="A50" t="s">
        <v>1288</v>
      </c>
      <c r="B50" t="s">
        <v>1289</v>
      </c>
      <c r="C50" t="s">
        <v>1253</v>
      </c>
      <c r="D50" t="s">
        <v>1254</v>
      </c>
      <c r="E50" t="s">
        <v>1443</v>
      </c>
      <c r="F50" t="s">
        <v>1435</v>
      </c>
      <c r="G50" t="s">
        <v>437</v>
      </c>
      <c r="H50" t="s">
        <v>551</v>
      </c>
      <c r="I50" s="54">
        <v>46174</v>
      </c>
    </row>
    <row r="51" spans="1:9" x14ac:dyDescent="0.35">
      <c r="A51" t="s">
        <v>1290</v>
      </c>
      <c r="B51" t="s">
        <v>1291</v>
      </c>
      <c r="C51" t="s">
        <v>1274</v>
      </c>
      <c r="D51" t="s">
        <v>1254</v>
      </c>
      <c r="E51" t="s">
        <v>1444</v>
      </c>
      <c r="F51" t="s">
        <v>1435</v>
      </c>
      <c r="G51" t="s">
        <v>436</v>
      </c>
      <c r="H51" t="s">
        <v>548</v>
      </c>
      <c r="I51" s="54">
        <v>46174</v>
      </c>
    </row>
    <row r="52" spans="1:9" x14ac:dyDescent="0.35">
      <c r="A52" t="s">
        <v>1288</v>
      </c>
      <c r="B52" t="s">
        <v>1289</v>
      </c>
      <c r="C52" t="s">
        <v>1253</v>
      </c>
      <c r="D52" t="s">
        <v>1260</v>
      </c>
      <c r="E52" t="s">
        <v>1443</v>
      </c>
      <c r="F52" t="s">
        <v>1435</v>
      </c>
      <c r="G52" t="s">
        <v>437</v>
      </c>
      <c r="H52" t="s">
        <v>551</v>
      </c>
      <c r="I52" s="54">
        <v>46174</v>
      </c>
    </row>
    <row r="53" spans="1:9" x14ac:dyDescent="0.35">
      <c r="A53" t="s">
        <v>412</v>
      </c>
      <c r="B53" t="s">
        <v>420</v>
      </c>
      <c r="C53" t="s">
        <v>1253</v>
      </c>
      <c r="D53" t="s">
        <v>1254</v>
      </c>
      <c r="E53" t="s">
        <v>1445</v>
      </c>
      <c r="F53" t="s">
        <v>1435</v>
      </c>
      <c r="G53" t="s">
        <v>437</v>
      </c>
      <c r="H53" t="s">
        <v>551</v>
      </c>
      <c r="I53" s="54">
        <v>46174</v>
      </c>
    </row>
    <row r="54" spans="1:9" x14ac:dyDescent="0.35">
      <c r="A54" t="s">
        <v>1292</v>
      </c>
      <c r="B54" t="s">
        <v>1293</v>
      </c>
      <c r="C54" t="s">
        <v>1253</v>
      </c>
      <c r="D54" t="s">
        <v>1254</v>
      </c>
      <c r="E54" t="s">
        <v>236</v>
      </c>
      <c r="F54" t="s">
        <v>1435</v>
      </c>
      <c r="G54" t="s">
        <v>437</v>
      </c>
      <c r="H54" t="s">
        <v>551</v>
      </c>
      <c r="I54" s="54">
        <v>46174</v>
      </c>
    </row>
    <row r="55" spans="1:9" x14ac:dyDescent="0.35">
      <c r="A55" t="s">
        <v>1294</v>
      </c>
      <c r="B55" t="s">
        <v>1295</v>
      </c>
      <c r="C55" t="s">
        <v>1253</v>
      </c>
      <c r="D55" t="s">
        <v>1266</v>
      </c>
      <c r="E55" t="s">
        <v>1446</v>
      </c>
      <c r="F55" t="s">
        <v>1435</v>
      </c>
      <c r="G55" t="s">
        <v>437</v>
      </c>
      <c r="H55" t="s">
        <v>551</v>
      </c>
      <c r="I55" s="54">
        <v>46174</v>
      </c>
    </row>
    <row r="56" spans="1:9" x14ac:dyDescent="0.35">
      <c r="A56" t="s">
        <v>1264</v>
      </c>
      <c r="B56" t="s">
        <v>1265</v>
      </c>
      <c r="C56" t="s">
        <v>1253</v>
      </c>
      <c r="D56" t="s">
        <v>1273</v>
      </c>
      <c r="E56" t="s">
        <v>1439</v>
      </c>
      <c r="F56" t="s">
        <v>1435</v>
      </c>
      <c r="G56" t="s">
        <v>437</v>
      </c>
      <c r="H56" t="s">
        <v>551</v>
      </c>
      <c r="I56" s="54">
        <v>46174</v>
      </c>
    </row>
    <row r="57" spans="1:9" x14ac:dyDescent="0.35">
      <c r="A57" t="s">
        <v>1294</v>
      </c>
      <c r="B57" t="s">
        <v>1295</v>
      </c>
      <c r="C57" t="s">
        <v>1253</v>
      </c>
      <c r="D57" t="s">
        <v>1254</v>
      </c>
      <c r="E57" t="s">
        <v>1446</v>
      </c>
      <c r="F57" t="s">
        <v>1435</v>
      </c>
      <c r="G57" t="s">
        <v>437</v>
      </c>
      <c r="H57" t="s">
        <v>551</v>
      </c>
      <c r="I57" s="54">
        <v>46174</v>
      </c>
    </row>
    <row r="58" spans="1:9" x14ac:dyDescent="0.35">
      <c r="A58" t="s">
        <v>1290</v>
      </c>
      <c r="B58" t="s">
        <v>1291</v>
      </c>
      <c r="C58" t="s">
        <v>1257</v>
      </c>
      <c r="D58" t="s">
        <v>1254</v>
      </c>
      <c r="E58" t="s">
        <v>1444</v>
      </c>
      <c r="F58" t="s">
        <v>1435</v>
      </c>
      <c r="G58" t="s">
        <v>436</v>
      </c>
      <c r="H58" t="s">
        <v>548</v>
      </c>
      <c r="I58" s="54">
        <v>46174</v>
      </c>
    </row>
    <row r="59" spans="1:9" x14ac:dyDescent="0.35">
      <c r="A59" t="s">
        <v>1296</v>
      </c>
      <c r="B59" t="s">
        <v>1297</v>
      </c>
      <c r="C59" t="s">
        <v>1253</v>
      </c>
      <c r="D59" t="s">
        <v>1266</v>
      </c>
      <c r="E59" t="s">
        <v>1447</v>
      </c>
      <c r="F59" t="s">
        <v>1435</v>
      </c>
      <c r="G59" t="s">
        <v>440</v>
      </c>
      <c r="H59" t="s">
        <v>578</v>
      </c>
      <c r="I59" s="54">
        <v>46174</v>
      </c>
    </row>
    <row r="60" spans="1:9" x14ac:dyDescent="0.35">
      <c r="A60" t="s">
        <v>1298</v>
      </c>
      <c r="B60" t="s">
        <v>1299</v>
      </c>
      <c r="C60" t="s">
        <v>1253</v>
      </c>
      <c r="D60" t="s">
        <v>1254</v>
      </c>
      <c r="E60" t="s">
        <v>1448</v>
      </c>
      <c r="F60" t="s">
        <v>1435</v>
      </c>
      <c r="G60" t="s">
        <v>437</v>
      </c>
      <c r="H60" t="s">
        <v>551</v>
      </c>
      <c r="I60" s="54">
        <v>46174</v>
      </c>
    </row>
    <row r="61" spans="1:9" x14ac:dyDescent="0.35">
      <c r="A61" t="s">
        <v>1277</v>
      </c>
      <c r="B61" t="s">
        <v>1278</v>
      </c>
      <c r="C61" t="s">
        <v>1257</v>
      </c>
      <c r="D61" t="s">
        <v>1254</v>
      </c>
      <c r="E61" t="s">
        <v>1441</v>
      </c>
      <c r="F61" t="s">
        <v>1435</v>
      </c>
      <c r="G61" t="s">
        <v>437</v>
      </c>
      <c r="H61" t="s">
        <v>551</v>
      </c>
      <c r="I61" s="54">
        <v>46174</v>
      </c>
    </row>
    <row r="62" spans="1:9" x14ac:dyDescent="0.35">
      <c r="A62" t="s">
        <v>1264</v>
      </c>
      <c r="B62" t="s">
        <v>1265</v>
      </c>
      <c r="C62" t="s">
        <v>1274</v>
      </c>
      <c r="D62" t="s">
        <v>1263</v>
      </c>
      <c r="E62" t="s">
        <v>1439</v>
      </c>
      <c r="F62" t="s">
        <v>1435</v>
      </c>
      <c r="G62" t="s">
        <v>437</v>
      </c>
      <c r="H62" t="s">
        <v>551</v>
      </c>
      <c r="I62" s="54">
        <v>46174</v>
      </c>
    </row>
    <row r="63" spans="1:9" x14ac:dyDescent="0.35">
      <c r="A63" t="s">
        <v>412</v>
      </c>
      <c r="B63" t="s">
        <v>420</v>
      </c>
      <c r="C63" t="s">
        <v>1253</v>
      </c>
      <c r="D63" t="s">
        <v>1260</v>
      </c>
      <c r="E63" t="s">
        <v>1445</v>
      </c>
      <c r="F63" t="s">
        <v>1435</v>
      </c>
      <c r="G63" t="s">
        <v>437</v>
      </c>
      <c r="H63" t="s">
        <v>551</v>
      </c>
      <c r="I63" s="54">
        <v>46174</v>
      </c>
    </row>
    <row r="64" spans="1:9" x14ac:dyDescent="0.35">
      <c r="A64" t="s">
        <v>1296</v>
      </c>
      <c r="B64" t="s">
        <v>1297</v>
      </c>
      <c r="C64" t="s">
        <v>1253</v>
      </c>
      <c r="D64" t="s">
        <v>1254</v>
      </c>
      <c r="E64" t="s">
        <v>1447</v>
      </c>
      <c r="F64" t="s">
        <v>1435</v>
      </c>
      <c r="G64" t="s">
        <v>440</v>
      </c>
      <c r="H64" t="s">
        <v>578</v>
      </c>
      <c r="I64" s="54">
        <v>46174</v>
      </c>
    </row>
    <row r="65" spans="1:9" x14ac:dyDescent="0.35">
      <c r="A65" t="s">
        <v>1300</v>
      </c>
      <c r="B65" t="s">
        <v>1301</v>
      </c>
      <c r="C65" t="s">
        <v>1253</v>
      </c>
      <c r="D65" t="s">
        <v>1254</v>
      </c>
      <c r="E65" t="s">
        <v>1449</v>
      </c>
      <c r="F65" t="s">
        <v>1435</v>
      </c>
      <c r="G65" t="s">
        <v>442</v>
      </c>
      <c r="H65" t="s">
        <v>575</v>
      </c>
      <c r="I65" s="54">
        <v>46174</v>
      </c>
    </row>
    <row r="66" spans="1:9" x14ac:dyDescent="0.35">
      <c r="A66" t="s">
        <v>1302</v>
      </c>
      <c r="B66" t="s">
        <v>1303</v>
      </c>
      <c r="C66" t="s">
        <v>1253</v>
      </c>
      <c r="D66" t="s">
        <v>1266</v>
      </c>
      <c r="E66" t="s">
        <v>1450</v>
      </c>
      <c r="F66" t="s">
        <v>1435</v>
      </c>
      <c r="G66" t="s">
        <v>442</v>
      </c>
      <c r="H66" t="s">
        <v>575</v>
      </c>
      <c r="I66" s="54">
        <v>46174</v>
      </c>
    </row>
    <row r="67" spans="1:9" x14ac:dyDescent="0.35">
      <c r="A67" t="s">
        <v>1304</v>
      </c>
      <c r="B67" t="s">
        <v>1305</v>
      </c>
      <c r="C67" t="s">
        <v>1253</v>
      </c>
      <c r="D67" t="s">
        <v>1254</v>
      </c>
      <c r="E67" t="s">
        <v>1449</v>
      </c>
      <c r="F67" t="s">
        <v>1435</v>
      </c>
      <c r="G67" t="s">
        <v>442</v>
      </c>
      <c r="H67" t="s">
        <v>575</v>
      </c>
      <c r="I67" s="54">
        <v>46174</v>
      </c>
    </row>
    <row r="68" spans="1:9" x14ac:dyDescent="0.35">
      <c r="A68" t="s">
        <v>1277</v>
      </c>
      <c r="B68" t="s">
        <v>1278</v>
      </c>
      <c r="C68" t="s">
        <v>1274</v>
      </c>
      <c r="D68" t="s">
        <v>1254</v>
      </c>
      <c r="E68" t="s">
        <v>1441</v>
      </c>
      <c r="F68" t="s">
        <v>1435</v>
      </c>
      <c r="G68" t="s">
        <v>437</v>
      </c>
      <c r="H68" t="s">
        <v>551</v>
      </c>
      <c r="I68" s="54">
        <v>46174</v>
      </c>
    </row>
    <row r="69" spans="1:9" x14ac:dyDescent="0.35">
      <c r="A69" t="s">
        <v>1292</v>
      </c>
      <c r="B69" t="s">
        <v>1293</v>
      </c>
      <c r="C69" t="s">
        <v>1253</v>
      </c>
      <c r="D69" t="s">
        <v>1260</v>
      </c>
      <c r="E69" t="s">
        <v>236</v>
      </c>
      <c r="F69" t="s">
        <v>1435</v>
      </c>
      <c r="G69" t="s">
        <v>437</v>
      </c>
      <c r="H69" t="s">
        <v>551</v>
      </c>
      <c r="I69" s="54">
        <v>46174</v>
      </c>
    </row>
    <row r="70" spans="1:9" x14ac:dyDescent="0.35">
      <c r="A70" t="s">
        <v>1279</v>
      </c>
      <c r="B70" t="s">
        <v>1280</v>
      </c>
      <c r="C70" t="s">
        <v>1257</v>
      </c>
      <c r="D70" t="s">
        <v>1263</v>
      </c>
      <c r="E70" t="s">
        <v>1441</v>
      </c>
      <c r="F70" t="s">
        <v>1435</v>
      </c>
      <c r="G70" t="s">
        <v>437</v>
      </c>
      <c r="H70" t="s">
        <v>551</v>
      </c>
      <c r="I70" s="54">
        <v>46174</v>
      </c>
    </row>
    <row r="71" spans="1:9" x14ac:dyDescent="0.35">
      <c r="A71" t="s">
        <v>1302</v>
      </c>
      <c r="B71" t="s">
        <v>1303</v>
      </c>
      <c r="C71" t="s">
        <v>1253</v>
      </c>
      <c r="D71" t="s">
        <v>1254</v>
      </c>
      <c r="E71" t="s">
        <v>1450</v>
      </c>
      <c r="F71" t="s">
        <v>1435</v>
      </c>
      <c r="G71" t="s">
        <v>442</v>
      </c>
      <c r="H71" t="s">
        <v>575</v>
      </c>
      <c r="I71" s="54">
        <v>46174</v>
      </c>
    </row>
    <row r="72" spans="1:9" x14ac:dyDescent="0.35">
      <c r="A72" t="s">
        <v>1306</v>
      </c>
      <c r="B72" t="s">
        <v>1307</v>
      </c>
      <c r="C72" t="s">
        <v>1253</v>
      </c>
      <c r="D72" t="s">
        <v>1254</v>
      </c>
      <c r="E72" t="s">
        <v>376</v>
      </c>
      <c r="F72" t="s">
        <v>1435</v>
      </c>
      <c r="G72" t="s">
        <v>565</v>
      </c>
      <c r="H72" t="s">
        <v>566</v>
      </c>
      <c r="I72" s="54">
        <v>46174</v>
      </c>
    </row>
    <row r="73" spans="1:9" x14ac:dyDescent="0.35">
      <c r="A73" t="s">
        <v>1294</v>
      </c>
      <c r="B73" t="s">
        <v>1295</v>
      </c>
      <c r="C73" t="s">
        <v>1253</v>
      </c>
      <c r="D73" t="s">
        <v>1260</v>
      </c>
      <c r="E73" t="s">
        <v>1446</v>
      </c>
      <c r="F73" t="s">
        <v>1435</v>
      </c>
      <c r="G73" t="s">
        <v>437</v>
      </c>
      <c r="H73" t="s">
        <v>551</v>
      </c>
      <c r="I73" s="54">
        <v>46174</v>
      </c>
    </row>
    <row r="74" spans="1:9" x14ac:dyDescent="0.35">
      <c r="A74" t="s">
        <v>1308</v>
      </c>
      <c r="B74" t="s">
        <v>1309</v>
      </c>
      <c r="C74" t="s">
        <v>1253</v>
      </c>
      <c r="D74" t="s">
        <v>1254</v>
      </c>
      <c r="E74" t="s">
        <v>1451</v>
      </c>
      <c r="F74" t="s">
        <v>1435</v>
      </c>
      <c r="G74" t="s">
        <v>439</v>
      </c>
      <c r="H74" t="s">
        <v>572</v>
      </c>
      <c r="I74" s="54">
        <v>46174</v>
      </c>
    </row>
    <row r="75" spans="1:9" x14ac:dyDescent="0.35">
      <c r="A75" t="s">
        <v>1306</v>
      </c>
      <c r="B75" t="s">
        <v>1307</v>
      </c>
      <c r="C75" t="s">
        <v>1253</v>
      </c>
      <c r="D75" t="s">
        <v>1266</v>
      </c>
      <c r="E75" t="s">
        <v>376</v>
      </c>
      <c r="F75" t="s">
        <v>1435</v>
      </c>
      <c r="G75" t="s">
        <v>565</v>
      </c>
      <c r="H75" t="s">
        <v>566</v>
      </c>
      <c r="I75" s="54">
        <v>46174</v>
      </c>
    </row>
    <row r="76" spans="1:9" x14ac:dyDescent="0.35">
      <c r="A76" t="s">
        <v>1310</v>
      </c>
      <c r="B76" t="s">
        <v>1311</v>
      </c>
      <c r="C76" t="s">
        <v>1253</v>
      </c>
      <c r="D76" t="s">
        <v>1254</v>
      </c>
      <c r="E76" t="s">
        <v>1452</v>
      </c>
      <c r="F76" t="s">
        <v>1435</v>
      </c>
      <c r="G76" t="s">
        <v>442</v>
      </c>
      <c r="H76" t="s">
        <v>575</v>
      </c>
      <c r="I76" s="54">
        <v>46174</v>
      </c>
    </row>
    <row r="77" spans="1:9" x14ac:dyDescent="0.35">
      <c r="A77" t="s">
        <v>1267</v>
      </c>
      <c r="B77" t="s">
        <v>1268</v>
      </c>
      <c r="C77" t="s">
        <v>1257</v>
      </c>
      <c r="D77" t="s">
        <v>1254</v>
      </c>
      <c r="E77" t="s">
        <v>1440</v>
      </c>
      <c r="F77" t="s">
        <v>1435</v>
      </c>
      <c r="G77" t="s">
        <v>437</v>
      </c>
      <c r="H77" t="s">
        <v>551</v>
      </c>
      <c r="I77" s="54">
        <v>46174</v>
      </c>
    </row>
    <row r="78" spans="1:9" x14ac:dyDescent="0.35">
      <c r="A78" t="s">
        <v>1267</v>
      </c>
      <c r="B78" t="s">
        <v>1268</v>
      </c>
      <c r="C78" t="s">
        <v>1274</v>
      </c>
      <c r="D78" t="s">
        <v>1254</v>
      </c>
      <c r="E78" t="s">
        <v>1440</v>
      </c>
      <c r="F78" t="s">
        <v>1435</v>
      </c>
      <c r="G78" t="s">
        <v>437</v>
      </c>
      <c r="H78" t="s">
        <v>551</v>
      </c>
      <c r="I78" s="54">
        <v>46174</v>
      </c>
    </row>
    <row r="79" spans="1:9" x14ac:dyDescent="0.35">
      <c r="A79" t="s">
        <v>1312</v>
      </c>
      <c r="B79" t="s">
        <v>1313</v>
      </c>
      <c r="C79" t="s">
        <v>1253</v>
      </c>
      <c r="D79" t="s">
        <v>1273</v>
      </c>
      <c r="E79" t="s">
        <v>1439</v>
      </c>
      <c r="F79" t="s">
        <v>1435</v>
      </c>
      <c r="G79" t="s">
        <v>437</v>
      </c>
      <c r="H79" t="s">
        <v>551</v>
      </c>
      <c r="I79" s="54">
        <v>46174</v>
      </c>
    </row>
    <row r="80" spans="1:9" x14ac:dyDescent="0.35">
      <c r="A80" t="s">
        <v>1277</v>
      </c>
      <c r="B80" t="s">
        <v>1278</v>
      </c>
      <c r="C80" t="s">
        <v>1253</v>
      </c>
      <c r="D80" t="s">
        <v>1263</v>
      </c>
      <c r="E80" t="s">
        <v>1441</v>
      </c>
      <c r="F80" t="s">
        <v>1435</v>
      </c>
      <c r="G80" t="s">
        <v>437</v>
      </c>
      <c r="H80" t="s">
        <v>551</v>
      </c>
      <c r="I80" s="54">
        <v>46174</v>
      </c>
    </row>
    <row r="81" spans="1:9" x14ac:dyDescent="0.35">
      <c r="A81" t="s">
        <v>1314</v>
      </c>
      <c r="B81" t="s">
        <v>1315</v>
      </c>
      <c r="C81" t="s">
        <v>1253</v>
      </c>
      <c r="D81" t="s">
        <v>1254</v>
      </c>
      <c r="E81" t="s">
        <v>1452</v>
      </c>
      <c r="F81" t="s">
        <v>1435</v>
      </c>
      <c r="G81" t="s">
        <v>442</v>
      </c>
      <c r="H81" t="s">
        <v>575</v>
      </c>
      <c r="I81" s="54">
        <v>46174</v>
      </c>
    </row>
    <row r="82" spans="1:9" x14ac:dyDescent="0.35">
      <c r="A82" t="s">
        <v>1316</v>
      </c>
      <c r="B82" t="s">
        <v>1317</v>
      </c>
      <c r="C82" t="s">
        <v>1253</v>
      </c>
      <c r="D82" t="s">
        <v>1254</v>
      </c>
      <c r="E82" t="s">
        <v>1452</v>
      </c>
      <c r="F82" t="s">
        <v>1435</v>
      </c>
      <c r="G82" t="s">
        <v>442</v>
      </c>
      <c r="H82" t="s">
        <v>575</v>
      </c>
      <c r="I82" s="54">
        <v>46174</v>
      </c>
    </row>
    <row r="83" spans="1:9" x14ac:dyDescent="0.35">
      <c r="A83" t="s">
        <v>1279</v>
      </c>
      <c r="B83" t="s">
        <v>1280</v>
      </c>
      <c r="C83" t="s">
        <v>1253</v>
      </c>
      <c r="D83" t="s">
        <v>1263</v>
      </c>
      <c r="E83" t="s">
        <v>1441</v>
      </c>
      <c r="F83" t="s">
        <v>1435</v>
      </c>
      <c r="G83" t="s">
        <v>437</v>
      </c>
      <c r="H83" t="s">
        <v>551</v>
      </c>
      <c r="I83" s="54">
        <v>46174</v>
      </c>
    </row>
    <row r="84" spans="1:9" x14ac:dyDescent="0.35">
      <c r="A84" t="s">
        <v>1308</v>
      </c>
      <c r="B84" t="s">
        <v>1309</v>
      </c>
      <c r="C84" t="s">
        <v>1253</v>
      </c>
      <c r="D84" t="s">
        <v>1266</v>
      </c>
      <c r="E84" t="s">
        <v>1451</v>
      </c>
      <c r="F84" t="s">
        <v>1435</v>
      </c>
      <c r="G84" t="s">
        <v>439</v>
      </c>
      <c r="H84" t="s">
        <v>572</v>
      </c>
      <c r="I84" s="54">
        <v>46174</v>
      </c>
    </row>
    <row r="85" spans="1:9" x14ac:dyDescent="0.35">
      <c r="A85" t="s">
        <v>1318</v>
      </c>
      <c r="B85" t="s">
        <v>1319</v>
      </c>
      <c r="C85" t="s">
        <v>1253</v>
      </c>
      <c r="D85" t="s">
        <v>1254</v>
      </c>
      <c r="E85" t="s">
        <v>1453</v>
      </c>
      <c r="F85" t="s">
        <v>1435</v>
      </c>
      <c r="G85" t="s">
        <v>442</v>
      </c>
      <c r="H85" t="s">
        <v>575</v>
      </c>
      <c r="I85" s="54">
        <v>46174</v>
      </c>
    </row>
    <row r="86" spans="1:9" x14ac:dyDescent="0.35">
      <c r="A86" t="s">
        <v>1255</v>
      </c>
      <c r="B86" t="s">
        <v>1256</v>
      </c>
      <c r="C86" t="s">
        <v>1257</v>
      </c>
      <c r="D86" t="s">
        <v>1273</v>
      </c>
      <c r="E86" t="s">
        <v>1436</v>
      </c>
      <c r="F86" t="s">
        <v>1435</v>
      </c>
      <c r="G86" t="s">
        <v>437</v>
      </c>
      <c r="H86" t="s">
        <v>551</v>
      </c>
      <c r="I86" s="54">
        <v>46174</v>
      </c>
    </row>
    <row r="87" spans="1:9" x14ac:dyDescent="0.35">
      <c r="A87" t="s">
        <v>1320</v>
      </c>
      <c r="B87" t="s">
        <v>1321</v>
      </c>
      <c r="C87" t="s">
        <v>1253</v>
      </c>
      <c r="D87" t="s">
        <v>1254</v>
      </c>
      <c r="E87" t="s">
        <v>1454</v>
      </c>
      <c r="F87" t="s">
        <v>1435</v>
      </c>
      <c r="G87" t="s">
        <v>440</v>
      </c>
      <c r="H87" t="s">
        <v>578</v>
      </c>
      <c r="I87" s="54">
        <v>46174</v>
      </c>
    </row>
    <row r="88" spans="1:9" x14ac:dyDescent="0.35">
      <c r="A88" t="s">
        <v>1298</v>
      </c>
      <c r="B88" t="s">
        <v>1299</v>
      </c>
      <c r="C88" t="s">
        <v>1253</v>
      </c>
      <c r="D88" t="s">
        <v>1260</v>
      </c>
      <c r="E88" t="s">
        <v>1448</v>
      </c>
      <c r="F88" t="s">
        <v>1435</v>
      </c>
      <c r="G88" t="s">
        <v>437</v>
      </c>
      <c r="H88" t="s">
        <v>551</v>
      </c>
      <c r="I88" s="54">
        <v>46174</v>
      </c>
    </row>
    <row r="89" spans="1:9" x14ac:dyDescent="0.35">
      <c r="A89" t="s">
        <v>673</v>
      </c>
      <c r="B89" t="s">
        <v>674</v>
      </c>
      <c r="C89" t="s">
        <v>1253</v>
      </c>
      <c r="D89" t="s">
        <v>1254</v>
      </c>
      <c r="E89" t="s">
        <v>287</v>
      </c>
      <c r="F89" t="s">
        <v>1435</v>
      </c>
      <c r="G89" t="s">
        <v>442</v>
      </c>
      <c r="H89" t="s">
        <v>575</v>
      </c>
      <c r="I89" s="54">
        <v>46174</v>
      </c>
    </row>
    <row r="90" spans="1:9" x14ac:dyDescent="0.35">
      <c r="A90" t="s">
        <v>1322</v>
      </c>
      <c r="B90" t="s">
        <v>1323</v>
      </c>
      <c r="C90" t="s">
        <v>1257</v>
      </c>
      <c r="D90" t="s">
        <v>1260</v>
      </c>
      <c r="E90" t="s">
        <v>1444</v>
      </c>
      <c r="F90" t="s">
        <v>1435</v>
      </c>
      <c r="G90" t="s">
        <v>436</v>
      </c>
      <c r="H90" t="s">
        <v>548</v>
      </c>
      <c r="I90" s="54">
        <v>46174</v>
      </c>
    </row>
    <row r="91" spans="1:9" x14ac:dyDescent="0.35">
      <c r="A91" t="s">
        <v>668</v>
      </c>
      <c r="B91" t="s">
        <v>669</v>
      </c>
      <c r="C91" t="s">
        <v>1253</v>
      </c>
      <c r="D91" t="s">
        <v>1263</v>
      </c>
      <c r="E91" t="s">
        <v>670</v>
      </c>
      <c r="F91" t="s">
        <v>1435</v>
      </c>
      <c r="G91" t="s">
        <v>437</v>
      </c>
      <c r="H91" t="s">
        <v>551</v>
      </c>
      <c r="I91" s="54">
        <v>46174</v>
      </c>
    </row>
    <row r="92" spans="1:9" x14ac:dyDescent="0.35">
      <c r="A92" t="s">
        <v>1279</v>
      </c>
      <c r="B92" t="s">
        <v>1280</v>
      </c>
      <c r="C92" t="s">
        <v>1281</v>
      </c>
      <c r="D92" t="s">
        <v>1263</v>
      </c>
      <c r="E92" t="s">
        <v>1441</v>
      </c>
      <c r="F92" t="s">
        <v>1435</v>
      </c>
      <c r="G92" t="s">
        <v>437</v>
      </c>
      <c r="H92" t="s">
        <v>551</v>
      </c>
      <c r="I92" s="54">
        <v>46174</v>
      </c>
    </row>
    <row r="93" spans="1:9" x14ac:dyDescent="0.35">
      <c r="A93" t="s">
        <v>1324</v>
      </c>
      <c r="B93" t="s">
        <v>1325</v>
      </c>
      <c r="C93" t="s">
        <v>1253</v>
      </c>
      <c r="D93" t="s">
        <v>1273</v>
      </c>
      <c r="E93" t="s">
        <v>1439</v>
      </c>
      <c r="F93" t="s">
        <v>1435</v>
      </c>
      <c r="G93" t="s">
        <v>437</v>
      </c>
      <c r="H93" t="s">
        <v>551</v>
      </c>
      <c r="I93" s="54">
        <v>46174</v>
      </c>
    </row>
    <row r="94" spans="1:9" x14ac:dyDescent="0.35">
      <c r="A94" t="s">
        <v>1326</v>
      </c>
      <c r="B94" t="s">
        <v>1327</v>
      </c>
      <c r="C94" t="s">
        <v>1253</v>
      </c>
      <c r="D94" t="s">
        <v>1254</v>
      </c>
      <c r="E94" t="s">
        <v>1455</v>
      </c>
      <c r="F94" t="s">
        <v>1435</v>
      </c>
      <c r="G94" t="s">
        <v>442</v>
      </c>
      <c r="H94" t="s">
        <v>575</v>
      </c>
      <c r="I94" s="54">
        <v>46174</v>
      </c>
    </row>
    <row r="95" spans="1:9" x14ac:dyDescent="0.35">
      <c r="A95" t="s">
        <v>1320</v>
      </c>
      <c r="B95" t="s">
        <v>1321</v>
      </c>
      <c r="C95" t="s">
        <v>1253</v>
      </c>
      <c r="D95" t="s">
        <v>1266</v>
      </c>
      <c r="E95" t="s">
        <v>1454</v>
      </c>
      <c r="F95" t="s">
        <v>1435</v>
      </c>
      <c r="G95" t="s">
        <v>440</v>
      </c>
      <c r="H95" t="s">
        <v>578</v>
      </c>
      <c r="I95" s="54">
        <v>46174</v>
      </c>
    </row>
    <row r="96" spans="1:9" x14ac:dyDescent="0.35">
      <c r="A96" t="s">
        <v>1328</v>
      </c>
      <c r="B96" t="s">
        <v>1329</v>
      </c>
      <c r="C96" t="s">
        <v>1253</v>
      </c>
      <c r="D96" t="s">
        <v>1254</v>
      </c>
      <c r="E96" t="s">
        <v>1456</v>
      </c>
      <c r="F96" t="s">
        <v>1435</v>
      </c>
      <c r="G96" t="s">
        <v>442</v>
      </c>
      <c r="H96" t="s">
        <v>575</v>
      </c>
      <c r="I96" s="54">
        <v>46174</v>
      </c>
    </row>
    <row r="97" spans="1:9" x14ac:dyDescent="0.35">
      <c r="A97" t="s">
        <v>1296</v>
      </c>
      <c r="B97" t="s">
        <v>1297</v>
      </c>
      <c r="C97" t="s">
        <v>1253</v>
      </c>
      <c r="D97" t="s">
        <v>1260</v>
      </c>
      <c r="E97" t="s">
        <v>1447</v>
      </c>
      <c r="F97" t="s">
        <v>1435</v>
      </c>
      <c r="G97" t="s">
        <v>440</v>
      </c>
      <c r="H97" t="s">
        <v>578</v>
      </c>
      <c r="I97" s="54">
        <v>46174</v>
      </c>
    </row>
    <row r="98" spans="1:9" x14ac:dyDescent="0.35">
      <c r="A98" t="s">
        <v>1330</v>
      </c>
      <c r="B98" t="s">
        <v>1331</v>
      </c>
      <c r="C98" t="s">
        <v>1253</v>
      </c>
      <c r="D98" t="s">
        <v>1254</v>
      </c>
      <c r="E98" t="s">
        <v>1457</v>
      </c>
      <c r="F98" t="s">
        <v>1435</v>
      </c>
      <c r="G98" t="s">
        <v>436</v>
      </c>
      <c r="H98" t="s">
        <v>548</v>
      </c>
      <c r="I98" s="54">
        <v>46174</v>
      </c>
    </row>
    <row r="99" spans="1:9" x14ac:dyDescent="0.35">
      <c r="A99" t="s">
        <v>5</v>
      </c>
      <c r="B99" t="s">
        <v>7</v>
      </c>
      <c r="C99" t="s">
        <v>1253</v>
      </c>
      <c r="D99" t="s">
        <v>1263</v>
      </c>
      <c r="E99" t="s">
        <v>6</v>
      </c>
      <c r="F99" t="s">
        <v>1435</v>
      </c>
      <c r="G99" t="s">
        <v>439</v>
      </c>
      <c r="H99" t="s">
        <v>572</v>
      </c>
      <c r="I99" s="54">
        <v>46174</v>
      </c>
    </row>
    <row r="100" spans="1:9" x14ac:dyDescent="0.35">
      <c r="A100" t="s">
        <v>1300</v>
      </c>
      <c r="B100" t="s">
        <v>1301</v>
      </c>
      <c r="C100" t="s">
        <v>1253</v>
      </c>
      <c r="D100" t="s">
        <v>1260</v>
      </c>
      <c r="E100" t="s">
        <v>1449</v>
      </c>
      <c r="F100" t="s">
        <v>1435</v>
      </c>
      <c r="G100" t="s">
        <v>442</v>
      </c>
      <c r="H100" t="s">
        <v>575</v>
      </c>
      <c r="I100" s="54">
        <v>46174</v>
      </c>
    </row>
    <row r="101" spans="1:9" x14ac:dyDescent="0.35">
      <c r="A101" t="s">
        <v>1292</v>
      </c>
      <c r="B101" t="s">
        <v>1293</v>
      </c>
      <c r="C101" t="s">
        <v>1257</v>
      </c>
      <c r="D101" t="s">
        <v>1260</v>
      </c>
      <c r="E101" t="s">
        <v>236</v>
      </c>
      <c r="F101" t="s">
        <v>1435</v>
      </c>
      <c r="G101" t="s">
        <v>437</v>
      </c>
      <c r="H101" t="s">
        <v>551</v>
      </c>
      <c r="I101" s="54">
        <v>46174</v>
      </c>
    </row>
    <row r="102" spans="1:9" x14ac:dyDescent="0.35">
      <c r="A102" t="s">
        <v>9</v>
      </c>
      <c r="B102" t="s">
        <v>11</v>
      </c>
      <c r="C102" t="s">
        <v>1253</v>
      </c>
      <c r="D102" t="s">
        <v>1254</v>
      </c>
      <c r="E102" t="s">
        <v>1458</v>
      </c>
      <c r="F102" t="s">
        <v>1435</v>
      </c>
      <c r="G102" t="s">
        <v>439</v>
      </c>
      <c r="H102" t="s">
        <v>572</v>
      </c>
      <c r="I102" s="54">
        <v>46174</v>
      </c>
    </row>
    <row r="103" spans="1:9" x14ac:dyDescent="0.35">
      <c r="A103" t="s">
        <v>673</v>
      </c>
      <c r="B103" t="s">
        <v>674</v>
      </c>
      <c r="C103" t="s">
        <v>1253</v>
      </c>
      <c r="D103" t="s">
        <v>1266</v>
      </c>
      <c r="E103" t="s">
        <v>287</v>
      </c>
      <c r="F103" t="s">
        <v>1435</v>
      </c>
      <c r="G103" t="s">
        <v>442</v>
      </c>
      <c r="H103" t="s">
        <v>575</v>
      </c>
      <c r="I103" s="54">
        <v>46174</v>
      </c>
    </row>
    <row r="104" spans="1:9" x14ac:dyDescent="0.35">
      <c r="A104" t="s">
        <v>1328</v>
      </c>
      <c r="B104" t="s">
        <v>1329</v>
      </c>
      <c r="C104" t="s">
        <v>1253</v>
      </c>
      <c r="D104" t="s">
        <v>1266</v>
      </c>
      <c r="E104" t="s">
        <v>1456</v>
      </c>
      <c r="F104" t="s">
        <v>1435</v>
      </c>
      <c r="G104" t="s">
        <v>442</v>
      </c>
      <c r="H104" t="s">
        <v>575</v>
      </c>
      <c r="I104" s="54">
        <v>46174</v>
      </c>
    </row>
    <row r="105" spans="1:9" x14ac:dyDescent="0.35">
      <c r="A105" t="s">
        <v>1332</v>
      </c>
      <c r="B105" t="s">
        <v>1333</v>
      </c>
      <c r="C105" t="s">
        <v>1253</v>
      </c>
      <c r="D105" t="s">
        <v>1254</v>
      </c>
      <c r="E105" t="s">
        <v>1459</v>
      </c>
      <c r="F105" t="s">
        <v>1435</v>
      </c>
      <c r="G105" t="s">
        <v>601</v>
      </c>
      <c r="H105" t="s">
        <v>602</v>
      </c>
      <c r="I105" s="54">
        <v>46174</v>
      </c>
    </row>
    <row r="106" spans="1:9" x14ac:dyDescent="0.35">
      <c r="A106" t="s">
        <v>1334</v>
      </c>
      <c r="B106" t="s">
        <v>1335</v>
      </c>
      <c r="C106" t="s">
        <v>1253</v>
      </c>
      <c r="D106" t="s">
        <v>1254</v>
      </c>
      <c r="E106" t="s">
        <v>1460</v>
      </c>
      <c r="F106" t="s">
        <v>1435</v>
      </c>
      <c r="G106" t="s">
        <v>565</v>
      </c>
      <c r="H106" t="s">
        <v>566</v>
      </c>
      <c r="I106" s="54">
        <v>46174</v>
      </c>
    </row>
    <row r="107" spans="1:9" x14ac:dyDescent="0.35">
      <c r="A107" t="s">
        <v>15</v>
      </c>
      <c r="B107" t="s">
        <v>16</v>
      </c>
      <c r="C107" t="s">
        <v>1253</v>
      </c>
      <c r="D107" t="s">
        <v>1254</v>
      </c>
      <c r="E107" t="s">
        <v>1460</v>
      </c>
      <c r="F107" t="s">
        <v>1435</v>
      </c>
      <c r="G107" t="s">
        <v>565</v>
      </c>
      <c r="H107" t="s">
        <v>566</v>
      </c>
      <c r="I107" s="54">
        <v>46174</v>
      </c>
    </row>
    <row r="108" spans="1:9" x14ac:dyDescent="0.35">
      <c r="A108" t="s">
        <v>1255</v>
      </c>
      <c r="B108" t="s">
        <v>1256</v>
      </c>
      <c r="C108" t="s">
        <v>1253</v>
      </c>
      <c r="D108" t="s">
        <v>1273</v>
      </c>
      <c r="E108" t="s">
        <v>1436</v>
      </c>
      <c r="F108" t="s">
        <v>1435</v>
      </c>
      <c r="G108" t="s">
        <v>437</v>
      </c>
      <c r="H108" t="s">
        <v>551</v>
      </c>
      <c r="I108" s="54">
        <v>46174</v>
      </c>
    </row>
    <row r="109" spans="1:9" x14ac:dyDescent="0.35">
      <c r="A109" t="s">
        <v>1304</v>
      </c>
      <c r="B109" t="s">
        <v>1305</v>
      </c>
      <c r="C109" t="s">
        <v>1253</v>
      </c>
      <c r="D109" t="s">
        <v>1260</v>
      </c>
      <c r="E109" t="s">
        <v>1449</v>
      </c>
      <c r="F109" t="s">
        <v>1435</v>
      </c>
      <c r="G109" t="s">
        <v>442</v>
      </c>
      <c r="H109" t="s">
        <v>575</v>
      </c>
      <c r="I109" s="54">
        <v>46174</v>
      </c>
    </row>
    <row r="110" spans="1:9" x14ac:dyDescent="0.35">
      <c r="A110" t="s">
        <v>12</v>
      </c>
      <c r="B110" t="s">
        <v>14</v>
      </c>
      <c r="C110" t="s">
        <v>1253</v>
      </c>
      <c r="D110" t="s">
        <v>1254</v>
      </c>
      <c r="E110" t="s">
        <v>1460</v>
      </c>
      <c r="F110" t="s">
        <v>1435</v>
      </c>
      <c r="G110" t="s">
        <v>565</v>
      </c>
      <c r="H110" t="s">
        <v>566</v>
      </c>
      <c r="I110" s="54">
        <v>46174</v>
      </c>
    </row>
    <row r="111" spans="1:9" x14ac:dyDescent="0.35">
      <c r="A111" t="s">
        <v>1258</v>
      </c>
      <c r="B111" t="s">
        <v>1259</v>
      </c>
      <c r="C111" t="s">
        <v>1253</v>
      </c>
      <c r="D111" t="s">
        <v>1263</v>
      </c>
      <c r="E111" t="s">
        <v>1437</v>
      </c>
      <c r="F111" t="s">
        <v>1435</v>
      </c>
      <c r="G111" t="s">
        <v>437</v>
      </c>
      <c r="H111" t="s">
        <v>551</v>
      </c>
      <c r="I111" s="54">
        <v>46174</v>
      </c>
    </row>
    <row r="112" spans="1:9" x14ac:dyDescent="0.35">
      <c r="A112" t="s">
        <v>1302</v>
      </c>
      <c r="B112" t="s">
        <v>1303</v>
      </c>
      <c r="C112" t="s">
        <v>1253</v>
      </c>
      <c r="D112" t="s">
        <v>1260</v>
      </c>
      <c r="E112" t="s">
        <v>1450</v>
      </c>
      <c r="F112" t="s">
        <v>1435</v>
      </c>
      <c r="G112" t="s">
        <v>442</v>
      </c>
      <c r="H112" t="s">
        <v>575</v>
      </c>
      <c r="I112" s="54">
        <v>46174</v>
      </c>
    </row>
    <row r="113" spans="1:9" x14ac:dyDescent="0.35">
      <c r="A113" t="s">
        <v>1334</v>
      </c>
      <c r="B113" t="s">
        <v>1335</v>
      </c>
      <c r="C113" t="s">
        <v>1253</v>
      </c>
      <c r="D113" t="s">
        <v>1266</v>
      </c>
      <c r="E113" t="s">
        <v>1460</v>
      </c>
      <c r="F113" t="s">
        <v>1435</v>
      </c>
      <c r="G113" t="s">
        <v>565</v>
      </c>
      <c r="H113" t="s">
        <v>566</v>
      </c>
      <c r="I113" s="54">
        <v>46174</v>
      </c>
    </row>
    <row r="114" spans="1:9" x14ac:dyDescent="0.35">
      <c r="A114" t="s">
        <v>1336</v>
      </c>
      <c r="B114" t="s">
        <v>1337</v>
      </c>
      <c r="C114" t="s">
        <v>1253</v>
      </c>
      <c r="D114" t="s">
        <v>1254</v>
      </c>
      <c r="E114" t="s">
        <v>1461</v>
      </c>
      <c r="F114" t="s">
        <v>1435</v>
      </c>
      <c r="G114" t="s">
        <v>436</v>
      </c>
      <c r="H114" t="s">
        <v>548</v>
      </c>
      <c r="I114" s="54">
        <v>46174</v>
      </c>
    </row>
    <row r="115" spans="1:9" x14ac:dyDescent="0.35">
      <c r="A115" t="s">
        <v>507</v>
      </c>
      <c r="B115" t="s">
        <v>509</v>
      </c>
      <c r="C115" t="s">
        <v>1253</v>
      </c>
      <c r="D115" t="s">
        <v>1254</v>
      </c>
      <c r="E115" t="s">
        <v>1461</v>
      </c>
      <c r="F115" t="s">
        <v>1435</v>
      </c>
      <c r="G115" t="s">
        <v>436</v>
      </c>
      <c r="H115" t="s">
        <v>548</v>
      </c>
      <c r="I115" s="54">
        <v>46174</v>
      </c>
    </row>
    <row r="116" spans="1:9" x14ac:dyDescent="0.35">
      <c r="A116" t="s">
        <v>1306</v>
      </c>
      <c r="B116" t="s">
        <v>1307</v>
      </c>
      <c r="C116" t="s">
        <v>1253</v>
      </c>
      <c r="D116" t="s">
        <v>1260</v>
      </c>
      <c r="E116" t="s">
        <v>376</v>
      </c>
      <c r="F116" t="s">
        <v>1435</v>
      </c>
      <c r="G116" t="s">
        <v>565</v>
      </c>
      <c r="H116" t="s">
        <v>566</v>
      </c>
      <c r="I116" s="54">
        <v>46174</v>
      </c>
    </row>
    <row r="117" spans="1:9" x14ac:dyDescent="0.35">
      <c r="A117" t="s">
        <v>253</v>
      </c>
      <c r="B117" t="s">
        <v>255</v>
      </c>
      <c r="C117" t="s">
        <v>1253</v>
      </c>
      <c r="D117" t="s">
        <v>1254</v>
      </c>
      <c r="E117" t="s">
        <v>1461</v>
      </c>
      <c r="F117" t="s">
        <v>1435</v>
      </c>
      <c r="G117" t="s">
        <v>436</v>
      </c>
      <c r="H117" t="s">
        <v>548</v>
      </c>
      <c r="I117" s="54">
        <v>46174</v>
      </c>
    </row>
    <row r="118" spans="1:9" x14ac:dyDescent="0.35">
      <c r="A118" t="s">
        <v>1271</v>
      </c>
      <c r="B118" t="s">
        <v>1272</v>
      </c>
      <c r="C118" t="s">
        <v>1253</v>
      </c>
      <c r="D118" t="s">
        <v>1263</v>
      </c>
      <c r="E118" t="s">
        <v>1437</v>
      </c>
      <c r="F118" t="s">
        <v>1435</v>
      </c>
      <c r="G118" t="s">
        <v>437</v>
      </c>
      <c r="H118" t="s">
        <v>551</v>
      </c>
      <c r="I118" s="54">
        <v>46174</v>
      </c>
    </row>
    <row r="119" spans="1:9" x14ac:dyDescent="0.35">
      <c r="A119" t="s">
        <v>508</v>
      </c>
      <c r="B119" t="s">
        <v>510</v>
      </c>
      <c r="C119" t="s">
        <v>1253</v>
      </c>
      <c r="D119" t="s">
        <v>1254</v>
      </c>
      <c r="E119" t="s">
        <v>1461</v>
      </c>
      <c r="F119" t="s">
        <v>1435</v>
      </c>
      <c r="G119" t="s">
        <v>436</v>
      </c>
      <c r="H119" t="s">
        <v>548</v>
      </c>
      <c r="I119" s="54">
        <v>46174</v>
      </c>
    </row>
    <row r="120" spans="1:9" x14ac:dyDescent="0.35">
      <c r="A120" t="s">
        <v>25</v>
      </c>
      <c r="B120" t="s">
        <v>27</v>
      </c>
      <c r="C120" t="s">
        <v>1274</v>
      </c>
      <c r="D120" t="s">
        <v>1266</v>
      </c>
      <c r="E120" t="s">
        <v>26</v>
      </c>
      <c r="F120" t="s">
        <v>1435</v>
      </c>
      <c r="G120" t="s">
        <v>439</v>
      </c>
      <c r="H120" t="s">
        <v>572</v>
      </c>
      <c r="I120" s="54">
        <v>46174</v>
      </c>
    </row>
    <row r="121" spans="1:9" x14ac:dyDescent="0.35">
      <c r="A121" t="s">
        <v>1322</v>
      </c>
      <c r="B121" t="s">
        <v>1323</v>
      </c>
      <c r="C121" t="s">
        <v>1257</v>
      </c>
      <c r="D121" t="s">
        <v>1254</v>
      </c>
      <c r="E121" t="s">
        <v>1444</v>
      </c>
      <c r="F121" t="s">
        <v>1435</v>
      </c>
      <c r="G121" t="s">
        <v>436</v>
      </c>
      <c r="H121" t="s">
        <v>548</v>
      </c>
      <c r="I121" s="54">
        <v>46174</v>
      </c>
    </row>
    <row r="122" spans="1:9" x14ac:dyDescent="0.35">
      <c r="A122" t="s">
        <v>12</v>
      </c>
      <c r="B122" t="s">
        <v>14</v>
      </c>
      <c r="C122" t="s">
        <v>1274</v>
      </c>
      <c r="D122" t="s">
        <v>1260</v>
      </c>
      <c r="E122" t="s">
        <v>1460</v>
      </c>
      <c r="F122" t="s">
        <v>1435</v>
      </c>
      <c r="G122" t="s">
        <v>565</v>
      </c>
      <c r="H122" t="s">
        <v>566</v>
      </c>
      <c r="I122" s="54">
        <v>46174</v>
      </c>
    </row>
    <row r="123" spans="1:9" x14ac:dyDescent="0.35">
      <c r="A123" t="s">
        <v>1338</v>
      </c>
      <c r="B123" t="s">
        <v>1339</v>
      </c>
      <c r="C123" t="s">
        <v>1253</v>
      </c>
      <c r="D123" t="s">
        <v>1254</v>
      </c>
      <c r="E123" t="s">
        <v>1461</v>
      </c>
      <c r="F123" t="s">
        <v>1435</v>
      </c>
      <c r="G123" t="s">
        <v>436</v>
      </c>
      <c r="H123" t="s">
        <v>548</v>
      </c>
      <c r="I123" s="54">
        <v>46174</v>
      </c>
    </row>
    <row r="124" spans="1:9" x14ac:dyDescent="0.35">
      <c r="A124" t="s">
        <v>668</v>
      </c>
      <c r="B124" t="s">
        <v>669</v>
      </c>
      <c r="C124" t="s">
        <v>1257</v>
      </c>
      <c r="D124" t="s">
        <v>1254</v>
      </c>
      <c r="E124" t="s">
        <v>670</v>
      </c>
      <c r="F124" t="s">
        <v>1435</v>
      </c>
      <c r="G124" t="s">
        <v>437</v>
      </c>
      <c r="H124" t="s">
        <v>551</v>
      </c>
      <c r="I124" s="54">
        <v>46174</v>
      </c>
    </row>
    <row r="125" spans="1:9" x14ac:dyDescent="0.35">
      <c r="A125" t="s">
        <v>1310</v>
      </c>
      <c r="B125" t="s">
        <v>1311</v>
      </c>
      <c r="C125" t="s">
        <v>1253</v>
      </c>
      <c r="D125" t="s">
        <v>1260</v>
      </c>
      <c r="E125" t="s">
        <v>1452</v>
      </c>
      <c r="F125" t="s">
        <v>1435</v>
      </c>
      <c r="G125" t="s">
        <v>442</v>
      </c>
      <c r="H125" t="s">
        <v>575</v>
      </c>
      <c r="I125" s="54">
        <v>46174</v>
      </c>
    </row>
    <row r="126" spans="1:9" x14ac:dyDescent="0.35">
      <c r="A126" t="s">
        <v>25</v>
      </c>
      <c r="B126" t="s">
        <v>27</v>
      </c>
      <c r="C126" t="s">
        <v>1253</v>
      </c>
      <c r="D126" t="s">
        <v>1254</v>
      </c>
      <c r="E126" t="s">
        <v>26</v>
      </c>
      <c r="F126" t="s">
        <v>1435</v>
      </c>
      <c r="G126" t="s">
        <v>439</v>
      </c>
      <c r="H126" t="s">
        <v>572</v>
      </c>
      <c r="I126" s="54">
        <v>46174</v>
      </c>
    </row>
    <row r="127" spans="1:9" x14ac:dyDescent="0.35">
      <c r="A127" t="s">
        <v>1275</v>
      </c>
      <c r="B127" t="s">
        <v>1276</v>
      </c>
      <c r="C127" t="s">
        <v>1253</v>
      </c>
      <c r="D127" t="s">
        <v>1263</v>
      </c>
      <c r="E127" t="s">
        <v>1437</v>
      </c>
      <c r="F127" t="s">
        <v>1435</v>
      </c>
      <c r="G127" t="s">
        <v>437</v>
      </c>
      <c r="H127" t="s">
        <v>551</v>
      </c>
      <c r="I127" s="54">
        <v>46174</v>
      </c>
    </row>
    <row r="128" spans="1:9" x14ac:dyDescent="0.35">
      <c r="A128" t="s">
        <v>298</v>
      </c>
      <c r="B128" t="s">
        <v>300</v>
      </c>
      <c r="C128" t="s">
        <v>1257</v>
      </c>
      <c r="D128" t="s">
        <v>1266</v>
      </c>
      <c r="E128" t="s">
        <v>299</v>
      </c>
      <c r="F128" t="s">
        <v>1435</v>
      </c>
      <c r="G128" t="s">
        <v>565</v>
      </c>
      <c r="H128" t="s">
        <v>566</v>
      </c>
      <c r="I128" s="54">
        <v>46174</v>
      </c>
    </row>
    <row r="129" spans="1:9" x14ac:dyDescent="0.35">
      <c r="A129" t="s">
        <v>671</v>
      </c>
      <c r="B129" t="s">
        <v>672</v>
      </c>
      <c r="C129" t="s">
        <v>1253</v>
      </c>
      <c r="D129" t="s">
        <v>1254</v>
      </c>
      <c r="E129" t="s">
        <v>516</v>
      </c>
      <c r="F129" t="s">
        <v>1435</v>
      </c>
      <c r="G129" t="s">
        <v>436</v>
      </c>
      <c r="H129" t="s">
        <v>548</v>
      </c>
      <c r="I129" s="54">
        <v>46174</v>
      </c>
    </row>
    <row r="130" spans="1:9" x14ac:dyDescent="0.35">
      <c r="A130" t="s">
        <v>668</v>
      </c>
      <c r="B130" t="s">
        <v>669</v>
      </c>
      <c r="C130" t="s">
        <v>1274</v>
      </c>
      <c r="D130" t="s">
        <v>1254</v>
      </c>
      <c r="E130" t="s">
        <v>670</v>
      </c>
      <c r="F130" t="s">
        <v>1435</v>
      </c>
      <c r="G130" t="s">
        <v>437</v>
      </c>
      <c r="H130" t="s">
        <v>551</v>
      </c>
      <c r="I130" s="54">
        <v>46174</v>
      </c>
    </row>
    <row r="131" spans="1:9" x14ac:dyDescent="0.35">
      <c r="A131" t="s">
        <v>1336</v>
      </c>
      <c r="B131" t="s">
        <v>1337</v>
      </c>
      <c r="C131" t="s">
        <v>1253</v>
      </c>
      <c r="D131" t="s">
        <v>1266</v>
      </c>
      <c r="E131" t="s">
        <v>1461</v>
      </c>
      <c r="F131" t="s">
        <v>1435</v>
      </c>
      <c r="G131" t="s">
        <v>436</v>
      </c>
      <c r="H131" t="s">
        <v>548</v>
      </c>
      <c r="I131" s="54">
        <v>46174</v>
      </c>
    </row>
    <row r="132" spans="1:9" x14ac:dyDescent="0.35">
      <c r="A132" t="s">
        <v>1294</v>
      </c>
      <c r="B132" t="s">
        <v>1295</v>
      </c>
      <c r="C132" t="s">
        <v>1257</v>
      </c>
      <c r="D132" t="s">
        <v>1260</v>
      </c>
      <c r="E132" t="s">
        <v>1446</v>
      </c>
      <c r="F132" t="s">
        <v>1435</v>
      </c>
      <c r="G132" t="s">
        <v>437</v>
      </c>
      <c r="H132" t="s">
        <v>551</v>
      </c>
      <c r="I132" s="54">
        <v>46174</v>
      </c>
    </row>
    <row r="133" spans="1:9" x14ac:dyDescent="0.35">
      <c r="A133" t="s">
        <v>259</v>
      </c>
      <c r="B133" t="s">
        <v>261</v>
      </c>
      <c r="C133" t="s">
        <v>1253</v>
      </c>
      <c r="D133" t="s">
        <v>1254</v>
      </c>
      <c r="E133" t="s">
        <v>260</v>
      </c>
      <c r="F133" t="s">
        <v>1435</v>
      </c>
      <c r="G133" t="s">
        <v>565</v>
      </c>
      <c r="H133" t="s">
        <v>566</v>
      </c>
      <c r="I133" s="54">
        <v>46174</v>
      </c>
    </row>
    <row r="134" spans="1:9" x14ac:dyDescent="0.35">
      <c r="A134" t="s">
        <v>34</v>
      </c>
      <c r="B134" t="s">
        <v>36</v>
      </c>
      <c r="C134" t="s">
        <v>1253</v>
      </c>
      <c r="D134" t="s">
        <v>1254</v>
      </c>
      <c r="E134" t="s">
        <v>35</v>
      </c>
      <c r="F134" t="s">
        <v>1435</v>
      </c>
      <c r="G134" t="s">
        <v>565</v>
      </c>
      <c r="H134" t="s">
        <v>566</v>
      </c>
      <c r="I134" s="54">
        <v>46174</v>
      </c>
    </row>
    <row r="135" spans="1:9" x14ac:dyDescent="0.35">
      <c r="A135" t="s">
        <v>1340</v>
      </c>
      <c r="B135" t="s">
        <v>1341</v>
      </c>
      <c r="C135" t="s">
        <v>1274</v>
      </c>
      <c r="D135" t="s">
        <v>1254</v>
      </c>
      <c r="E135" t="s">
        <v>1462</v>
      </c>
      <c r="F135" t="s">
        <v>1435</v>
      </c>
      <c r="G135" t="s">
        <v>442</v>
      </c>
      <c r="H135" t="s">
        <v>575</v>
      </c>
      <c r="I135" s="54">
        <v>46174</v>
      </c>
    </row>
    <row r="136" spans="1:9" x14ac:dyDescent="0.35">
      <c r="A136" t="s">
        <v>507</v>
      </c>
      <c r="B136" t="s">
        <v>509</v>
      </c>
      <c r="C136" t="s">
        <v>1253</v>
      </c>
      <c r="D136" t="s">
        <v>1266</v>
      </c>
      <c r="E136" t="s">
        <v>1461</v>
      </c>
      <c r="F136" t="s">
        <v>1435</v>
      </c>
      <c r="G136" t="s">
        <v>436</v>
      </c>
      <c r="H136" t="s">
        <v>548</v>
      </c>
      <c r="I136" s="54">
        <v>46174</v>
      </c>
    </row>
    <row r="137" spans="1:9" x14ac:dyDescent="0.35">
      <c r="A137" t="s">
        <v>1342</v>
      </c>
      <c r="B137" t="s">
        <v>1343</v>
      </c>
      <c r="C137" t="s">
        <v>1253</v>
      </c>
      <c r="D137" t="s">
        <v>1254</v>
      </c>
      <c r="E137" t="s">
        <v>1463</v>
      </c>
      <c r="F137" t="s">
        <v>1435</v>
      </c>
      <c r="G137" t="s">
        <v>442</v>
      </c>
      <c r="H137" t="s">
        <v>575</v>
      </c>
      <c r="I137" s="54">
        <v>46174</v>
      </c>
    </row>
    <row r="138" spans="1:9" x14ac:dyDescent="0.35">
      <c r="A138" t="s">
        <v>1286</v>
      </c>
      <c r="B138" t="s">
        <v>1287</v>
      </c>
      <c r="C138" t="s">
        <v>1253</v>
      </c>
      <c r="D138" t="s">
        <v>1263</v>
      </c>
      <c r="E138" t="s">
        <v>1443</v>
      </c>
      <c r="F138" t="s">
        <v>1435</v>
      </c>
      <c r="G138" t="s">
        <v>437</v>
      </c>
      <c r="H138" t="s">
        <v>551</v>
      </c>
      <c r="I138" s="54">
        <v>46174</v>
      </c>
    </row>
    <row r="139" spans="1:9" x14ac:dyDescent="0.35">
      <c r="A139" t="s">
        <v>37</v>
      </c>
      <c r="B139" t="s">
        <v>39</v>
      </c>
      <c r="C139" t="s">
        <v>1253</v>
      </c>
      <c r="D139" t="s">
        <v>1254</v>
      </c>
      <c r="E139" t="s">
        <v>1464</v>
      </c>
      <c r="F139" t="s">
        <v>1435</v>
      </c>
      <c r="G139" t="s">
        <v>561</v>
      </c>
      <c r="H139" t="s">
        <v>562</v>
      </c>
      <c r="I139" s="54">
        <v>46174</v>
      </c>
    </row>
    <row r="140" spans="1:9" x14ac:dyDescent="0.35">
      <c r="A140" t="s">
        <v>1344</v>
      </c>
      <c r="B140" t="s">
        <v>1345</v>
      </c>
      <c r="C140" t="s">
        <v>1253</v>
      </c>
      <c r="D140" t="s">
        <v>1254</v>
      </c>
      <c r="E140" t="s">
        <v>1465</v>
      </c>
      <c r="F140" t="s">
        <v>1435</v>
      </c>
      <c r="G140" t="s">
        <v>440</v>
      </c>
      <c r="H140" t="s">
        <v>578</v>
      </c>
      <c r="I140" s="54">
        <v>46174</v>
      </c>
    </row>
    <row r="141" spans="1:9" x14ac:dyDescent="0.35">
      <c r="A141" t="s">
        <v>1314</v>
      </c>
      <c r="B141" t="s">
        <v>1315</v>
      </c>
      <c r="C141" t="s">
        <v>1253</v>
      </c>
      <c r="D141" t="s">
        <v>1260</v>
      </c>
      <c r="E141" t="s">
        <v>1452</v>
      </c>
      <c r="F141" t="s">
        <v>1435</v>
      </c>
      <c r="G141" t="s">
        <v>442</v>
      </c>
      <c r="H141" t="s">
        <v>575</v>
      </c>
      <c r="I141" s="54">
        <v>46174</v>
      </c>
    </row>
    <row r="142" spans="1:9" x14ac:dyDescent="0.35">
      <c r="A142" t="s">
        <v>1340</v>
      </c>
      <c r="B142" t="s">
        <v>1341</v>
      </c>
      <c r="C142" t="s">
        <v>1257</v>
      </c>
      <c r="D142" t="s">
        <v>1254</v>
      </c>
      <c r="E142" t="s">
        <v>1462</v>
      </c>
      <c r="F142" t="s">
        <v>1435</v>
      </c>
      <c r="G142" t="s">
        <v>442</v>
      </c>
      <c r="H142" t="s">
        <v>575</v>
      </c>
      <c r="I142" s="54">
        <v>46174</v>
      </c>
    </row>
    <row r="143" spans="1:9" x14ac:dyDescent="0.35">
      <c r="A143" t="s">
        <v>1338</v>
      </c>
      <c r="B143" t="s">
        <v>1339</v>
      </c>
      <c r="C143" t="s">
        <v>1253</v>
      </c>
      <c r="D143" t="s">
        <v>1266</v>
      </c>
      <c r="E143" t="s">
        <v>1461</v>
      </c>
      <c r="F143" t="s">
        <v>1435</v>
      </c>
      <c r="G143" t="s">
        <v>436</v>
      </c>
      <c r="H143" t="s">
        <v>548</v>
      </c>
      <c r="I143" s="54">
        <v>46174</v>
      </c>
    </row>
    <row r="144" spans="1:9" x14ac:dyDescent="0.35">
      <c r="A144" t="s">
        <v>1346</v>
      </c>
      <c r="B144" t="s">
        <v>1347</v>
      </c>
      <c r="C144" t="s">
        <v>1253</v>
      </c>
      <c r="D144" t="s">
        <v>1254</v>
      </c>
      <c r="E144" t="s">
        <v>1437</v>
      </c>
      <c r="F144" t="s">
        <v>1435</v>
      </c>
      <c r="G144" t="s">
        <v>437</v>
      </c>
      <c r="H144" t="s">
        <v>551</v>
      </c>
      <c r="I144" s="54">
        <v>46174</v>
      </c>
    </row>
    <row r="145" spans="1:9" x14ac:dyDescent="0.35">
      <c r="A145" t="s">
        <v>1316</v>
      </c>
      <c r="B145" t="s">
        <v>1317</v>
      </c>
      <c r="C145" t="s">
        <v>1253</v>
      </c>
      <c r="D145" t="s">
        <v>1260</v>
      </c>
      <c r="E145" t="s">
        <v>1452</v>
      </c>
      <c r="F145" t="s">
        <v>1435</v>
      </c>
      <c r="G145" t="s">
        <v>442</v>
      </c>
      <c r="H145" t="s">
        <v>575</v>
      </c>
      <c r="I145" s="54">
        <v>46174</v>
      </c>
    </row>
    <row r="146" spans="1:9" x14ac:dyDescent="0.35">
      <c r="A146" t="s">
        <v>1251</v>
      </c>
      <c r="B146" t="s">
        <v>1252</v>
      </c>
      <c r="C146" t="s">
        <v>1257</v>
      </c>
      <c r="D146" t="s">
        <v>1254</v>
      </c>
      <c r="E146" t="s">
        <v>1434</v>
      </c>
      <c r="F146" t="s">
        <v>1435</v>
      </c>
      <c r="G146" t="s">
        <v>440</v>
      </c>
      <c r="H146" t="s">
        <v>578</v>
      </c>
      <c r="I146" s="54">
        <v>46174</v>
      </c>
    </row>
    <row r="147" spans="1:9" x14ac:dyDescent="0.35">
      <c r="A147" t="s">
        <v>1296</v>
      </c>
      <c r="B147" t="s">
        <v>1297</v>
      </c>
      <c r="C147" t="s">
        <v>1253</v>
      </c>
      <c r="D147" t="s">
        <v>1263</v>
      </c>
      <c r="E147" t="s">
        <v>1447</v>
      </c>
      <c r="F147" t="s">
        <v>1435</v>
      </c>
      <c r="G147" t="s">
        <v>440</v>
      </c>
      <c r="H147" t="s">
        <v>578</v>
      </c>
      <c r="I147" s="54">
        <v>46174</v>
      </c>
    </row>
    <row r="148" spans="1:9" x14ac:dyDescent="0.35">
      <c r="A148" t="s">
        <v>1251</v>
      </c>
      <c r="B148" t="s">
        <v>1252</v>
      </c>
      <c r="C148" t="s">
        <v>1274</v>
      </c>
      <c r="D148" t="s">
        <v>1254</v>
      </c>
      <c r="E148" t="s">
        <v>1434</v>
      </c>
      <c r="F148" t="s">
        <v>1435</v>
      </c>
      <c r="G148" t="s">
        <v>440</v>
      </c>
      <c r="H148" t="s">
        <v>578</v>
      </c>
      <c r="I148" s="54">
        <v>46174</v>
      </c>
    </row>
    <row r="149" spans="1:9" x14ac:dyDescent="0.35">
      <c r="A149" t="s">
        <v>1302</v>
      </c>
      <c r="B149" t="s">
        <v>1303</v>
      </c>
      <c r="C149" t="s">
        <v>1253</v>
      </c>
      <c r="D149" t="s">
        <v>1263</v>
      </c>
      <c r="E149" t="s">
        <v>1450</v>
      </c>
      <c r="F149" t="s">
        <v>1435</v>
      </c>
      <c r="G149" t="s">
        <v>442</v>
      </c>
      <c r="H149" t="s">
        <v>575</v>
      </c>
      <c r="I149" s="54">
        <v>46174</v>
      </c>
    </row>
    <row r="150" spans="1:9" x14ac:dyDescent="0.35">
      <c r="A150" t="s">
        <v>1348</v>
      </c>
      <c r="B150" t="s">
        <v>1349</v>
      </c>
      <c r="C150" t="s">
        <v>1253</v>
      </c>
      <c r="D150" t="s">
        <v>1254</v>
      </c>
      <c r="E150" t="s">
        <v>1466</v>
      </c>
      <c r="F150" t="s">
        <v>1435</v>
      </c>
      <c r="G150" t="s">
        <v>437</v>
      </c>
      <c r="H150" t="s">
        <v>551</v>
      </c>
      <c r="I150" s="54">
        <v>46174</v>
      </c>
    </row>
    <row r="151" spans="1:9" x14ac:dyDescent="0.35">
      <c r="A151" t="s">
        <v>298</v>
      </c>
      <c r="B151" t="s">
        <v>300</v>
      </c>
      <c r="C151" t="s">
        <v>1274</v>
      </c>
      <c r="D151" t="s">
        <v>1266</v>
      </c>
      <c r="E151" t="s">
        <v>299</v>
      </c>
      <c r="F151" t="s">
        <v>1435</v>
      </c>
      <c r="G151" t="s">
        <v>565</v>
      </c>
      <c r="H151" t="s">
        <v>566</v>
      </c>
      <c r="I151" s="54">
        <v>46174</v>
      </c>
    </row>
    <row r="152" spans="1:9" x14ac:dyDescent="0.35">
      <c r="A152" t="s">
        <v>25</v>
      </c>
      <c r="B152" t="s">
        <v>27</v>
      </c>
      <c r="C152" t="s">
        <v>1253</v>
      </c>
      <c r="D152" t="s">
        <v>1266</v>
      </c>
      <c r="E152" t="s">
        <v>26</v>
      </c>
      <c r="F152" t="s">
        <v>1435</v>
      </c>
      <c r="G152" t="s">
        <v>439</v>
      </c>
      <c r="H152" t="s">
        <v>572</v>
      </c>
      <c r="I152" s="54">
        <v>46174</v>
      </c>
    </row>
    <row r="153" spans="1:9" x14ac:dyDescent="0.35">
      <c r="A153" t="s">
        <v>1350</v>
      </c>
      <c r="B153" t="s">
        <v>1351</v>
      </c>
      <c r="C153" t="s">
        <v>1253</v>
      </c>
      <c r="D153" t="s">
        <v>1254</v>
      </c>
      <c r="E153" t="s">
        <v>1466</v>
      </c>
      <c r="F153" t="s">
        <v>1435</v>
      </c>
      <c r="G153" t="s">
        <v>437</v>
      </c>
      <c r="H153" t="s">
        <v>551</v>
      </c>
      <c r="I153" s="54">
        <v>46174</v>
      </c>
    </row>
    <row r="154" spans="1:9" x14ac:dyDescent="0.35">
      <c r="A154" t="s">
        <v>1294</v>
      </c>
      <c r="B154" t="s">
        <v>1295</v>
      </c>
      <c r="C154" t="s">
        <v>1274</v>
      </c>
      <c r="D154" t="s">
        <v>1260</v>
      </c>
      <c r="E154" t="s">
        <v>1446</v>
      </c>
      <c r="F154" t="s">
        <v>1435</v>
      </c>
      <c r="G154" t="s">
        <v>437</v>
      </c>
      <c r="H154" t="s">
        <v>551</v>
      </c>
      <c r="I154" s="54">
        <v>46174</v>
      </c>
    </row>
    <row r="155" spans="1:9" x14ac:dyDescent="0.35">
      <c r="A155" t="s">
        <v>1352</v>
      </c>
      <c r="B155" t="s">
        <v>1353</v>
      </c>
      <c r="C155" t="s">
        <v>1253</v>
      </c>
      <c r="D155" t="s">
        <v>1254</v>
      </c>
      <c r="E155" t="s">
        <v>1467</v>
      </c>
      <c r="F155" t="s">
        <v>1435</v>
      </c>
      <c r="G155" t="s">
        <v>437</v>
      </c>
      <c r="H155" t="s">
        <v>551</v>
      </c>
      <c r="I155" s="54">
        <v>46174</v>
      </c>
    </row>
    <row r="156" spans="1:9" x14ac:dyDescent="0.35">
      <c r="A156" t="s">
        <v>1320</v>
      </c>
      <c r="B156" t="s">
        <v>1321</v>
      </c>
      <c r="C156" t="s">
        <v>1253</v>
      </c>
      <c r="D156" t="s">
        <v>1260</v>
      </c>
      <c r="E156" t="s">
        <v>1454</v>
      </c>
      <c r="F156" t="s">
        <v>1435</v>
      </c>
      <c r="G156" t="s">
        <v>440</v>
      </c>
      <c r="H156" t="s">
        <v>578</v>
      </c>
      <c r="I156" s="54">
        <v>46174</v>
      </c>
    </row>
    <row r="157" spans="1:9" x14ac:dyDescent="0.35">
      <c r="A157" t="s">
        <v>1298</v>
      </c>
      <c r="B157" t="s">
        <v>1299</v>
      </c>
      <c r="C157" t="s">
        <v>1274</v>
      </c>
      <c r="D157" t="s">
        <v>1260</v>
      </c>
      <c r="E157" t="s">
        <v>1448</v>
      </c>
      <c r="F157" t="s">
        <v>1435</v>
      </c>
      <c r="G157" t="s">
        <v>437</v>
      </c>
      <c r="H157" t="s">
        <v>551</v>
      </c>
      <c r="I157" s="54">
        <v>46174</v>
      </c>
    </row>
    <row r="158" spans="1:9" x14ac:dyDescent="0.35">
      <c r="A158" t="s">
        <v>1354</v>
      </c>
      <c r="B158" t="s">
        <v>1355</v>
      </c>
      <c r="C158" t="s">
        <v>1253</v>
      </c>
      <c r="D158" t="s">
        <v>1254</v>
      </c>
      <c r="E158" t="s">
        <v>1467</v>
      </c>
      <c r="F158" t="s">
        <v>1435</v>
      </c>
      <c r="G158" t="s">
        <v>437</v>
      </c>
      <c r="H158" t="s">
        <v>551</v>
      </c>
      <c r="I158" s="54">
        <v>46174</v>
      </c>
    </row>
    <row r="159" spans="1:9" x14ac:dyDescent="0.35">
      <c r="A159" t="s">
        <v>673</v>
      </c>
      <c r="B159" t="s">
        <v>674</v>
      </c>
      <c r="C159" t="s">
        <v>1253</v>
      </c>
      <c r="D159" t="s">
        <v>1260</v>
      </c>
      <c r="E159" t="s">
        <v>287</v>
      </c>
      <c r="F159" t="s">
        <v>1435</v>
      </c>
      <c r="G159" t="s">
        <v>442</v>
      </c>
      <c r="H159" t="s">
        <v>575</v>
      </c>
      <c r="I159" s="54">
        <v>46174</v>
      </c>
    </row>
    <row r="160" spans="1:9" x14ac:dyDescent="0.35">
      <c r="A160" t="s">
        <v>25</v>
      </c>
      <c r="B160" t="s">
        <v>27</v>
      </c>
      <c r="C160" t="s">
        <v>1257</v>
      </c>
      <c r="D160" t="s">
        <v>1254</v>
      </c>
      <c r="E160" t="s">
        <v>26</v>
      </c>
      <c r="F160" t="s">
        <v>1435</v>
      </c>
      <c r="G160" t="s">
        <v>439</v>
      </c>
      <c r="H160" t="s">
        <v>572</v>
      </c>
      <c r="I160" s="54">
        <v>46174</v>
      </c>
    </row>
    <row r="161" spans="1:9" x14ac:dyDescent="0.35">
      <c r="A161" t="s">
        <v>1356</v>
      </c>
      <c r="B161" t="s">
        <v>1357</v>
      </c>
      <c r="C161" t="s">
        <v>1253</v>
      </c>
      <c r="D161" t="s">
        <v>1254</v>
      </c>
      <c r="E161" t="s">
        <v>1468</v>
      </c>
      <c r="F161" t="s">
        <v>1435</v>
      </c>
      <c r="G161" t="s">
        <v>437</v>
      </c>
      <c r="H161" t="s">
        <v>551</v>
      </c>
      <c r="I161" s="54">
        <v>46174</v>
      </c>
    </row>
    <row r="162" spans="1:9" x14ac:dyDescent="0.35">
      <c r="A162" t="s">
        <v>1306</v>
      </c>
      <c r="B162" t="s">
        <v>1307</v>
      </c>
      <c r="C162" t="s">
        <v>1253</v>
      </c>
      <c r="D162" t="s">
        <v>1263</v>
      </c>
      <c r="E162" t="s">
        <v>376</v>
      </c>
      <c r="F162" t="s">
        <v>1435</v>
      </c>
      <c r="G162" t="s">
        <v>565</v>
      </c>
      <c r="H162" t="s">
        <v>566</v>
      </c>
      <c r="I162" s="54">
        <v>46174</v>
      </c>
    </row>
    <row r="163" spans="1:9" x14ac:dyDescent="0.35">
      <c r="A163" t="s">
        <v>671</v>
      </c>
      <c r="B163" t="s">
        <v>672</v>
      </c>
      <c r="C163" t="s">
        <v>1253</v>
      </c>
      <c r="D163" t="s">
        <v>1266</v>
      </c>
      <c r="E163" t="s">
        <v>516</v>
      </c>
      <c r="F163" t="s">
        <v>1435</v>
      </c>
      <c r="G163" t="s">
        <v>436</v>
      </c>
      <c r="H163" t="s">
        <v>548</v>
      </c>
      <c r="I163" s="54">
        <v>46174</v>
      </c>
    </row>
    <row r="164" spans="1:9" x14ac:dyDescent="0.35">
      <c r="A164" t="s">
        <v>1358</v>
      </c>
      <c r="B164" t="s">
        <v>1359</v>
      </c>
      <c r="C164" t="s">
        <v>1253</v>
      </c>
      <c r="D164" t="s">
        <v>1254</v>
      </c>
      <c r="E164" t="s">
        <v>1468</v>
      </c>
      <c r="F164" t="s">
        <v>1435</v>
      </c>
      <c r="G164" t="s">
        <v>437</v>
      </c>
      <c r="H164" t="s">
        <v>551</v>
      </c>
      <c r="I164" s="54">
        <v>46174</v>
      </c>
    </row>
    <row r="165" spans="1:9" x14ac:dyDescent="0.35">
      <c r="A165" t="s">
        <v>25</v>
      </c>
      <c r="B165" t="s">
        <v>27</v>
      </c>
      <c r="C165" t="s">
        <v>1274</v>
      </c>
      <c r="D165" t="s">
        <v>1254</v>
      </c>
      <c r="E165" t="s">
        <v>26</v>
      </c>
      <c r="F165" t="s">
        <v>1435</v>
      </c>
      <c r="G165" t="s">
        <v>439</v>
      </c>
      <c r="H165" t="s">
        <v>572</v>
      </c>
      <c r="I165" s="54">
        <v>46174</v>
      </c>
    </row>
    <row r="166" spans="1:9" x14ac:dyDescent="0.35">
      <c r="A166" t="s">
        <v>1290</v>
      </c>
      <c r="B166" t="s">
        <v>1291</v>
      </c>
      <c r="C166" t="s">
        <v>1257</v>
      </c>
      <c r="D166" t="s">
        <v>1263</v>
      </c>
      <c r="E166" t="s">
        <v>1444</v>
      </c>
      <c r="F166" t="s">
        <v>1435</v>
      </c>
      <c r="G166" t="s">
        <v>436</v>
      </c>
      <c r="H166" t="s">
        <v>548</v>
      </c>
      <c r="I166" s="54">
        <v>46174</v>
      </c>
    </row>
    <row r="167" spans="1:9" x14ac:dyDescent="0.35">
      <c r="A167" t="s">
        <v>54</v>
      </c>
      <c r="B167" t="s">
        <v>56</v>
      </c>
      <c r="C167" t="s">
        <v>1253</v>
      </c>
      <c r="D167" t="s">
        <v>1254</v>
      </c>
      <c r="E167" t="s">
        <v>1469</v>
      </c>
      <c r="F167" t="s">
        <v>1435</v>
      </c>
      <c r="G167" t="s">
        <v>565</v>
      </c>
      <c r="H167" t="s">
        <v>566</v>
      </c>
      <c r="I167" s="54">
        <v>46174</v>
      </c>
    </row>
    <row r="168" spans="1:9" x14ac:dyDescent="0.35">
      <c r="A168" t="s">
        <v>1308</v>
      </c>
      <c r="B168" t="s">
        <v>1309</v>
      </c>
      <c r="C168" t="s">
        <v>1253</v>
      </c>
      <c r="D168" t="s">
        <v>1263</v>
      </c>
      <c r="E168" t="s">
        <v>1451</v>
      </c>
      <c r="F168" t="s">
        <v>1435</v>
      </c>
      <c r="G168" t="s">
        <v>439</v>
      </c>
      <c r="H168" t="s">
        <v>572</v>
      </c>
      <c r="I168" s="54">
        <v>46174</v>
      </c>
    </row>
    <row r="169" spans="1:9" x14ac:dyDescent="0.35">
      <c r="A169" t="s">
        <v>57</v>
      </c>
      <c r="B169" t="s">
        <v>58</v>
      </c>
      <c r="C169" t="s">
        <v>1253</v>
      </c>
      <c r="D169" t="s">
        <v>1254</v>
      </c>
      <c r="E169" t="s">
        <v>1469</v>
      </c>
      <c r="F169" t="s">
        <v>1435</v>
      </c>
      <c r="G169" t="s">
        <v>565</v>
      </c>
      <c r="H169" t="s">
        <v>566</v>
      </c>
      <c r="I169" s="54">
        <v>46174</v>
      </c>
    </row>
    <row r="170" spans="1:9" x14ac:dyDescent="0.35">
      <c r="A170" t="s">
        <v>259</v>
      </c>
      <c r="B170" t="s">
        <v>261</v>
      </c>
      <c r="C170" t="s">
        <v>1253</v>
      </c>
      <c r="D170" t="s">
        <v>1266</v>
      </c>
      <c r="E170" t="s">
        <v>260</v>
      </c>
      <c r="F170" t="s">
        <v>1435</v>
      </c>
      <c r="G170" t="s">
        <v>565</v>
      </c>
      <c r="H170" t="s">
        <v>566</v>
      </c>
      <c r="I170" s="54">
        <v>46174</v>
      </c>
    </row>
    <row r="171" spans="1:9" x14ac:dyDescent="0.35">
      <c r="A171" t="s">
        <v>1292</v>
      </c>
      <c r="B171" t="s">
        <v>1293</v>
      </c>
      <c r="C171" t="s">
        <v>1257</v>
      </c>
      <c r="D171" t="s">
        <v>1254</v>
      </c>
      <c r="E171" t="s">
        <v>236</v>
      </c>
      <c r="F171" t="s">
        <v>1435</v>
      </c>
      <c r="G171" t="s">
        <v>437</v>
      </c>
      <c r="H171" t="s">
        <v>551</v>
      </c>
      <c r="I171" s="54">
        <v>46174</v>
      </c>
    </row>
    <row r="172" spans="1:9" x14ac:dyDescent="0.35">
      <c r="A172" t="s">
        <v>1360</v>
      </c>
      <c r="B172" t="s">
        <v>1361</v>
      </c>
      <c r="C172" t="s">
        <v>1253</v>
      </c>
      <c r="D172" t="s">
        <v>1254</v>
      </c>
      <c r="E172" t="s">
        <v>1470</v>
      </c>
      <c r="F172" t="s">
        <v>1435</v>
      </c>
      <c r="G172" t="s">
        <v>593</v>
      </c>
      <c r="H172" t="s">
        <v>594</v>
      </c>
      <c r="I172" s="54">
        <v>46174</v>
      </c>
    </row>
    <row r="173" spans="1:9" x14ac:dyDescent="0.35">
      <c r="A173" t="s">
        <v>1277</v>
      </c>
      <c r="B173" t="s">
        <v>1278</v>
      </c>
      <c r="C173" t="s">
        <v>1253</v>
      </c>
      <c r="D173" t="s">
        <v>1273</v>
      </c>
      <c r="E173" t="s">
        <v>1441</v>
      </c>
      <c r="F173" t="s">
        <v>1435</v>
      </c>
      <c r="G173" t="s">
        <v>437</v>
      </c>
      <c r="H173" t="s">
        <v>551</v>
      </c>
      <c r="I173" s="54">
        <v>46174</v>
      </c>
    </row>
    <row r="174" spans="1:9" x14ac:dyDescent="0.35">
      <c r="A174" t="s">
        <v>298</v>
      </c>
      <c r="B174" t="s">
        <v>300</v>
      </c>
      <c r="C174" t="s">
        <v>1274</v>
      </c>
      <c r="D174" t="s">
        <v>1254</v>
      </c>
      <c r="E174" t="s">
        <v>299</v>
      </c>
      <c r="F174" t="s">
        <v>1435</v>
      </c>
      <c r="G174" t="s">
        <v>565</v>
      </c>
      <c r="H174" t="s">
        <v>566</v>
      </c>
      <c r="I174" s="54">
        <v>46174</v>
      </c>
    </row>
    <row r="175" spans="1:9" x14ac:dyDescent="0.35">
      <c r="A175" t="s">
        <v>1362</v>
      </c>
      <c r="B175" t="s">
        <v>1363</v>
      </c>
      <c r="C175" t="s">
        <v>1253</v>
      </c>
      <c r="D175" t="s">
        <v>1254</v>
      </c>
      <c r="E175" t="s">
        <v>1471</v>
      </c>
      <c r="F175" t="s">
        <v>1435</v>
      </c>
      <c r="G175" t="s">
        <v>437</v>
      </c>
      <c r="H175" t="s">
        <v>551</v>
      </c>
      <c r="I175" s="54">
        <v>46174</v>
      </c>
    </row>
    <row r="176" spans="1:9" x14ac:dyDescent="0.35">
      <c r="A176" t="s">
        <v>1326</v>
      </c>
      <c r="B176" t="s">
        <v>1327</v>
      </c>
      <c r="C176" t="s">
        <v>1253</v>
      </c>
      <c r="D176" t="s">
        <v>1260</v>
      </c>
      <c r="E176" t="s">
        <v>1455</v>
      </c>
      <c r="F176" t="s">
        <v>1435</v>
      </c>
      <c r="G176" t="s">
        <v>442</v>
      </c>
      <c r="H176" t="s">
        <v>575</v>
      </c>
      <c r="I176" s="54">
        <v>46174</v>
      </c>
    </row>
    <row r="177" spans="1:9" x14ac:dyDescent="0.35">
      <c r="A177" t="s">
        <v>1279</v>
      </c>
      <c r="B177" t="s">
        <v>1280</v>
      </c>
      <c r="C177" t="s">
        <v>1253</v>
      </c>
      <c r="D177" t="s">
        <v>1273</v>
      </c>
      <c r="E177" t="s">
        <v>1441</v>
      </c>
      <c r="F177" t="s">
        <v>1435</v>
      </c>
      <c r="G177" t="s">
        <v>437</v>
      </c>
      <c r="H177" t="s">
        <v>551</v>
      </c>
      <c r="I177" s="54">
        <v>46174</v>
      </c>
    </row>
    <row r="178" spans="1:9" x14ac:dyDescent="0.35">
      <c r="A178" t="s">
        <v>1364</v>
      </c>
      <c r="B178" t="s">
        <v>1365</v>
      </c>
      <c r="C178" t="s">
        <v>1253</v>
      </c>
      <c r="D178" t="s">
        <v>1254</v>
      </c>
      <c r="E178" t="s">
        <v>1472</v>
      </c>
      <c r="F178" t="s">
        <v>1435</v>
      </c>
      <c r="G178" t="s">
        <v>437</v>
      </c>
      <c r="H178" t="s">
        <v>551</v>
      </c>
      <c r="I178" s="54">
        <v>46174</v>
      </c>
    </row>
    <row r="179" spans="1:9" x14ac:dyDescent="0.35">
      <c r="A179" t="s">
        <v>34</v>
      </c>
      <c r="B179" t="s">
        <v>36</v>
      </c>
      <c r="C179" t="s">
        <v>1253</v>
      </c>
      <c r="D179" t="s">
        <v>1266</v>
      </c>
      <c r="E179" t="s">
        <v>35</v>
      </c>
      <c r="F179" t="s">
        <v>1435</v>
      </c>
      <c r="G179" t="s">
        <v>565</v>
      </c>
      <c r="H179" t="s">
        <v>566</v>
      </c>
      <c r="I179" s="54">
        <v>46174</v>
      </c>
    </row>
    <row r="180" spans="1:9" x14ac:dyDescent="0.35">
      <c r="A180" t="s">
        <v>1366</v>
      </c>
      <c r="B180" t="s">
        <v>1367</v>
      </c>
      <c r="C180" t="s">
        <v>1253</v>
      </c>
      <c r="D180" t="s">
        <v>1254</v>
      </c>
      <c r="E180" t="s">
        <v>1471</v>
      </c>
      <c r="F180" t="s">
        <v>1435</v>
      </c>
      <c r="G180" t="s">
        <v>437</v>
      </c>
      <c r="H180" t="s">
        <v>551</v>
      </c>
      <c r="I180" s="54">
        <v>46174</v>
      </c>
    </row>
    <row r="181" spans="1:9" x14ac:dyDescent="0.35">
      <c r="A181" t="s">
        <v>259</v>
      </c>
      <c r="B181" t="s">
        <v>261</v>
      </c>
      <c r="C181" t="s">
        <v>1257</v>
      </c>
      <c r="D181" t="s">
        <v>1266</v>
      </c>
      <c r="E181" t="s">
        <v>260</v>
      </c>
      <c r="F181" t="s">
        <v>1435</v>
      </c>
      <c r="G181" t="s">
        <v>565</v>
      </c>
      <c r="H181" t="s">
        <v>566</v>
      </c>
      <c r="I181" s="54">
        <v>46174</v>
      </c>
    </row>
    <row r="182" spans="1:9" x14ac:dyDescent="0.35">
      <c r="A182" t="s">
        <v>1318</v>
      </c>
      <c r="B182" t="s">
        <v>1319</v>
      </c>
      <c r="C182" t="s">
        <v>1253</v>
      </c>
      <c r="D182" t="s">
        <v>1263</v>
      </c>
      <c r="E182" t="s">
        <v>1453</v>
      </c>
      <c r="F182" t="s">
        <v>1435</v>
      </c>
      <c r="G182" t="s">
        <v>442</v>
      </c>
      <c r="H182" t="s">
        <v>575</v>
      </c>
      <c r="I182" s="54">
        <v>46174</v>
      </c>
    </row>
    <row r="183" spans="1:9" x14ac:dyDescent="0.35">
      <c r="A183" t="s">
        <v>298</v>
      </c>
      <c r="B183" t="s">
        <v>300</v>
      </c>
      <c r="C183" t="s">
        <v>1257</v>
      </c>
      <c r="D183" t="s">
        <v>1254</v>
      </c>
      <c r="E183" t="s">
        <v>299</v>
      </c>
      <c r="F183" t="s">
        <v>1435</v>
      </c>
      <c r="G183" t="s">
        <v>565</v>
      </c>
      <c r="H183" t="s">
        <v>566</v>
      </c>
      <c r="I183" s="54">
        <v>46174</v>
      </c>
    </row>
    <row r="184" spans="1:9" x14ac:dyDescent="0.35">
      <c r="A184" t="s">
        <v>1290</v>
      </c>
      <c r="B184" t="s">
        <v>1291</v>
      </c>
      <c r="C184" t="s">
        <v>1274</v>
      </c>
      <c r="D184" t="s">
        <v>1263</v>
      </c>
      <c r="E184" t="s">
        <v>1444</v>
      </c>
      <c r="F184" t="s">
        <v>1435</v>
      </c>
      <c r="G184" t="s">
        <v>436</v>
      </c>
      <c r="H184" t="s">
        <v>548</v>
      </c>
      <c r="I184" s="54">
        <v>46174</v>
      </c>
    </row>
    <row r="185" spans="1:9" x14ac:dyDescent="0.35">
      <c r="A185" t="s">
        <v>1298</v>
      </c>
      <c r="B185" t="s">
        <v>1299</v>
      </c>
      <c r="C185" t="s">
        <v>1257</v>
      </c>
      <c r="D185" t="s">
        <v>1260</v>
      </c>
      <c r="E185" t="s">
        <v>1448</v>
      </c>
      <c r="F185" t="s">
        <v>1435</v>
      </c>
      <c r="G185" t="s">
        <v>437</v>
      </c>
      <c r="H185" t="s">
        <v>551</v>
      </c>
      <c r="I185" s="54">
        <v>46174</v>
      </c>
    </row>
    <row r="186" spans="1:9" x14ac:dyDescent="0.35">
      <c r="A186" t="s">
        <v>298</v>
      </c>
      <c r="B186" t="s">
        <v>300</v>
      </c>
      <c r="C186" t="s">
        <v>1253</v>
      </c>
      <c r="D186" t="s">
        <v>1254</v>
      </c>
      <c r="E186" t="s">
        <v>299</v>
      </c>
      <c r="F186" t="s">
        <v>1435</v>
      </c>
      <c r="G186" t="s">
        <v>565</v>
      </c>
      <c r="H186" t="s">
        <v>566</v>
      </c>
      <c r="I186" s="54">
        <v>46174</v>
      </c>
    </row>
    <row r="187" spans="1:9" x14ac:dyDescent="0.35">
      <c r="A187" t="s">
        <v>1320</v>
      </c>
      <c r="B187" t="s">
        <v>1321</v>
      </c>
      <c r="C187" t="s">
        <v>1253</v>
      </c>
      <c r="D187" t="s">
        <v>1263</v>
      </c>
      <c r="E187" t="s">
        <v>1454</v>
      </c>
      <c r="F187" t="s">
        <v>1435</v>
      </c>
      <c r="G187" t="s">
        <v>440</v>
      </c>
      <c r="H187" t="s">
        <v>578</v>
      </c>
      <c r="I187" s="54">
        <v>46174</v>
      </c>
    </row>
    <row r="188" spans="1:9" x14ac:dyDescent="0.35">
      <c r="A188" t="s">
        <v>1328</v>
      </c>
      <c r="B188" t="s">
        <v>1329</v>
      </c>
      <c r="C188" t="s">
        <v>1253</v>
      </c>
      <c r="D188" t="s">
        <v>1260</v>
      </c>
      <c r="E188" t="s">
        <v>1456</v>
      </c>
      <c r="F188" t="s">
        <v>1435</v>
      </c>
      <c r="G188" t="s">
        <v>442</v>
      </c>
      <c r="H188" t="s">
        <v>575</v>
      </c>
      <c r="I188" s="54">
        <v>46174</v>
      </c>
    </row>
    <row r="189" spans="1:9" x14ac:dyDescent="0.35">
      <c r="A189" t="s">
        <v>1368</v>
      </c>
      <c r="B189" t="s">
        <v>1369</v>
      </c>
      <c r="C189" t="s">
        <v>1253</v>
      </c>
      <c r="D189" t="s">
        <v>1254</v>
      </c>
      <c r="E189" t="s">
        <v>1473</v>
      </c>
      <c r="F189" t="s">
        <v>1435</v>
      </c>
      <c r="G189" t="s">
        <v>565</v>
      </c>
      <c r="H189" t="s">
        <v>566</v>
      </c>
      <c r="I189" s="54">
        <v>46174</v>
      </c>
    </row>
    <row r="190" spans="1:9" x14ac:dyDescent="0.35">
      <c r="A190" t="s">
        <v>37</v>
      </c>
      <c r="B190" t="s">
        <v>39</v>
      </c>
      <c r="C190" t="s">
        <v>1253</v>
      </c>
      <c r="D190" t="s">
        <v>1266</v>
      </c>
      <c r="E190" t="s">
        <v>1464</v>
      </c>
      <c r="F190" t="s">
        <v>1435</v>
      </c>
      <c r="G190" t="s">
        <v>561</v>
      </c>
      <c r="H190" t="s">
        <v>562</v>
      </c>
      <c r="I190" s="54">
        <v>46174</v>
      </c>
    </row>
    <row r="191" spans="1:9" x14ac:dyDescent="0.35">
      <c r="A191" t="s">
        <v>1277</v>
      </c>
      <c r="B191" t="s">
        <v>1278</v>
      </c>
      <c r="C191" t="s">
        <v>1274</v>
      </c>
      <c r="D191" t="s">
        <v>1263</v>
      </c>
      <c r="E191" t="s">
        <v>1441</v>
      </c>
      <c r="F191" t="s">
        <v>1435</v>
      </c>
      <c r="G191" t="s">
        <v>437</v>
      </c>
      <c r="H191" t="s">
        <v>551</v>
      </c>
      <c r="I191" s="54">
        <v>46174</v>
      </c>
    </row>
    <row r="192" spans="1:9" x14ac:dyDescent="0.35">
      <c r="A192" t="s">
        <v>1370</v>
      </c>
      <c r="B192" t="s">
        <v>1371</v>
      </c>
      <c r="C192" t="s">
        <v>1253</v>
      </c>
      <c r="D192" t="s">
        <v>1254</v>
      </c>
      <c r="E192" t="s">
        <v>1474</v>
      </c>
      <c r="F192" t="s">
        <v>1435</v>
      </c>
      <c r="G192" t="s">
        <v>565</v>
      </c>
      <c r="H192" t="s">
        <v>566</v>
      </c>
      <c r="I192" s="54">
        <v>46174</v>
      </c>
    </row>
    <row r="193" spans="1:9" x14ac:dyDescent="0.35">
      <c r="A193" t="s">
        <v>1330</v>
      </c>
      <c r="B193" t="s">
        <v>1331</v>
      </c>
      <c r="C193" t="s">
        <v>1253</v>
      </c>
      <c r="D193" t="s">
        <v>1260</v>
      </c>
      <c r="E193" t="s">
        <v>1457</v>
      </c>
      <c r="F193" t="s">
        <v>1435</v>
      </c>
      <c r="G193" t="s">
        <v>436</v>
      </c>
      <c r="H193" t="s">
        <v>548</v>
      </c>
      <c r="I193" s="54">
        <v>46174</v>
      </c>
    </row>
    <row r="194" spans="1:9" x14ac:dyDescent="0.35">
      <c r="A194" t="s">
        <v>673</v>
      </c>
      <c r="B194" t="s">
        <v>674</v>
      </c>
      <c r="C194" t="s">
        <v>1253</v>
      </c>
      <c r="D194" t="s">
        <v>1263</v>
      </c>
      <c r="E194" t="s">
        <v>287</v>
      </c>
      <c r="F194" t="s">
        <v>1435</v>
      </c>
      <c r="G194" t="s">
        <v>442</v>
      </c>
      <c r="H194" t="s">
        <v>575</v>
      </c>
      <c r="I194" s="54">
        <v>46174</v>
      </c>
    </row>
    <row r="195" spans="1:9" x14ac:dyDescent="0.35">
      <c r="A195" t="s">
        <v>1372</v>
      </c>
      <c r="B195" t="s">
        <v>1373</v>
      </c>
      <c r="C195" t="s">
        <v>1253</v>
      </c>
      <c r="D195" t="s">
        <v>1254</v>
      </c>
      <c r="E195" t="s">
        <v>1474</v>
      </c>
      <c r="F195" t="s">
        <v>1435</v>
      </c>
      <c r="G195" t="s">
        <v>565</v>
      </c>
      <c r="H195" t="s">
        <v>566</v>
      </c>
      <c r="I195" s="54">
        <v>46174</v>
      </c>
    </row>
    <row r="196" spans="1:9" x14ac:dyDescent="0.35">
      <c r="A196" t="s">
        <v>1366</v>
      </c>
      <c r="B196" t="s">
        <v>1367</v>
      </c>
      <c r="C196" t="s">
        <v>1274</v>
      </c>
      <c r="D196" t="s">
        <v>1254</v>
      </c>
      <c r="E196" t="s">
        <v>1471</v>
      </c>
      <c r="F196" t="s">
        <v>1435</v>
      </c>
      <c r="G196" t="s">
        <v>437</v>
      </c>
      <c r="H196" t="s">
        <v>551</v>
      </c>
      <c r="I196" s="54">
        <v>46174</v>
      </c>
    </row>
    <row r="197" spans="1:9" x14ac:dyDescent="0.35">
      <c r="A197" t="s">
        <v>1374</v>
      </c>
      <c r="B197" t="s">
        <v>1375</v>
      </c>
      <c r="C197" t="s">
        <v>1257</v>
      </c>
      <c r="D197" t="s">
        <v>1260</v>
      </c>
      <c r="E197" t="s">
        <v>1475</v>
      </c>
      <c r="F197" t="s">
        <v>1435</v>
      </c>
      <c r="G197" t="s">
        <v>561</v>
      </c>
      <c r="H197" t="s">
        <v>562</v>
      </c>
      <c r="I197" s="54">
        <v>46174</v>
      </c>
    </row>
    <row r="198" spans="1:9" x14ac:dyDescent="0.35">
      <c r="A198" t="s">
        <v>1348</v>
      </c>
      <c r="B198" t="s">
        <v>1349</v>
      </c>
      <c r="C198" t="s">
        <v>1253</v>
      </c>
      <c r="D198" t="s">
        <v>1266</v>
      </c>
      <c r="E198" t="s">
        <v>1466</v>
      </c>
      <c r="F198" t="s">
        <v>1435</v>
      </c>
      <c r="G198" t="s">
        <v>437</v>
      </c>
      <c r="H198" t="s">
        <v>551</v>
      </c>
      <c r="I198" s="54">
        <v>46174</v>
      </c>
    </row>
    <row r="199" spans="1:9" x14ac:dyDescent="0.35">
      <c r="A199" t="s">
        <v>43</v>
      </c>
      <c r="B199" t="s">
        <v>45</v>
      </c>
      <c r="C199" t="s">
        <v>1253</v>
      </c>
      <c r="D199" t="s">
        <v>1254</v>
      </c>
      <c r="E199" t="s">
        <v>1476</v>
      </c>
      <c r="F199" t="s">
        <v>1435</v>
      </c>
      <c r="G199" t="s">
        <v>442</v>
      </c>
      <c r="H199" t="s">
        <v>575</v>
      </c>
      <c r="I199" s="54">
        <v>46174</v>
      </c>
    </row>
    <row r="200" spans="1:9" x14ac:dyDescent="0.35">
      <c r="A200" t="s">
        <v>259</v>
      </c>
      <c r="B200" t="s">
        <v>261</v>
      </c>
      <c r="C200" t="s">
        <v>1257</v>
      </c>
      <c r="D200" t="s">
        <v>1254</v>
      </c>
      <c r="E200" t="s">
        <v>260</v>
      </c>
      <c r="F200" t="s">
        <v>1435</v>
      </c>
      <c r="G200" t="s">
        <v>565</v>
      </c>
      <c r="H200" t="s">
        <v>566</v>
      </c>
      <c r="I200" s="54">
        <v>46174</v>
      </c>
    </row>
    <row r="201" spans="1:9" x14ac:dyDescent="0.35">
      <c r="A201" t="s">
        <v>1294</v>
      </c>
      <c r="B201" t="s">
        <v>1295</v>
      </c>
      <c r="C201" t="s">
        <v>1274</v>
      </c>
      <c r="D201" t="s">
        <v>1266</v>
      </c>
      <c r="E201" t="s">
        <v>1446</v>
      </c>
      <c r="F201" t="s">
        <v>1435</v>
      </c>
      <c r="G201" t="s">
        <v>437</v>
      </c>
      <c r="H201" t="s">
        <v>551</v>
      </c>
      <c r="I201" s="54">
        <v>46174</v>
      </c>
    </row>
    <row r="202" spans="1:9" x14ac:dyDescent="0.35">
      <c r="A202" t="s">
        <v>1374</v>
      </c>
      <c r="B202" t="s">
        <v>1375</v>
      </c>
      <c r="C202" t="s">
        <v>1253</v>
      </c>
      <c r="D202" t="s">
        <v>1254</v>
      </c>
      <c r="E202" t="s">
        <v>1475</v>
      </c>
      <c r="F202" t="s">
        <v>1435</v>
      </c>
      <c r="G202" t="s">
        <v>561</v>
      </c>
      <c r="H202" t="s">
        <v>562</v>
      </c>
      <c r="I202" s="54">
        <v>46174</v>
      </c>
    </row>
    <row r="203" spans="1:9" x14ac:dyDescent="0.35">
      <c r="A203" t="s">
        <v>259</v>
      </c>
      <c r="B203" t="s">
        <v>261</v>
      </c>
      <c r="C203" t="s">
        <v>1274</v>
      </c>
      <c r="D203" t="s">
        <v>1254</v>
      </c>
      <c r="E203" t="s">
        <v>260</v>
      </c>
      <c r="F203" t="s">
        <v>1435</v>
      </c>
      <c r="G203" t="s">
        <v>565</v>
      </c>
      <c r="H203" t="s">
        <v>566</v>
      </c>
      <c r="I203" s="54">
        <v>46174</v>
      </c>
    </row>
    <row r="204" spans="1:9" x14ac:dyDescent="0.35">
      <c r="A204" t="s">
        <v>1328</v>
      </c>
      <c r="B204" t="s">
        <v>1329</v>
      </c>
      <c r="C204" t="s">
        <v>1253</v>
      </c>
      <c r="D204" t="s">
        <v>1263</v>
      </c>
      <c r="E204" t="s">
        <v>1456</v>
      </c>
      <c r="F204" t="s">
        <v>1435</v>
      </c>
      <c r="G204" t="s">
        <v>442</v>
      </c>
      <c r="H204" t="s">
        <v>575</v>
      </c>
      <c r="I204" s="54">
        <v>46174</v>
      </c>
    </row>
    <row r="205" spans="1:9" x14ac:dyDescent="0.35">
      <c r="A205" t="s">
        <v>1376</v>
      </c>
      <c r="B205" t="s">
        <v>1377</v>
      </c>
      <c r="C205" t="s">
        <v>1253</v>
      </c>
      <c r="D205" t="s">
        <v>1254</v>
      </c>
      <c r="E205" t="s">
        <v>1477</v>
      </c>
      <c r="F205" t="s">
        <v>1435</v>
      </c>
      <c r="G205" t="s">
        <v>437</v>
      </c>
      <c r="H205" t="s">
        <v>551</v>
      </c>
      <c r="I205" s="54">
        <v>46174</v>
      </c>
    </row>
    <row r="206" spans="1:9" x14ac:dyDescent="0.35">
      <c r="A206" t="s">
        <v>1350</v>
      </c>
      <c r="B206" t="s">
        <v>1351</v>
      </c>
      <c r="C206" t="s">
        <v>1253</v>
      </c>
      <c r="D206" t="s">
        <v>1266</v>
      </c>
      <c r="E206" t="s">
        <v>1466</v>
      </c>
      <c r="F206" t="s">
        <v>1435</v>
      </c>
      <c r="G206" t="s">
        <v>437</v>
      </c>
      <c r="H206" t="s">
        <v>551</v>
      </c>
      <c r="I206" s="54">
        <v>46174</v>
      </c>
    </row>
    <row r="207" spans="1:9" x14ac:dyDescent="0.35">
      <c r="A207" t="s">
        <v>1258</v>
      </c>
      <c r="B207" t="s">
        <v>1259</v>
      </c>
      <c r="C207" t="s">
        <v>1274</v>
      </c>
      <c r="D207" t="s">
        <v>1266</v>
      </c>
      <c r="E207" t="s">
        <v>1437</v>
      </c>
      <c r="F207" t="s">
        <v>1435</v>
      </c>
      <c r="G207" t="s">
        <v>437</v>
      </c>
      <c r="H207" t="s">
        <v>551</v>
      </c>
      <c r="I207" s="54">
        <v>46174</v>
      </c>
    </row>
    <row r="208" spans="1:9" x14ac:dyDescent="0.35">
      <c r="A208" t="s">
        <v>12</v>
      </c>
      <c r="B208" t="s">
        <v>14</v>
      </c>
      <c r="C208" t="s">
        <v>1274</v>
      </c>
      <c r="D208" t="s">
        <v>1254</v>
      </c>
      <c r="E208" t="s">
        <v>1460</v>
      </c>
      <c r="F208" t="s">
        <v>1435</v>
      </c>
      <c r="G208" t="s">
        <v>565</v>
      </c>
      <c r="H208" t="s">
        <v>566</v>
      </c>
      <c r="I208" s="54">
        <v>46174</v>
      </c>
    </row>
    <row r="209" spans="1:9" x14ac:dyDescent="0.35">
      <c r="A209" t="s">
        <v>1378</v>
      </c>
      <c r="B209" t="s">
        <v>1379</v>
      </c>
      <c r="C209" t="s">
        <v>1253</v>
      </c>
      <c r="D209" t="s">
        <v>1254</v>
      </c>
      <c r="E209" t="s">
        <v>1478</v>
      </c>
      <c r="F209" t="s">
        <v>1435</v>
      </c>
      <c r="G209" t="s">
        <v>440</v>
      </c>
      <c r="H209" t="s">
        <v>578</v>
      </c>
      <c r="I209" s="54">
        <v>46174</v>
      </c>
    </row>
    <row r="210" spans="1:9" x14ac:dyDescent="0.35">
      <c r="A210" t="s">
        <v>9</v>
      </c>
      <c r="B210" t="s">
        <v>11</v>
      </c>
      <c r="C210" t="s">
        <v>1253</v>
      </c>
      <c r="D210" t="s">
        <v>1260</v>
      </c>
      <c r="E210" t="s">
        <v>1458</v>
      </c>
      <c r="F210" t="s">
        <v>1435</v>
      </c>
      <c r="G210" t="s">
        <v>439</v>
      </c>
      <c r="H210" t="s">
        <v>572</v>
      </c>
      <c r="I210" s="54">
        <v>46174</v>
      </c>
    </row>
    <row r="211" spans="1:9" x14ac:dyDescent="0.35">
      <c r="A211" t="s">
        <v>1374</v>
      </c>
      <c r="B211" t="s">
        <v>1375</v>
      </c>
      <c r="C211" t="s">
        <v>1274</v>
      </c>
      <c r="D211" t="s">
        <v>1260</v>
      </c>
      <c r="E211" t="s">
        <v>1475</v>
      </c>
      <c r="F211" t="s">
        <v>1435</v>
      </c>
      <c r="G211" t="s">
        <v>561</v>
      </c>
      <c r="H211" t="s">
        <v>562</v>
      </c>
      <c r="I211" s="54">
        <v>46174</v>
      </c>
    </row>
    <row r="212" spans="1:9" x14ac:dyDescent="0.35">
      <c r="A212" t="s">
        <v>1294</v>
      </c>
      <c r="B212" t="s">
        <v>1295</v>
      </c>
      <c r="C212" t="s">
        <v>1257</v>
      </c>
      <c r="D212" t="s">
        <v>1254</v>
      </c>
      <c r="E212" t="s">
        <v>1446</v>
      </c>
      <c r="F212" t="s">
        <v>1435</v>
      </c>
      <c r="G212" t="s">
        <v>437</v>
      </c>
      <c r="H212" t="s">
        <v>551</v>
      </c>
      <c r="I212" s="54">
        <v>46174</v>
      </c>
    </row>
    <row r="213" spans="1:9" x14ac:dyDescent="0.35">
      <c r="A213" t="s">
        <v>668</v>
      </c>
      <c r="B213" t="s">
        <v>669</v>
      </c>
      <c r="C213" t="s">
        <v>1253</v>
      </c>
      <c r="D213" t="s">
        <v>1273</v>
      </c>
      <c r="E213" t="s">
        <v>670</v>
      </c>
      <c r="F213" t="s">
        <v>1435</v>
      </c>
      <c r="G213" t="s">
        <v>437</v>
      </c>
      <c r="H213" t="s">
        <v>551</v>
      </c>
      <c r="I213" s="54">
        <v>46174</v>
      </c>
    </row>
    <row r="214" spans="1:9" x14ac:dyDescent="0.35">
      <c r="A214" t="s">
        <v>1332</v>
      </c>
      <c r="B214" t="s">
        <v>1333</v>
      </c>
      <c r="C214" t="s">
        <v>1253</v>
      </c>
      <c r="D214" t="s">
        <v>1260</v>
      </c>
      <c r="E214" t="s">
        <v>1459</v>
      </c>
      <c r="F214" t="s">
        <v>1435</v>
      </c>
      <c r="G214" t="s">
        <v>601</v>
      </c>
      <c r="H214" t="s">
        <v>602</v>
      </c>
      <c r="I214" s="54">
        <v>46174</v>
      </c>
    </row>
    <row r="215" spans="1:9" x14ac:dyDescent="0.35">
      <c r="A215" t="s">
        <v>1336</v>
      </c>
      <c r="B215" t="s">
        <v>1337</v>
      </c>
      <c r="C215" t="s">
        <v>1253</v>
      </c>
      <c r="D215" t="s">
        <v>1263</v>
      </c>
      <c r="E215" t="s">
        <v>1461</v>
      </c>
      <c r="F215" t="s">
        <v>1435</v>
      </c>
      <c r="G215" t="s">
        <v>436</v>
      </c>
      <c r="H215" t="s">
        <v>548</v>
      </c>
      <c r="I215" s="54">
        <v>46174</v>
      </c>
    </row>
    <row r="216" spans="1:9" x14ac:dyDescent="0.35">
      <c r="A216" t="s">
        <v>635</v>
      </c>
      <c r="B216" t="s">
        <v>636</v>
      </c>
      <c r="C216" t="s">
        <v>1253</v>
      </c>
      <c r="D216" t="s">
        <v>1254</v>
      </c>
      <c r="E216" t="s">
        <v>1452</v>
      </c>
      <c r="F216" t="s">
        <v>1435</v>
      </c>
      <c r="G216" t="s">
        <v>442</v>
      </c>
      <c r="H216" t="s">
        <v>575</v>
      </c>
      <c r="I216" s="54">
        <v>46174</v>
      </c>
    </row>
    <row r="217" spans="1:9" x14ac:dyDescent="0.35">
      <c r="A217" t="s">
        <v>1294</v>
      </c>
      <c r="B217" t="s">
        <v>1295</v>
      </c>
      <c r="C217" t="s">
        <v>1274</v>
      </c>
      <c r="D217" t="s">
        <v>1254</v>
      </c>
      <c r="E217" t="s">
        <v>1446</v>
      </c>
      <c r="F217" t="s">
        <v>1435</v>
      </c>
      <c r="G217" t="s">
        <v>437</v>
      </c>
      <c r="H217" t="s">
        <v>551</v>
      </c>
      <c r="I217" s="54">
        <v>46174</v>
      </c>
    </row>
    <row r="218" spans="1:9" x14ac:dyDescent="0.35">
      <c r="A218" t="s">
        <v>1354</v>
      </c>
      <c r="B218" t="s">
        <v>1355</v>
      </c>
      <c r="C218" t="s">
        <v>1253</v>
      </c>
      <c r="D218" t="s">
        <v>1266</v>
      </c>
      <c r="E218" t="s">
        <v>1467</v>
      </c>
      <c r="F218" t="s">
        <v>1435</v>
      </c>
      <c r="G218" t="s">
        <v>437</v>
      </c>
      <c r="H218" t="s">
        <v>551</v>
      </c>
      <c r="I218" s="54">
        <v>46174</v>
      </c>
    </row>
    <row r="219" spans="1:9" x14ac:dyDescent="0.35">
      <c r="A219" t="s">
        <v>415</v>
      </c>
      <c r="B219" t="s">
        <v>416</v>
      </c>
      <c r="C219" t="s">
        <v>1253</v>
      </c>
      <c r="D219" t="s">
        <v>1254</v>
      </c>
      <c r="E219" t="s">
        <v>1479</v>
      </c>
      <c r="F219" t="s">
        <v>1435</v>
      </c>
      <c r="G219" t="s">
        <v>442</v>
      </c>
      <c r="H219" t="s">
        <v>575</v>
      </c>
      <c r="I219" s="54">
        <v>46174</v>
      </c>
    </row>
    <row r="220" spans="1:9" x14ac:dyDescent="0.35">
      <c r="A220" t="s">
        <v>1298</v>
      </c>
      <c r="B220" t="s">
        <v>1299</v>
      </c>
      <c r="C220" t="s">
        <v>1274</v>
      </c>
      <c r="D220" t="s">
        <v>1254</v>
      </c>
      <c r="E220" t="s">
        <v>1448</v>
      </c>
      <c r="F220" t="s">
        <v>1435</v>
      </c>
      <c r="G220" t="s">
        <v>437</v>
      </c>
      <c r="H220" t="s">
        <v>551</v>
      </c>
      <c r="I220" s="54">
        <v>46174</v>
      </c>
    </row>
    <row r="221" spans="1:9" x14ac:dyDescent="0.35">
      <c r="A221" t="s">
        <v>1374</v>
      </c>
      <c r="B221" t="s">
        <v>1375</v>
      </c>
      <c r="C221" t="s">
        <v>1281</v>
      </c>
      <c r="D221" t="s">
        <v>1260</v>
      </c>
      <c r="E221" t="s">
        <v>1475</v>
      </c>
      <c r="F221" t="s">
        <v>1435</v>
      </c>
      <c r="G221" t="s">
        <v>561</v>
      </c>
      <c r="H221" t="s">
        <v>562</v>
      </c>
      <c r="I221" s="54">
        <v>46174</v>
      </c>
    </row>
    <row r="222" spans="1:9" x14ac:dyDescent="0.35">
      <c r="A222" t="s">
        <v>1380</v>
      </c>
      <c r="B222" t="s">
        <v>1381</v>
      </c>
      <c r="C222" t="s">
        <v>1253</v>
      </c>
      <c r="D222" t="s">
        <v>1254</v>
      </c>
      <c r="E222" t="s">
        <v>1480</v>
      </c>
      <c r="F222" t="s">
        <v>1435</v>
      </c>
      <c r="G222" t="s">
        <v>440</v>
      </c>
      <c r="H222" t="s">
        <v>578</v>
      </c>
      <c r="I222" s="54">
        <v>46174</v>
      </c>
    </row>
    <row r="223" spans="1:9" x14ac:dyDescent="0.35">
      <c r="A223" t="s">
        <v>1334</v>
      </c>
      <c r="B223" t="s">
        <v>1335</v>
      </c>
      <c r="C223" t="s">
        <v>1253</v>
      </c>
      <c r="D223" t="s">
        <v>1260</v>
      </c>
      <c r="E223" t="s">
        <v>1460</v>
      </c>
      <c r="F223" t="s">
        <v>1435</v>
      </c>
      <c r="G223" t="s">
        <v>565</v>
      </c>
      <c r="H223" t="s">
        <v>566</v>
      </c>
      <c r="I223" s="54">
        <v>46174</v>
      </c>
    </row>
    <row r="224" spans="1:9" x14ac:dyDescent="0.35">
      <c r="A224" t="s">
        <v>1382</v>
      </c>
      <c r="B224" t="s">
        <v>1383</v>
      </c>
      <c r="C224" t="s">
        <v>1253</v>
      </c>
      <c r="D224" t="s">
        <v>1254</v>
      </c>
      <c r="E224" t="s">
        <v>1480</v>
      </c>
      <c r="F224" t="s">
        <v>1435</v>
      </c>
      <c r="G224" t="s">
        <v>440</v>
      </c>
      <c r="H224" t="s">
        <v>578</v>
      </c>
      <c r="I224" s="54">
        <v>46174</v>
      </c>
    </row>
    <row r="225" spans="1:9" x14ac:dyDescent="0.35">
      <c r="A225" t="s">
        <v>1356</v>
      </c>
      <c r="B225" t="s">
        <v>1357</v>
      </c>
      <c r="C225" t="s">
        <v>1253</v>
      </c>
      <c r="D225" t="s">
        <v>1266</v>
      </c>
      <c r="E225" t="s">
        <v>1468</v>
      </c>
      <c r="F225" t="s">
        <v>1435</v>
      </c>
      <c r="G225" t="s">
        <v>437</v>
      </c>
      <c r="H225" t="s">
        <v>551</v>
      </c>
      <c r="I225" s="54">
        <v>46174</v>
      </c>
    </row>
    <row r="226" spans="1:9" x14ac:dyDescent="0.35">
      <c r="A226" t="s">
        <v>1384</v>
      </c>
      <c r="B226" t="s">
        <v>1385</v>
      </c>
      <c r="C226" t="s">
        <v>1253</v>
      </c>
      <c r="D226" t="s">
        <v>1254</v>
      </c>
      <c r="E226" t="s">
        <v>1481</v>
      </c>
      <c r="F226" t="s">
        <v>1435</v>
      </c>
      <c r="G226" t="s">
        <v>440</v>
      </c>
      <c r="H226" t="s">
        <v>578</v>
      </c>
      <c r="I226" s="54">
        <v>46174</v>
      </c>
    </row>
    <row r="227" spans="1:9" x14ac:dyDescent="0.35">
      <c r="A227" t="s">
        <v>507</v>
      </c>
      <c r="B227" t="s">
        <v>509</v>
      </c>
      <c r="C227" t="s">
        <v>1253</v>
      </c>
      <c r="D227" t="s">
        <v>1263</v>
      </c>
      <c r="E227" t="s">
        <v>1461</v>
      </c>
      <c r="F227" t="s">
        <v>1435</v>
      </c>
      <c r="G227" t="s">
        <v>436</v>
      </c>
      <c r="H227" t="s">
        <v>548</v>
      </c>
      <c r="I227" s="54">
        <v>46174</v>
      </c>
    </row>
    <row r="228" spans="1:9" x14ac:dyDescent="0.35">
      <c r="A228" t="s">
        <v>1267</v>
      </c>
      <c r="B228" t="s">
        <v>1268</v>
      </c>
      <c r="C228" t="s">
        <v>1257</v>
      </c>
      <c r="D228" t="s">
        <v>1263</v>
      </c>
      <c r="E228" t="s">
        <v>1440</v>
      </c>
      <c r="F228" t="s">
        <v>1435</v>
      </c>
      <c r="G228" t="s">
        <v>437</v>
      </c>
      <c r="H228" t="s">
        <v>551</v>
      </c>
      <c r="I228" s="54">
        <v>46174</v>
      </c>
    </row>
    <row r="229" spans="1:9" x14ac:dyDescent="0.35">
      <c r="A229" t="s">
        <v>1298</v>
      </c>
      <c r="B229" t="s">
        <v>1299</v>
      </c>
      <c r="C229" t="s">
        <v>1257</v>
      </c>
      <c r="D229" t="s">
        <v>1254</v>
      </c>
      <c r="E229" t="s">
        <v>1448</v>
      </c>
      <c r="F229" t="s">
        <v>1435</v>
      </c>
      <c r="G229" t="s">
        <v>437</v>
      </c>
      <c r="H229" t="s">
        <v>551</v>
      </c>
      <c r="I229" s="54">
        <v>46174</v>
      </c>
    </row>
    <row r="230" spans="1:9" x14ac:dyDescent="0.35">
      <c r="A230" t="s">
        <v>639</v>
      </c>
      <c r="B230" t="s">
        <v>640</v>
      </c>
      <c r="C230" t="s">
        <v>1253</v>
      </c>
      <c r="D230" t="s">
        <v>1254</v>
      </c>
      <c r="E230" t="s">
        <v>1455</v>
      </c>
      <c r="F230" t="s">
        <v>1435</v>
      </c>
      <c r="G230" t="s">
        <v>442</v>
      </c>
      <c r="H230" t="s">
        <v>575</v>
      </c>
      <c r="I230" s="54">
        <v>46174</v>
      </c>
    </row>
    <row r="231" spans="1:9" x14ac:dyDescent="0.35">
      <c r="A231" t="s">
        <v>15</v>
      </c>
      <c r="B231" t="s">
        <v>16</v>
      </c>
      <c r="C231" t="s">
        <v>1253</v>
      </c>
      <c r="D231" t="s">
        <v>1260</v>
      </c>
      <c r="E231" t="s">
        <v>1460</v>
      </c>
      <c r="F231" t="s">
        <v>1435</v>
      </c>
      <c r="G231" t="s">
        <v>565</v>
      </c>
      <c r="H231" t="s">
        <v>566</v>
      </c>
      <c r="I231" s="54">
        <v>46174</v>
      </c>
    </row>
    <row r="232" spans="1:9" x14ac:dyDescent="0.35">
      <c r="A232" t="s">
        <v>5</v>
      </c>
      <c r="B232" t="s">
        <v>7</v>
      </c>
      <c r="C232" t="s">
        <v>1253</v>
      </c>
      <c r="D232" t="s">
        <v>1273</v>
      </c>
      <c r="E232" t="s">
        <v>6</v>
      </c>
      <c r="F232" t="s">
        <v>1435</v>
      </c>
      <c r="G232" t="s">
        <v>439</v>
      </c>
      <c r="H232" t="s">
        <v>572</v>
      </c>
      <c r="I232" s="54">
        <v>46174</v>
      </c>
    </row>
    <row r="233" spans="1:9" x14ac:dyDescent="0.35">
      <c r="A233" t="s">
        <v>1374</v>
      </c>
      <c r="B233" t="s">
        <v>1375</v>
      </c>
      <c r="C233" t="s">
        <v>1257</v>
      </c>
      <c r="D233" t="s">
        <v>1254</v>
      </c>
      <c r="E233" t="s">
        <v>1475</v>
      </c>
      <c r="F233" t="s">
        <v>1435</v>
      </c>
      <c r="G233" t="s">
        <v>561</v>
      </c>
      <c r="H233" t="s">
        <v>562</v>
      </c>
      <c r="I233" s="54">
        <v>46174</v>
      </c>
    </row>
    <row r="234" spans="1:9" x14ac:dyDescent="0.35">
      <c r="A234" t="s">
        <v>1271</v>
      </c>
      <c r="B234" t="s">
        <v>1272</v>
      </c>
      <c r="C234" t="s">
        <v>1274</v>
      </c>
      <c r="D234" t="s">
        <v>1266</v>
      </c>
      <c r="E234" t="s">
        <v>1437</v>
      </c>
      <c r="F234" t="s">
        <v>1435</v>
      </c>
      <c r="G234" t="s">
        <v>437</v>
      </c>
      <c r="H234" t="s">
        <v>551</v>
      </c>
      <c r="I234" s="54">
        <v>46174</v>
      </c>
    </row>
    <row r="235" spans="1:9" x14ac:dyDescent="0.35">
      <c r="A235" t="s">
        <v>253</v>
      </c>
      <c r="B235" t="s">
        <v>255</v>
      </c>
      <c r="C235" t="s">
        <v>1253</v>
      </c>
      <c r="D235" t="s">
        <v>1263</v>
      </c>
      <c r="E235" t="s">
        <v>1461</v>
      </c>
      <c r="F235" t="s">
        <v>1435</v>
      </c>
      <c r="G235" t="s">
        <v>436</v>
      </c>
      <c r="H235" t="s">
        <v>548</v>
      </c>
      <c r="I235" s="54">
        <v>46174</v>
      </c>
    </row>
    <row r="236" spans="1:9" x14ac:dyDescent="0.35">
      <c r="A236" t="s">
        <v>1386</v>
      </c>
      <c r="B236" t="s">
        <v>1387</v>
      </c>
      <c r="C236" t="s">
        <v>1253</v>
      </c>
      <c r="D236" t="s">
        <v>1254</v>
      </c>
      <c r="E236" t="s">
        <v>1482</v>
      </c>
      <c r="F236" t="s">
        <v>1435</v>
      </c>
      <c r="G236" t="s">
        <v>440</v>
      </c>
      <c r="H236" t="s">
        <v>578</v>
      </c>
      <c r="I236" s="54">
        <v>46174</v>
      </c>
    </row>
    <row r="237" spans="1:9" x14ac:dyDescent="0.35">
      <c r="A237" t="s">
        <v>1358</v>
      </c>
      <c r="B237" t="s">
        <v>1359</v>
      </c>
      <c r="C237" t="s">
        <v>1253</v>
      </c>
      <c r="D237" t="s">
        <v>1266</v>
      </c>
      <c r="E237" t="s">
        <v>1468</v>
      </c>
      <c r="F237" t="s">
        <v>1435</v>
      </c>
      <c r="G237" t="s">
        <v>437</v>
      </c>
      <c r="H237" t="s">
        <v>551</v>
      </c>
      <c r="I237" s="54">
        <v>46174</v>
      </c>
    </row>
    <row r="238" spans="1:9" x14ac:dyDescent="0.35">
      <c r="A238" t="s">
        <v>1374</v>
      </c>
      <c r="B238" t="s">
        <v>1375</v>
      </c>
      <c r="C238" t="s">
        <v>1281</v>
      </c>
      <c r="D238" t="s">
        <v>1254</v>
      </c>
      <c r="E238" t="s">
        <v>1475</v>
      </c>
      <c r="F238" t="s">
        <v>1435</v>
      </c>
      <c r="G238" t="s">
        <v>561</v>
      </c>
      <c r="H238" t="s">
        <v>562</v>
      </c>
      <c r="I238" s="54">
        <v>46174</v>
      </c>
    </row>
    <row r="239" spans="1:9" x14ac:dyDescent="0.35">
      <c r="A239" t="s">
        <v>508</v>
      </c>
      <c r="B239" t="s">
        <v>510</v>
      </c>
      <c r="C239" t="s">
        <v>1253</v>
      </c>
      <c r="D239" t="s">
        <v>1263</v>
      </c>
      <c r="E239" t="s">
        <v>1461</v>
      </c>
      <c r="F239" t="s">
        <v>1435</v>
      </c>
      <c r="G239" t="s">
        <v>436</v>
      </c>
      <c r="H239" t="s">
        <v>548</v>
      </c>
      <c r="I239" s="54">
        <v>46174</v>
      </c>
    </row>
    <row r="240" spans="1:9" x14ac:dyDescent="0.35">
      <c r="A240" t="s">
        <v>54</v>
      </c>
      <c r="B240" t="s">
        <v>56</v>
      </c>
      <c r="C240" t="s">
        <v>1253</v>
      </c>
      <c r="D240" t="s">
        <v>1266</v>
      </c>
      <c r="E240" t="s">
        <v>1469</v>
      </c>
      <c r="F240" t="s">
        <v>1435</v>
      </c>
      <c r="G240" t="s">
        <v>565</v>
      </c>
      <c r="H240" t="s">
        <v>566</v>
      </c>
      <c r="I240" s="54">
        <v>46174</v>
      </c>
    </row>
    <row r="241" spans="1:9" x14ac:dyDescent="0.35">
      <c r="A241" t="s">
        <v>1374</v>
      </c>
      <c r="B241" t="s">
        <v>1375</v>
      </c>
      <c r="C241" t="s">
        <v>1274</v>
      </c>
      <c r="D241" t="s">
        <v>1254</v>
      </c>
      <c r="E241" t="s">
        <v>1475</v>
      </c>
      <c r="F241" t="s">
        <v>1435</v>
      </c>
      <c r="G241" t="s">
        <v>561</v>
      </c>
      <c r="H241" t="s">
        <v>562</v>
      </c>
      <c r="I241" s="54">
        <v>46174</v>
      </c>
    </row>
    <row r="242" spans="1:9" x14ac:dyDescent="0.35">
      <c r="A242" t="s">
        <v>413</v>
      </c>
      <c r="B242" t="s">
        <v>418</v>
      </c>
      <c r="C242" t="s">
        <v>1253</v>
      </c>
      <c r="D242" t="s">
        <v>1254</v>
      </c>
      <c r="E242" t="s">
        <v>1483</v>
      </c>
      <c r="F242" t="s">
        <v>1435</v>
      </c>
      <c r="G242" t="s">
        <v>439</v>
      </c>
      <c r="H242" t="s">
        <v>572</v>
      </c>
      <c r="I242" s="54">
        <v>46174</v>
      </c>
    </row>
    <row r="243" spans="1:9" x14ac:dyDescent="0.35">
      <c r="A243" t="s">
        <v>1296</v>
      </c>
      <c r="B243" t="s">
        <v>1297</v>
      </c>
      <c r="C243" t="s">
        <v>1257</v>
      </c>
      <c r="D243" t="s">
        <v>1266</v>
      </c>
      <c r="E243" t="s">
        <v>1447</v>
      </c>
      <c r="F243" t="s">
        <v>1435</v>
      </c>
      <c r="G243" t="s">
        <v>440</v>
      </c>
      <c r="H243" t="s">
        <v>578</v>
      </c>
      <c r="I243" s="54">
        <v>46174</v>
      </c>
    </row>
    <row r="244" spans="1:9" x14ac:dyDescent="0.35">
      <c r="A244" t="s">
        <v>414</v>
      </c>
      <c r="B244" t="s">
        <v>419</v>
      </c>
      <c r="C244" t="s">
        <v>1253</v>
      </c>
      <c r="D244" t="s">
        <v>1254</v>
      </c>
      <c r="E244" t="s">
        <v>1484</v>
      </c>
      <c r="F244" t="s">
        <v>1435</v>
      </c>
      <c r="G244" t="s">
        <v>439</v>
      </c>
      <c r="H244" t="s">
        <v>572</v>
      </c>
      <c r="I244" s="54">
        <v>46174</v>
      </c>
    </row>
    <row r="245" spans="1:9" x14ac:dyDescent="0.35">
      <c r="A245" t="s">
        <v>12</v>
      </c>
      <c r="B245" t="s">
        <v>14</v>
      </c>
      <c r="C245" t="s">
        <v>1253</v>
      </c>
      <c r="D245" t="s">
        <v>1260</v>
      </c>
      <c r="E245" t="s">
        <v>1460</v>
      </c>
      <c r="F245" t="s">
        <v>1435</v>
      </c>
      <c r="G245" t="s">
        <v>565</v>
      </c>
      <c r="H245" t="s">
        <v>566</v>
      </c>
      <c r="I245" s="54">
        <v>46174</v>
      </c>
    </row>
    <row r="246" spans="1:9" x14ac:dyDescent="0.35">
      <c r="A246" t="s">
        <v>1267</v>
      </c>
      <c r="B246" t="s">
        <v>1268</v>
      </c>
      <c r="C246" t="s">
        <v>1274</v>
      </c>
      <c r="D246" t="s">
        <v>1263</v>
      </c>
      <c r="E246" t="s">
        <v>1440</v>
      </c>
      <c r="F246" t="s">
        <v>1435</v>
      </c>
      <c r="G246" t="s">
        <v>437</v>
      </c>
      <c r="H246" t="s">
        <v>551</v>
      </c>
      <c r="I246" s="54">
        <v>46174</v>
      </c>
    </row>
    <row r="247" spans="1:9" x14ac:dyDescent="0.35">
      <c r="A247" t="s">
        <v>697</v>
      </c>
      <c r="B247" t="s">
        <v>698</v>
      </c>
      <c r="C247" t="s">
        <v>1253</v>
      </c>
      <c r="D247" t="s">
        <v>1254</v>
      </c>
      <c r="E247" t="s">
        <v>695</v>
      </c>
      <c r="F247" t="s">
        <v>1435</v>
      </c>
      <c r="G247" t="s">
        <v>439</v>
      </c>
      <c r="H247" t="s">
        <v>572</v>
      </c>
      <c r="I247" s="54">
        <v>46174</v>
      </c>
    </row>
    <row r="248" spans="1:9" x14ac:dyDescent="0.35">
      <c r="A248" t="s">
        <v>1388</v>
      </c>
      <c r="B248" t="s">
        <v>1389</v>
      </c>
      <c r="C248" t="s">
        <v>1253</v>
      </c>
      <c r="D248" t="s">
        <v>1254</v>
      </c>
      <c r="E248" t="s">
        <v>1485</v>
      </c>
      <c r="F248" t="s">
        <v>1435</v>
      </c>
      <c r="G248" t="s">
        <v>440</v>
      </c>
      <c r="H248" t="s">
        <v>578</v>
      </c>
      <c r="I248" s="54">
        <v>46174</v>
      </c>
    </row>
    <row r="249" spans="1:9" x14ac:dyDescent="0.35">
      <c r="A249" t="s">
        <v>1338</v>
      </c>
      <c r="B249" t="s">
        <v>1339</v>
      </c>
      <c r="C249" t="s">
        <v>1253</v>
      </c>
      <c r="D249" t="s">
        <v>1263</v>
      </c>
      <c r="E249" t="s">
        <v>1461</v>
      </c>
      <c r="F249" t="s">
        <v>1435</v>
      </c>
      <c r="G249" t="s">
        <v>436</v>
      </c>
      <c r="H249" t="s">
        <v>548</v>
      </c>
      <c r="I249" s="54">
        <v>46174</v>
      </c>
    </row>
    <row r="250" spans="1:9" x14ac:dyDescent="0.35">
      <c r="A250" t="s">
        <v>57</v>
      </c>
      <c r="B250" t="s">
        <v>58</v>
      </c>
      <c r="C250" t="s">
        <v>1253</v>
      </c>
      <c r="D250" t="s">
        <v>1266</v>
      </c>
      <c r="E250" t="s">
        <v>1469</v>
      </c>
      <c r="F250" t="s">
        <v>1435</v>
      </c>
      <c r="G250" t="s">
        <v>565</v>
      </c>
      <c r="H250" t="s">
        <v>566</v>
      </c>
      <c r="I250" s="54">
        <v>46174</v>
      </c>
    </row>
    <row r="251" spans="1:9" x14ac:dyDescent="0.35">
      <c r="A251" t="s">
        <v>1258</v>
      </c>
      <c r="B251" t="s">
        <v>1259</v>
      </c>
      <c r="C251" t="s">
        <v>1253</v>
      </c>
      <c r="D251" t="s">
        <v>1273</v>
      </c>
      <c r="E251" t="s">
        <v>1437</v>
      </c>
      <c r="F251" t="s">
        <v>1435</v>
      </c>
      <c r="G251" t="s">
        <v>437</v>
      </c>
      <c r="H251" t="s">
        <v>551</v>
      </c>
      <c r="I251" s="54">
        <v>46174</v>
      </c>
    </row>
    <row r="252" spans="1:9" x14ac:dyDescent="0.35">
      <c r="A252" t="s">
        <v>25</v>
      </c>
      <c r="B252" t="s">
        <v>27</v>
      </c>
      <c r="C252" t="s">
        <v>1253</v>
      </c>
      <c r="D252" t="s">
        <v>1263</v>
      </c>
      <c r="E252" t="s">
        <v>26</v>
      </c>
      <c r="F252" t="s">
        <v>1435</v>
      </c>
      <c r="G252" t="s">
        <v>439</v>
      </c>
      <c r="H252" t="s">
        <v>572</v>
      </c>
      <c r="I252" s="54">
        <v>46174</v>
      </c>
    </row>
    <row r="253" spans="1:9" x14ac:dyDescent="0.35">
      <c r="A253" t="s">
        <v>1360</v>
      </c>
      <c r="B253" t="s">
        <v>1361</v>
      </c>
      <c r="C253" t="s">
        <v>1253</v>
      </c>
      <c r="D253" t="s">
        <v>1266</v>
      </c>
      <c r="E253" t="s">
        <v>1470</v>
      </c>
      <c r="F253" t="s">
        <v>1435</v>
      </c>
      <c r="G253" t="s">
        <v>593</v>
      </c>
      <c r="H253" t="s">
        <v>594</v>
      </c>
      <c r="I253" s="54">
        <v>46174</v>
      </c>
    </row>
    <row r="254" spans="1:9" x14ac:dyDescent="0.35">
      <c r="A254" t="s">
        <v>1390</v>
      </c>
      <c r="B254" t="s">
        <v>1391</v>
      </c>
      <c r="C254" t="s">
        <v>1253</v>
      </c>
      <c r="D254" t="s">
        <v>1254</v>
      </c>
      <c r="E254" t="s">
        <v>1481</v>
      </c>
      <c r="F254" t="s">
        <v>1435</v>
      </c>
      <c r="G254" t="s">
        <v>440</v>
      </c>
      <c r="H254" t="s">
        <v>578</v>
      </c>
      <c r="I254" s="54">
        <v>46174</v>
      </c>
    </row>
    <row r="255" spans="1:9" x14ac:dyDescent="0.35">
      <c r="A255" t="s">
        <v>1271</v>
      </c>
      <c r="B255" t="s">
        <v>1272</v>
      </c>
      <c r="C255" t="s">
        <v>1253</v>
      </c>
      <c r="D255" t="s">
        <v>1273</v>
      </c>
      <c r="E255" t="s">
        <v>1437</v>
      </c>
      <c r="F255" t="s">
        <v>1435</v>
      </c>
      <c r="G255" t="s">
        <v>437</v>
      </c>
      <c r="H255" t="s">
        <v>551</v>
      </c>
      <c r="I255" s="54">
        <v>46174</v>
      </c>
    </row>
    <row r="256" spans="1:9" x14ac:dyDescent="0.35">
      <c r="A256" t="s">
        <v>66</v>
      </c>
      <c r="B256" t="s">
        <v>675</v>
      </c>
      <c r="C256" t="s">
        <v>1253</v>
      </c>
      <c r="D256" t="s">
        <v>1254</v>
      </c>
      <c r="E256" t="s">
        <v>67</v>
      </c>
      <c r="F256" t="s">
        <v>1435</v>
      </c>
      <c r="G256" t="s">
        <v>440</v>
      </c>
      <c r="H256" t="s">
        <v>578</v>
      </c>
      <c r="I256" s="54">
        <v>46174</v>
      </c>
    </row>
    <row r="257" spans="1:9" x14ac:dyDescent="0.35">
      <c r="A257" t="s">
        <v>1336</v>
      </c>
      <c r="B257" t="s">
        <v>1337</v>
      </c>
      <c r="C257" t="s">
        <v>1253</v>
      </c>
      <c r="D257" t="s">
        <v>1260</v>
      </c>
      <c r="E257" t="s">
        <v>1461</v>
      </c>
      <c r="F257" t="s">
        <v>1435</v>
      </c>
      <c r="G257" t="s">
        <v>436</v>
      </c>
      <c r="H257" t="s">
        <v>548</v>
      </c>
      <c r="I257" s="54">
        <v>46174</v>
      </c>
    </row>
    <row r="258" spans="1:9" x14ac:dyDescent="0.35">
      <c r="A258" t="s">
        <v>70</v>
      </c>
      <c r="B258" t="s">
        <v>71</v>
      </c>
      <c r="C258" t="s">
        <v>1253</v>
      </c>
      <c r="D258" t="s">
        <v>1254</v>
      </c>
      <c r="E258" t="s">
        <v>396</v>
      </c>
      <c r="F258" t="s">
        <v>1435</v>
      </c>
      <c r="G258" t="s">
        <v>438</v>
      </c>
      <c r="H258" t="s">
        <v>554</v>
      </c>
      <c r="I258" s="54">
        <v>46174</v>
      </c>
    </row>
    <row r="259" spans="1:9" x14ac:dyDescent="0.35">
      <c r="A259" t="s">
        <v>1362</v>
      </c>
      <c r="B259" t="s">
        <v>1363</v>
      </c>
      <c r="C259" t="s">
        <v>1253</v>
      </c>
      <c r="D259" t="s">
        <v>1266</v>
      </c>
      <c r="E259" t="s">
        <v>1471</v>
      </c>
      <c r="F259" t="s">
        <v>1435</v>
      </c>
      <c r="G259" t="s">
        <v>437</v>
      </c>
      <c r="H259" t="s">
        <v>551</v>
      </c>
      <c r="I259" s="54">
        <v>46174</v>
      </c>
    </row>
    <row r="260" spans="1:9" x14ac:dyDescent="0.35">
      <c r="A260" t="s">
        <v>1296</v>
      </c>
      <c r="B260" t="s">
        <v>1297</v>
      </c>
      <c r="C260" t="s">
        <v>1274</v>
      </c>
      <c r="D260" t="s">
        <v>1266</v>
      </c>
      <c r="E260" t="s">
        <v>1447</v>
      </c>
      <c r="F260" t="s">
        <v>1435</v>
      </c>
      <c r="G260" t="s">
        <v>440</v>
      </c>
      <c r="H260" t="s">
        <v>578</v>
      </c>
      <c r="I260" s="54">
        <v>46174</v>
      </c>
    </row>
    <row r="261" spans="1:9" x14ac:dyDescent="0.35">
      <c r="A261" t="s">
        <v>507</v>
      </c>
      <c r="B261" t="s">
        <v>509</v>
      </c>
      <c r="C261" t="s">
        <v>1253</v>
      </c>
      <c r="D261" t="s">
        <v>1260</v>
      </c>
      <c r="E261" t="s">
        <v>1461</v>
      </c>
      <c r="F261" t="s">
        <v>1435</v>
      </c>
      <c r="G261" t="s">
        <v>436</v>
      </c>
      <c r="H261" t="s">
        <v>548</v>
      </c>
      <c r="I261" s="54">
        <v>46174</v>
      </c>
    </row>
    <row r="262" spans="1:9" x14ac:dyDescent="0.35">
      <c r="A262" t="s">
        <v>671</v>
      </c>
      <c r="B262" t="s">
        <v>672</v>
      </c>
      <c r="C262" t="s">
        <v>1253</v>
      </c>
      <c r="D262" t="s">
        <v>1263</v>
      </c>
      <c r="E262" t="s">
        <v>516</v>
      </c>
      <c r="F262" t="s">
        <v>1435</v>
      </c>
      <c r="G262" t="s">
        <v>436</v>
      </c>
      <c r="H262" t="s">
        <v>548</v>
      </c>
      <c r="I262" s="54">
        <v>46174</v>
      </c>
    </row>
    <row r="263" spans="1:9" x14ac:dyDescent="0.35">
      <c r="A263" t="s">
        <v>259</v>
      </c>
      <c r="B263" t="s">
        <v>261</v>
      </c>
      <c r="C263" t="s">
        <v>1253</v>
      </c>
      <c r="D263" t="s">
        <v>1263</v>
      </c>
      <c r="E263" t="s">
        <v>260</v>
      </c>
      <c r="F263" t="s">
        <v>1435</v>
      </c>
      <c r="G263" t="s">
        <v>565</v>
      </c>
      <c r="H263" t="s">
        <v>566</v>
      </c>
      <c r="I263" s="54">
        <v>46174</v>
      </c>
    </row>
    <row r="264" spans="1:9" x14ac:dyDescent="0.35">
      <c r="A264" t="s">
        <v>1258</v>
      </c>
      <c r="B264" t="s">
        <v>1259</v>
      </c>
      <c r="C264" t="s">
        <v>1274</v>
      </c>
      <c r="D264" t="s">
        <v>1254</v>
      </c>
      <c r="E264" t="s">
        <v>1437</v>
      </c>
      <c r="F264" t="s">
        <v>1435</v>
      </c>
      <c r="G264" t="s">
        <v>437</v>
      </c>
      <c r="H264" t="s">
        <v>551</v>
      </c>
      <c r="I264" s="54">
        <v>46174</v>
      </c>
    </row>
    <row r="265" spans="1:9" x14ac:dyDescent="0.35">
      <c r="A265" t="s">
        <v>1284</v>
      </c>
      <c r="B265" t="s">
        <v>1285</v>
      </c>
      <c r="C265" t="s">
        <v>1253</v>
      </c>
      <c r="D265" t="s">
        <v>1273</v>
      </c>
      <c r="E265" t="s">
        <v>1442</v>
      </c>
      <c r="F265" t="s">
        <v>1435</v>
      </c>
      <c r="G265" t="s">
        <v>437</v>
      </c>
      <c r="H265" t="s">
        <v>551</v>
      </c>
      <c r="I265" s="54">
        <v>46174</v>
      </c>
    </row>
    <row r="266" spans="1:9" x14ac:dyDescent="0.35">
      <c r="A266" t="s">
        <v>1275</v>
      </c>
      <c r="B266" t="s">
        <v>1276</v>
      </c>
      <c r="C266" t="s">
        <v>1274</v>
      </c>
      <c r="D266" t="s">
        <v>1254</v>
      </c>
      <c r="E266" t="s">
        <v>1437</v>
      </c>
      <c r="F266" t="s">
        <v>1435</v>
      </c>
      <c r="G266" t="s">
        <v>437</v>
      </c>
      <c r="H266" t="s">
        <v>551</v>
      </c>
      <c r="I266" s="54">
        <v>46174</v>
      </c>
    </row>
    <row r="267" spans="1:9" x14ac:dyDescent="0.35">
      <c r="A267" t="s">
        <v>1364</v>
      </c>
      <c r="B267" t="s">
        <v>1365</v>
      </c>
      <c r="C267" t="s">
        <v>1253</v>
      </c>
      <c r="D267" t="s">
        <v>1266</v>
      </c>
      <c r="E267" t="s">
        <v>1472</v>
      </c>
      <c r="F267" t="s">
        <v>1435</v>
      </c>
      <c r="G267" t="s">
        <v>437</v>
      </c>
      <c r="H267" t="s">
        <v>551</v>
      </c>
      <c r="I267" s="54">
        <v>46174</v>
      </c>
    </row>
    <row r="268" spans="1:9" x14ac:dyDescent="0.35">
      <c r="A268" t="s">
        <v>253</v>
      </c>
      <c r="B268" t="s">
        <v>255</v>
      </c>
      <c r="C268" t="s">
        <v>1253</v>
      </c>
      <c r="D268" t="s">
        <v>1260</v>
      </c>
      <c r="E268" t="s">
        <v>1461</v>
      </c>
      <c r="F268" t="s">
        <v>1435</v>
      </c>
      <c r="G268" t="s">
        <v>436</v>
      </c>
      <c r="H268" t="s">
        <v>548</v>
      </c>
      <c r="I268" s="54">
        <v>46174</v>
      </c>
    </row>
    <row r="269" spans="1:9" x14ac:dyDescent="0.35">
      <c r="A269" t="s">
        <v>671</v>
      </c>
      <c r="B269" t="s">
        <v>672</v>
      </c>
      <c r="C269" t="s">
        <v>1274</v>
      </c>
      <c r="D269" t="s">
        <v>1266</v>
      </c>
      <c r="E269" t="s">
        <v>516</v>
      </c>
      <c r="F269" t="s">
        <v>1435</v>
      </c>
      <c r="G269" t="s">
        <v>436</v>
      </c>
      <c r="H269" t="s">
        <v>548</v>
      </c>
      <c r="I269" s="54">
        <v>46174</v>
      </c>
    </row>
    <row r="270" spans="1:9" x14ac:dyDescent="0.35">
      <c r="A270" t="s">
        <v>508</v>
      </c>
      <c r="B270" t="s">
        <v>510</v>
      </c>
      <c r="C270" t="s">
        <v>1253</v>
      </c>
      <c r="D270" t="s">
        <v>1260</v>
      </c>
      <c r="E270" t="s">
        <v>1461</v>
      </c>
      <c r="F270" t="s">
        <v>1435</v>
      </c>
      <c r="G270" t="s">
        <v>436</v>
      </c>
      <c r="H270" t="s">
        <v>548</v>
      </c>
      <c r="I270" s="54">
        <v>46174</v>
      </c>
    </row>
    <row r="271" spans="1:9" x14ac:dyDescent="0.35">
      <c r="A271" t="s">
        <v>1275</v>
      </c>
      <c r="B271" t="s">
        <v>1276</v>
      </c>
      <c r="C271" t="s">
        <v>1257</v>
      </c>
      <c r="D271" t="s">
        <v>1254</v>
      </c>
      <c r="E271" t="s">
        <v>1437</v>
      </c>
      <c r="F271" t="s">
        <v>1435</v>
      </c>
      <c r="G271" t="s">
        <v>437</v>
      </c>
      <c r="H271" t="s">
        <v>551</v>
      </c>
      <c r="I271" s="54">
        <v>46174</v>
      </c>
    </row>
    <row r="272" spans="1:9" x14ac:dyDescent="0.35">
      <c r="A272" t="s">
        <v>1258</v>
      </c>
      <c r="B272" t="s">
        <v>1259</v>
      </c>
      <c r="C272" t="s">
        <v>1274</v>
      </c>
      <c r="D272" t="s">
        <v>1260</v>
      </c>
      <c r="E272" t="s">
        <v>1437</v>
      </c>
      <c r="F272" t="s">
        <v>1435</v>
      </c>
      <c r="G272" t="s">
        <v>437</v>
      </c>
      <c r="H272" t="s">
        <v>551</v>
      </c>
      <c r="I272" s="54">
        <v>46174</v>
      </c>
    </row>
    <row r="273" spans="1:9" x14ac:dyDescent="0.35">
      <c r="A273" t="s">
        <v>37</v>
      </c>
      <c r="B273" t="s">
        <v>39</v>
      </c>
      <c r="C273" t="s">
        <v>1253</v>
      </c>
      <c r="D273" t="s">
        <v>1263</v>
      </c>
      <c r="E273" t="s">
        <v>1464</v>
      </c>
      <c r="F273" t="s">
        <v>1435</v>
      </c>
      <c r="G273" t="s">
        <v>561</v>
      </c>
      <c r="H273" t="s">
        <v>562</v>
      </c>
      <c r="I273" s="54">
        <v>46174</v>
      </c>
    </row>
    <row r="274" spans="1:9" x14ac:dyDescent="0.35">
      <c r="A274" t="s">
        <v>1271</v>
      </c>
      <c r="B274" t="s">
        <v>1272</v>
      </c>
      <c r="C274" t="s">
        <v>1257</v>
      </c>
      <c r="D274" t="s">
        <v>1254</v>
      </c>
      <c r="E274" t="s">
        <v>1437</v>
      </c>
      <c r="F274" t="s">
        <v>1435</v>
      </c>
      <c r="G274" t="s">
        <v>437</v>
      </c>
      <c r="H274" t="s">
        <v>551</v>
      </c>
      <c r="I274" s="54">
        <v>46174</v>
      </c>
    </row>
    <row r="275" spans="1:9" x14ac:dyDescent="0.35">
      <c r="A275" t="s">
        <v>1344</v>
      </c>
      <c r="B275" t="s">
        <v>1345</v>
      </c>
      <c r="C275" t="s">
        <v>1253</v>
      </c>
      <c r="D275" t="s">
        <v>1263</v>
      </c>
      <c r="E275" t="s">
        <v>1465</v>
      </c>
      <c r="F275" t="s">
        <v>1435</v>
      </c>
      <c r="G275" t="s">
        <v>440</v>
      </c>
      <c r="H275" t="s">
        <v>578</v>
      </c>
      <c r="I275" s="54">
        <v>46174</v>
      </c>
    </row>
    <row r="276" spans="1:9" x14ac:dyDescent="0.35">
      <c r="A276" t="s">
        <v>1275</v>
      </c>
      <c r="B276" t="s">
        <v>1276</v>
      </c>
      <c r="C276" t="s">
        <v>1257</v>
      </c>
      <c r="D276" t="s">
        <v>1260</v>
      </c>
      <c r="E276" t="s">
        <v>1437</v>
      </c>
      <c r="F276" t="s">
        <v>1435</v>
      </c>
      <c r="G276" t="s">
        <v>437</v>
      </c>
      <c r="H276" t="s">
        <v>551</v>
      </c>
      <c r="I276" s="54">
        <v>46174</v>
      </c>
    </row>
    <row r="277" spans="1:9" x14ac:dyDescent="0.35">
      <c r="A277" t="s">
        <v>1271</v>
      </c>
      <c r="B277" t="s">
        <v>1272</v>
      </c>
      <c r="C277" t="s">
        <v>1274</v>
      </c>
      <c r="D277" t="s">
        <v>1254</v>
      </c>
      <c r="E277" t="s">
        <v>1437</v>
      </c>
      <c r="F277" t="s">
        <v>1435</v>
      </c>
      <c r="G277" t="s">
        <v>437</v>
      </c>
      <c r="H277" t="s">
        <v>551</v>
      </c>
      <c r="I277" s="54">
        <v>46174</v>
      </c>
    </row>
    <row r="278" spans="1:9" x14ac:dyDescent="0.35">
      <c r="A278" t="s">
        <v>412</v>
      </c>
      <c r="B278" t="s">
        <v>420</v>
      </c>
      <c r="C278" t="s">
        <v>1253</v>
      </c>
      <c r="D278" t="s">
        <v>1273</v>
      </c>
      <c r="E278" t="s">
        <v>1445</v>
      </c>
      <c r="F278" t="s">
        <v>1435</v>
      </c>
      <c r="G278" t="s">
        <v>437</v>
      </c>
      <c r="H278" t="s">
        <v>551</v>
      </c>
      <c r="I278" s="54">
        <v>46174</v>
      </c>
    </row>
    <row r="279" spans="1:9" x14ac:dyDescent="0.35">
      <c r="A279" t="s">
        <v>1338</v>
      </c>
      <c r="B279" t="s">
        <v>1339</v>
      </c>
      <c r="C279" t="s">
        <v>1253</v>
      </c>
      <c r="D279" t="s">
        <v>1260</v>
      </c>
      <c r="E279" t="s">
        <v>1461</v>
      </c>
      <c r="F279" t="s">
        <v>1435</v>
      </c>
      <c r="G279" t="s">
        <v>436</v>
      </c>
      <c r="H279" t="s">
        <v>548</v>
      </c>
      <c r="I279" s="54">
        <v>46174</v>
      </c>
    </row>
    <row r="280" spans="1:9" x14ac:dyDescent="0.35">
      <c r="A280" t="s">
        <v>1288</v>
      </c>
      <c r="B280" t="s">
        <v>1289</v>
      </c>
      <c r="C280" t="s">
        <v>1274</v>
      </c>
      <c r="D280" t="s">
        <v>1254</v>
      </c>
      <c r="E280" t="s">
        <v>1443</v>
      </c>
      <c r="F280" t="s">
        <v>1435</v>
      </c>
      <c r="G280" t="s">
        <v>437</v>
      </c>
      <c r="H280" t="s">
        <v>551</v>
      </c>
      <c r="I280" s="54">
        <v>46174</v>
      </c>
    </row>
    <row r="281" spans="1:9" x14ac:dyDescent="0.35">
      <c r="A281" t="s">
        <v>298</v>
      </c>
      <c r="B281" t="s">
        <v>300</v>
      </c>
      <c r="C281" t="s">
        <v>1253</v>
      </c>
      <c r="D281" t="s">
        <v>1266</v>
      </c>
      <c r="E281" t="s">
        <v>299</v>
      </c>
      <c r="F281" t="s">
        <v>1435</v>
      </c>
      <c r="G281" t="s">
        <v>565</v>
      </c>
      <c r="H281" t="s">
        <v>566</v>
      </c>
      <c r="I281" s="54">
        <v>46174</v>
      </c>
    </row>
    <row r="282" spans="1:9" x14ac:dyDescent="0.35">
      <c r="A282" t="s">
        <v>1312</v>
      </c>
      <c r="B282" t="s">
        <v>1313</v>
      </c>
      <c r="C282" t="s">
        <v>1257</v>
      </c>
      <c r="D282" t="s">
        <v>1273</v>
      </c>
      <c r="E282" t="s">
        <v>1439</v>
      </c>
      <c r="F282" t="s">
        <v>1435</v>
      </c>
      <c r="G282" t="s">
        <v>437</v>
      </c>
      <c r="H282" t="s">
        <v>551</v>
      </c>
      <c r="I282" s="54">
        <v>46174</v>
      </c>
    </row>
    <row r="283" spans="1:9" x14ac:dyDescent="0.35">
      <c r="A283" t="s">
        <v>671</v>
      </c>
      <c r="B283" t="s">
        <v>672</v>
      </c>
      <c r="C283" t="s">
        <v>1257</v>
      </c>
      <c r="D283" t="s">
        <v>1266</v>
      </c>
      <c r="E283" t="s">
        <v>516</v>
      </c>
      <c r="F283" t="s">
        <v>1435</v>
      </c>
      <c r="G283" t="s">
        <v>436</v>
      </c>
      <c r="H283" t="s">
        <v>548</v>
      </c>
      <c r="I283" s="54">
        <v>46174</v>
      </c>
    </row>
    <row r="284" spans="1:9" x14ac:dyDescent="0.35">
      <c r="A284" t="s">
        <v>1346</v>
      </c>
      <c r="B284" t="s">
        <v>1347</v>
      </c>
      <c r="C284" t="s">
        <v>1253</v>
      </c>
      <c r="D284" t="s">
        <v>1263</v>
      </c>
      <c r="E284" t="s">
        <v>1437</v>
      </c>
      <c r="F284" t="s">
        <v>1435</v>
      </c>
      <c r="G284" t="s">
        <v>437</v>
      </c>
      <c r="H284" t="s">
        <v>551</v>
      </c>
      <c r="I284" s="54">
        <v>46174</v>
      </c>
    </row>
    <row r="285" spans="1:9" x14ac:dyDescent="0.35">
      <c r="A285" t="s">
        <v>671</v>
      </c>
      <c r="B285" t="s">
        <v>672</v>
      </c>
      <c r="C285" t="s">
        <v>1253</v>
      </c>
      <c r="D285" t="s">
        <v>1260</v>
      </c>
      <c r="E285" t="s">
        <v>516</v>
      </c>
      <c r="F285" t="s">
        <v>1435</v>
      </c>
      <c r="G285" t="s">
        <v>436</v>
      </c>
      <c r="H285" t="s">
        <v>548</v>
      </c>
      <c r="I285" s="54">
        <v>46174</v>
      </c>
    </row>
    <row r="286" spans="1:9" x14ac:dyDescent="0.35">
      <c r="A286" t="s">
        <v>1288</v>
      </c>
      <c r="B286" t="s">
        <v>1289</v>
      </c>
      <c r="C286" t="s">
        <v>1257</v>
      </c>
      <c r="D286" t="s">
        <v>1254</v>
      </c>
      <c r="E286" t="s">
        <v>1443</v>
      </c>
      <c r="F286" t="s">
        <v>1435</v>
      </c>
      <c r="G286" t="s">
        <v>437</v>
      </c>
      <c r="H286" t="s">
        <v>551</v>
      </c>
      <c r="I286" s="54">
        <v>46174</v>
      </c>
    </row>
    <row r="287" spans="1:9" x14ac:dyDescent="0.35">
      <c r="A287" t="s">
        <v>1342</v>
      </c>
      <c r="B287" t="s">
        <v>1343</v>
      </c>
      <c r="C287" t="s">
        <v>1253</v>
      </c>
      <c r="D287" t="s">
        <v>1260</v>
      </c>
      <c r="E287" t="s">
        <v>1463</v>
      </c>
      <c r="F287" t="s">
        <v>1435</v>
      </c>
      <c r="G287" t="s">
        <v>442</v>
      </c>
      <c r="H287" t="s">
        <v>575</v>
      </c>
      <c r="I287" s="54">
        <v>46174</v>
      </c>
    </row>
    <row r="288" spans="1:9" x14ac:dyDescent="0.35">
      <c r="A288" t="s">
        <v>1284</v>
      </c>
      <c r="B288" t="s">
        <v>1285</v>
      </c>
      <c r="C288" t="s">
        <v>1257</v>
      </c>
      <c r="D288" t="s">
        <v>1254</v>
      </c>
      <c r="E288" t="s">
        <v>1442</v>
      </c>
      <c r="F288" t="s">
        <v>1435</v>
      </c>
      <c r="G288" t="s">
        <v>437</v>
      </c>
      <c r="H288" t="s">
        <v>551</v>
      </c>
      <c r="I288" s="54">
        <v>46174</v>
      </c>
    </row>
    <row r="289" spans="1:9" x14ac:dyDescent="0.35">
      <c r="A289" t="s">
        <v>1368</v>
      </c>
      <c r="B289" t="s">
        <v>1369</v>
      </c>
      <c r="C289" t="s">
        <v>1253</v>
      </c>
      <c r="D289" t="s">
        <v>1266</v>
      </c>
      <c r="E289" t="s">
        <v>1473</v>
      </c>
      <c r="F289" t="s">
        <v>1435</v>
      </c>
      <c r="G289" t="s">
        <v>565</v>
      </c>
      <c r="H289" t="s">
        <v>566</v>
      </c>
      <c r="I289" s="54">
        <v>46174</v>
      </c>
    </row>
    <row r="290" spans="1:9" x14ac:dyDescent="0.35">
      <c r="A290" t="s">
        <v>1328</v>
      </c>
      <c r="B290" t="s">
        <v>1329</v>
      </c>
      <c r="C290" t="s">
        <v>1274</v>
      </c>
      <c r="D290" t="s">
        <v>1266</v>
      </c>
      <c r="E290" t="s">
        <v>1456</v>
      </c>
      <c r="F290" t="s">
        <v>1435</v>
      </c>
      <c r="G290" t="s">
        <v>442</v>
      </c>
      <c r="H290" t="s">
        <v>575</v>
      </c>
      <c r="I290" s="54">
        <v>46174</v>
      </c>
    </row>
    <row r="291" spans="1:9" x14ac:dyDescent="0.35">
      <c r="A291" t="s">
        <v>37</v>
      </c>
      <c r="B291" t="s">
        <v>39</v>
      </c>
      <c r="C291" t="s">
        <v>1253</v>
      </c>
      <c r="D291" t="s">
        <v>1260</v>
      </c>
      <c r="E291" t="s">
        <v>1464</v>
      </c>
      <c r="F291" t="s">
        <v>1435</v>
      </c>
      <c r="G291" t="s">
        <v>561</v>
      </c>
      <c r="H291" t="s">
        <v>562</v>
      </c>
      <c r="I291" s="54">
        <v>46174</v>
      </c>
    </row>
    <row r="292" spans="1:9" x14ac:dyDescent="0.35">
      <c r="A292" t="s">
        <v>1370</v>
      </c>
      <c r="B292" t="s">
        <v>1371</v>
      </c>
      <c r="C292" t="s">
        <v>1253</v>
      </c>
      <c r="D292" t="s">
        <v>1266</v>
      </c>
      <c r="E292" t="s">
        <v>1474</v>
      </c>
      <c r="F292" t="s">
        <v>1435</v>
      </c>
      <c r="G292" t="s">
        <v>565</v>
      </c>
      <c r="H292" t="s">
        <v>566</v>
      </c>
      <c r="I292" s="54">
        <v>46174</v>
      </c>
    </row>
    <row r="293" spans="1:9" x14ac:dyDescent="0.35">
      <c r="A293" t="s">
        <v>1284</v>
      </c>
      <c r="B293" t="s">
        <v>1285</v>
      </c>
      <c r="C293" t="s">
        <v>1274</v>
      </c>
      <c r="D293" t="s">
        <v>1254</v>
      </c>
      <c r="E293" t="s">
        <v>1442</v>
      </c>
      <c r="F293" t="s">
        <v>1435</v>
      </c>
      <c r="G293" t="s">
        <v>437</v>
      </c>
      <c r="H293" t="s">
        <v>551</v>
      </c>
      <c r="I293" s="54">
        <v>46174</v>
      </c>
    </row>
    <row r="294" spans="1:9" x14ac:dyDescent="0.35">
      <c r="A294" t="s">
        <v>1275</v>
      </c>
      <c r="B294" t="s">
        <v>1276</v>
      </c>
      <c r="C294" t="s">
        <v>1274</v>
      </c>
      <c r="D294" t="s">
        <v>1260</v>
      </c>
      <c r="E294" t="s">
        <v>1437</v>
      </c>
      <c r="F294" t="s">
        <v>1435</v>
      </c>
      <c r="G294" t="s">
        <v>437</v>
      </c>
      <c r="H294" t="s">
        <v>551</v>
      </c>
      <c r="I294" s="54">
        <v>46174</v>
      </c>
    </row>
    <row r="295" spans="1:9" x14ac:dyDescent="0.35">
      <c r="A295" t="s">
        <v>1352</v>
      </c>
      <c r="B295" t="s">
        <v>1353</v>
      </c>
      <c r="C295" t="s">
        <v>1253</v>
      </c>
      <c r="D295" t="s">
        <v>1263</v>
      </c>
      <c r="E295" t="s">
        <v>1467</v>
      </c>
      <c r="F295" t="s">
        <v>1435</v>
      </c>
      <c r="G295" t="s">
        <v>437</v>
      </c>
      <c r="H295" t="s">
        <v>551</v>
      </c>
      <c r="I295" s="54">
        <v>46174</v>
      </c>
    </row>
    <row r="296" spans="1:9" x14ac:dyDescent="0.35">
      <c r="A296" t="s">
        <v>239</v>
      </c>
      <c r="B296" t="s">
        <v>241</v>
      </c>
      <c r="C296" t="s">
        <v>1253</v>
      </c>
      <c r="D296" t="s">
        <v>1273</v>
      </c>
      <c r="E296" t="s">
        <v>1486</v>
      </c>
      <c r="F296" t="s">
        <v>1435</v>
      </c>
      <c r="G296" t="s">
        <v>437</v>
      </c>
      <c r="H296" t="s">
        <v>551</v>
      </c>
      <c r="I296" s="54">
        <v>46174</v>
      </c>
    </row>
    <row r="297" spans="1:9" x14ac:dyDescent="0.35">
      <c r="A297" t="s">
        <v>1344</v>
      </c>
      <c r="B297" t="s">
        <v>1345</v>
      </c>
      <c r="C297" t="s">
        <v>1253</v>
      </c>
      <c r="D297" t="s">
        <v>1260</v>
      </c>
      <c r="E297" t="s">
        <v>1465</v>
      </c>
      <c r="F297" t="s">
        <v>1435</v>
      </c>
      <c r="G297" t="s">
        <v>440</v>
      </c>
      <c r="H297" t="s">
        <v>578</v>
      </c>
      <c r="I297" s="54">
        <v>46174</v>
      </c>
    </row>
    <row r="298" spans="1:9" x14ac:dyDescent="0.35">
      <c r="A298" t="s">
        <v>1282</v>
      </c>
      <c r="B298" t="s">
        <v>1283</v>
      </c>
      <c r="C298" t="s">
        <v>1257</v>
      </c>
      <c r="D298" t="s">
        <v>1254</v>
      </c>
      <c r="E298" t="s">
        <v>1442</v>
      </c>
      <c r="F298" t="s">
        <v>1435</v>
      </c>
      <c r="G298" t="s">
        <v>437</v>
      </c>
      <c r="H298" t="s">
        <v>551</v>
      </c>
      <c r="I298" s="54">
        <v>46174</v>
      </c>
    </row>
    <row r="299" spans="1:9" x14ac:dyDescent="0.35">
      <c r="A299" t="s">
        <v>1372</v>
      </c>
      <c r="B299" t="s">
        <v>1373</v>
      </c>
      <c r="C299" t="s">
        <v>1253</v>
      </c>
      <c r="D299" t="s">
        <v>1266</v>
      </c>
      <c r="E299" t="s">
        <v>1474</v>
      </c>
      <c r="F299" t="s">
        <v>1435</v>
      </c>
      <c r="G299" t="s">
        <v>565</v>
      </c>
      <c r="H299" t="s">
        <v>566</v>
      </c>
      <c r="I299" s="54">
        <v>46174</v>
      </c>
    </row>
    <row r="300" spans="1:9" x14ac:dyDescent="0.35">
      <c r="A300" t="s">
        <v>1261</v>
      </c>
      <c r="B300" t="s">
        <v>1262</v>
      </c>
      <c r="C300" t="s">
        <v>1257</v>
      </c>
      <c r="D300" t="s">
        <v>1254</v>
      </c>
      <c r="E300" t="s">
        <v>1438</v>
      </c>
      <c r="F300" t="s">
        <v>1435</v>
      </c>
      <c r="G300" t="s">
        <v>565</v>
      </c>
      <c r="H300" t="s">
        <v>566</v>
      </c>
      <c r="I300" s="54">
        <v>46174</v>
      </c>
    </row>
    <row r="301" spans="1:9" x14ac:dyDescent="0.35">
      <c r="A301" t="s">
        <v>1364</v>
      </c>
      <c r="B301" t="s">
        <v>1365</v>
      </c>
      <c r="C301" t="s">
        <v>1253</v>
      </c>
      <c r="D301" t="s">
        <v>1263</v>
      </c>
      <c r="E301" t="s">
        <v>1472</v>
      </c>
      <c r="F301" t="s">
        <v>1435</v>
      </c>
      <c r="G301" t="s">
        <v>437</v>
      </c>
      <c r="H301" t="s">
        <v>551</v>
      </c>
      <c r="I301" s="54">
        <v>46174</v>
      </c>
    </row>
    <row r="302" spans="1:9" x14ac:dyDescent="0.35">
      <c r="A302" t="s">
        <v>1366</v>
      </c>
      <c r="B302" t="s">
        <v>1367</v>
      </c>
      <c r="C302" t="s">
        <v>1253</v>
      </c>
      <c r="D302" t="s">
        <v>1263</v>
      </c>
      <c r="E302" t="s">
        <v>1471</v>
      </c>
      <c r="F302" t="s">
        <v>1435</v>
      </c>
      <c r="G302" t="s">
        <v>437</v>
      </c>
      <c r="H302" t="s">
        <v>551</v>
      </c>
      <c r="I302" s="54">
        <v>46174</v>
      </c>
    </row>
    <row r="303" spans="1:9" x14ac:dyDescent="0.35">
      <c r="A303" t="s">
        <v>43</v>
      </c>
      <c r="B303" t="s">
        <v>45</v>
      </c>
      <c r="C303" t="s">
        <v>1253</v>
      </c>
      <c r="D303" t="s">
        <v>1266</v>
      </c>
      <c r="E303" t="s">
        <v>1476</v>
      </c>
      <c r="F303" t="s">
        <v>1435</v>
      </c>
      <c r="G303" t="s">
        <v>442</v>
      </c>
      <c r="H303" t="s">
        <v>575</v>
      </c>
      <c r="I303" s="54">
        <v>46174</v>
      </c>
    </row>
    <row r="304" spans="1:9" x14ac:dyDescent="0.35">
      <c r="A304" t="s">
        <v>1308</v>
      </c>
      <c r="B304" t="s">
        <v>1309</v>
      </c>
      <c r="C304" t="s">
        <v>1274</v>
      </c>
      <c r="D304" t="s">
        <v>1266</v>
      </c>
      <c r="E304" t="s">
        <v>1451</v>
      </c>
      <c r="F304" t="s">
        <v>1435</v>
      </c>
      <c r="G304" t="s">
        <v>439</v>
      </c>
      <c r="H304" t="s">
        <v>572</v>
      </c>
      <c r="I304" s="54">
        <v>46174</v>
      </c>
    </row>
    <row r="305" spans="1:9" x14ac:dyDescent="0.35">
      <c r="A305" t="s">
        <v>1296</v>
      </c>
      <c r="B305" t="s">
        <v>1297</v>
      </c>
      <c r="C305" t="s">
        <v>1253</v>
      </c>
      <c r="D305" t="s">
        <v>1273</v>
      </c>
      <c r="E305" t="s">
        <v>1447</v>
      </c>
      <c r="F305" t="s">
        <v>1435</v>
      </c>
      <c r="G305" t="s">
        <v>440</v>
      </c>
      <c r="H305" t="s">
        <v>578</v>
      </c>
      <c r="I305" s="54">
        <v>46174</v>
      </c>
    </row>
    <row r="306" spans="1:9" x14ac:dyDescent="0.35">
      <c r="A306" t="s">
        <v>1271</v>
      </c>
      <c r="B306" t="s">
        <v>1272</v>
      </c>
      <c r="C306" t="s">
        <v>1274</v>
      </c>
      <c r="D306" t="s">
        <v>1260</v>
      </c>
      <c r="E306" t="s">
        <v>1437</v>
      </c>
      <c r="F306" t="s">
        <v>1435</v>
      </c>
      <c r="G306" t="s">
        <v>437</v>
      </c>
      <c r="H306" t="s">
        <v>551</v>
      </c>
      <c r="I306" s="54">
        <v>46174</v>
      </c>
    </row>
    <row r="307" spans="1:9" x14ac:dyDescent="0.35">
      <c r="A307" t="s">
        <v>1346</v>
      </c>
      <c r="B307" t="s">
        <v>1347</v>
      </c>
      <c r="C307" t="s">
        <v>1253</v>
      </c>
      <c r="D307" t="s">
        <v>1260</v>
      </c>
      <c r="E307" t="s">
        <v>1437</v>
      </c>
      <c r="F307" t="s">
        <v>1435</v>
      </c>
      <c r="G307" t="s">
        <v>437</v>
      </c>
      <c r="H307" t="s">
        <v>551</v>
      </c>
      <c r="I307" s="54">
        <v>46174</v>
      </c>
    </row>
    <row r="308" spans="1:9" x14ac:dyDescent="0.35">
      <c r="A308" t="s">
        <v>1261</v>
      </c>
      <c r="B308" t="s">
        <v>1262</v>
      </c>
      <c r="C308" t="s">
        <v>1274</v>
      </c>
      <c r="D308" t="s">
        <v>1254</v>
      </c>
      <c r="E308" t="s">
        <v>1438</v>
      </c>
      <c r="F308" t="s">
        <v>1435</v>
      </c>
      <c r="G308" t="s">
        <v>565</v>
      </c>
      <c r="H308" t="s">
        <v>566</v>
      </c>
      <c r="I308" s="54">
        <v>46174</v>
      </c>
    </row>
    <row r="309" spans="1:9" x14ac:dyDescent="0.35">
      <c r="A309" t="s">
        <v>1271</v>
      </c>
      <c r="B309" t="s">
        <v>1272</v>
      </c>
      <c r="C309" t="s">
        <v>1257</v>
      </c>
      <c r="D309" t="s">
        <v>1260</v>
      </c>
      <c r="E309" t="s">
        <v>1437</v>
      </c>
      <c r="F309" t="s">
        <v>1435</v>
      </c>
      <c r="G309" t="s">
        <v>437</v>
      </c>
      <c r="H309" t="s">
        <v>551</v>
      </c>
      <c r="I309" s="54">
        <v>46174</v>
      </c>
    </row>
    <row r="310" spans="1:9" x14ac:dyDescent="0.35">
      <c r="A310" t="s">
        <v>1302</v>
      </c>
      <c r="B310" t="s">
        <v>1303</v>
      </c>
      <c r="C310" t="s">
        <v>1253</v>
      </c>
      <c r="D310" t="s">
        <v>1273</v>
      </c>
      <c r="E310" t="s">
        <v>1450</v>
      </c>
      <c r="F310" t="s">
        <v>1435</v>
      </c>
      <c r="G310" t="s">
        <v>442</v>
      </c>
      <c r="H310" t="s">
        <v>575</v>
      </c>
      <c r="I310" s="54">
        <v>46174</v>
      </c>
    </row>
    <row r="311" spans="1:9" x14ac:dyDescent="0.35">
      <c r="A311" t="s">
        <v>1308</v>
      </c>
      <c r="B311" t="s">
        <v>1309</v>
      </c>
      <c r="C311" t="s">
        <v>1257</v>
      </c>
      <c r="D311" t="s">
        <v>1266</v>
      </c>
      <c r="E311" t="s">
        <v>1451</v>
      </c>
      <c r="F311" t="s">
        <v>1435</v>
      </c>
      <c r="G311" t="s">
        <v>439</v>
      </c>
      <c r="H311" t="s">
        <v>572</v>
      </c>
      <c r="I311" s="54">
        <v>46174</v>
      </c>
    </row>
    <row r="312" spans="1:9" x14ac:dyDescent="0.35">
      <c r="A312" t="s">
        <v>1376</v>
      </c>
      <c r="B312" t="s">
        <v>1377</v>
      </c>
      <c r="C312" t="s">
        <v>1253</v>
      </c>
      <c r="D312" t="s">
        <v>1266</v>
      </c>
      <c r="E312" t="s">
        <v>1477</v>
      </c>
      <c r="F312" t="s">
        <v>1435</v>
      </c>
      <c r="G312" t="s">
        <v>437</v>
      </c>
      <c r="H312" t="s">
        <v>551</v>
      </c>
      <c r="I312" s="54">
        <v>46174</v>
      </c>
    </row>
    <row r="313" spans="1:9" x14ac:dyDescent="0.35">
      <c r="A313" t="s">
        <v>1296</v>
      </c>
      <c r="B313" t="s">
        <v>1297</v>
      </c>
      <c r="C313" t="s">
        <v>1274</v>
      </c>
      <c r="D313" t="s">
        <v>1254</v>
      </c>
      <c r="E313" t="s">
        <v>1447</v>
      </c>
      <c r="F313" t="s">
        <v>1435</v>
      </c>
      <c r="G313" t="s">
        <v>440</v>
      </c>
      <c r="H313" t="s">
        <v>578</v>
      </c>
      <c r="I313" s="54">
        <v>46174</v>
      </c>
    </row>
    <row r="314" spans="1:9" x14ac:dyDescent="0.35">
      <c r="A314" t="s">
        <v>1296</v>
      </c>
      <c r="B314" t="s">
        <v>1297</v>
      </c>
      <c r="C314" t="s">
        <v>1257</v>
      </c>
      <c r="D314" t="s">
        <v>1254</v>
      </c>
      <c r="E314" t="s">
        <v>1447</v>
      </c>
      <c r="F314" t="s">
        <v>1435</v>
      </c>
      <c r="G314" t="s">
        <v>440</v>
      </c>
      <c r="H314" t="s">
        <v>578</v>
      </c>
      <c r="I314" s="54">
        <v>46174</v>
      </c>
    </row>
    <row r="315" spans="1:9" x14ac:dyDescent="0.35">
      <c r="A315" t="s">
        <v>1370</v>
      </c>
      <c r="B315" t="s">
        <v>1371</v>
      </c>
      <c r="C315" t="s">
        <v>1253</v>
      </c>
      <c r="D315" t="s">
        <v>1263</v>
      </c>
      <c r="E315" t="s">
        <v>1474</v>
      </c>
      <c r="F315" t="s">
        <v>1435</v>
      </c>
      <c r="G315" t="s">
        <v>565</v>
      </c>
      <c r="H315" t="s">
        <v>566</v>
      </c>
      <c r="I315" s="54">
        <v>46174</v>
      </c>
    </row>
    <row r="316" spans="1:9" x14ac:dyDescent="0.35">
      <c r="A316" t="s">
        <v>1348</v>
      </c>
      <c r="B316" t="s">
        <v>1349</v>
      </c>
      <c r="C316" t="s">
        <v>1253</v>
      </c>
      <c r="D316" t="s">
        <v>1260</v>
      </c>
      <c r="E316" t="s">
        <v>1466</v>
      </c>
      <c r="F316" t="s">
        <v>1435</v>
      </c>
      <c r="G316" t="s">
        <v>437</v>
      </c>
      <c r="H316" t="s">
        <v>551</v>
      </c>
      <c r="I316" s="54">
        <v>46174</v>
      </c>
    </row>
    <row r="317" spans="1:9" x14ac:dyDescent="0.35">
      <c r="A317" t="s">
        <v>1296</v>
      </c>
      <c r="B317" t="s">
        <v>1297</v>
      </c>
      <c r="C317" t="s">
        <v>1281</v>
      </c>
      <c r="D317" t="s">
        <v>1254</v>
      </c>
      <c r="E317" t="s">
        <v>1447</v>
      </c>
      <c r="F317" t="s">
        <v>1435</v>
      </c>
      <c r="G317" t="s">
        <v>440</v>
      </c>
      <c r="H317" t="s">
        <v>578</v>
      </c>
      <c r="I317" s="54">
        <v>46174</v>
      </c>
    </row>
    <row r="318" spans="1:9" x14ac:dyDescent="0.35">
      <c r="A318" t="s">
        <v>1288</v>
      </c>
      <c r="B318" t="s">
        <v>1289</v>
      </c>
      <c r="C318" t="s">
        <v>1257</v>
      </c>
      <c r="D318" t="s">
        <v>1260</v>
      </c>
      <c r="E318" t="s">
        <v>1443</v>
      </c>
      <c r="F318" t="s">
        <v>1435</v>
      </c>
      <c r="G318" t="s">
        <v>437</v>
      </c>
      <c r="H318" t="s">
        <v>551</v>
      </c>
      <c r="I318" s="54">
        <v>46174</v>
      </c>
    </row>
    <row r="319" spans="1:9" x14ac:dyDescent="0.35">
      <c r="A319" t="s">
        <v>1344</v>
      </c>
      <c r="B319" t="s">
        <v>1345</v>
      </c>
      <c r="C319" t="s">
        <v>1274</v>
      </c>
      <c r="D319" t="s">
        <v>1254</v>
      </c>
      <c r="E319" t="s">
        <v>1465</v>
      </c>
      <c r="F319" t="s">
        <v>1435</v>
      </c>
      <c r="G319" t="s">
        <v>440</v>
      </c>
      <c r="H319" t="s">
        <v>578</v>
      </c>
      <c r="I319" s="54">
        <v>46174</v>
      </c>
    </row>
    <row r="320" spans="1:9" x14ac:dyDescent="0.35">
      <c r="A320" t="s">
        <v>1350</v>
      </c>
      <c r="B320" t="s">
        <v>1351</v>
      </c>
      <c r="C320" t="s">
        <v>1253</v>
      </c>
      <c r="D320" t="s">
        <v>1260</v>
      </c>
      <c r="E320" t="s">
        <v>1466</v>
      </c>
      <c r="F320" t="s">
        <v>1435</v>
      </c>
      <c r="G320" t="s">
        <v>437</v>
      </c>
      <c r="H320" t="s">
        <v>551</v>
      </c>
      <c r="I320" s="54">
        <v>46174</v>
      </c>
    </row>
    <row r="321" spans="1:9" x14ac:dyDescent="0.35">
      <c r="A321" t="s">
        <v>1372</v>
      </c>
      <c r="B321" t="s">
        <v>1373</v>
      </c>
      <c r="C321" t="s">
        <v>1253</v>
      </c>
      <c r="D321" t="s">
        <v>1263</v>
      </c>
      <c r="E321" t="s">
        <v>1474</v>
      </c>
      <c r="F321" t="s">
        <v>1435</v>
      </c>
      <c r="G321" t="s">
        <v>565</v>
      </c>
      <c r="H321" t="s">
        <v>566</v>
      </c>
      <c r="I321" s="54">
        <v>46174</v>
      </c>
    </row>
    <row r="322" spans="1:9" x14ac:dyDescent="0.35">
      <c r="A322" t="s">
        <v>1306</v>
      </c>
      <c r="B322" t="s">
        <v>1307</v>
      </c>
      <c r="C322" t="s">
        <v>1253</v>
      </c>
      <c r="D322" t="s">
        <v>1273</v>
      </c>
      <c r="E322" t="s">
        <v>376</v>
      </c>
      <c r="F322" t="s">
        <v>1435</v>
      </c>
      <c r="G322" t="s">
        <v>565</v>
      </c>
      <c r="H322" t="s">
        <v>566</v>
      </c>
      <c r="I322" s="54">
        <v>46174</v>
      </c>
    </row>
    <row r="323" spans="1:9" x14ac:dyDescent="0.35">
      <c r="A323" t="s">
        <v>1354</v>
      </c>
      <c r="B323" t="s">
        <v>1355</v>
      </c>
      <c r="C323" t="s">
        <v>1257</v>
      </c>
      <c r="D323" t="s">
        <v>1266</v>
      </c>
      <c r="E323" t="s">
        <v>1467</v>
      </c>
      <c r="F323" t="s">
        <v>1435</v>
      </c>
      <c r="G323" t="s">
        <v>437</v>
      </c>
      <c r="H323" t="s">
        <v>551</v>
      </c>
      <c r="I323" s="54">
        <v>46174</v>
      </c>
    </row>
    <row r="324" spans="1:9" x14ac:dyDescent="0.35">
      <c r="A324" t="s">
        <v>1356</v>
      </c>
      <c r="B324" t="s">
        <v>1357</v>
      </c>
      <c r="C324" t="s">
        <v>1253</v>
      </c>
      <c r="D324" t="s">
        <v>1260</v>
      </c>
      <c r="E324" t="s">
        <v>1468</v>
      </c>
      <c r="F324" t="s">
        <v>1435</v>
      </c>
      <c r="G324" t="s">
        <v>437</v>
      </c>
      <c r="H324" t="s">
        <v>551</v>
      </c>
      <c r="I324" s="54">
        <v>46174</v>
      </c>
    </row>
    <row r="325" spans="1:9" x14ac:dyDescent="0.35">
      <c r="A325" t="s">
        <v>1344</v>
      </c>
      <c r="B325" t="s">
        <v>1345</v>
      </c>
      <c r="C325" t="s">
        <v>1281</v>
      </c>
      <c r="D325" t="s">
        <v>1254</v>
      </c>
      <c r="E325" t="s">
        <v>1465</v>
      </c>
      <c r="F325" t="s">
        <v>1435</v>
      </c>
      <c r="G325" t="s">
        <v>440</v>
      </c>
      <c r="H325" t="s">
        <v>578</v>
      </c>
      <c r="I325" s="54">
        <v>46174</v>
      </c>
    </row>
    <row r="326" spans="1:9" x14ac:dyDescent="0.35">
      <c r="A326" t="s">
        <v>1376</v>
      </c>
      <c r="B326" t="s">
        <v>1377</v>
      </c>
      <c r="C326" t="s">
        <v>1253</v>
      </c>
      <c r="D326" t="s">
        <v>1263</v>
      </c>
      <c r="E326" t="s">
        <v>1477</v>
      </c>
      <c r="F326" t="s">
        <v>1435</v>
      </c>
      <c r="G326" t="s">
        <v>437</v>
      </c>
      <c r="H326" t="s">
        <v>551</v>
      </c>
      <c r="I326" s="54">
        <v>46174</v>
      </c>
    </row>
    <row r="327" spans="1:9" x14ac:dyDescent="0.35">
      <c r="A327" t="s">
        <v>1344</v>
      </c>
      <c r="B327" t="s">
        <v>1345</v>
      </c>
      <c r="C327" t="s">
        <v>1257</v>
      </c>
      <c r="D327" t="s">
        <v>1254</v>
      </c>
      <c r="E327" t="s">
        <v>1465</v>
      </c>
      <c r="F327" t="s">
        <v>1435</v>
      </c>
      <c r="G327" t="s">
        <v>440</v>
      </c>
      <c r="H327" t="s">
        <v>578</v>
      </c>
      <c r="I327" s="54">
        <v>46174</v>
      </c>
    </row>
    <row r="328" spans="1:9" x14ac:dyDescent="0.35">
      <c r="A328" t="s">
        <v>635</v>
      </c>
      <c r="B328" t="s">
        <v>636</v>
      </c>
      <c r="C328" t="s">
        <v>1253</v>
      </c>
      <c r="D328" t="s">
        <v>1266</v>
      </c>
      <c r="E328" t="s">
        <v>1452</v>
      </c>
      <c r="F328" t="s">
        <v>1435</v>
      </c>
      <c r="G328" t="s">
        <v>442</v>
      </c>
      <c r="H328" t="s">
        <v>575</v>
      </c>
      <c r="I328" s="54">
        <v>46174</v>
      </c>
    </row>
    <row r="329" spans="1:9" x14ac:dyDescent="0.35">
      <c r="A329" t="s">
        <v>1354</v>
      </c>
      <c r="B329" t="s">
        <v>1355</v>
      </c>
      <c r="C329" t="s">
        <v>1274</v>
      </c>
      <c r="D329" t="s">
        <v>1266</v>
      </c>
      <c r="E329" t="s">
        <v>1467</v>
      </c>
      <c r="F329" t="s">
        <v>1435</v>
      </c>
      <c r="G329" t="s">
        <v>437</v>
      </c>
      <c r="H329" t="s">
        <v>551</v>
      </c>
      <c r="I329" s="54">
        <v>46174</v>
      </c>
    </row>
    <row r="330" spans="1:9" x14ac:dyDescent="0.35">
      <c r="A330" t="s">
        <v>1392</v>
      </c>
      <c r="B330" t="s">
        <v>1393</v>
      </c>
      <c r="C330" t="s">
        <v>1253</v>
      </c>
      <c r="D330" t="s">
        <v>1273</v>
      </c>
      <c r="E330" t="s">
        <v>1453</v>
      </c>
      <c r="F330" t="s">
        <v>1435</v>
      </c>
      <c r="G330" t="s">
        <v>442</v>
      </c>
      <c r="H330" t="s">
        <v>575</v>
      </c>
      <c r="I330" s="54">
        <v>46174</v>
      </c>
    </row>
    <row r="331" spans="1:9" x14ac:dyDescent="0.35">
      <c r="A331" t="s">
        <v>1380</v>
      </c>
      <c r="B331" t="s">
        <v>1381</v>
      </c>
      <c r="C331" t="s">
        <v>1253</v>
      </c>
      <c r="D331" t="s">
        <v>1266</v>
      </c>
      <c r="E331" t="s">
        <v>1480</v>
      </c>
      <c r="F331" t="s">
        <v>1435</v>
      </c>
      <c r="G331" t="s">
        <v>440</v>
      </c>
      <c r="H331" t="s">
        <v>578</v>
      </c>
      <c r="I331" s="54">
        <v>46174</v>
      </c>
    </row>
    <row r="332" spans="1:9" x14ac:dyDescent="0.35">
      <c r="A332" t="s">
        <v>668</v>
      </c>
      <c r="B332" t="s">
        <v>669</v>
      </c>
      <c r="C332" t="s">
        <v>1257</v>
      </c>
      <c r="D332" t="s">
        <v>1263</v>
      </c>
      <c r="E332" t="s">
        <v>670</v>
      </c>
      <c r="F332" t="s">
        <v>1435</v>
      </c>
      <c r="G332" t="s">
        <v>437</v>
      </c>
      <c r="H332" t="s">
        <v>551</v>
      </c>
      <c r="I332" s="54">
        <v>46174</v>
      </c>
    </row>
    <row r="333" spans="1:9" x14ac:dyDescent="0.35">
      <c r="A333" t="s">
        <v>1358</v>
      </c>
      <c r="B333" t="s">
        <v>1359</v>
      </c>
      <c r="C333" t="s">
        <v>1253</v>
      </c>
      <c r="D333" t="s">
        <v>1260</v>
      </c>
      <c r="E333" t="s">
        <v>1468</v>
      </c>
      <c r="F333" t="s">
        <v>1435</v>
      </c>
      <c r="G333" t="s">
        <v>437</v>
      </c>
      <c r="H333" t="s">
        <v>551</v>
      </c>
      <c r="I333" s="54">
        <v>46174</v>
      </c>
    </row>
    <row r="334" spans="1:9" x14ac:dyDescent="0.35">
      <c r="A334" t="s">
        <v>1288</v>
      </c>
      <c r="B334" t="s">
        <v>1289</v>
      </c>
      <c r="C334" t="s">
        <v>1274</v>
      </c>
      <c r="D334" t="s">
        <v>1260</v>
      </c>
      <c r="E334" t="s">
        <v>1443</v>
      </c>
      <c r="F334" t="s">
        <v>1435</v>
      </c>
      <c r="G334" t="s">
        <v>437</v>
      </c>
      <c r="H334" t="s">
        <v>551</v>
      </c>
      <c r="I334" s="54">
        <v>46174</v>
      </c>
    </row>
    <row r="335" spans="1:9" x14ac:dyDescent="0.35">
      <c r="A335" t="s">
        <v>1370</v>
      </c>
      <c r="B335" t="s">
        <v>1371</v>
      </c>
      <c r="C335" t="s">
        <v>1253</v>
      </c>
      <c r="D335" t="s">
        <v>1260</v>
      </c>
      <c r="E335" t="s">
        <v>1474</v>
      </c>
      <c r="F335" t="s">
        <v>1435</v>
      </c>
      <c r="G335" t="s">
        <v>565</v>
      </c>
      <c r="H335" t="s">
        <v>566</v>
      </c>
      <c r="I335" s="54">
        <v>46174</v>
      </c>
    </row>
    <row r="336" spans="1:9" x14ac:dyDescent="0.35">
      <c r="A336" t="s">
        <v>671</v>
      </c>
      <c r="B336" t="s">
        <v>672</v>
      </c>
      <c r="C336" t="s">
        <v>1257</v>
      </c>
      <c r="D336" t="s">
        <v>1254</v>
      </c>
      <c r="E336" t="s">
        <v>516</v>
      </c>
      <c r="F336" t="s">
        <v>1435</v>
      </c>
      <c r="G336" t="s">
        <v>436</v>
      </c>
      <c r="H336" t="s">
        <v>548</v>
      </c>
      <c r="I336" s="54">
        <v>46174</v>
      </c>
    </row>
    <row r="337" spans="1:9" x14ac:dyDescent="0.35">
      <c r="A337" t="s">
        <v>1384</v>
      </c>
      <c r="B337" t="s">
        <v>1385</v>
      </c>
      <c r="C337" t="s">
        <v>1253</v>
      </c>
      <c r="D337" t="s">
        <v>1266</v>
      </c>
      <c r="E337" t="s">
        <v>1481</v>
      </c>
      <c r="F337" t="s">
        <v>1435</v>
      </c>
      <c r="G337" t="s">
        <v>440</v>
      </c>
      <c r="H337" t="s">
        <v>578</v>
      </c>
      <c r="I337" s="54">
        <v>46174</v>
      </c>
    </row>
    <row r="338" spans="1:9" x14ac:dyDescent="0.35">
      <c r="A338" t="s">
        <v>1378</v>
      </c>
      <c r="B338" t="s">
        <v>1379</v>
      </c>
      <c r="C338" t="s">
        <v>1253</v>
      </c>
      <c r="D338" t="s">
        <v>1263</v>
      </c>
      <c r="E338" t="s">
        <v>1478</v>
      </c>
      <c r="F338" t="s">
        <v>1435</v>
      </c>
      <c r="G338" t="s">
        <v>440</v>
      </c>
      <c r="H338" t="s">
        <v>578</v>
      </c>
      <c r="I338" s="54">
        <v>46174</v>
      </c>
    </row>
    <row r="339" spans="1:9" x14ac:dyDescent="0.35">
      <c r="A339" t="s">
        <v>668</v>
      </c>
      <c r="B339" t="s">
        <v>669</v>
      </c>
      <c r="C339" t="s">
        <v>1274</v>
      </c>
      <c r="D339" t="s">
        <v>1263</v>
      </c>
      <c r="E339" t="s">
        <v>670</v>
      </c>
      <c r="F339" t="s">
        <v>1435</v>
      </c>
      <c r="G339" t="s">
        <v>437</v>
      </c>
      <c r="H339" t="s">
        <v>551</v>
      </c>
      <c r="I339" s="54">
        <v>46174</v>
      </c>
    </row>
    <row r="340" spans="1:9" x14ac:dyDescent="0.35">
      <c r="A340" t="s">
        <v>671</v>
      </c>
      <c r="B340" t="s">
        <v>672</v>
      </c>
      <c r="C340" t="s">
        <v>1274</v>
      </c>
      <c r="D340" t="s">
        <v>1254</v>
      </c>
      <c r="E340" t="s">
        <v>516</v>
      </c>
      <c r="F340" t="s">
        <v>1435</v>
      </c>
      <c r="G340" t="s">
        <v>436</v>
      </c>
      <c r="H340" t="s">
        <v>548</v>
      </c>
      <c r="I340" s="54">
        <v>46174</v>
      </c>
    </row>
    <row r="341" spans="1:9" x14ac:dyDescent="0.35">
      <c r="A341" t="s">
        <v>1372</v>
      </c>
      <c r="B341" t="s">
        <v>1373</v>
      </c>
      <c r="C341" t="s">
        <v>1253</v>
      </c>
      <c r="D341" t="s">
        <v>1260</v>
      </c>
      <c r="E341" t="s">
        <v>1474</v>
      </c>
      <c r="F341" t="s">
        <v>1435</v>
      </c>
      <c r="G341" t="s">
        <v>565</v>
      </c>
      <c r="H341" t="s">
        <v>566</v>
      </c>
      <c r="I341" s="54">
        <v>46174</v>
      </c>
    </row>
    <row r="342" spans="1:9" x14ac:dyDescent="0.35">
      <c r="A342" t="s">
        <v>639</v>
      </c>
      <c r="B342" t="s">
        <v>640</v>
      </c>
      <c r="C342" t="s">
        <v>1253</v>
      </c>
      <c r="D342" t="s">
        <v>1266</v>
      </c>
      <c r="E342" t="s">
        <v>1455</v>
      </c>
      <c r="F342" t="s">
        <v>1435</v>
      </c>
      <c r="G342" t="s">
        <v>442</v>
      </c>
      <c r="H342" t="s">
        <v>575</v>
      </c>
      <c r="I342" s="54">
        <v>46174</v>
      </c>
    </row>
    <row r="343" spans="1:9" x14ac:dyDescent="0.35">
      <c r="A343" t="s">
        <v>673</v>
      </c>
      <c r="B343" t="s">
        <v>674</v>
      </c>
      <c r="C343" t="s">
        <v>1253</v>
      </c>
      <c r="D343" t="s">
        <v>1273</v>
      </c>
      <c r="E343" t="s">
        <v>287</v>
      </c>
      <c r="F343" t="s">
        <v>1435</v>
      </c>
      <c r="G343" t="s">
        <v>442</v>
      </c>
      <c r="H343" t="s">
        <v>575</v>
      </c>
      <c r="I343" s="54">
        <v>46174</v>
      </c>
    </row>
    <row r="344" spans="1:9" x14ac:dyDescent="0.35">
      <c r="A344" t="s">
        <v>1372</v>
      </c>
      <c r="B344" t="s">
        <v>1373</v>
      </c>
      <c r="C344" t="s">
        <v>1257</v>
      </c>
      <c r="D344" t="s">
        <v>1266</v>
      </c>
      <c r="E344" t="s">
        <v>1474</v>
      </c>
      <c r="F344" t="s">
        <v>1435</v>
      </c>
      <c r="G344" t="s">
        <v>565</v>
      </c>
      <c r="H344" t="s">
        <v>566</v>
      </c>
      <c r="I344" s="54">
        <v>46174</v>
      </c>
    </row>
    <row r="345" spans="1:9" x14ac:dyDescent="0.35">
      <c r="A345" t="s">
        <v>1284</v>
      </c>
      <c r="B345" t="s">
        <v>1285</v>
      </c>
      <c r="C345" t="s">
        <v>1274</v>
      </c>
      <c r="D345" t="s">
        <v>1260</v>
      </c>
      <c r="E345" t="s">
        <v>1442</v>
      </c>
      <c r="F345" t="s">
        <v>1435</v>
      </c>
      <c r="G345" t="s">
        <v>437</v>
      </c>
      <c r="H345" t="s">
        <v>551</v>
      </c>
      <c r="I345" s="54">
        <v>46174</v>
      </c>
    </row>
    <row r="346" spans="1:9" x14ac:dyDescent="0.35">
      <c r="A346" t="s">
        <v>15</v>
      </c>
      <c r="B346" t="s">
        <v>16</v>
      </c>
      <c r="C346" t="s">
        <v>1253</v>
      </c>
      <c r="D346" t="s">
        <v>1273</v>
      </c>
      <c r="E346" t="s">
        <v>1460</v>
      </c>
      <c r="F346" t="s">
        <v>1435</v>
      </c>
      <c r="G346" t="s">
        <v>565</v>
      </c>
      <c r="H346" t="s">
        <v>566</v>
      </c>
      <c r="I346" s="54">
        <v>46174</v>
      </c>
    </row>
    <row r="347" spans="1:9" x14ac:dyDescent="0.35">
      <c r="A347" t="s">
        <v>673</v>
      </c>
      <c r="B347" t="s">
        <v>674</v>
      </c>
      <c r="C347" t="s">
        <v>1274</v>
      </c>
      <c r="D347" t="s">
        <v>1266</v>
      </c>
      <c r="E347" t="s">
        <v>287</v>
      </c>
      <c r="F347" t="s">
        <v>1435</v>
      </c>
      <c r="G347" t="s">
        <v>442</v>
      </c>
      <c r="H347" t="s">
        <v>575</v>
      </c>
      <c r="I347" s="54">
        <v>46174</v>
      </c>
    </row>
    <row r="348" spans="1:9" x14ac:dyDescent="0.35">
      <c r="A348" t="s">
        <v>1284</v>
      </c>
      <c r="B348" t="s">
        <v>1285</v>
      </c>
      <c r="C348" t="s">
        <v>1257</v>
      </c>
      <c r="D348" t="s">
        <v>1260</v>
      </c>
      <c r="E348" t="s">
        <v>1442</v>
      </c>
      <c r="F348" t="s">
        <v>1435</v>
      </c>
      <c r="G348" t="s">
        <v>437</v>
      </c>
      <c r="H348" t="s">
        <v>551</v>
      </c>
      <c r="I348" s="54">
        <v>46174</v>
      </c>
    </row>
    <row r="349" spans="1:9" x14ac:dyDescent="0.35">
      <c r="A349" t="s">
        <v>1328</v>
      </c>
      <c r="B349" t="s">
        <v>1329</v>
      </c>
      <c r="C349" t="s">
        <v>1274</v>
      </c>
      <c r="D349" t="s">
        <v>1254</v>
      </c>
      <c r="E349" t="s">
        <v>1456</v>
      </c>
      <c r="F349" t="s">
        <v>1435</v>
      </c>
      <c r="G349" t="s">
        <v>442</v>
      </c>
      <c r="H349" t="s">
        <v>575</v>
      </c>
      <c r="I349" s="54">
        <v>46174</v>
      </c>
    </row>
    <row r="350" spans="1:9" x14ac:dyDescent="0.35">
      <c r="A350" t="s">
        <v>635</v>
      </c>
      <c r="B350" t="s">
        <v>636</v>
      </c>
      <c r="C350" t="s">
        <v>1253</v>
      </c>
      <c r="D350" t="s">
        <v>1263</v>
      </c>
      <c r="E350" t="s">
        <v>1452</v>
      </c>
      <c r="F350" t="s">
        <v>1435</v>
      </c>
      <c r="G350" t="s">
        <v>442</v>
      </c>
      <c r="H350" t="s">
        <v>575</v>
      </c>
      <c r="I350" s="54">
        <v>46174</v>
      </c>
    </row>
    <row r="351" spans="1:9" x14ac:dyDescent="0.35">
      <c r="A351" t="s">
        <v>1340</v>
      </c>
      <c r="B351" t="s">
        <v>1341</v>
      </c>
      <c r="C351" t="s">
        <v>1274</v>
      </c>
      <c r="D351" t="s">
        <v>1263</v>
      </c>
      <c r="E351" t="s">
        <v>1462</v>
      </c>
      <c r="F351" t="s">
        <v>1435</v>
      </c>
      <c r="G351" t="s">
        <v>442</v>
      </c>
      <c r="H351" t="s">
        <v>575</v>
      </c>
      <c r="I351" s="54">
        <v>46174</v>
      </c>
    </row>
    <row r="352" spans="1:9" x14ac:dyDescent="0.35">
      <c r="A352" t="s">
        <v>1386</v>
      </c>
      <c r="B352" t="s">
        <v>1387</v>
      </c>
      <c r="C352" t="s">
        <v>1253</v>
      </c>
      <c r="D352" t="s">
        <v>1266</v>
      </c>
      <c r="E352" t="s">
        <v>1482</v>
      </c>
      <c r="F352" t="s">
        <v>1435</v>
      </c>
      <c r="G352" t="s">
        <v>440</v>
      </c>
      <c r="H352" t="s">
        <v>578</v>
      </c>
      <c r="I352" s="54">
        <v>46174</v>
      </c>
    </row>
    <row r="353" spans="1:9" x14ac:dyDescent="0.35">
      <c r="A353" t="s">
        <v>1380</v>
      </c>
      <c r="B353" t="s">
        <v>1381</v>
      </c>
      <c r="C353" t="s">
        <v>1253</v>
      </c>
      <c r="D353" t="s">
        <v>1263</v>
      </c>
      <c r="E353" t="s">
        <v>1480</v>
      </c>
      <c r="F353" t="s">
        <v>1435</v>
      </c>
      <c r="G353" t="s">
        <v>440</v>
      </c>
      <c r="H353" t="s">
        <v>578</v>
      </c>
      <c r="I353" s="54">
        <v>46174</v>
      </c>
    </row>
    <row r="354" spans="1:9" x14ac:dyDescent="0.35">
      <c r="A354" t="s">
        <v>1374</v>
      </c>
      <c r="B354" t="s">
        <v>1375</v>
      </c>
      <c r="C354" t="s">
        <v>1253</v>
      </c>
      <c r="D354" t="s">
        <v>1260</v>
      </c>
      <c r="E354" t="s">
        <v>1475</v>
      </c>
      <c r="F354" t="s">
        <v>1435</v>
      </c>
      <c r="G354" t="s">
        <v>561</v>
      </c>
      <c r="H354" t="s">
        <v>562</v>
      </c>
      <c r="I354" s="54">
        <v>46174</v>
      </c>
    </row>
    <row r="355" spans="1:9" x14ac:dyDescent="0.35">
      <c r="A355" t="s">
        <v>1282</v>
      </c>
      <c r="B355" t="s">
        <v>1283</v>
      </c>
      <c r="C355" t="s">
        <v>1257</v>
      </c>
      <c r="D355" t="s">
        <v>1260</v>
      </c>
      <c r="E355" t="s">
        <v>1442</v>
      </c>
      <c r="F355" t="s">
        <v>1435</v>
      </c>
      <c r="G355" t="s">
        <v>437</v>
      </c>
      <c r="H355" t="s">
        <v>551</v>
      </c>
      <c r="I355" s="54">
        <v>46174</v>
      </c>
    </row>
    <row r="356" spans="1:9" x14ac:dyDescent="0.35">
      <c r="A356" t="s">
        <v>1340</v>
      </c>
      <c r="B356" t="s">
        <v>1341</v>
      </c>
      <c r="C356" t="s">
        <v>1257</v>
      </c>
      <c r="D356" t="s">
        <v>1263</v>
      </c>
      <c r="E356" t="s">
        <v>1462</v>
      </c>
      <c r="F356" t="s">
        <v>1435</v>
      </c>
      <c r="G356" t="s">
        <v>442</v>
      </c>
      <c r="H356" t="s">
        <v>575</v>
      </c>
      <c r="I356" s="54">
        <v>46174</v>
      </c>
    </row>
    <row r="357" spans="1:9" x14ac:dyDescent="0.35">
      <c r="A357" t="s">
        <v>1382</v>
      </c>
      <c r="B357" t="s">
        <v>1383</v>
      </c>
      <c r="C357" t="s">
        <v>1253</v>
      </c>
      <c r="D357" t="s">
        <v>1263</v>
      </c>
      <c r="E357" t="s">
        <v>1480</v>
      </c>
      <c r="F357" t="s">
        <v>1435</v>
      </c>
      <c r="G357" t="s">
        <v>440</v>
      </c>
      <c r="H357" t="s">
        <v>578</v>
      </c>
      <c r="I357" s="54">
        <v>46174</v>
      </c>
    </row>
    <row r="358" spans="1:9" x14ac:dyDescent="0.35">
      <c r="A358" t="s">
        <v>673</v>
      </c>
      <c r="B358" t="s">
        <v>674</v>
      </c>
      <c r="C358" t="s">
        <v>1257</v>
      </c>
      <c r="D358" t="s">
        <v>1266</v>
      </c>
      <c r="E358" t="s">
        <v>287</v>
      </c>
      <c r="F358" t="s">
        <v>1435</v>
      </c>
      <c r="G358" t="s">
        <v>442</v>
      </c>
      <c r="H358" t="s">
        <v>575</v>
      </c>
      <c r="I358" s="54">
        <v>46174</v>
      </c>
    </row>
    <row r="359" spans="1:9" x14ac:dyDescent="0.35">
      <c r="A359" t="s">
        <v>12</v>
      </c>
      <c r="B359" t="s">
        <v>14</v>
      </c>
      <c r="C359" t="s">
        <v>1253</v>
      </c>
      <c r="D359" t="s">
        <v>1273</v>
      </c>
      <c r="E359" t="s">
        <v>1460</v>
      </c>
      <c r="F359" t="s">
        <v>1435</v>
      </c>
      <c r="G359" t="s">
        <v>565</v>
      </c>
      <c r="H359" t="s">
        <v>566</v>
      </c>
      <c r="I359" s="54">
        <v>46174</v>
      </c>
    </row>
    <row r="360" spans="1:9" x14ac:dyDescent="0.35">
      <c r="A360" t="s">
        <v>1376</v>
      </c>
      <c r="B360" t="s">
        <v>1377</v>
      </c>
      <c r="C360" t="s">
        <v>1253</v>
      </c>
      <c r="D360" t="s">
        <v>1260</v>
      </c>
      <c r="E360" t="s">
        <v>1477</v>
      </c>
      <c r="F360" t="s">
        <v>1435</v>
      </c>
      <c r="G360" t="s">
        <v>437</v>
      </c>
      <c r="H360" t="s">
        <v>551</v>
      </c>
      <c r="I360" s="54">
        <v>46174</v>
      </c>
    </row>
    <row r="361" spans="1:9" x14ac:dyDescent="0.35">
      <c r="A361" t="s">
        <v>1320</v>
      </c>
      <c r="B361" t="s">
        <v>1321</v>
      </c>
      <c r="C361" t="s">
        <v>1274</v>
      </c>
      <c r="D361" t="s">
        <v>1266</v>
      </c>
      <c r="E361" t="s">
        <v>1454</v>
      </c>
      <c r="F361" t="s">
        <v>1435</v>
      </c>
      <c r="G361" t="s">
        <v>440</v>
      </c>
      <c r="H361" t="s">
        <v>578</v>
      </c>
      <c r="I361" s="54">
        <v>46174</v>
      </c>
    </row>
    <row r="362" spans="1:9" x14ac:dyDescent="0.35">
      <c r="A362" t="s">
        <v>1384</v>
      </c>
      <c r="B362" t="s">
        <v>1385</v>
      </c>
      <c r="C362" t="s">
        <v>1253</v>
      </c>
      <c r="D362" t="s">
        <v>1263</v>
      </c>
      <c r="E362" t="s">
        <v>1481</v>
      </c>
      <c r="F362" t="s">
        <v>1435</v>
      </c>
      <c r="G362" t="s">
        <v>440</v>
      </c>
      <c r="H362" t="s">
        <v>578</v>
      </c>
      <c r="I362" s="54">
        <v>46174</v>
      </c>
    </row>
    <row r="363" spans="1:9" x14ac:dyDescent="0.35">
      <c r="A363" t="s">
        <v>413</v>
      </c>
      <c r="B363" t="s">
        <v>418</v>
      </c>
      <c r="C363" t="s">
        <v>1253</v>
      </c>
      <c r="D363" t="s">
        <v>1266</v>
      </c>
      <c r="E363" t="s">
        <v>1483</v>
      </c>
      <c r="F363" t="s">
        <v>1435</v>
      </c>
      <c r="G363" t="s">
        <v>439</v>
      </c>
      <c r="H363" t="s">
        <v>572</v>
      </c>
      <c r="I363" s="54">
        <v>46174</v>
      </c>
    </row>
    <row r="364" spans="1:9" x14ac:dyDescent="0.35">
      <c r="A364" t="s">
        <v>1296</v>
      </c>
      <c r="B364" t="s">
        <v>1297</v>
      </c>
      <c r="C364" t="s">
        <v>1274</v>
      </c>
      <c r="D364" t="s">
        <v>1260</v>
      </c>
      <c r="E364" t="s">
        <v>1447</v>
      </c>
      <c r="F364" t="s">
        <v>1435</v>
      </c>
      <c r="G364" t="s">
        <v>440</v>
      </c>
      <c r="H364" t="s">
        <v>578</v>
      </c>
      <c r="I364" s="54">
        <v>46174</v>
      </c>
    </row>
    <row r="365" spans="1:9" x14ac:dyDescent="0.35">
      <c r="A365" t="s">
        <v>1308</v>
      </c>
      <c r="B365" t="s">
        <v>1309</v>
      </c>
      <c r="C365" t="s">
        <v>1257</v>
      </c>
      <c r="D365" t="s">
        <v>1254</v>
      </c>
      <c r="E365" t="s">
        <v>1451</v>
      </c>
      <c r="F365" t="s">
        <v>1435</v>
      </c>
      <c r="G365" t="s">
        <v>439</v>
      </c>
      <c r="H365" t="s">
        <v>572</v>
      </c>
      <c r="I365" s="54">
        <v>46174</v>
      </c>
    </row>
    <row r="366" spans="1:9" x14ac:dyDescent="0.35">
      <c r="A366" t="s">
        <v>414</v>
      </c>
      <c r="B366" t="s">
        <v>419</v>
      </c>
      <c r="C366" t="s">
        <v>1253</v>
      </c>
      <c r="D366" t="s">
        <v>1266</v>
      </c>
      <c r="E366" t="s">
        <v>1484</v>
      </c>
      <c r="F366" t="s">
        <v>1435</v>
      </c>
      <c r="G366" t="s">
        <v>439</v>
      </c>
      <c r="H366" t="s">
        <v>572</v>
      </c>
      <c r="I366" s="54">
        <v>46174</v>
      </c>
    </row>
    <row r="367" spans="1:9" x14ac:dyDescent="0.35">
      <c r="A367" t="s">
        <v>1378</v>
      </c>
      <c r="B367" t="s">
        <v>1379</v>
      </c>
      <c r="C367" t="s">
        <v>1253</v>
      </c>
      <c r="D367" t="s">
        <v>1260</v>
      </c>
      <c r="E367" t="s">
        <v>1478</v>
      </c>
      <c r="F367" t="s">
        <v>1435</v>
      </c>
      <c r="G367" t="s">
        <v>440</v>
      </c>
      <c r="H367" t="s">
        <v>578</v>
      </c>
      <c r="I367" s="54">
        <v>46174</v>
      </c>
    </row>
    <row r="368" spans="1:9" x14ac:dyDescent="0.35">
      <c r="A368" t="s">
        <v>1251</v>
      </c>
      <c r="B368" t="s">
        <v>1252</v>
      </c>
      <c r="C368" t="s">
        <v>1274</v>
      </c>
      <c r="D368" t="s">
        <v>1263</v>
      </c>
      <c r="E368" t="s">
        <v>1434</v>
      </c>
      <c r="F368" t="s">
        <v>1435</v>
      </c>
      <c r="G368" t="s">
        <v>440</v>
      </c>
      <c r="H368" t="s">
        <v>578</v>
      </c>
      <c r="I368" s="54">
        <v>46174</v>
      </c>
    </row>
    <row r="369" spans="1:9" x14ac:dyDescent="0.35">
      <c r="A369" t="s">
        <v>1308</v>
      </c>
      <c r="B369" t="s">
        <v>1309</v>
      </c>
      <c r="C369" t="s">
        <v>1274</v>
      </c>
      <c r="D369" t="s">
        <v>1254</v>
      </c>
      <c r="E369" t="s">
        <v>1451</v>
      </c>
      <c r="F369" t="s">
        <v>1435</v>
      </c>
      <c r="G369" t="s">
        <v>439</v>
      </c>
      <c r="H369" t="s">
        <v>572</v>
      </c>
      <c r="I369" s="54">
        <v>46174</v>
      </c>
    </row>
    <row r="370" spans="1:9" x14ac:dyDescent="0.35">
      <c r="A370" t="s">
        <v>639</v>
      </c>
      <c r="B370" t="s">
        <v>640</v>
      </c>
      <c r="C370" t="s">
        <v>1253</v>
      </c>
      <c r="D370" t="s">
        <v>1263</v>
      </c>
      <c r="E370" t="s">
        <v>1455</v>
      </c>
      <c r="F370" t="s">
        <v>1435</v>
      </c>
      <c r="G370" t="s">
        <v>442</v>
      </c>
      <c r="H370" t="s">
        <v>575</v>
      </c>
      <c r="I370" s="54">
        <v>46174</v>
      </c>
    </row>
    <row r="371" spans="1:9" x14ac:dyDescent="0.35">
      <c r="A371" t="s">
        <v>1324</v>
      </c>
      <c r="B371" t="s">
        <v>1325</v>
      </c>
      <c r="C371" t="s">
        <v>1257</v>
      </c>
      <c r="D371" t="s">
        <v>1273</v>
      </c>
      <c r="E371" t="s">
        <v>1439</v>
      </c>
      <c r="F371" t="s">
        <v>1435</v>
      </c>
      <c r="G371" t="s">
        <v>437</v>
      </c>
      <c r="H371" t="s">
        <v>551</v>
      </c>
      <c r="I371" s="54">
        <v>46174</v>
      </c>
    </row>
    <row r="372" spans="1:9" x14ac:dyDescent="0.35">
      <c r="A372" t="s">
        <v>697</v>
      </c>
      <c r="B372" t="s">
        <v>698</v>
      </c>
      <c r="C372" t="s">
        <v>1253</v>
      </c>
      <c r="D372" t="s">
        <v>1266</v>
      </c>
      <c r="E372" t="s">
        <v>695</v>
      </c>
      <c r="F372" t="s">
        <v>1435</v>
      </c>
      <c r="G372" t="s">
        <v>439</v>
      </c>
      <c r="H372" t="s">
        <v>572</v>
      </c>
      <c r="I372" s="54">
        <v>46174</v>
      </c>
    </row>
    <row r="373" spans="1:9" x14ac:dyDescent="0.35">
      <c r="A373" t="s">
        <v>1251</v>
      </c>
      <c r="B373" t="s">
        <v>1252</v>
      </c>
      <c r="C373" t="s">
        <v>1257</v>
      </c>
      <c r="D373" t="s">
        <v>1263</v>
      </c>
      <c r="E373" t="s">
        <v>1434</v>
      </c>
      <c r="F373" t="s">
        <v>1435</v>
      </c>
      <c r="G373" t="s">
        <v>440</v>
      </c>
      <c r="H373" t="s">
        <v>578</v>
      </c>
      <c r="I373" s="54">
        <v>46174</v>
      </c>
    </row>
    <row r="374" spans="1:9" x14ac:dyDescent="0.35">
      <c r="A374" t="s">
        <v>1296</v>
      </c>
      <c r="B374" t="s">
        <v>1297</v>
      </c>
      <c r="C374" t="s">
        <v>1257</v>
      </c>
      <c r="D374" t="s">
        <v>1260</v>
      </c>
      <c r="E374" t="s">
        <v>1447</v>
      </c>
      <c r="F374" t="s">
        <v>1435</v>
      </c>
      <c r="G374" t="s">
        <v>440</v>
      </c>
      <c r="H374" t="s">
        <v>578</v>
      </c>
      <c r="I374" s="54">
        <v>46174</v>
      </c>
    </row>
    <row r="375" spans="1:9" x14ac:dyDescent="0.35">
      <c r="A375" t="s">
        <v>1320</v>
      </c>
      <c r="B375" t="s">
        <v>1321</v>
      </c>
      <c r="C375" t="s">
        <v>1257</v>
      </c>
      <c r="D375" t="s">
        <v>1266</v>
      </c>
      <c r="E375" t="s">
        <v>1454</v>
      </c>
      <c r="F375" t="s">
        <v>1435</v>
      </c>
      <c r="G375" t="s">
        <v>440</v>
      </c>
      <c r="H375" t="s">
        <v>578</v>
      </c>
      <c r="I375" s="54">
        <v>46174</v>
      </c>
    </row>
    <row r="376" spans="1:9" x14ac:dyDescent="0.35">
      <c r="A376" t="s">
        <v>1354</v>
      </c>
      <c r="B376" t="s">
        <v>1355</v>
      </c>
      <c r="C376" t="s">
        <v>1257</v>
      </c>
      <c r="D376" t="s">
        <v>1254</v>
      </c>
      <c r="E376" t="s">
        <v>1467</v>
      </c>
      <c r="F376" t="s">
        <v>1435</v>
      </c>
      <c r="G376" t="s">
        <v>437</v>
      </c>
      <c r="H376" t="s">
        <v>551</v>
      </c>
      <c r="I376" s="54">
        <v>46174</v>
      </c>
    </row>
    <row r="377" spans="1:9" x14ac:dyDescent="0.35">
      <c r="A377" t="s">
        <v>635</v>
      </c>
      <c r="B377" t="s">
        <v>636</v>
      </c>
      <c r="C377" t="s">
        <v>1253</v>
      </c>
      <c r="D377" t="s">
        <v>1260</v>
      </c>
      <c r="E377" t="s">
        <v>1452</v>
      </c>
      <c r="F377" t="s">
        <v>1435</v>
      </c>
      <c r="G377" t="s">
        <v>442</v>
      </c>
      <c r="H377" t="s">
        <v>575</v>
      </c>
      <c r="I377" s="54">
        <v>46174</v>
      </c>
    </row>
    <row r="378" spans="1:9" x14ac:dyDescent="0.35">
      <c r="A378" t="s">
        <v>1344</v>
      </c>
      <c r="B378" t="s">
        <v>1345</v>
      </c>
      <c r="C378" t="s">
        <v>1281</v>
      </c>
      <c r="D378" t="s">
        <v>1260</v>
      </c>
      <c r="E378" t="s">
        <v>1465</v>
      </c>
      <c r="F378" t="s">
        <v>1435</v>
      </c>
      <c r="G378" t="s">
        <v>440</v>
      </c>
      <c r="H378" t="s">
        <v>578</v>
      </c>
      <c r="I378" s="54">
        <v>46174</v>
      </c>
    </row>
    <row r="379" spans="1:9" x14ac:dyDescent="0.35">
      <c r="A379" t="s">
        <v>1354</v>
      </c>
      <c r="B379" t="s">
        <v>1355</v>
      </c>
      <c r="C379" t="s">
        <v>1274</v>
      </c>
      <c r="D379" t="s">
        <v>1254</v>
      </c>
      <c r="E379" t="s">
        <v>1467</v>
      </c>
      <c r="F379" t="s">
        <v>1435</v>
      </c>
      <c r="G379" t="s">
        <v>437</v>
      </c>
      <c r="H379" t="s">
        <v>551</v>
      </c>
      <c r="I379" s="54">
        <v>46174</v>
      </c>
    </row>
    <row r="380" spans="1:9" x14ac:dyDescent="0.35">
      <c r="A380" t="s">
        <v>415</v>
      </c>
      <c r="B380" t="s">
        <v>416</v>
      </c>
      <c r="C380" t="s">
        <v>1253</v>
      </c>
      <c r="D380" t="s">
        <v>1260</v>
      </c>
      <c r="E380" t="s">
        <v>1479</v>
      </c>
      <c r="F380" t="s">
        <v>1435</v>
      </c>
      <c r="G380" t="s">
        <v>442</v>
      </c>
      <c r="H380" t="s">
        <v>575</v>
      </c>
      <c r="I380" s="54">
        <v>46174</v>
      </c>
    </row>
    <row r="381" spans="1:9" x14ac:dyDescent="0.35">
      <c r="A381" t="s">
        <v>66</v>
      </c>
      <c r="B381" t="s">
        <v>675</v>
      </c>
      <c r="C381" t="s">
        <v>1253</v>
      </c>
      <c r="D381" t="s">
        <v>1266</v>
      </c>
      <c r="E381" t="s">
        <v>67</v>
      </c>
      <c r="F381" t="s">
        <v>1435</v>
      </c>
      <c r="G381" t="s">
        <v>440</v>
      </c>
      <c r="H381" t="s">
        <v>578</v>
      </c>
      <c r="I381" s="54">
        <v>46174</v>
      </c>
    </row>
    <row r="382" spans="1:9" x14ac:dyDescent="0.35">
      <c r="A382" t="s">
        <v>413</v>
      </c>
      <c r="B382" t="s">
        <v>418</v>
      </c>
      <c r="C382" t="s">
        <v>1253</v>
      </c>
      <c r="D382" t="s">
        <v>1263</v>
      </c>
      <c r="E382" t="s">
        <v>1483</v>
      </c>
      <c r="F382" t="s">
        <v>1435</v>
      </c>
      <c r="G382" t="s">
        <v>439</v>
      </c>
      <c r="H382" t="s">
        <v>572</v>
      </c>
      <c r="I382" s="54">
        <v>46174</v>
      </c>
    </row>
    <row r="383" spans="1:9" x14ac:dyDescent="0.35">
      <c r="A383" t="s">
        <v>25</v>
      </c>
      <c r="B383" t="s">
        <v>27</v>
      </c>
      <c r="C383" t="s">
        <v>1257</v>
      </c>
      <c r="D383" t="s">
        <v>1263</v>
      </c>
      <c r="E383" t="s">
        <v>26</v>
      </c>
      <c r="F383" t="s">
        <v>1435</v>
      </c>
      <c r="G383" t="s">
        <v>439</v>
      </c>
      <c r="H383" t="s">
        <v>572</v>
      </c>
      <c r="I383" s="54">
        <v>46174</v>
      </c>
    </row>
    <row r="384" spans="1:9" x14ac:dyDescent="0.35">
      <c r="A384" t="s">
        <v>1382</v>
      </c>
      <c r="B384" t="s">
        <v>1383</v>
      </c>
      <c r="C384" t="s">
        <v>1253</v>
      </c>
      <c r="D384" t="s">
        <v>1260</v>
      </c>
      <c r="E384" t="s">
        <v>1480</v>
      </c>
      <c r="F384" t="s">
        <v>1435</v>
      </c>
      <c r="G384" t="s">
        <v>440</v>
      </c>
      <c r="H384" t="s">
        <v>578</v>
      </c>
      <c r="I384" s="54">
        <v>46174</v>
      </c>
    </row>
    <row r="385" spans="1:9" x14ac:dyDescent="0.35">
      <c r="A385" t="s">
        <v>671</v>
      </c>
      <c r="B385" t="s">
        <v>672</v>
      </c>
      <c r="C385" t="s">
        <v>1257</v>
      </c>
      <c r="D385" t="s">
        <v>1260</v>
      </c>
      <c r="E385" t="s">
        <v>516</v>
      </c>
      <c r="F385" t="s">
        <v>1435</v>
      </c>
      <c r="G385" t="s">
        <v>436</v>
      </c>
      <c r="H385" t="s">
        <v>548</v>
      </c>
      <c r="I385" s="54">
        <v>46174</v>
      </c>
    </row>
    <row r="386" spans="1:9" x14ac:dyDescent="0.35">
      <c r="A386" t="s">
        <v>414</v>
      </c>
      <c r="B386" t="s">
        <v>419</v>
      </c>
      <c r="C386" t="s">
        <v>1253</v>
      </c>
      <c r="D386" t="s">
        <v>1263</v>
      </c>
      <c r="E386" t="s">
        <v>1484</v>
      </c>
      <c r="F386" t="s">
        <v>1435</v>
      </c>
      <c r="G386" t="s">
        <v>439</v>
      </c>
      <c r="H386" t="s">
        <v>572</v>
      </c>
      <c r="I386" s="54">
        <v>46174</v>
      </c>
    </row>
    <row r="387" spans="1:9" x14ac:dyDescent="0.35">
      <c r="A387" t="s">
        <v>1384</v>
      </c>
      <c r="B387" t="s">
        <v>1385</v>
      </c>
      <c r="C387" t="s">
        <v>1253</v>
      </c>
      <c r="D387" t="s">
        <v>1260</v>
      </c>
      <c r="E387" t="s">
        <v>1481</v>
      </c>
      <c r="F387" t="s">
        <v>1435</v>
      </c>
      <c r="G387" t="s">
        <v>440</v>
      </c>
      <c r="H387" t="s">
        <v>578</v>
      </c>
      <c r="I387" s="54">
        <v>46174</v>
      </c>
    </row>
    <row r="388" spans="1:9" x14ac:dyDescent="0.35">
      <c r="A388" t="s">
        <v>697</v>
      </c>
      <c r="B388" t="s">
        <v>698</v>
      </c>
      <c r="C388" t="s">
        <v>1253</v>
      </c>
      <c r="D388" t="s">
        <v>1263</v>
      </c>
      <c r="E388" t="s">
        <v>695</v>
      </c>
      <c r="F388" t="s">
        <v>1435</v>
      </c>
      <c r="G388" t="s">
        <v>439</v>
      </c>
      <c r="H388" t="s">
        <v>572</v>
      </c>
      <c r="I388" s="54">
        <v>46174</v>
      </c>
    </row>
    <row r="389" spans="1:9" x14ac:dyDescent="0.35">
      <c r="A389" t="s">
        <v>1372</v>
      </c>
      <c r="B389" t="s">
        <v>1373</v>
      </c>
      <c r="C389" t="s">
        <v>1274</v>
      </c>
      <c r="D389" t="s">
        <v>1254</v>
      </c>
      <c r="E389" t="s">
        <v>1474</v>
      </c>
      <c r="F389" t="s">
        <v>1435</v>
      </c>
      <c r="G389" t="s">
        <v>565</v>
      </c>
      <c r="H389" t="s">
        <v>566</v>
      </c>
      <c r="I389" s="54">
        <v>46174</v>
      </c>
    </row>
    <row r="390" spans="1:9" x14ac:dyDescent="0.35">
      <c r="A390" t="s">
        <v>639</v>
      </c>
      <c r="B390" t="s">
        <v>640</v>
      </c>
      <c r="C390" t="s">
        <v>1253</v>
      </c>
      <c r="D390" t="s">
        <v>1260</v>
      </c>
      <c r="E390" t="s">
        <v>1455</v>
      </c>
      <c r="F390" t="s">
        <v>1435</v>
      </c>
      <c r="G390" t="s">
        <v>442</v>
      </c>
      <c r="H390" t="s">
        <v>575</v>
      </c>
      <c r="I390" s="54">
        <v>46174</v>
      </c>
    </row>
    <row r="391" spans="1:9" x14ac:dyDescent="0.35">
      <c r="A391" t="s">
        <v>1372</v>
      </c>
      <c r="B391" t="s">
        <v>1373</v>
      </c>
      <c r="C391" t="s">
        <v>1257</v>
      </c>
      <c r="D391" t="s">
        <v>1254</v>
      </c>
      <c r="E391" t="s">
        <v>1474</v>
      </c>
      <c r="F391" t="s">
        <v>1435</v>
      </c>
      <c r="G391" t="s">
        <v>565</v>
      </c>
      <c r="H391" t="s">
        <v>566</v>
      </c>
      <c r="I391" s="54">
        <v>46174</v>
      </c>
    </row>
    <row r="392" spans="1:9" x14ac:dyDescent="0.35">
      <c r="A392" t="s">
        <v>507</v>
      </c>
      <c r="B392" t="s">
        <v>509</v>
      </c>
      <c r="C392" t="s">
        <v>1253</v>
      </c>
      <c r="D392" t="s">
        <v>1273</v>
      </c>
      <c r="E392" t="s">
        <v>1461</v>
      </c>
      <c r="F392" t="s">
        <v>1435</v>
      </c>
      <c r="G392" t="s">
        <v>436</v>
      </c>
      <c r="H392" t="s">
        <v>548</v>
      </c>
      <c r="I392" s="54">
        <v>46174</v>
      </c>
    </row>
    <row r="393" spans="1:9" x14ac:dyDescent="0.35">
      <c r="A393" t="s">
        <v>1364</v>
      </c>
      <c r="B393" t="s">
        <v>1365</v>
      </c>
      <c r="C393" t="s">
        <v>1257</v>
      </c>
      <c r="D393" t="s">
        <v>1266</v>
      </c>
      <c r="E393" t="s">
        <v>1472</v>
      </c>
      <c r="F393" t="s">
        <v>1435</v>
      </c>
      <c r="G393" t="s">
        <v>437</v>
      </c>
      <c r="H393" t="s">
        <v>551</v>
      </c>
      <c r="I393" s="54">
        <v>46174</v>
      </c>
    </row>
    <row r="394" spans="1:9" x14ac:dyDescent="0.35">
      <c r="A394" t="s">
        <v>1366</v>
      </c>
      <c r="B394" t="s">
        <v>1367</v>
      </c>
      <c r="C394" t="s">
        <v>1274</v>
      </c>
      <c r="D394" t="s">
        <v>1263</v>
      </c>
      <c r="E394" t="s">
        <v>1471</v>
      </c>
      <c r="F394" t="s">
        <v>1435</v>
      </c>
      <c r="G394" t="s">
        <v>437</v>
      </c>
      <c r="H394" t="s">
        <v>551</v>
      </c>
      <c r="I394" s="54">
        <v>46174</v>
      </c>
    </row>
    <row r="395" spans="1:9" x14ac:dyDescent="0.35">
      <c r="A395" t="s">
        <v>1390</v>
      </c>
      <c r="B395" t="s">
        <v>1391</v>
      </c>
      <c r="C395" t="s">
        <v>1253</v>
      </c>
      <c r="D395" t="s">
        <v>1263</v>
      </c>
      <c r="E395" t="s">
        <v>1481</v>
      </c>
      <c r="F395" t="s">
        <v>1435</v>
      </c>
      <c r="G395" t="s">
        <v>440</v>
      </c>
      <c r="H395" t="s">
        <v>578</v>
      </c>
      <c r="I395" s="54">
        <v>46174</v>
      </c>
    </row>
    <row r="396" spans="1:9" x14ac:dyDescent="0.35">
      <c r="A396" t="s">
        <v>1328</v>
      </c>
      <c r="B396" t="s">
        <v>1329</v>
      </c>
      <c r="C396" t="s">
        <v>1274</v>
      </c>
      <c r="D396" t="s">
        <v>1260</v>
      </c>
      <c r="E396" t="s">
        <v>1456</v>
      </c>
      <c r="F396" t="s">
        <v>1435</v>
      </c>
      <c r="G396" t="s">
        <v>442</v>
      </c>
      <c r="H396" t="s">
        <v>575</v>
      </c>
      <c r="I396" s="54">
        <v>46174</v>
      </c>
    </row>
    <row r="397" spans="1:9" x14ac:dyDescent="0.35">
      <c r="A397" t="s">
        <v>1322</v>
      </c>
      <c r="B397" t="s">
        <v>1323</v>
      </c>
      <c r="C397" t="s">
        <v>1253</v>
      </c>
      <c r="D397" t="s">
        <v>1254</v>
      </c>
      <c r="E397" t="s">
        <v>1444</v>
      </c>
      <c r="F397" t="s">
        <v>1435</v>
      </c>
      <c r="G397" t="s">
        <v>436</v>
      </c>
      <c r="H397" t="s">
        <v>548</v>
      </c>
      <c r="I397" s="54">
        <v>46174</v>
      </c>
    </row>
    <row r="398" spans="1:9" x14ac:dyDescent="0.35">
      <c r="A398" t="s">
        <v>1290</v>
      </c>
      <c r="B398" t="s">
        <v>1291</v>
      </c>
      <c r="C398" t="s">
        <v>1253</v>
      </c>
      <c r="D398" t="s">
        <v>1254</v>
      </c>
      <c r="E398" t="s">
        <v>1444</v>
      </c>
      <c r="F398" t="s">
        <v>1435</v>
      </c>
      <c r="G398" t="s">
        <v>436</v>
      </c>
      <c r="H398" t="s">
        <v>548</v>
      </c>
      <c r="I398" s="54">
        <v>46174</v>
      </c>
    </row>
    <row r="399" spans="1:9" x14ac:dyDescent="0.35">
      <c r="A399" t="s">
        <v>1364</v>
      </c>
      <c r="B399" t="s">
        <v>1365</v>
      </c>
      <c r="C399" t="s">
        <v>1274</v>
      </c>
      <c r="D399" t="s">
        <v>1266</v>
      </c>
      <c r="E399" t="s">
        <v>1472</v>
      </c>
      <c r="F399" t="s">
        <v>1435</v>
      </c>
      <c r="G399" t="s">
        <v>437</v>
      </c>
      <c r="H399" t="s">
        <v>551</v>
      </c>
      <c r="I399" s="54">
        <v>46174</v>
      </c>
    </row>
    <row r="400" spans="1:9" x14ac:dyDescent="0.35">
      <c r="A400" t="s">
        <v>508</v>
      </c>
      <c r="B400" t="s">
        <v>510</v>
      </c>
      <c r="C400" t="s">
        <v>1253</v>
      </c>
      <c r="D400" t="s">
        <v>1273</v>
      </c>
      <c r="E400" t="s">
        <v>1461</v>
      </c>
      <c r="F400" t="s">
        <v>1435</v>
      </c>
      <c r="G400" t="s">
        <v>436</v>
      </c>
      <c r="H400" t="s">
        <v>548</v>
      </c>
      <c r="I400" s="54">
        <v>46174</v>
      </c>
    </row>
    <row r="401" spans="1:9" x14ac:dyDescent="0.35">
      <c r="A401" t="s">
        <v>1340</v>
      </c>
      <c r="B401" t="s">
        <v>1341</v>
      </c>
      <c r="C401" t="s">
        <v>1253</v>
      </c>
      <c r="D401" t="s">
        <v>1254</v>
      </c>
      <c r="E401" t="s">
        <v>1462</v>
      </c>
      <c r="F401" t="s">
        <v>1435</v>
      </c>
      <c r="G401" t="s">
        <v>442</v>
      </c>
      <c r="H401" t="s">
        <v>575</v>
      </c>
      <c r="I401" s="54">
        <v>46174</v>
      </c>
    </row>
    <row r="402" spans="1:9" x14ac:dyDescent="0.35">
      <c r="A402" t="s">
        <v>1386</v>
      </c>
      <c r="B402" t="s">
        <v>1387</v>
      </c>
      <c r="C402" t="s">
        <v>1253</v>
      </c>
      <c r="D402" t="s">
        <v>1260</v>
      </c>
      <c r="E402" t="s">
        <v>1482</v>
      </c>
      <c r="F402" t="s">
        <v>1435</v>
      </c>
      <c r="G402" t="s">
        <v>440</v>
      </c>
      <c r="H402" t="s">
        <v>578</v>
      </c>
      <c r="I402" s="54">
        <v>46174</v>
      </c>
    </row>
    <row r="403" spans="1:9" x14ac:dyDescent="0.35">
      <c r="A403" t="s">
        <v>70</v>
      </c>
      <c r="B403" t="s">
        <v>71</v>
      </c>
      <c r="C403" t="s">
        <v>1253</v>
      </c>
      <c r="D403" t="s">
        <v>1263</v>
      </c>
      <c r="E403" t="s">
        <v>396</v>
      </c>
      <c r="F403" t="s">
        <v>1435</v>
      </c>
      <c r="G403" t="s">
        <v>438</v>
      </c>
      <c r="H403" t="s">
        <v>554</v>
      </c>
      <c r="I403" s="54">
        <v>46174</v>
      </c>
    </row>
    <row r="404" spans="1:9" x14ac:dyDescent="0.35">
      <c r="A404" t="s">
        <v>673</v>
      </c>
      <c r="B404" t="s">
        <v>674</v>
      </c>
      <c r="C404" t="s">
        <v>1274</v>
      </c>
      <c r="D404" t="s">
        <v>1254</v>
      </c>
      <c r="E404" t="s">
        <v>287</v>
      </c>
      <c r="F404" t="s">
        <v>1435</v>
      </c>
      <c r="G404" t="s">
        <v>442</v>
      </c>
      <c r="H404" t="s">
        <v>575</v>
      </c>
      <c r="I404" s="54">
        <v>46174</v>
      </c>
    </row>
    <row r="405" spans="1:9" x14ac:dyDescent="0.35">
      <c r="A405" t="s">
        <v>673</v>
      </c>
      <c r="B405" t="s">
        <v>674</v>
      </c>
      <c r="C405" t="s">
        <v>1257</v>
      </c>
      <c r="D405" t="s">
        <v>1254</v>
      </c>
      <c r="E405" t="s">
        <v>287</v>
      </c>
      <c r="F405" t="s">
        <v>1435</v>
      </c>
      <c r="G405" t="s">
        <v>442</v>
      </c>
      <c r="H405" t="s">
        <v>575</v>
      </c>
      <c r="I405" s="54">
        <v>46174</v>
      </c>
    </row>
    <row r="406" spans="1:9" x14ac:dyDescent="0.35">
      <c r="A406" t="s">
        <v>22</v>
      </c>
      <c r="B406" t="s">
        <v>24</v>
      </c>
      <c r="C406" t="s">
        <v>1253</v>
      </c>
      <c r="D406" t="s">
        <v>1273</v>
      </c>
      <c r="E406" t="s">
        <v>1487</v>
      </c>
      <c r="F406" t="s">
        <v>1435</v>
      </c>
      <c r="G406" t="s">
        <v>439</v>
      </c>
      <c r="H406" t="s">
        <v>572</v>
      </c>
      <c r="I406" s="54">
        <v>46174</v>
      </c>
    </row>
    <row r="407" spans="1:9" x14ac:dyDescent="0.35">
      <c r="A407" t="s">
        <v>1330</v>
      </c>
      <c r="B407" t="s">
        <v>1331</v>
      </c>
      <c r="C407" t="s">
        <v>1281</v>
      </c>
      <c r="D407" t="s">
        <v>1254</v>
      </c>
      <c r="E407" t="s">
        <v>1457</v>
      </c>
      <c r="F407" t="s">
        <v>1435</v>
      </c>
      <c r="G407" t="s">
        <v>436</v>
      </c>
      <c r="H407" t="s">
        <v>548</v>
      </c>
      <c r="I407" s="54">
        <v>46174</v>
      </c>
    </row>
    <row r="408" spans="1:9" x14ac:dyDescent="0.35">
      <c r="A408" t="s">
        <v>1320</v>
      </c>
      <c r="B408" t="s">
        <v>1321</v>
      </c>
      <c r="C408" t="s">
        <v>1274</v>
      </c>
      <c r="D408" t="s">
        <v>1254</v>
      </c>
      <c r="E408" t="s">
        <v>1454</v>
      </c>
      <c r="F408" t="s">
        <v>1435</v>
      </c>
      <c r="G408" t="s">
        <v>440</v>
      </c>
      <c r="H408" t="s">
        <v>578</v>
      </c>
      <c r="I408" s="54">
        <v>46174</v>
      </c>
    </row>
    <row r="409" spans="1:9" x14ac:dyDescent="0.35">
      <c r="A409" t="s">
        <v>1306</v>
      </c>
      <c r="B409" t="s">
        <v>1307</v>
      </c>
      <c r="C409" t="s">
        <v>1257</v>
      </c>
      <c r="D409" t="s">
        <v>1266</v>
      </c>
      <c r="E409" t="s">
        <v>376</v>
      </c>
      <c r="F409" t="s">
        <v>1435</v>
      </c>
      <c r="G409" t="s">
        <v>565</v>
      </c>
      <c r="H409" t="s">
        <v>566</v>
      </c>
      <c r="I409" s="54">
        <v>46174</v>
      </c>
    </row>
    <row r="410" spans="1:9" x14ac:dyDescent="0.35">
      <c r="A410" t="s">
        <v>1320</v>
      </c>
      <c r="B410" t="s">
        <v>1321</v>
      </c>
      <c r="C410" t="s">
        <v>1257</v>
      </c>
      <c r="D410" t="s">
        <v>1254</v>
      </c>
      <c r="E410" t="s">
        <v>1454</v>
      </c>
      <c r="F410" t="s">
        <v>1435</v>
      </c>
      <c r="G410" t="s">
        <v>440</v>
      </c>
      <c r="H410" t="s">
        <v>578</v>
      </c>
      <c r="I410" s="54">
        <v>46174</v>
      </c>
    </row>
    <row r="411" spans="1:9" x14ac:dyDescent="0.35">
      <c r="A411" t="s">
        <v>1372</v>
      </c>
      <c r="B411" t="s">
        <v>1373</v>
      </c>
      <c r="C411" t="s">
        <v>1274</v>
      </c>
      <c r="D411" t="s">
        <v>1260</v>
      </c>
      <c r="E411" t="s">
        <v>1474</v>
      </c>
      <c r="F411" t="s">
        <v>1435</v>
      </c>
      <c r="G411" t="s">
        <v>565</v>
      </c>
      <c r="H411" t="s">
        <v>566</v>
      </c>
      <c r="I411" s="54">
        <v>46174</v>
      </c>
    </row>
    <row r="412" spans="1:9" x14ac:dyDescent="0.35">
      <c r="A412" t="s">
        <v>414</v>
      </c>
      <c r="B412" t="s">
        <v>419</v>
      </c>
      <c r="C412" t="s">
        <v>1253</v>
      </c>
      <c r="D412" t="s">
        <v>1260</v>
      </c>
      <c r="E412" t="s">
        <v>1484</v>
      </c>
      <c r="F412" t="s">
        <v>1435</v>
      </c>
      <c r="G412" t="s">
        <v>439</v>
      </c>
      <c r="H412" t="s">
        <v>572</v>
      </c>
      <c r="I412" s="54">
        <v>46174</v>
      </c>
    </row>
    <row r="413" spans="1:9" x14ac:dyDescent="0.35">
      <c r="A413" t="s">
        <v>259</v>
      </c>
      <c r="B413" t="s">
        <v>261</v>
      </c>
      <c r="C413" t="s">
        <v>1257</v>
      </c>
      <c r="D413" t="s">
        <v>1263</v>
      </c>
      <c r="E413" t="s">
        <v>260</v>
      </c>
      <c r="F413" t="s">
        <v>1435</v>
      </c>
      <c r="G413" t="s">
        <v>565</v>
      </c>
      <c r="H413" t="s">
        <v>566</v>
      </c>
      <c r="I413" s="54">
        <v>46174</v>
      </c>
    </row>
    <row r="414" spans="1:9" x14ac:dyDescent="0.35">
      <c r="A414" t="s">
        <v>1364</v>
      </c>
      <c r="B414" t="s">
        <v>1365</v>
      </c>
      <c r="C414" t="s">
        <v>1274</v>
      </c>
      <c r="D414" t="s">
        <v>1254</v>
      </c>
      <c r="E414" t="s">
        <v>1472</v>
      </c>
      <c r="F414" t="s">
        <v>1435</v>
      </c>
      <c r="G414" t="s">
        <v>437</v>
      </c>
      <c r="H414" t="s">
        <v>551</v>
      </c>
      <c r="I414" s="54">
        <v>46174</v>
      </c>
    </row>
    <row r="415" spans="1:9" x14ac:dyDescent="0.35">
      <c r="A415" t="s">
        <v>25</v>
      </c>
      <c r="B415" t="s">
        <v>27</v>
      </c>
      <c r="C415" t="s">
        <v>1253</v>
      </c>
      <c r="D415" t="s">
        <v>1273</v>
      </c>
      <c r="E415" t="s">
        <v>26</v>
      </c>
      <c r="F415" t="s">
        <v>1435</v>
      </c>
      <c r="G415" t="s">
        <v>439</v>
      </c>
      <c r="H415" t="s">
        <v>572</v>
      </c>
      <c r="I415" s="54">
        <v>46174</v>
      </c>
    </row>
    <row r="416" spans="1:9" x14ac:dyDescent="0.35">
      <c r="A416" t="s">
        <v>1364</v>
      </c>
      <c r="B416" t="s">
        <v>1365</v>
      </c>
      <c r="C416" t="s">
        <v>1257</v>
      </c>
      <c r="D416" t="s">
        <v>1254</v>
      </c>
      <c r="E416" t="s">
        <v>1472</v>
      </c>
      <c r="F416" t="s">
        <v>1435</v>
      </c>
      <c r="G416" t="s">
        <v>437</v>
      </c>
      <c r="H416" t="s">
        <v>551</v>
      </c>
      <c r="I416" s="54">
        <v>46174</v>
      </c>
    </row>
    <row r="417" spans="1:9" x14ac:dyDescent="0.35">
      <c r="A417" t="s">
        <v>697</v>
      </c>
      <c r="B417" t="s">
        <v>698</v>
      </c>
      <c r="C417" t="s">
        <v>1253</v>
      </c>
      <c r="D417" t="s">
        <v>1260</v>
      </c>
      <c r="E417" t="s">
        <v>695</v>
      </c>
      <c r="F417" t="s">
        <v>1435</v>
      </c>
      <c r="G417" t="s">
        <v>439</v>
      </c>
      <c r="H417" t="s">
        <v>572</v>
      </c>
      <c r="I417" s="54">
        <v>46174</v>
      </c>
    </row>
    <row r="418" spans="1:9" x14ac:dyDescent="0.35">
      <c r="A418" t="s">
        <v>1306</v>
      </c>
      <c r="B418" t="s">
        <v>1307</v>
      </c>
      <c r="C418" t="s">
        <v>1257</v>
      </c>
      <c r="D418" t="s">
        <v>1254</v>
      </c>
      <c r="E418" t="s">
        <v>376</v>
      </c>
      <c r="F418" t="s">
        <v>1435</v>
      </c>
      <c r="G418" t="s">
        <v>565</v>
      </c>
      <c r="H418" t="s">
        <v>566</v>
      </c>
      <c r="I418" s="54">
        <v>46174</v>
      </c>
    </row>
    <row r="419" spans="1:9" x14ac:dyDescent="0.35">
      <c r="A419" t="s">
        <v>673</v>
      </c>
      <c r="B419" t="s">
        <v>674</v>
      </c>
      <c r="C419" t="s">
        <v>1257</v>
      </c>
      <c r="D419" t="s">
        <v>1260</v>
      </c>
      <c r="E419" t="s">
        <v>287</v>
      </c>
      <c r="F419" t="s">
        <v>1435</v>
      </c>
      <c r="G419" t="s">
        <v>442</v>
      </c>
      <c r="H419" t="s">
        <v>575</v>
      </c>
      <c r="I419" s="54">
        <v>46174</v>
      </c>
    </row>
    <row r="420" spans="1:9" x14ac:dyDescent="0.35">
      <c r="A420" t="s">
        <v>1306</v>
      </c>
      <c r="B420" t="s">
        <v>1307</v>
      </c>
      <c r="C420" t="s">
        <v>1274</v>
      </c>
      <c r="D420" t="s">
        <v>1254</v>
      </c>
      <c r="E420" t="s">
        <v>376</v>
      </c>
      <c r="F420" t="s">
        <v>1435</v>
      </c>
      <c r="G420" t="s">
        <v>565</v>
      </c>
      <c r="H420" t="s">
        <v>566</v>
      </c>
      <c r="I420" s="54">
        <v>46174</v>
      </c>
    </row>
    <row r="421" spans="1:9" x14ac:dyDescent="0.35">
      <c r="A421" t="s">
        <v>1286</v>
      </c>
      <c r="B421" t="s">
        <v>1287</v>
      </c>
      <c r="C421" t="s">
        <v>1274</v>
      </c>
      <c r="D421" t="s">
        <v>1254</v>
      </c>
      <c r="E421" t="s">
        <v>1443</v>
      </c>
      <c r="F421" t="s">
        <v>1435</v>
      </c>
      <c r="G421" t="s">
        <v>437</v>
      </c>
      <c r="H421" t="s">
        <v>551</v>
      </c>
      <c r="I421" s="54">
        <v>46174</v>
      </c>
    </row>
    <row r="422" spans="1:9" x14ac:dyDescent="0.35">
      <c r="A422" t="s">
        <v>259</v>
      </c>
      <c r="B422" t="s">
        <v>261</v>
      </c>
      <c r="C422" t="s">
        <v>1274</v>
      </c>
      <c r="D422" t="s">
        <v>1263</v>
      </c>
      <c r="E422" t="s">
        <v>260</v>
      </c>
      <c r="F422" t="s">
        <v>1435</v>
      </c>
      <c r="G422" t="s">
        <v>565</v>
      </c>
      <c r="H422" t="s">
        <v>566</v>
      </c>
      <c r="I422" s="54">
        <v>46174</v>
      </c>
    </row>
    <row r="423" spans="1:9" x14ac:dyDescent="0.35">
      <c r="A423" t="s">
        <v>1286</v>
      </c>
      <c r="B423" t="s">
        <v>1287</v>
      </c>
      <c r="C423" t="s">
        <v>1257</v>
      </c>
      <c r="D423" t="s">
        <v>1254</v>
      </c>
      <c r="E423" t="s">
        <v>1443</v>
      </c>
      <c r="F423" t="s">
        <v>1435</v>
      </c>
      <c r="G423" t="s">
        <v>437</v>
      </c>
      <c r="H423" t="s">
        <v>551</v>
      </c>
      <c r="I423" s="54">
        <v>46174</v>
      </c>
    </row>
    <row r="424" spans="1:9" x14ac:dyDescent="0.35">
      <c r="A424" t="s">
        <v>1388</v>
      </c>
      <c r="B424" t="s">
        <v>1389</v>
      </c>
      <c r="C424" t="s">
        <v>1253</v>
      </c>
      <c r="D424" t="s">
        <v>1260</v>
      </c>
      <c r="E424" t="s">
        <v>1485</v>
      </c>
      <c r="F424" t="s">
        <v>1435</v>
      </c>
      <c r="G424" t="s">
        <v>440</v>
      </c>
      <c r="H424" t="s">
        <v>578</v>
      </c>
      <c r="I424" s="54">
        <v>46174</v>
      </c>
    </row>
    <row r="425" spans="1:9" x14ac:dyDescent="0.35">
      <c r="A425" t="s">
        <v>412</v>
      </c>
      <c r="B425" t="s">
        <v>420</v>
      </c>
      <c r="C425" t="s">
        <v>1274</v>
      </c>
      <c r="D425" t="s">
        <v>1254</v>
      </c>
      <c r="E425" t="s">
        <v>1445</v>
      </c>
      <c r="F425" t="s">
        <v>1435</v>
      </c>
      <c r="G425" t="s">
        <v>437</v>
      </c>
      <c r="H425" t="s">
        <v>551</v>
      </c>
      <c r="I425" s="54">
        <v>46174</v>
      </c>
    </row>
    <row r="426" spans="1:9" x14ac:dyDescent="0.35">
      <c r="A426" t="s">
        <v>1306</v>
      </c>
      <c r="B426" t="s">
        <v>1307</v>
      </c>
      <c r="C426" t="s">
        <v>1274</v>
      </c>
      <c r="D426" t="s">
        <v>1266</v>
      </c>
      <c r="E426" t="s">
        <v>376</v>
      </c>
      <c r="F426" t="s">
        <v>1435</v>
      </c>
      <c r="G426" t="s">
        <v>565</v>
      </c>
      <c r="H426" t="s">
        <v>566</v>
      </c>
      <c r="I426" s="54">
        <v>46174</v>
      </c>
    </row>
    <row r="427" spans="1:9" x14ac:dyDescent="0.35">
      <c r="A427" t="s">
        <v>1302</v>
      </c>
      <c r="B427" t="s">
        <v>1303</v>
      </c>
      <c r="C427" t="s">
        <v>1257</v>
      </c>
      <c r="D427" t="s">
        <v>1266</v>
      </c>
      <c r="E427" t="s">
        <v>1450</v>
      </c>
      <c r="F427" t="s">
        <v>1435</v>
      </c>
      <c r="G427" t="s">
        <v>442</v>
      </c>
      <c r="H427" t="s">
        <v>575</v>
      </c>
      <c r="I427" s="54">
        <v>46174</v>
      </c>
    </row>
    <row r="428" spans="1:9" x14ac:dyDescent="0.35">
      <c r="A428" t="s">
        <v>1302</v>
      </c>
      <c r="B428" t="s">
        <v>1303</v>
      </c>
      <c r="C428" t="s">
        <v>1274</v>
      </c>
      <c r="D428" t="s">
        <v>1254</v>
      </c>
      <c r="E428" t="s">
        <v>1450</v>
      </c>
      <c r="F428" t="s">
        <v>1435</v>
      </c>
      <c r="G428" t="s">
        <v>442</v>
      </c>
      <c r="H428" t="s">
        <v>575</v>
      </c>
      <c r="I428" s="54">
        <v>46174</v>
      </c>
    </row>
    <row r="429" spans="1:9" x14ac:dyDescent="0.35">
      <c r="A429" t="s">
        <v>1302</v>
      </c>
      <c r="B429" t="s">
        <v>1303</v>
      </c>
      <c r="C429" t="s">
        <v>1257</v>
      </c>
      <c r="D429" t="s">
        <v>1254</v>
      </c>
      <c r="E429" t="s">
        <v>1450</v>
      </c>
      <c r="F429" t="s">
        <v>1435</v>
      </c>
      <c r="G429" t="s">
        <v>442</v>
      </c>
      <c r="H429" t="s">
        <v>575</v>
      </c>
      <c r="I429" s="54">
        <v>46174</v>
      </c>
    </row>
    <row r="430" spans="1:9" x14ac:dyDescent="0.35">
      <c r="A430" t="s">
        <v>54</v>
      </c>
      <c r="B430" t="s">
        <v>56</v>
      </c>
      <c r="C430" t="s">
        <v>1257</v>
      </c>
      <c r="D430" t="s">
        <v>1254</v>
      </c>
      <c r="E430" t="s">
        <v>1469</v>
      </c>
      <c r="F430" t="s">
        <v>1435</v>
      </c>
      <c r="G430" t="s">
        <v>565</v>
      </c>
      <c r="H430" t="s">
        <v>566</v>
      </c>
      <c r="I430" s="54">
        <v>46174</v>
      </c>
    </row>
    <row r="431" spans="1:9" x14ac:dyDescent="0.35">
      <c r="A431" t="s">
        <v>671</v>
      </c>
      <c r="B431" t="s">
        <v>672</v>
      </c>
      <c r="C431" t="s">
        <v>1253</v>
      </c>
      <c r="D431" t="s">
        <v>1273</v>
      </c>
      <c r="E431" t="s">
        <v>516</v>
      </c>
      <c r="F431" t="s">
        <v>1435</v>
      </c>
      <c r="G431" t="s">
        <v>436</v>
      </c>
      <c r="H431" t="s">
        <v>548</v>
      </c>
      <c r="I431" s="54">
        <v>46174</v>
      </c>
    </row>
    <row r="432" spans="1:9" x14ac:dyDescent="0.35">
      <c r="A432" t="s">
        <v>1310</v>
      </c>
      <c r="B432" t="s">
        <v>1311</v>
      </c>
      <c r="C432" t="s">
        <v>1257</v>
      </c>
      <c r="D432" t="s">
        <v>1254</v>
      </c>
      <c r="E432" t="s">
        <v>1452</v>
      </c>
      <c r="F432" t="s">
        <v>1435</v>
      </c>
      <c r="G432" t="s">
        <v>442</v>
      </c>
      <c r="H432" t="s">
        <v>575</v>
      </c>
      <c r="I432" s="54">
        <v>46174</v>
      </c>
    </row>
    <row r="433" spans="1:9" x14ac:dyDescent="0.35">
      <c r="A433" t="s">
        <v>1330</v>
      </c>
      <c r="B433" t="s">
        <v>1331</v>
      </c>
      <c r="C433" t="s">
        <v>1281</v>
      </c>
      <c r="D433" t="s">
        <v>1260</v>
      </c>
      <c r="E433" t="s">
        <v>1457</v>
      </c>
      <c r="F433" t="s">
        <v>1435</v>
      </c>
      <c r="G433" t="s">
        <v>436</v>
      </c>
      <c r="H433" t="s">
        <v>548</v>
      </c>
      <c r="I433" s="54">
        <v>46174</v>
      </c>
    </row>
    <row r="434" spans="1:9" x14ac:dyDescent="0.35">
      <c r="A434" t="s">
        <v>1314</v>
      </c>
      <c r="B434" t="s">
        <v>1315</v>
      </c>
      <c r="C434" t="s">
        <v>1257</v>
      </c>
      <c r="D434" t="s">
        <v>1254</v>
      </c>
      <c r="E434" t="s">
        <v>1452</v>
      </c>
      <c r="F434" t="s">
        <v>1435</v>
      </c>
      <c r="G434" t="s">
        <v>442</v>
      </c>
      <c r="H434" t="s">
        <v>575</v>
      </c>
      <c r="I434" s="54">
        <v>46174</v>
      </c>
    </row>
    <row r="435" spans="1:9" x14ac:dyDescent="0.35">
      <c r="A435" t="s">
        <v>1316</v>
      </c>
      <c r="B435" t="s">
        <v>1317</v>
      </c>
      <c r="C435" t="s">
        <v>1274</v>
      </c>
      <c r="D435" t="s">
        <v>1254</v>
      </c>
      <c r="E435" t="s">
        <v>1452</v>
      </c>
      <c r="F435" t="s">
        <v>1435</v>
      </c>
      <c r="G435" t="s">
        <v>442</v>
      </c>
      <c r="H435" t="s">
        <v>575</v>
      </c>
      <c r="I435" s="54">
        <v>46174</v>
      </c>
    </row>
    <row r="436" spans="1:9" x14ac:dyDescent="0.35">
      <c r="A436" t="s">
        <v>1320</v>
      </c>
      <c r="B436" t="s">
        <v>1321</v>
      </c>
      <c r="C436" t="s">
        <v>1274</v>
      </c>
      <c r="D436" t="s">
        <v>1260</v>
      </c>
      <c r="E436" t="s">
        <v>1454</v>
      </c>
      <c r="F436" t="s">
        <v>1435</v>
      </c>
      <c r="G436" t="s">
        <v>440</v>
      </c>
      <c r="H436" t="s">
        <v>578</v>
      </c>
      <c r="I436" s="54">
        <v>46174</v>
      </c>
    </row>
    <row r="437" spans="1:9" x14ac:dyDescent="0.35">
      <c r="A437" t="s">
        <v>1326</v>
      </c>
      <c r="B437" t="s">
        <v>1327</v>
      </c>
      <c r="C437" t="s">
        <v>1257</v>
      </c>
      <c r="D437" t="s">
        <v>1254</v>
      </c>
      <c r="E437" t="s">
        <v>1455</v>
      </c>
      <c r="F437" t="s">
        <v>1435</v>
      </c>
      <c r="G437" t="s">
        <v>442</v>
      </c>
      <c r="H437" t="s">
        <v>575</v>
      </c>
      <c r="I437" s="54">
        <v>46174</v>
      </c>
    </row>
    <row r="438" spans="1:9" x14ac:dyDescent="0.35">
      <c r="A438" t="s">
        <v>1332</v>
      </c>
      <c r="B438" t="s">
        <v>1333</v>
      </c>
      <c r="C438" t="s">
        <v>1257</v>
      </c>
      <c r="D438" t="s">
        <v>1254</v>
      </c>
      <c r="E438" t="s">
        <v>1459</v>
      </c>
      <c r="F438" t="s">
        <v>1435</v>
      </c>
      <c r="G438" t="s">
        <v>601</v>
      </c>
      <c r="H438" t="s">
        <v>602</v>
      </c>
      <c r="I438" s="54">
        <v>46174</v>
      </c>
    </row>
    <row r="439" spans="1:9" x14ac:dyDescent="0.35">
      <c r="A439" t="s">
        <v>1390</v>
      </c>
      <c r="B439" t="s">
        <v>1391</v>
      </c>
      <c r="C439" t="s">
        <v>1253</v>
      </c>
      <c r="D439" t="s">
        <v>1260</v>
      </c>
      <c r="E439" t="s">
        <v>1481</v>
      </c>
      <c r="F439" t="s">
        <v>1435</v>
      </c>
      <c r="G439" t="s">
        <v>440</v>
      </c>
      <c r="H439" t="s">
        <v>578</v>
      </c>
      <c r="I439" s="54">
        <v>46174</v>
      </c>
    </row>
    <row r="440" spans="1:9" x14ac:dyDescent="0.35">
      <c r="A440" t="s">
        <v>1332</v>
      </c>
      <c r="B440" t="s">
        <v>1333</v>
      </c>
      <c r="C440" t="s">
        <v>1274</v>
      </c>
      <c r="D440" t="s">
        <v>1254</v>
      </c>
      <c r="E440" t="s">
        <v>1459</v>
      </c>
      <c r="F440" t="s">
        <v>1435</v>
      </c>
      <c r="G440" t="s">
        <v>601</v>
      </c>
      <c r="H440" t="s">
        <v>602</v>
      </c>
      <c r="I440" s="54">
        <v>46174</v>
      </c>
    </row>
    <row r="441" spans="1:9" x14ac:dyDescent="0.35">
      <c r="A441" t="s">
        <v>1352</v>
      </c>
      <c r="B441" t="s">
        <v>1353</v>
      </c>
      <c r="C441" t="s">
        <v>1257</v>
      </c>
      <c r="D441" t="s">
        <v>1254</v>
      </c>
      <c r="E441" t="s">
        <v>1467</v>
      </c>
      <c r="F441" t="s">
        <v>1435</v>
      </c>
      <c r="G441" t="s">
        <v>437</v>
      </c>
      <c r="H441" t="s">
        <v>551</v>
      </c>
      <c r="I441" s="54">
        <v>46174</v>
      </c>
    </row>
    <row r="442" spans="1:9" x14ac:dyDescent="0.35">
      <c r="A442" t="s">
        <v>259</v>
      </c>
      <c r="B442" t="s">
        <v>261</v>
      </c>
      <c r="C442" t="s">
        <v>1253</v>
      </c>
      <c r="D442" t="s">
        <v>1273</v>
      </c>
      <c r="E442" t="s">
        <v>260</v>
      </c>
      <c r="F442" t="s">
        <v>1435</v>
      </c>
      <c r="G442" t="s">
        <v>565</v>
      </c>
      <c r="H442" t="s">
        <v>566</v>
      </c>
      <c r="I442" s="54">
        <v>46174</v>
      </c>
    </row>
    <row r="443" spans="1:9" x14ac:dyDescent="0.35">
      <c r="A443" t="s">
        <v>1302</v>
      </c>
      <c r="B443" t="s">
        <v>1303</v>
      </c>
      <c r="C443" t="s">
        <v>1274</v>
      </c>
      <c r="D443" t="s">
        <v>1266</v>
      </c>
      <c r="E443" t="s">
        <v>1450</v>
      </c>
      <c r="F443" t="s">
        <v>1435</v>
      </c>
      <c r="G443" t="s">
        <v>442</v>
      </c>
      <c r="H443" t="s">
        <v>575</v>
      </c>
      <c r="I443" s="54">
        <v>46174</v>
      </c>
    </row>
    <row r="444" spans="1:9" x14ac:dyDescent="0.35">
      <c r="A444" t="s">
        <v>1360</v>
      </c>
      <c r="B444" t="s">
        <v>1361</v>
      </c>
      <c r="C444" t="s">
        <v>1257</v>
      </c>
      <c r="D444" t="s">
        <v>1254</v>
      </c>
      <c r="E444" t="s">
        <v>1470</v>
      </c>
      <c r="F444" t="s">
        <v>1435</v>
      </c>
      <c r="G444" t="s">
        <v>593</v>
      </c>
      <c r="H444" t="s">
        <v>594</v>
      </c>
      <c r="I444" s="54">
        <v>46174</v>
      </c>
    </row>
    <row r="445" spans="1:9" x14ac:dyDescent="0.35">
      <c r="A445" t="s">
        <v>1360</v>
      </c>
      <c r="B445" t="s">
        <v>1361</v>
      </c>
      <c r="C445" t="s">
        <v>1274</v>
      </c>
      <c r="D445" t="s">
        <v>1254</v>
      </c>
      <c r="E445" t="s">
        <v>1470</v>
      </c>
      <c r="F445" t="s">
        <v>1435</v>
      </c>
      <c r="G445" t="s">
        <v>593</v>
      </c>
      <c r="H445" t="s">
        <v>594</v>
      </c>
      <c r="I445" s="54">
        <v>46174</v>
      </c>
    </row>
    <row r="446" spans="1:9" x14ac:dyDescent="0.35">
      <c r="A446" t="s">
        <v>1348</v>
      </c>
      <c r="B446" t="s">
        <v>1349</v>
      </c>
      <c r="C446" t="s">
        <v>1274</v>
      </c>
      <c r="D446" t="s">
        <v>1254</v>
      </c>
      <c r="E446" t="s">
        <v>1466</v>
      </c>
      <c r="F446" t="s">
        <v>1435</v>
      </c>
      <c r="G446" t="s">
        <v>437</v>
      </c>
      <c r="H446" t="s">
        <v>551</v>
      </c>
      <c r="I446" s="54">
        <v>46174</v>
      </c>
    </row>
    <row r="447" spans="1:9" x14ac:dyDescent="0.35">
      <c r="A447" t="s">
        <v>54</v>
      </c>
      <c r="B447" t="s">
        <v>56</v>
      </c>
      <c r="C447" t="s">
        <v>1257</v>
      </c>
      <c r="D447" t="s">
        <v>1266</v>
      </c>
      <c r="E447" t="s">
        <v>1469</v>
      </c>
      <c r="F447" t="s">
        <v>1435</v>
      </c>
      <c r="G447" t="s">
        <v>565</v>
      </c>
      <c r="H447" t="s">
        <v>566</v>
      </c>
      <c r="I447" s="54">
        <v>46174</v>
      </c>
    </row>
    <row r="448" spans="1:9" x14ac:dyDescent="0.35">
      <c r="A448" t="s">
        <v>1350</v>
      </c>
      <c r="B448" t="s">
        <v>1351</v>
      </c>
      <c r="C448" t="s">
        <v>1274</v>
      </c>
      <c r="D448" t="s">
        <v>1254</v>
      </c>
      <c r="E448" t="s">
        <v>1466</v>
      </c>
      <c r="F448" t="s">
        <v>1435</v>
      </c>
      <c r="G448" t="s">
        <v>437</v>
      </c>
      <c r="H448" t="s">
        <v>551</v>
      </c>
      <c r="I448" s="54">
        <v>46174</v>
      </c>
    </row>
    <row r="449" spans="1:9" x14ac:dyDescent="0.35">
      <c r="A449" t="s">
        <v>34</v>
      </c>
      <c r="B449" t="s">
        <v>36</v>
      </c>
      <c r="C449" t="s">
        <v>1253</v>
      </c>
      <c r="D449" t="s">
        <v>1273</v>
      </c>
      <c r="E449" t="s">
        <v>35</v>
      </c>
      <c r="F449" t="s">
        <v>1435</v>
      </c>
      <c r="G449" t="s">
        <v>565</v>
      </c>
      <c r="H449" t="s">
        <v>566</v>
      </c>
      <c r="I449" s="54">
        <v>46174</v>
      </c>
    </row>
    <row r="450" spans="1:9" x14ac:dyDescent="0.35">
      <c r="A450" t="s">
        <v>1350</v>
      </c>
      <c r="B450" t="s">
        <v>1351</v>
      </c>
      <c r="C450" t="s">
        <v>1257</v>
      </c>
      <c r="D450" t="s">
        <v>1254</v>
      </c>
      <c r="E450" t="s">
        <v>1466</v>
      </c>
      <c r="F450" t="s">
        <v>1435</v>
      </c>
      <c r="G450" t="s">
        <v>437</v>
      </c>
      <c r="H450" t="s">
        <v>551</v>
      </c>
      <c r="I450" s="54">
        <v>46174</v>
      </c>
    </row>
    <row r="451" spans="1:9" x14ac:dyDescent="0.35">
      <c r="A451" t="s">
        <v>1258</v>
      </c>
      <c r="B451" t="s">
        <v>1259</v>
      </c>
      <c r="C451" t="s">
        <v>1274</v>
      </c>
      <c r="D451" t="s">
        <v>1263</v>
      </c>
      <c r="E451" t="s">
        <v>1437</v>
      </c>
      <c r="F451" t="s">
        <v>1435</v>
      </c>
      <c r="G451" t="s">
        <v>437</v>
      </c>
      <c r="H451" t="s">
        <v>551</v>
      </c>
      <c r="I451" s="54">
        <v>46174</v>
      </c>
    </row>
    <row r="452" spans="1:9" x14ac:dyDescent="0.35">
      <c r="A452" t="s">
        <v>1358</v>
      </c>
      <c r="B452" t="s">
        <v>1359</v>
      </c>
      <c r="C452" t="s">
        <v>1257</v>
      </c>
      <c r="D452" t="s">
        <v>1254</v>
      </c>
      <c r="E452" t="s">
        <v>1468</v>
      </c>
      <c r="F452" t="s">
        <v>1435</v>
      </c>
      <c r="G452" t="s">
        <v>437</v>
      </c>
      <c r="H452" t="s">
        <v>551</v>
      </c>
      <c r="I452" s="54">
        <v>46174</v>
      </c>
    </row>
    <row r="453" spans="1:9" x14ac:dyDescent="0.35">
      <c r="A453" t="s">
        <v>1358</v>
      </c>
      <c r="B453" t="s">
        <v>1359</v>
      </c>
      <c r="C453" t="s">
        <v>1274</v>
      </c>
      <c r="D453" t="s">
        <v>1254</v>
      </c>
      <c r="E453" t="s">
        <v>1468</v>
      </c>
      <c r="F453" t="s">
        <v>1435</v>
      </c>
      <c r="G453" t="s">
        <v>437</v>
      </c>
      <c r="H453" t="s">
        <v>551</v>
      </c>
      <c r="I453" s="54">
        <v>46174</v>
      </c>
    </row>
    <row r="454" spans="1:9" x14ac:dyDescent="0.35">
      <c r="A454" t="s">
        <v>1275</v>
      </c>
      <c r="B454" t="s">
        <v>1276</v>
      </c>
      <c r="C454" t="s">
        <v>1274</v>
      </c>
      <c r="D454" t="s">
        <v>1263</v>
      </c>
      <c r="E454" t="s">
        <v>1437</v>
      </c>
      <c r="F454" t="s">
        <v>1435</v>
      </c>
      <c r="G454" t="s">
        <v>437</v>
      </c>
      <c r="H454" t="s">
        <v>551</v>
      </c>
      <c r="I454" s="54">
        <v>46174</v>
      </c>
    </row>
    <row r="455" spans="1:9" x14ac:dyDescent="0.35">
      <c r="A455" t="s">
        <v>1358</v>
      </c>
      <c r="B455" t="s">
        <v>1359</v>
      </c>
      <c r="C455" t="s">
        <v>1281</v>
      </c>
      <c r="D455" t="s">
        <v>1254</v>
      </c>
      <c r="E455" t="s">
        <v>1468</v>
      </c>
      <c r="F455" t="s">
        <v>1435</v>
      </c>
      <c r="G455" t="s">
        <v>437</v>
      </c>
      <c r="H455" t="s">
        <v>551</v>
      </c>
      <c r="I455" s="54">
        <v>46174</v>
      </c>
    </row>
    <row r="456" spans="1:9" x14ac:dyDescent="0.35">
      <c r="A456" t="s">
        <v>1356</v>
      </c>
      <c r="B456" t="s">
        <v>1357</v>
      </c>
      <c r="C456" t="s">
        <v>1281</v>
      </c>
      <c r="D456" t="s">
        <v>1254</v>
      </c>
      <c r="E456" t="s">
        <v>1468</v>
      </c>
      <c r="F456" t="s">
        <v>1435</v>
      </c>
      <c r="G456" t="s">
        <v>437</v>
      </c>
      <c r="H456" t="s">
        <v>551</v>
      </c>
      <c r="I456" s="54">
        <v>46174</v>
      </c>
    </row>
    <row r="457" spans="1:9" x14ac:dyDescent="0.35">
      <c r="A457" t="s">
        <v>37</v>
      </c>
      <c r="B457" t="s">
        <v>39</v>
      </c>
      <c r="C457" t="s">
        <v>1253</v>
      </c>
      <c r="D457" t="s">
        <v>1273</v>
      </c>
      <c r="E457" t="s">
        <v>1464</v>
      </c>
      <c r="F457" t="s">
        <v>1435</v>
      </c>
      <c r="G457" t="s">
        <v>561</v>
      </c>
      <c r="H457" t="s">
        <v>562</v>
      </c>
      <c r="I457" s="54">
        <v>46174</v>
      </c>
    </row>
    <row r="458" spans="1:9" x14ac:dyDescent="0.35">
      <c r="A458" t="s">
        <v>1356</v>
      </c>
      <c r="B458" t="s">
        <v>1357</v>
      </c>
      <c r="C458" t="s">
        <v>1274</v>
      </c>
      <c r="D458" t="s">
        <v>1254</v>
      </c>
      <c r="E458" t="s">
        <v>1468</v>
      </c>
      <c r="F458" t="s">
        <v>1435</v>
      </c>
      <c r="G458" t="s">
        <v>437</v>
      </c>
      <c r="H458" t="s">
        <v>551</v>
      </c>
      <c r="I458" s="54">
        <v>46174</v>
      </c>
    </row>
    <row r="459" spans="1:9" x14ac:dyDescent="0.35">
      <c r="A459" t="s">
        <v>1356</v>
      </c>
      <c r="B459" t="s">
        <v>1357</v>
      </c>
      <c r="C459" t="s">
        <v>1257</v>
      </c>
      <c r="D459" t="s">
        <v>1254</v>
      </c>
      <c r="E459" t="s">
        <v>1468</v>
      </c>
      <c r="F459" t="s">
        <v>1435</v>
      </c>
      <c r="G459" t="s">
        <v>437</v>
      </c>
      <c r="H459" t="s">
        <v>551</v>
      </c>
      <c r="I459" s="54">
        <v>46174</v>
      </c>
    </row>
    <row r="460" spans="1:9" x14ac:dyDescent="0.35">
      <c r="A460" t="s">
        <v>5</v>
      </c>
      <c r="B460" t="s">
        <v>7</v>
      </c>
      <c r="C460" t="s">
        <v>1281</v>
      </c>
      <c r="D460" t="s">
        <v>1254</v>
      </c>
      <c r="E460" t="s">
        <v>6</v>
      </c>
      <c r="F460" t="s">
        <v>1435</v>
      </c>
      <c r="G460" t="s">
        <v>439</v>
      </c>
      <c r="H460" t="s">
        <v>572</v>
      </c>
      <c r="I460" s="54">
        <v>46174</v>
      </c>
    </row>
    <row r="461" spans="1:9" x14ac:dyDescent="0.35">
      <c r="A461" t="s">
        <v>1360</v>
      </c>
      <c r="B461" t="s">
        <v>1361</v>
      </c>
      <c r="C461" t="s">
        <v>1257</v>
      </c>
      <c r="D461" t="s">
        <v>1266</v>
      </c>
      <c r="E461" t="s">
        <v>1470</v>
      </c>
      <c r="F461" t="s">
        <v>1435</v>
      </c>
      <c r="G461" t="s">
        <v>593</v>
      </c>
      <c r="H461" t="s">
        <v>594</v>
      </c>
      <c r="I461" s="54">
        <v>46174</v>
      </c>
    </row>
    <row r="462" spans="1:9" x14ac:dyDescent="0.35">
      <c r="A462" t="s">
        <v>5</v>
      </c>
      <c r="B462" t="s">
        <v>7</v>
      </c>
      <c r="C462" t="s">
        <v>1274</v>
      </c>
      <c r="D462" t="s">
        <v>1254</v>
      </c>
      <c r="E462" t="s">
        <v>6</v>
      </c>
      <c r="F462" t="s">
        <v>1435</v>
      </c>
      <c r="G462" t="s">
        <v>439</v>
      </c>
      <c r="H462" t="s">
        <v>572</v>
      </c>
      <c r="I462" s="54">
        <v>46174</v>
      </c>
    </row>
    <row r="463" spans="1:9" x14ac:dyDescent="0.35">
      <c r="A463" t="s">
        <v>1344</v>
      </c>
      <c r="B463" t="s">
        <v>1345</v>
      </c>
      <c r="C463" t="s">
        <v>1253</v>
      </c>
      <c r="D463" t="s">
        <v>1273</v>
      </c>
      <c r="E463" t="s">
        <v>1465</v>
      </c>
      <c r="F463" t="s">
        <v>1435</v>
      </c>
      <c r="G463" t="s">
        <v>440</v>
      </c>
      <c r="H463" t="s">
        <v>578</v>
      </c>
      <c r="I463" s="54">
        <v>46174</v>
      </c>
    </row>
    <row r="464" spans="1:9" x14ac:dyDescent="0.35">
      <c r="A464" t="s">
        <v>5</v>
      </c>
      <c r="B464" t="s">
        <v>7</v>
      </c>
      <c r="C464" t="s">
        <v>1257</v>
      </c>
      <c r="D464" t="s">
        <v>1254</v>
      </c>
      <c r="E464" t="s">
        <v>6</v>
      </c>
      <c r="F464" t="s">
        <v>1435</v>
      </c>
      <c r="G464" t="s">
        <v>439</v>
      </c>
      <c r="H464" t="s">
        <v>572</v>
      </c>
      <c r="I464" s="54">
        <v>46174</v>
      </c>
    </row>
    <row r="465" spans="1:9" x14ac:dyDescent="0.35">
      <c r="A465" t="s">
        <v>1334</v>
      </c>
      <c r="B465" t="s">
        <v>1335</v>
      </c>
      <c r="C465" t="s">
        <v>1274</v>
      </c>
      <c r="D465" t="s">
        <v>1254</v>
      </c>
      <c r="E465" t="s">
        <v>1460</v>
      </c>
      <c r="F465" t="s">
        <v>1435</v>
      </c>
      <c r="G465" t="s">
        <v>565</v>
      </c>
      <c r="H465" t="s">
        <v>566</v>
      </c>
      <c r="I465" s="54">
        <v>46174</v>
      </c>
    </row>
    <row r="466" spans="1:9" x14ac:dyDescent="0.35">
      <c r="A466" t="s">
        <v>15</v>
      </c>
      <c r="B466" t="s">
        <v>16</v>
      </c>
      <c r="C466" t="s">
        <v>1281</v>
      </c>
      <c r="D466" t="s">
        <v>1254</v>
      </c>
      <c r="E466" t="s">
        <v>1460</v>
      </c>
      <c r="F466" t="s">
        <v>1435</v>
      </c>
      <c r="G466" t="s">
        <v>565</v>
      </c>
      <c r="H466" t="s">
        <v>566</v>
      </c>
      <c r="I466" s="54">
        <v>46174</v>
      </c>
    </row>
    <row r="467" spans="1:9" x14ac:dyDescent="0.35">
      <c r="A467" t="s">
        <v>1360</v>
      </c>
      <c r="B467" t="s">
        <v>1361</v>
      </c>
      <c r="C467" t="s">
        <v>1274</v>
      </c>
      <c r="D467" t="s">
        <v>1266</v>
      </c>
      <c r="E467" t="s">
        <v>1470</v>
      </c>
      <c r="F467" t="s">
        <v>1435</v>
      </c>
      <c r="G467" t="s">
        <v>593</v>
      </c>
      <c r="H467" t="s">
        <v>594</v>
      </c>
      <c r="I467" s="54">
        <v>46174</v>
      </c>
    </row>
    <row r="468" spans="1:9" x14ac:dyDescent="0.35">
      <c r="A468" t="s">
        <v>15</v>
      </c>
      <c r="B468" t="s">
        <v>16</v>
      </c>
      <c r="C468" t="s">
        <v>1274</v>
      </c>
      <c r="D468" t="s">
        <v>1254</v>
      </c>
      <c r="E468" t="s">
        <v>1460</v>
      </c>
      <c r="F468" t="s">
        <v>1435</v>
      </c>
      <c r="G468" t="s">
        <v>565</v>
      </c>
      <c r="H468" t="s">
        <v>566</v>
      </c>
      <c r="I468" s="54">
        <v>46174</v>
      </c>
    </row>
    <row r="469" spans="1:9" x14ac:dyDescent="0.35">
      <c r="A469" t="s">
        <v>1300</v>
      </c>
      <c r="B469" t="s">
        <v>1301</v>
      </c>
      <c r="C469" t="s">
        <v>1257</v>
      </c>
      <c r="D469" t="s">
        <v>1254</v>
      </c>
      <c r="E469" t="s">
        <v>1449</v>
      </c>
      <c r="F469" t="s">
        <v>1435</v>
      </c>
      <c r="G469" t="s">
        <v>442</v>
      </c>
      <c r="H469" t="s">
        <v>575</v>
      </c>
      <c r="I469" s="54">
        <v>46174</v>
      </c>
    </row>
    <row r="470" spans="1:9" x14ac:dyDescent="0.35">
      <c r="A470" t="s">
        <v>1306</v>
      </c>
      <c r="B470" t="s">
        <v>1307</v>
      </c>
      <c r="C470" t="s">
        <v>1274</v>
      </c>
      <c r="D470" t="s">
        <v>1260</v>
      </c>
      <c r="E470" t="s">
        <v>376</v>
      </c>
      <c r="F470" t="s">
        <v>1435</v>
      </c>
      <c r="G470" t="s">
        <v>565</v>
      </c>
      <c r="H470" t="s">
        <v>566</v>
      </c>
      <c r="I470" s="54">
        <v>46174</v>
      </c>
    </row>
    <row r="471" spans="1:9" x14ac:dyDescent="0.35">
      <c r="A471" t="s">
        <v>1304</v>
      </c>
      <c r="B471" t="s">
        <v>1305</v>
      </c>
      <c r="C471" t="s">
        <v>1274</v>
      </c>
      <c r="D471" t="s">
        <v>1254</v>
      </c>
      <c r="E471" t="s">
        <v>1449</v>
      </c>
      <c r="F471" t="s">
        <v>1435</v>
      </c>
      <c r="G471" t="s">
        <v>442</v>
      </c>
      <c r="H471" t="s">
        <v>575</v>
      </c>
      <c r="I471" s="54">
        <v>46174</v>
      </c>
    </row>
    <row r="472" spans="1:9" x14ac:dyDescent="0.35">
      <c r="A472" t="s">
        <v>1275</v>
      </c>
      <c r="B472" t="s">
        <v>1276</v>
      </c>
      <c r="C472" t="s">
        <v>1257</v>
      </c>
      <c r="D472" t="s">
        <v>1263</v>
      </c>
      <c r="E472" t="s">
        <v>1437</v>
      </c>
      <c r="F472" t="s">
        <v>1435</v>
      </c>
      <c r="G472" t="s">
        <v>437</v>
      </c>
      <c r="H472" t="s">
        <v>551</v>
      </c>
      <c r="I472" s="54">
        <v>46174</v>
      </c>
    </row>
    <row r="473" spans="1:9" x14ac:dyDescent="0.35">
      <c r="A473" t="s">
        <v>1271</v>
      </c>
      <c r="B473" t="s">
        <v>1272</v>
      </c>
      <c r="C473" t="s">
        <v>1274</v>
      </c>
      <c r="D473" t="s">
        <v>1263</v>
      </c>
      <c r="E473" t="s">
        <v>1437</v>
      </c>
      <c r="F473" t="s">
        <v>1435</v>
      </c>
      <c r="G473" t="s">
        <v>437</v>
      </c>
      <c r="H473" t="s">
        <v>551</v>
      </c>
      <c r="I473" s="54">
        <v>46174</v>
      </c>
    </row>
    <row r="474" spans="1:9" x14ac:dyDescent="0.35">
      <c r="A474" t="s">
        <v>9</v>
      </c>
      <c r="B474" t="s">
        <v>11</v>
      </c>
      <c r="C474" t="s">
        <v>1281</v>
      </c>
      <c r="D474" t="s">
        <v>1254</v>
      </c>
      <c r="E474" t="s">
        <v>1458</v>
      </c>
      <c r="F474" t="s">
        <v>1435</v>
      </c>
      <c r="G474" t="s">
        <v>439</v>
      </c>
      <c r="H474" t="s">
        <v>572</v>
      </c>
      <c r="I474" s="54">
        <v>46174</v>
      </c>
    </row>
    <row r="475" spans="1:9" x14ac:dyDescent="0.35">
      <c r="A475" t="s">
        <v>9</v>
      </c>
      <c r="B475" t="s">
        <v>11</v>
      </c>
      <c r="C475" t="s">
        <v>1257</v>
      </c>
      <c r="D475" t="s">
        <v>1254</v>
      </c>
      <c r="E475" t="s">
        <v>1458</v>
      </c>
      <c r="F475" t="s">
        <v>1435</v>
      </c>
      <c r="G475" t="s">
        <v>439</v>
      </c>
      <c r="H475" t="s">
        <v>572</v>
      </c>
      <c r="I475" s="54">
        <v>46174</v>
      </c>
    </row>
    <row r="476" spans="1:9" x14ac:dyDescent="0.35">
      <c r="A476" t="s">
        <v>1306</v>
      </c>
      <c r="B476" t="s">
        <v>1307</v>
      </c>
      <c r="C476" t="s">
        <v>1257</v>
      </c>
      <c r="D476" t="s">
        <v>1260</v>
      </c>
      <c r="E476" t="s">
        <v>376</v>
      </c>
      <c r="F476" t="s">
        <v>1435</v>
      </c>
      <c r="G476" t="s">
        <v>565</v>
      </c>
      <c r="H476" t="s">
        <v>566</v>
      </c>
      <c r="I476" s="54">
        <v>46174</v>
      </c>
    </row>
    <row r="477" spans="1:9" x14ac:dyDescent="0.35">
      <c r="A477" t="s">
        <v>9</v>
      </c>
      <c r="B477" t="s">
        <v>11</v>
      </c>
      <c r="C477" t="s">
        <v>1274</v>
      </c>
      <c r="D477" t="s">
        <v>1254</v>
      </c>
      <c r="E477" t="s">
        <v>1458</v>
      </c>
      <c r="F477" t="s">
        <v>1435</v>
      </c>
      <c r="G477" t="s">
        <v>439</v>
      </c>
      <c r="H477" t="s">
        <v>572</v>
      </c>
      <c r="I477" s="54">
        <v>46174</v>
      </c>
    </row>
    <row r="478" spans="1:9" x14ac:dyDescent="0.35">
      <c r="A478" t="s">
        <v>1346</v>
      </c>
      <c r="B478" t="s">
        <v>1347</v>
      </c>
      <c r="C478" t="s">
        <v>1253</v>
      </c>
      <c r="D478" t="s">
        <v>1273</v>
      </c>
      <c r="E478" t="s">
        <v>1437</v>
      </c>
      <c r="F478" t="s">
        <v>1435</v>
      </c>
      <c r="G478" t="s">
        <v>437</v>
      </c>
      <c r="H478" t="s">
        <v>551</v>
      </c>
      <c r="I478" s="54">
        <v>46174</v>
      </c>
    </row>
    <row r="479" spans="1:9" x14ac:dyDescent="0.35">
      <c r="A479" t="s">
        <v>1342</v>
      </c>
      <c r="B479" t="s">
        <v>1343</v>
      </c>
      <c r="C479" t="s">
        <v>1257</v>
      </c>
      <c r="D479" t="s">
        <v>1254</v>
      </c>
      <c r="E479" t="s">
        <v>1463</v>
      </c>
      <c r="F479" t="s">
        <v>1435</v>
      </c>
      <c r="G479" t="s">
        <v>442</v>
      </c>
      <c r="H479" t="s">
        <v>575</v>
      </c>
      <c r="I479" s="54">
        <v>46174</v>
      </c>
    </row>
    <row r="480" spans="1:9" x14ac:dyDescent="0.35">
      <c r="A480" t="s">
        <v>1348</v>
      </c>
      <c r="B480" t="s">
        <v>1349</v>
      </c>
      <c r="C480" t="s">
        <v>1274</v>
      </c>
      <c r="D480" t="s">
        <v>1266</v>
      </c>
      <c r="E480" t="s">
        <v>1466</v>
      </c>
      <c r="F480" t="s">
        <v>1435</v>
      </c>
      <c r="G480" t="s">
        <v>437</v>
      </c>
      <c r="H480" t="s">
        <v>551</v>
      </c>
      <c r="I480" s="54">
        <v>46174</v>
      </c>
    </row>
    <row r="481" spans="1:9" x14ac:dyDescent="0.35">
      <c r="A481" t="s">
        <v>1336</v>
      </c>
      <c r="B481" t="s">
        <v>1337</v>
      </c>
      <c r="C481" t="s">
        <v>1257</v>
      </c>
      <c r="D481" t="s">
        <v>1254</v>
      </c>
      <c r="E481" t="s">
        <v>1461</v>
      </c>
      <c r="F481" t="s">
        <v>1435</v>
      </c>
      <c r="G481" t="s">
        <v>436</v>
      </c>
      <c r="H481" t="s">
        <v>548</v>
      </c>
      <c r="I481" s="54">
        <v>46174</v>
      </c>
    </row>
    <row r="482" spans="1:9" x14ac:dyDescent="0.35">
      <c r="A482" t="s">
        <v>1336</v>
      </c>
      <c r="B482" t="s">
        <v>1337</v>
      </c>
      <c r="C482" t="s">
        <v>1274</v>
      </c>
      <c r="D482" t="s">
        <v>1254</v>
      </c>
      <c r="E482" t="s">
        <v>1461</v>
      </c>
      <c r="F482" t="s">
        <v>1435</v>
      </c>
      <c r="G482" t="s">
        <v>436</v>
      </c>
      <c r="H482" t="s">
        <v>548</v>
      </c>
      <c r="I482" s="54">
        <v>46174</v>
      </c>
    </row>
    <row r="483" spans="1:9" x14ac:dyDescent="0.35">
      <c r="A483" t="s">
        <v>507</v>
      </c>
      <c r="B483" t="s">
        <v>509</v>
      </c>
      <c r="C483" t="s">
        <v>1274</v>
      </c>
      <c r="D483" t="s">
        <v>1254</v>
      </c>
      <c r="E483" t="s">
        <v>1461</v>
      </c>
      <c r="F483" t="s">
        <v>1435</v>
      </c>
      <c r="G483" t="s">
        <v>436</v>
      </c>
      <c r="H483" t="s">
        <v>548</v>
      </c>
      <c r="I483" s="54">
        <v>46174</v>
      </c>
    </row>
    <row r="484" spans="1:9" x14ac:dyDescent="0.35">
      <c r="A484" t="s">
        <v>507</v>
      </c>
      <c r="B484" t="s">
        <v>509</v>
      </c>
      <c r="C484" t="s">
        <v>1257</v>
      </c>
      <c r="D484" t="s">
        <v>1254</v>
      </c>
      <c r="E484" t="s">
        <v>1461</v>
      </c>
      <c r="F484" t="s">
        <v>1435</v>
      </c>
      <c r="G484" t="s">
        <v>436</v>
      </c>
      <c r="H484" t="s">
        <v>548</v>
      </c>
      <c r="I484" s="54">
        <v>46174</v>
      </c>
    </row>
    <row r="485" spans="1:9" x14ac:dyDescent="0.35">
      <c r="A485" t="s">
        <v>1350</v>
      </c>
      <c r="B485" t="s">
        <v>1351</v>
      </c>
      <c r="C485" t="s">
        <v>1257</v>
      </c>
      <c r="D485" t="s">
        <v>1266</v>
      </c>
      <c r="E485" t="s">
        <v>1466</v>
      </c>
      <c r="F485" t="s">
        <v>1435</v>
      </c>
      <c r="G485" t="s">
        <v>437</v>
      </c>
      <c r="H485" t="s">
        <v>551</v>
      </c>
      <c r="I485" s="54">
        <v>46174</v>
      </c>
    </row>
    <row r="486" spans="1:9" x14ac:dyDescent="0.35">
      <c r="A486" t="s">
        <v>1362</v>
      </c>
      <c r="B486" t="s">
        <v>1363</v>
      </c>
      <c r="C486" t="s">
        <v>1274</v>
      </c>
      <c r="D486" t="s">
        <v>1254</v>
      </c>
      <c r="E486" t="s">
        <v>1471</v>
      </c>
      <c r="F486" t="s">
        <v>1435</v>
      </c>
      <c r="G486" t="s">
        <v>437</v>
      </c>
      <c r="H486" t="s">
        <v>551</v>
      </c>
      <c r="I486" s="54">
        <v>46174</v>
      </c>
    </row>
    <row r="487" spans="1:9" x14ac:dyDescent="0.35">
      <c r="A487" t="s">
        <v>1338</v>
      </c>
      <c r="B487" t="s">
        <v>1339</v>
      </c>
      <c r="C487" t="s">
        <v>1257</v>
      </c>
      <c r="D487" t="s">
        <v>1254</v>
      </c>
      <c r="E487" t="s">
        <v>1461</v>
      </c>
      <c r="F487" t="s">
        <v>1435</v>
      </c>
      <c r="G487" t="s">
        <v>436</v>
      </c>
      <c r="H487" t="s">
        <v>548</v>
      </c>
      <c r="I487" s="54">
        <v>46174</v>
      </c>
    </row>
    <row r="488" spans="1:9" x14ac:dyDescent="0.35">
      <c r="A488" t="s">
        <v>1271</v>
      </c>
      <c r="B488" t="s">
        <v>1272</v>
      </c>
      <c r="C488" t="s">
        <v>1257</v>
      </c>
      <c r="D488" t="s">
        <v>1263</v>
      </c>
      <c r="E488" t="s">
        <v>1437</v>
      </c>
      <c r="F488" t="s">
        <v>1435</v>
      </c>
      <c r="G488" t="s">
        <v>437</v>
      </c>
      <c r="H488" t="s">
        <v>551</v>
      </c>
      <c r="I488" s="54">
        <v>46174</v>
      </c>
    </row>
    <row r="489" spans="1:9" x14ac:dyDescent="0.35">
      <c r="A489" t="s">
        <v>1338</v>
      </c>
      <c r="B489" t="s">
        <v>1339</v>
      </c>
      <c r="C489" t="s">
        <v>1274</v>
      </c>
      <c r="D489" t="s">
        <v>1254</v>
      </c>
      <c r="E489" t="s">
        <v>1461</v>
      </c>
      <c r="F489" t="s">
        <v>1435</v>
      </c>
      <c r="G489" t="s">
        <v>436</v>
      </c>
      <c r="H489" t="s">
        <v>548</v>
      </c>
      <c r="I489" s="54">
        <v>46174</v>
      </c>
    </row>
    <row r="490" spans="1:9" x14ac:dyDescent="0.35">
      <c r="A490" t="s">
        <v>253</v>
      </c>
      <c r="B490" t="s">
        <v>255</v>
      </c>
      <c r="C490" t="s">
        <v>1274</v>
      </c>
      <c r="D490" t="s">
        <v>1254</v>
      </c>
      <c r="E490" t="s">
        <v>1461</v>
      </c>
      <c r="F490" t="s">
        <v>1435</v>
      </c>
      <c r="G490" t="s">
        <v>436</v>
      </c>
      <c r="H490" t="s">
        <v>548</v>
      </c>
      <c r="I490" s="54">
        <v>46174</v>
      </c>
    </row>
    <row r="491" spans="1:9" x14ac:dyDescent="0.35">
      <c r="A491" t="s">
        <v>1286</v>
      </c>
      <c r="B491" t="s">
        <v>1287</v>
      </c>
      <c r="C491" t="s">
        <v>1274</v>
      </c>
      <c r="D491" t="s">
        <v>1260</v>
      </c>
      <c r="E491" t="s">
        <v>1443</v>
      </c>
      <c r="F491" t="s">
        <v>1435</v>
      </c>
      <c r="G491" t="s">
        <v>437</v>
      </c>
      <c r="H491" t="s">
        <v>551</v>
      </c>
      <c r="I491" s="54">
        <v>46174</v>
      </c>
    </row>
    <row r="492" spans="1:9" x14ac:dyDescent="0.35">
      <c r="A492" t="s">
        <v>253</v>
      </c>
      <c r="B492" t="s">
        <v>255</v>
      </c>
      <c r="C492" t="s">
        <v>1257</v>
      </c>
      <c r="D492" t="s">
        <v>1254</v>
      </c>
      <c r="E492" t="s">
        <v>1461</v>
      </c>
      <c r="F492" t="s">
        <v>1435</v>
      </c>
      <c r="G492" t="s">
        <v>436</v>
      </c>
      <c r="H492" t="s">
        <v>548</v>
      </c>
      <c r="I492" s="54">
        <v>46174</v>
      </c>
    </row>
    <row r="493" spans="1:9" x14ac:dyDescent="0.35">
      <c r="A493" t="s">
        <v>508</v>
      </c>
      <c r="B493" t="s">
        <v>510</v>
      </c>
      <c r="C493" t="s">
        <v>1257</v>
      </c>
      <c r="D493" t="s">
        <v>1254</v>
      </c>
      <c r="E493" t="s">
        <v>1461</v>
      </c>
      <c r="F493" t="s">
        <v>1435</v>
      </c>
      <c r="G493" t="s">
        <v>436</v>
      </c>
      <c r="H493" t="s">
        <v>548</v>
      </c>
      <c r="I493" s="54">
        <v>46174</v>
      </c>
    </row>
    <row r="494" spans="1:9" x14ac:dyDescent="0.35">
      <c r="A494" t="s">
        <v>1261</v>
      </c>
      <c r="B494" t="s">
        <v>1262</v>
      </c>
      <c r="C494" t="s">
        <v>1274</v>
      </c>
      <c r="D494" t="s">
        <v>1263</v>
      </c>
      <c r="E494" t="s">
        <v>1438</v>
      </c>
      <c r="F494" t="s">
        <v>1435</v>
      </c>
      <c r="G494" t="s">
        <v>565</v>
      </c>
      <c r="H494" t="s">
        <v>566</v>
      </c>
      <c r="I494" s="54">
        <v>46174</v>
      </c>
    </row>
    <row r="495" spans="1:9" x14ac:dyDescent="0.35">
      <c r="A495" t="s">
        <v>508</v>
      </c>
      <c r="B495" t="s">
        <v>510</v>
      </c>
      <c r="C495" t="s">
        <v>1274</v>
      </c>
      <c r="D495" t="s">
        <v>1254</v>
      </c>
      <c r="E495" t="s">
        <v>1461</v>
      </c>
      <c r="F495" t="s">
        <v>1435</v>
      </c>
      <c r="G495" t="s">
        <v>436</v>
      </c>
      <c r="H495" t="s">
        <v>548</v>
      </c>
      <c r="I495" s="54">
        <v>46174</v>
      </c>
    </row>
    <row r="496" spans="1:9" x14ac:dyDescent="0.35">
      <c r="A496" t="s">
        <v>1318</v>
      </c>
      <c r="B496" t="s">
        <v>1319</v>
      </c>
      <c r="C496" t="s">
        <v>1257</v>
      </c>
      <c r="D496" t="s">
        <v>1254</v>
      </c>
      <c r="E496" t="s">
        <v>1453</v>
      </c>
      <c r="F496" t="s">
        <v>1435</v>
      </c>
      <c r="G496" t="s">
        <v>442</v>
      </c>
      <c r="H496" t="s">
        <v>575</v>
      </c>
      <c r="I496" s="54">
        <v>46174</v>
      </c>
    </row>
    <row r="497" spans="1:9" x14ac:dyDescent="0.35">
      <c r="A497" t="s">
        <v>1356</v>
      </c>
      <c r="B497" t="s">
        <v>1357</v>
      </c>
      <c r="C497" t="s">
        <v>1253</v>
      </c>
      <c r="D497" t="s">
        <v>1273</v>
      </c>
      <c r="E497" t="s">
        <v>1468</v>
      </c>
      <c r="F497" t="s">
        <v>1435</v>
      </c>
      <c r="G497" t="s">
        <v>437</v>
      </c>
      <c r="H497" t="s">
        <v>551</v>
      </c>
      <c r="I497" s="54">
        <v>46174</v>
      </c>
    </row>
    <row r="498" spans="1:9" x14ac:dyDescent="0.35">
      <c r="A498" t="s">
        <v>412</v>
      </c>
      <c r="B498" t="s">
        <v>420</v>
      </c>
      <c r="C498" t="s">
        <v>1274</v>
      </c>
      <c r="D498" t="s">
        <v>1260</v>
      </c>
      <c r="E498" t="s">
        <v>1445</v>
      </c>
      <c r="F498" t="s">
        <v>1435</v>
      </c>
      <c r="G498" t="s">
        <v>437</v>
      </c>
      <c r="H498" t="s">
        <v>551</v>
      </c>
      <c r="I498" s="54">
        <v>46174</v>
      </c>
    </row>
    <row r="499" spans="1:9" x14ac:dyDescent="0.35">
      <c r="A499" t="s">
        <v>57</v>
      </c>
      <c r="B499" t="s">
        <v>58</v>
      </c>
      <c r="C499" t="s">
        <v>1257</v>
      </c>
      <c r="D499" t="s">
        <v>1254</v>
      </c>
      <c r="E499" t="s">
        <v>1469</v>
      </c>
      <c r="F499" t="s">
        <v>1435</v>
      </c>
      <c r="G499" t="s">
        <v>565</v>
      </c>
      <c r="H499" t="s">
        <v>566</v>
      </c>
      <c r="I499" s="54">
        <v>46174</v>
      </c>
    </row>
    <row r="500" spans="1:9" x14ac:dyDescent="0.35">
      <c r="A500" t="s">
        <v>34</v>
      </c>
      <c r="B500" t="s">
        <v>36</v>
      </c>
      <c r="C500" t="s">
        <v>1257</v>
      </c>
      <c r="D500" t="s">
        <v>1254</v>
      </c>
      <c r="E500" t="s">
        <v>35</v>
      </c>
      <c r="F500" t="s">
        <v>1435</v>
      </c>
      <c r="G500" t="s">
        <v>565</v>
      </c>
      <c r="H500" t="s">
        <v>566</v>
      </c>
      <c r="I500" s="54">
        <v>46174</v>
      </c>
    </row>
    <row r="501" spans="1:9" x14ac:dyDescent="0.35">
      <c r="A501" t="s">
        <v>1368</v>
      </c>
      <c r="B501" t="s">
        <v>1369</v>
      </c>
      <c r="C501" t="s">
        <v>1274</v>
      </c>
      <c r="D501" t="s">
        <v>1254</v>
      </c>
      <c r="E501" t="s">
        <v>1473</v>
      </c>
      <c r="F501" t="s">
        <v>1435</v>
      </c>
      <c r="G501" t="s">
        <v>565</v>
      </c>
      <c r="H501" t="s">
        <v>566</v>
      </c>
      <c r="I501" s="54">
        <v>46174</v>
      </c>
    </row>
    <row r="502" spans="1:9" x14ac:dyDescent="0.35">
      <c r="A502" t="s">
        <v>1346</v>
      </c>
      <c r="B502" t="s">
        <v>1347</v>
      </c>
      <c r="C502" t="s">
        <v>1257</v>
      </c>
      <c r="D502" t="s">
        <v>1254</v>
      </c>
      <c r="E502" t="s">
        <v>1437</v>
      </c>
      <c r="F502" t="s">
        <v>1435</v>
      </c>
      <c r="G502" t="s">
        <v>437</v>
      </c>
      <c r="H502" t="s">
        <v>551</v>
      </c>
      <c r="I502" s="54">
        <v>46174</v>
      </c>
    </row>
    <row r="503" spans="1:9" x14ac:dyDescent="0.35">
      <c r="A503" t="s">
        <v>1358</v>
      </c>
      <c r="B503" t="s">
        <v>1359</v>
      </c>
      <c r="C503" t="s">
        <v>1253</v>
      </c>
      <c r="D503" t="s">
        <v>1273</v>
      </c>
      <c r="E503" t="s">
        <v>1468</v>
      </c>
      <c r="F503" t="s">
        <v>1435</v>
      </c>
      <c r="G503" t="s">
        <v>437</v>
      </c>
      <c r="H503" t="s">
        <v>551</v>
      </c>
      <c r="I503" s="54">
        <v>46174</v>
      </c>
    </row>
    <row r="504" spans="1:9" x14ac:dyDescent="0.35">
      <c r="A504" t="s">
        <v>1346</v>
      </c>
      <c r="B504" t="s">
        <v>1347</v>
      </c>
      <c r="C504" t="s">
        <v>1274</v>
      </c>
      <c r="D504" t="s">
        <v>1254</v>
      </c>
      <c r="E504" t="s">
        <v>1437</v>
      </c>
      <c r="F504" t="s">
        <v>1435</v>
      </c>
      <c r="G504" t="s">
        <v>437</v>
      </c>
      <c r="H504" t="s">
        <v>551</v>
      </c>
      <c r="I504" s="54">
        <v>46174</v>
      </c>
    </row>
    <row r="505" spans="1:9" x14ac:dyDescent="0.35">
      <c r="A505" t="s">
        <v>1261</v>
      </c>
      <c r="B505" t="s">
        <v>1262</v>
      </c>
      <c r="C505" t="s">
        <v>1257</v>
      </c>
      <c r="D505" t="s">
        <v>1263</v>
      </c>
      <c r="E505" t="s">
        <v>1438</v>
      </c>
      <c r="F505" t="s">
        <v>1435</v>
      </c>
      <c r="G505" t="s">
        <v>565</v>
      </c>
      <c r="H505" t="s">
        <v>566</v>
      </c>
      <c r="I505" s="54">
        <v>46174</v>
      </c>
    </row>
    <row r="506" spans="1:9" x14ac:dyDescent="0.35">
      <c r="A506" t="s">
        <v>1370</v>
      </c>
      <c r="B506" t="s">
        <v>1371</v>
      </c>
      <c r="C506" t="s">
        <v>1274</v>
      </c>
      <c r="D506" t="s">
        <v>1254</v>
      </c>
      <c r="E506" t="s">
        <v>1474</v>
      </c>
      <c r="F506" t="s">
        <v>1435</v>
      </c>
      <c r="G506" t="s">
        <v>565</v>
      </c>
      <c r="H506" t="s">
        <v>566</v>
      </c>
      <c r="I506" s="54">
        <v>46174</v>
      </c>
    </row>
    <row r="507" spans="1:9" x14ac:dyDescent="0.35">
      <c r="A507" t="s">
        <v>1370</v>
      </c>
      <c r="B507" t="s">
        <v>1371</v>
      </c>
      <c r="C507" t="s">
        <v>1257</v>
      </c>
      <c r="D507" t="s">
        <v>1254</v>
      </c>
      <c r="E507" t="s">
        <v>1474</v>
      </c>
      <c r="F507" t="s">
        <v>1435</v>
      </c>
      <c r="G507" t="s">
        <v>565</v>
      </c>
      <c r="H507" t="s">
        <v>566</v>
      </c>
      <c r="I507" s="54">
        <v>46174</v>
      </c>
    </row>
    <row r="508" spans="1:9" x14ac:dyDescent="0.35">
      <c r="A508" t="s">
        <v>1296</v>
      </c>
      <c r="B508" t="s">
        <v>1297</v>
      </c>
      <c r="C508" t="s">
        <v>1281</v>
      </c>
      <c r="D508" t="s">
        <v>1263</v>
      </c>
      <c r="E508" t="s">
        <v>1447</v>
      </c>
      <c r="F508" t="s">
        <v>1435</v>
      </c>
      <c r="G508" t="s">
        <v>440</v>
      </c>
      <c r="H508" t="s">
        <v>578</v>
      </c>
      <c r="I508" s="54">
        <v>46174</v>
      </c>
    </row>
    <row r="509" spans="1:9" x14ac:dyDescent="0.35">
      <c r="A509" t="s">
        <v>37</v>
      </c>
      <c r="B509" t="s">
        <v>39</v>
      </c>
      <c r="C509" t="s">
        <v>1257</v>
      </c>
      <c r="D509" t="s">
        <v>1254</v>
      </c>
      <c r="E509" t="s">
        <v>1464</v>
      </c>
      <c r="F509" t="s">
        <v>1435</v>
      </c>
      <c r="G509" t="s">
        <v>561</v>
      </c>
      <c r="H509" t="s">
        <v>562</v>
      </c>
      <c r="I509" s="54">
        <v>46174</v>
      </c>
    </row>
    <row r="510" spans="1:9" x14ac:dyDescent="0.35">
      <c r="A510" t="s">
        <v>37</v>
      </c>
      <c r="B510" t="s">
        <v>39</v>
      </c>
      <c r="C510" t="s">
        <v>1274</v>
      </c>
      <c r="D510" t="s">
        <v>1254</v>
      </c>
      <c r="E510" t="s">
        <v>1464</v>
      </c>
      <c r="F510" t="s">
        <v>1435</v>
      </c>
      <c r="G510" t="s">
        <v>561</v>
      </c>
      <c r="H510" t="s">
        <v>562</v>
      </c>
      <c r="I510" s="54">
        <v>46174</v>
      </c>
    </row>
    <row r="511" spans="1:9" x14ac:dyDescent="0.35">
      <c r="A511" t="s">
        <v>54</v>
      </c>
      <c r="B511" t="s">
        <v>56</v>
      </c>
      <c r="C511" t="s">
        <v>1253</v>
      </c>
      <c r="D511" t="s">
        <v>1273</v>
      </c>
      <c r="E511" t="s">
        <v>1469</v>
      </c>
      <c r="F511" t="s">
        <v>1435</v>
      </c>
      <c r="G511" t="s">
        <v>565</v>
      </c>
      <c r="H511" t="s">
        <v>566</v>
      </c>
      <c r="I511" s="54">
        <v>46174</v>
      </c>
    </row>
    <row r="512" spans="1:9" x14ac:dyDescent="0.35">
      <c r="A512" t="s">
        <v>1358</v>
      </c>
      <c r="B512" t="s">
        <v>1359</v>
      </c>
      <c r="C512" t="s">
        <v>1274</v>
      </c>
      <c r="D512" t="s">
        <v>1266</v>
      </c>
      <c r="E512" t="s">
        <v>1468</v>
      </c>
      <c r="F512" t="s">
        <v>1435</v>
      </c>
      <c r="G512" t="s">
        <v>437</v>
      </c>
      <c r="H512" t="s">
        <v>551</v>
      </c>
      <c r="I512" s="54">
        <v>46174</v>
      </c>
    </row>
    <row r="513" spans="1:9" x14ac:dyDescent="0.35">
      <c r="A513" t="s">
        <v>43</v>
      </c>
      <c r="B513" t="s">
        <v>45</v>
      </c>
      <c r="C513" t="s">
        <v>1281</v>
      </c>
      <c r="D513" t="s">
        <v>1254</v>
      </c>
      <c r="E513" t="s">
        <v>1476</v>
      </c>
      <c r="F513" t="s">
        <v>1435</v>
      </c>
      <c r="G513" t="s">
        <v>442</v>
      </c>
      <c r="H513" t="s">
        <v>575</v>
      </c>
      <c r="I513" s="54">
        <v>46174</v>
      </c>
    </row>
    <row r="514" spans="1:9" x14ac:dyDescent="0.35">
      <c r="A514" t="s">
        <v>43</v>
      </c>
      <c r="B514" t="s">
        <v>45</v>
      </c>
      <c r="C514" t="s">
        <v>1274</v>
      </c>
      <c r="D514" t="s">
        <v>1254</v>
      </c>
      <c r="E514" t="s">
        <v>1476</v>
      </c>
      <c r="F514" t="s">
        <v>1435</v>
      </c>
      <c r="G514" t="s">
        <v>442</v>
      </c>
      <c r="H514" t="s">
        <v>575</v>
      </c>
      <c r="I514" s="54">
        <v>46174</v>
      </c>
    </row>
    <row r="515" spans="1:9" x14ac:dyDescent="0.35">
      <c r="A515" t="s">
        <v>43</v>
      </c>
      <c r="B515" t="s">
        <v>45</v>
      </c>
      <c r="C515" t="s">
        <v>1257</v>
      </c>
      <c r="D515" t="s">
        <v>1254</v>
      </c>
      <c r="E515" t="s">
        <v>1476</v>
      </c>
      <c r="F515" t="s">
        <v>1435</v>
      </c>
      <c r="G515" t="s">
        <v>442</v>
      </c>
      <c r="H515" t="s">
        <v>575</v>
      </c>
      <c r="I515" s="54">
        <v>46174</v>
      </c>
    </row>
    <row r="516" spans="1:9" x14ac:dyDescent="0.35">
      <c r="A516" t="s">
        <v>1358</v>
      </c>
      <c r="B516" t="s">
        <v>1359</v>
      </c>
      <c r="C516" t="s">
        <v>1257</v>
      </c>
      <c r="D516" t="s">
        <v>1266</v>
      </c>
      <c r="E516" t="s">
        <v>1468</v>
      </c>
      <c r="F516" t="s">
        <v>1435</v>
      </c>
      <c r="G516" t="s">
        <v>437</v>
      </c>
      <c r="H516" t="s">
        <v>551</v>
      </c>
      <c r="I516" s="54">
        <v>46174</v>
      </c>
    </row>
    <row r="517" spans="1:9" x14ac:dyDescent="0.35">
      <c r="A517" t="s">
        <v>59</v>
      </c>
      <c r="B517" t="s">
        <v>60</v>
      </c>
      <c r="C517" t="s">
        <v>1253</v>
      </c>
      <c r="D517" t="s">
        <v>1273</v>
      </c>
      <c r="E517" t="s">
        <v>1469</v>
      </c>
      <c r="F517" t="s">
        <v>1435</v>
      </c>
      <c r="G517" t="s">
        <v>565</v>
      </c>
      <c r="H517" t="s">
        <v>566</v>
      </c>
      <c r="I517" s="54">
        <v>46174</v>
      </c>
    </row>
    <row r="518" spans="1:9" x14ac:dyDescent="0.35">
      <c r="A518" t="s">
        <v>1376</v>
      </c>
      <c r="B518" t="s">
        <v>1377</v>
      </c>
      <c r="C518" t="s">
        <v>1257</v>
      </c>
      <c r="D518" t="s">
        <v>1254</v>
      </c>
      <c r="E518" t="s">
        <v>1477</v>
      </c>
      <c r="F518" t="s">
        <v>1435</v>
      </c>
      <c r="G518" t="s">
        <v>437</v>
      </c>
      <c r="H518" t="s">
        <v>551</v>
      </c>
      <c r="I518" s="54">
        <v>46174</v>
      </c>
    </row>
    <row r="519" spans="1:9" x14ac:dyDescent="0.35">
      <c r="A519" t="s">
        <v>1376</v>
      </c>
      <c r="B519" t="s">
        <v>1377</v>
      </c>
      <c r="C519" t="s">
        <v>1281</v>
      </c>
      <c r="D519" t="s">
        <v>1254</v>
      </c>
      <c r="E519" t="s">
        <v>1477</v>
      </c>
      <c r="F519" t="s">
        <v>1435</v>
      </c>
      <c r="G519" t="s">
        <v>437</v>
      </c>
      <c r="H519" t="s">
        <v>551</v>
      </c>
      <c r="I519" s="54">
        <v>46174</v>
      </c>
    </row>
    <row r="520" spans="1:9" x14ac:dyDescent="0.35">
      <c r="A520" t="s">
        <v>1376</v>
      </c>
      <c r="B520" t="s">
        <v>1377</v>
      </c>
      <c r="C520" t="s">
        <v>1274</v>
      </c>
      <c r="D520" t="s">
        <v>1254</v>
      </c>
      <c r="E520" t="s">
        <v>1477</v>
      </c>
      <c r="F520" t="s">
        <v>1435</v>
      </c>
      <c r="G520" t="s">
        <v>437</v>
      </c>
      <c r="H520" t="s">
        <v>551</v>
      </c>
      <c r="I520" s="54">
        <v>46174</v>
      </c>
    </row>
    <row r="521" spans="1:9" x14ac:dyDescent="0.35">
      <c r="A521" t="s">
        <v>1296</v>
      </c>
      <c r="B521" t="s">
        <v>1297</v>
      </c>
      <c r="C521" t="s">
        <v>1274</v>
      </c>
      <c r="D521" t="s">
        <v>1263</v>
      </c>
      <c r="E521" t="s">
        <v>1447</v>
      </c>
      <c r="F521" t="s">
        <v>1435</v>
      </c>
      <c r="G521" t="s">
        <v>440</v>
      </c>
      <c r="H521" t="s">
        <v>578</v>
      </c>
      <c r="I521" s="54">
        <v>46174</v>
      </c>
    </row>
    <row r="522" spans="1:9" x14ac:dyDescent="0.35">
      <c r="A522" t="s">
        <v>1302</v>
      </c>
      <c r="B522" t="s">
        <v>1303</v>
      </c>
      <c r="C522" t="s">
        <v>1274</v>
      </c>
      <c r="D522" t="s">
        <v>1260</v>
      </c>
      <c r="E522" t="s">
        <v>1450</v>
      </c>
      <c r="F522" t="s">
        <v>1435</v>
      </c>
      <c r="G522" t="s">
        <v>442</v>
      </c>
      <c r="H522" t="s">
        <v>575</v>
      </c>
      <c r="I522" s="54">
        <v>46174</v>
      </c>
    </row>
    <row r="523" spans="1:9" x14ac:dyDescent="0.35">
      <c r="A523" t="s">
        <v>57</v>
      </c>
      <c r="B523" t="s">
        <v>58</v>
      </c>
      <c r="C523" t="s">
        <v>1253</v>
      </c>
      <c r="D523" t="s">
        <v>1273</v>
      </c>
      <c r="E523" t="s">
        <v>1469</v>
      </c>
      <c r="F523" t="s">
        <v>1435</v>
      </c>
      <c r="G523" t="s">
        <v>565</v>
      </c>
      <c r="H523" t="s">
        <v>566</v>
      </c>
      <c r="I523" s="54">
        <v>46174</v>
      </c>
    </row>
    <row r="524" spans="1:9" x14ac:dyDescent="0.35">
      <c r="A524" t="s">
        <v>1296</v>
      </c>
      <c r="B524" t="s">
        <v>1297</v>
      </c>
      <c r="C524" t="s">
        <v>1257</v>
      </c>
      <c r="D524" t="s">
        <v>1263</v>
      </c>
      <c r="E524" t="s">
        <v>1447</v>
      </c>
      <c r="F524" t="s">
        <v>1435</v>
      </c>
      <c r="G524" t="s">
        <v>440</v>
      </c>
      <c r="H524" t="s">
        <v>578</v>
      </c>
      <c r="I524" s="54">
        <v>46174</v>
      </c>
    </row>
    <row r="525" spans="1:9" x14ac:dyDescent="0.35">
      <c r="A525" t="s">
        <v>1356</v>
      </c>
      <c r="B525" t="s">
        <v>1357</v>
      </c>
      <c r="C525" t="s">
        <v>1257</v>
      </c>
      <c r="D525" t="s">
        <v>1266</v>
      </c>
      <c r="E525" t="s">
        <v>1468</v>
      </c>
      <c r="F525" t="s">
        <v>1435</v>
      </c>
      <c r="G525" t="s">
        <v>437</v>
      </c>
      <c r="H525" t="s">
        <v>551</v>
      </c>
      <c r="I525" s="54">
        <v>46174</v>
      </c>
    </row>
    <row r="526" spans="1:9" x14ac:dyDescent="0.35">
      <c r="A526" t="s">
        <v>1378</v>
      </c>
      <c r="B526" t="s">
        <v>1379</v>
      </c>
      <c r="C526" t="s">
        <v>1257</v>
      </c>
      <c r="D526" t="s">
        <v>1254</v>
      </c>
      <c r="E526" t="s">
        <v>1478</v>
      </c>
      <c r="F526" t="s">
        <v>1435</v>
      </c>
      <c r="G526" t="s">
        <v>440</v>
      </c>
      <c r="H526" t="s">
        <v>578</v>
      </c>
      <c r="I526" s="54">
        <v>46174</v>
      </c>
    </row>
    <row r="527" spans="1:9" x14ac:dyDescent="0.35">
      <c r="A527" t="s">
        <v>1378</v>
      </c>
      <c r="B527" t="s">
        <v>1379</v>
      </c>
      <c r="C527" t="s">
        <v>1274</v>
      </c>
      <c r="D527" t="s">
        <v>1254</v>
      </c>
      <c r="E527" t="s">
        <v>1478</v>
      </c>
      <c r="F527" t="s">
        <v>1435</v>
      </c>
      <c r="G527" t="s">
        <v>440</v>
      </c>
      <c r="H527" t="s">
        <v>578</v>
      </c>
      <c r="I527" s="54">
        <v>46174</v>
      </c>
    </row>
    <row r="528" spans="1:9" x14ac:dyDescent="0.35">
      <c r="A528" t="s">
        <v>1356</v>
      </c>
      <c r="B528" t="s">
        <v>1357</v>
      </c>
      <c r="C528" t="s">
        <v>1274</v>
      </c>
      <c r="D528" t="s">
        <v>1266</v>
      </c>
      <c r="E528" t="s">
        <v>1468</v>
      </c>
      <c r="F528" t="s">
        <v>1435</v>
      </c>
      <c r="G528" t="s">
        <v>437</v>
      </c>
      <c r="H528" t="s">
        <v>551</v>
      </c>
      <c r="I528" s="54">
        <v>46174</v>
      </c>
    </row>
    <row r="529" spans="1:9" x14ac:dyDescent="0.35">
      <c r="A529" t="s">
        <v>1378</v>
      </c>
      <c r="B529" t="s">
        <v>1379</v>
      </c>
      <c r="C529" t="s">
        <v>1281</v>
      </c>
      <c r="D529" t="s">
        <v>1254</v>
      </c>
      <c r="E529" t="s">
        <v>1478</v>
      </c>
      <c r="F529" t="s">
        <v>1435</v>
      </c>
      <c r="G529" t="s">
        <v>440</v>
      </c>
      <c r="H529" t="s">
        <v>578</v>
      </c>
      <c r="I529" s="54">
        <v>46174</v>
      </c>
    </row>
    <row r="530" spans="1:9" x14ac:dyDescent="0.35">
      <c r="A530" t="s">
        <v>697</v>
      </c>
      <c r="B530" t="s">
        <v>698</v>
      </c>
      <c r="C530" t="s">
        <v>1257</v>
      </c>
      <c r="D530" t="s">
        <v>1254</v>
      </c>
      <c r="E530" t="s">
        <v>695</v>
      </c>
      <c r="F530" t="s">
        <v>1435</v>
      </c>
      <c r="G530" t="s">
        <v>439</v>
      </c>
      <c r="H530" t="s">
        <v>572</v>
      </c>
      <c r="I530" s="54">
        <v>46174</v>
      </c>
    </row>
    <row r="531" spans="1:9" x14ac:dyDescent="0.35">
      <c r="A531" t="s">
        <v>1344</v>
      </c>
      <c r="B531" t="s">
        <v>1345</v>
      </c>
      <c r="C531" t="s">
        <v>1274</v>
      </c>
      <c r="D531" t="s">
        <v>1263</v>
      </c>
      <c r="E531" t="s">
        <v>1465</v>
      </c>
      <c r="F531" t="s">
        <v>1435</v>
      </c>
      <c r="G531" t="s">
        <v>440</v>
      </c>
      <c r="H531" t="s">
        <v>578</v>
      </c>
      <c r="I531" s="54">
        <v>46174</v>
      </c>
    </row>
    <row r="532" spans="1:9" x14ac:dyDescent="0.35">
      <c r="A532" t="s">
        <v>697</v>
      </c>
      <c r="B532" t="s">
        <v>698</v>
      </c>
      <c r="C532" t="s">
        <v>1274</v>
      </c>
      <c r="D532" t="s">
        <v>1254</v>
      </c>
      <c r="E532" t="s">
        <v>695</v>
      </c>
      <c r="F532" t="s">
        <v>1435</v>
      </c>
      <c r="G532" t="s">
        <v>439</v>
      </c>
      <c r="H532" t="s">
        <v>572</v>
      </c>
      <c r="I532" s="54">
        <v>46174</v>
      </c>
    </row>
    <row r="533" spans="1:9" x14ac:dyDescent="0.35">
      <c r="A533" t="s">
        <v>298</v>
      </c>
      <c r="B533" t="s">
        <v>300</v>
      </c>
      <c r="C533" t="s">
        <v>1253</v>
      </c>
      <c r="D533" t="s">
        <v>1273</v>
      </c>
      <c r="E533" t="s">
        <v>299</v>
      </c>
      <c r="F533" t="s">
        <v>1435</v>
      </c>
      <c r="G533" t="s">
        <v>565</v>
      </c>
      <c r="H533" t="s">
        <v>566</v>
      </c>
      <c r="I533" s="54">
        <v>46174</v>
      </c>
    </row>
    <row r="534" spans="1:9" x14ac:dyDescent="0.35">
      <c r="A534" t="s">
        <v>1302</v>
      </c>
      <c r="B534" t="s">
        <v>1303</v>
      </c>
      <c r="C534" t="s">
        <v>1257</v>
      </c>
      <c r="D534" t="s">
        <v>1260</v>
      </c>
      <c r="E534" t="s">
        <v>1450</v>
      </c>
      <c r="F534" t="s">
        <v>1435</v>
      </c>
      <c r="G534" t="s">
        <v>442</v>
      </c>
      <c r="H534" t="s">
        <v>575</v>
      </c>
      <c r="I534" s="54">
        <v>46174</v>
      </c>
    </row>
    <row r="535" spans="1:9" x14ac:dyDescent="0.35">
      <c r="A535" t="s">
        <v>697</v>
      </c>
      <c r="B535" t="s">
        <v>698</v>
      </c>
      <c r="C535" t="s">
        <v>1281</v>
      </c>
      <c r="D535" t="s">
        <v>1254</v>
      </c>
      <c r="E535" t="s">
        <v>695</v>
      </c>
      <c r="F535" t="s">
        <v>1435</v>
      </c>
      <c r="G535" t="s">
        <v>439</v>
      </c>
      <c r="H535" t="s">
        <v>572</v>
      </c>
      <c r="I535" s="54">
        <v>46174</v>
      </c>
    </row>
    <row r="536" spans="1:9" x14ac:dyDescent="0.35">
      <c r="A536" t="s">
        <v>1344</v>
      </c>
      <c r="B536" t="s">
        <v>1345</v>
      </c>
      <c r="C536" t="s">
        <v>1257</v>
      </c>
      <c r="D536" t="s">
        <v>1263</v>
      </c>
      <c r="E536" t="s">
        <v>1465</v>
      </c>
      <c r="F536" t="s">
        <v>1435</v>
      </c>
      <c r="G536" t="s">
        <v>440</v>
      </c>
      <c r="H536" t="s">
        <v>578</v>
      </c>
      <c r="I536" s="54">
        <v>46174</v>
      </c>
    </row>
    <row r="537" spans="1:9" x14ac:dyDescent="0.35">
      <c r="A537" t="s">
        <v>1368</v>
      </c>
      <c r="B537" t="s">
        <v>1369</v>
      </c>
      <c r="C537" t="s">
        <v>1253</v>
      </c>
      <c r="D537" t="s">
        <v>1273</v>
      </c>
      <c r="E537" t="s">
        <v>1473</v>
      </c>
      <c r="F537" t="s">
        <v>1435</v>
      </c>
      <c r="G537" t="s">
        <v>565</v>
      </c>
      <c r="H537" t="s">
        <v>566</v>
      </c>
      <c r="I537" s="54">
        <v>46174</v>
      </c>
    </row>
    <row r="538" spans="1:9" x14ac:dyDescent="0.35">
      <c r="A538" t="s">
        <v>1388</v>
      </c>
      <c r="B538" t="s">
        <v>1389</v>
      </c>
      <c r="C538" t="s">
        <v>1281</v>
      </c>
      <c r="D538" t="s">
        <v>1254</v>
      </c>
      <c r="E538" t="s">
        <v>1485</v>
      </c>
      <c r="F538" t="s">
        <v>1435</v>
      </c>
      <c r="G538" t="s">
        <v>440</v>
      </c>
      <c r="H538" t="s">
        <v>578</v>
      </c>
      <c r="I538" s="54">
        <v>46174</v>
      </c>
    </row>
    <row r="539" spans="1:9" x14ac:dyDescent="0.35">
      <c r="A539" t="s">
        <v>1310</v>
      </c>
      <c r="B539" t="s">
        <v>1311</v>
      </c>
      <c r="C539" t="s">
        <v>1257</v>
      </c>
      <c r="D539" t="s">
        <v>1260</v>
      </c>
      <c r="E539" t="s">
        <v>1452</v>
      </c>
      <c r="F539" t="s">
        <v>1435</v>
      </c>
      <c r="G539" t="s">
        <v>442</v>
      </c>
      <c r="H539" t="s">
        <v>575</v>
      </c>
      <c r="I539" s="54">
        <v>46174</v>
      </c>
    </row>
    <row r="540" spans="1:9" x14ac:dyDescent="0.35">
      <c r="A540" t="s">
        <v>5</v>
      </c>
      <c r="B540" t="s">
        <v>7</v>
      </c>
      <c r="C540" t="s">
        <v>1274</v>
      </c>
      <c r="D540" t="s">
        <v>1266</v>
      </c>
      <c r="E540" t="s">
        <v>6</v>
      </c>
      <c r="F540" t="s">
        <v>1435</v>
      </c>
      <c r="G540" t="s">
        <v>439</v>
      </c>
      <c r="H540" t="s">
        <v>572</v>
      </c>
      <c r="I540" s="54">
        <v>46174</v>
      </c>
    </row>
    <row r="541" spans="1:9" x14ac:dyDescent="0.35">
      <c r="A541" t="s">
        <v>1384</v>
      </c>
      <c r="B541" t="s">
        <v>1385</v>
      </c>
      <c r="C541" t="s">
        <v>1274</v>
      </c>
      <c r="D541" t="s">
        <v>1254</v>
      </c>
      <c r="E541" t="s">
        <v>1481</v>
      </c>
      <c r="F541" t="s">
        <v>1435</v>
      </c>
      <c r="G541" t="s">
        <v>440</v>
      </c>
      <c r="H541" t="s">
        <v>578</v>
      </c>
      <c r="I541" s="54">
        <v>46174</v>
      </c>
    </row>
    <row r="542" spans="1:9" x14ac:dyDescent="0.35">
      <c r="A542" t="s">
        <v>1384</v>
      </c>
      <c r="B542" t="s">
        <v>1385</v>
      </c>
      <c r="C542" t="s">
        <v>1257</v>
      </c>
      <c r="D542" t="s">
        <v>1254</v>
      </c>
      <c r="E542" t="s">
        <v>1481</v>
      </c>
      <c r="F542" t="s">
        <v>1435</v>
      </c>
      <c r="G542" t="s">
        <v>440</v>
      </c>
      <c r="H542" t="s">
        <v>578</v>
      </c>
      <c r="I542" s="54">
        <v>46174</v>
      </c>
    </row>
    <row r="543" spans="1:9" x14ac:dyDescent="0.35">
      <c r="A543" t="s">
        <v>1384</v>
      </c>
      <c r="B543" t="s">
        <v>1385</v>
      </c>
      <c r="C543" t="s">
        <v>1281</v>
      </c>
      <c r="D543" t="s">
        <v>1254</v>
      </c>
      <c r="E543" t="s">
        <v>1481</v>
      </c>
      <c r="F543" t="s">
        <v>1435</v>
      </c>
      <c r="G543" t="s">
        <v>440</v>
      </c>
      <c r="H543" t="s">
        <v>578</v>
      </c>
      <c r="I543" s="54">
        <v>46174</v>
      </c>
    </row>
    <row r="544" spans="1:9" x14ac:dyDescent="0.35">
      <c r="A544" t="s">
        <v>5</v>
      </c>
      <c r="B544" t="s">
        <v>7</v>
      </c>
      <c r="C544" t="s">
        <v>1257</v>
      </c>
      <c r="D544" t="s">
        <v>1266</v>
      </c>
      <c r="E544" t="s">
        <v>6</v>
      </c>
      <c r="F544" t="s">
        <v>1435</v>
      </c>
      <c r="G544" t="s">
        <v>439</v>
      </c>
      <c r="H544" t="s">
        <v>572</v>
      </c>
      <c r="I544" s="54">
        <v>46174</v>
      </c>
    </row>
    <row r="545" spans="1:9" x14ac:dyDescent="0.35">
      <c r="A545" t="s">
        <v>1390</v>
      </c>
      <c r="B545" t="s">
        <v>1391</v>
      </c>
      <c r="C545" t="s">
        <v>1257</v>
      </c>
      <c r="D545" t="s">
        <v>1254</v>
      </c>
      <c r="E545" t="s">
        <v>1481</v>
      </c>
      <c r="F545" t="s">
        <v>1435</v>
      </c>
      <c r="G545" t="s">
        <v>440</v>
      </c>
      <c r="H545" t="s">
        <v>578</v>
      </c>
      <c r="I545" s="54">
        <v>46174</v>
      </c>
    </row>
    <row r="546" spans="1:9" x14ac:dyDescent="0.35">
      <c r="A546" t="s">
        <v>1390</v>
      </c>
      <c r="B546" t="s">
        <v>1391</v>
      </c>
      <c r="C546" t="s">
        <v>1274</v>
      </c>
      <c r="D546" t="s">
        <v>1254</v>
      </c>
      <c r="E546" t="s">
        <v>1481</v>
      </c>
      <c r="F546" t="s">
        <v>1435</v>
      </c>
      <c r="G546" t="s">
        <v>440</v>
      </c>
      <c r="H546" t="s">
        <v>578</v>
      </c>
      <c r="I546" s="54">
        <v>46174</v>
      </c>
    </row>
    <row r="547" spans="1:9" x14ac:dyDescent="0.35">
      <c r="A547" t="s">
        <v>1370</v>
      </c>
      <c r="B547" t="s">
        <v>1371</v>
      </c>
      <c r="C547" t="s">
        <v>1253</v>
      </c>
      <c r="D547" t="s">
        <v>1273</v>
      </c>
      <c r="E547" t="s">
        <v>1474</v>
      </c>
      <c r="F547" t="s">
        <v>1435</v>
      </c>
      <c r="G547" t="s">
        <v>565</v>
      </c>
      <c r="H547" t="s">
        <v>566</v>
      </c>
      <c r="I547" s="54">
        <v>46174</v>
      </c>
    </row>
    <row r="548" spans="1:9" x14ac:dyDescent="0.35">
      <c r="A548" t="s">
        <v>1314</v>
      </c>
      <c r="B548" t="s">
        <v>1315</v>
      </c>
      <c r="C548" t="s">
        <v>1257</v>
      </c>
      <c r="D548" t="s">
        <v>1260</v>
      </c>
      <c r="E548" t="s">
        <v>1452</v>
      </c>
      <c r="F548" t="s">
        <v>1435</v>
      </c>
      <c r="G548" t="s">
        <v>442</v>
      </c>
      <c r="H548" t="s">
        <v>575</v>
      </c>
      <c r="I548" s="54">
        <v>46174</v>
      </c>
    </row>
    <row r="549" spans="1:9" x14ac:dyDescent="0.35">
      <c r="A549" t="s">
        <v>1390</v>
      </c>
      <c r="B549" t="s">
        <v>1391</v>
      </c>
      <c r="C549" t="s">
        <v>1281</v>
      </c>
      <c r="D549" t="s">
        <v>1254</v>
      </c>
      <c r="E549" t="s">
        <v>1481</v>
      </c>
      <c r="F549" t="s">
        <v>1435</v>
      </c>
      <c r="G549" t="s">
        <v>440</v>
      </c>
      <c r="H549" t="s">
        <v>578</v>
      </c>
      <c r="I549" s="54">
        <v>46174</v>
      </c>
    </row>
    <row r="550" spans="1:9" x14ac:dyDescent="0.35">
      <c r="A550" t="s">
        <v>671</v>
      </c>
      <c r="B550" t="s">
        <v>672</v>
      </c>
      <c r="C550" t="s">
        <v>1257</v>
      </c>
      <c r="D550" t="s">
        <v>1263</v>
      </c>
      <c r="E550" t="s">
        <v>516</v>
      </c>
      <c r="F550" t="s">
        <v>1435</v>
      </c>
      <c r="G550" t="s">
        <v>436</v>
      </c>
      <c r="H550" t="s">
        <v>548</v>
      </c>
      <c r="I550" s="54">
        <v>46174</v>
      </c>
    </row>
    <row r="551" spans="1:9" x14ac:dyDescent="0.35">
      <c r="A551" t="s">
        <v>413</v>
      </c>
      <c r="B551" t="s">
        <v>418</v>
      </c>
      <c r="C551" t="s">
        <v>1274</v>
      </c>
      <c r="D551" t="s">
        <v>1254</v>
      </c>
      <c r="E551" t="s">
        <v>1483</v>
      </c>
      <c r="F551" t="s">
        <v>1435</v>
      </c>
      <c r="G551" t="s">
        <v>439</v>
      </c>
      <c r="H551" t="s">
        <v>572</v>
      </c>
      <c r="I551" s="54">
        <v>46174</v>
      </c>
    </row>
    <row r="552" spans="1:9" x14ac:dyDescent="0.35">
      <c r="A552" t="s">
        <v>414</v>
      </c>
      <c r="B552" t="s">
        <v>419</v>
      </c>
      <c r="C552" t="s">
        <v>1281</v>
      </c>
      <c r="D552" t="s">
        <v>1254</v>
      </c>
      <c r="E552" t="s">
        <v>1484</v>
      </c>
      <c r="F552" t="s">
        <v>1435</v>
      </c>
      <c r="G552" t="s">
        <v>439</v>
      </c>
      <c r="H552" t="s">
        <v>572</v>
      </c>
      <c r="I552" s="54">
        <v>46174</v>
      </c>
    </row>
    <row r="553" spans="1:9" x14ac:dyDescent="0.35">
      <c r="A553" t="s">
        <v>414</v>
      </c>
      <c r="B553" t="s">
        <v>419</v>
      </c>
      <c r="C553" t="s">
        <v>1274</v>
      </c>
      <c r="D553" t="s">
        <v>1254</v>
      </c>
      <c r="E553" t="s">
        <v>1484</v>
      </c>
      <c r="F553" t="s">
        <v>1435</v>
      </c>
      <c r="G553" t="s">
        <v>439</v>
      </c>
      <c r="H553" t="s">
        <v>572</v>
      </c>
      <c r="I553" s="54">
        <v>46174</v>
      </c>
    </row>
    <row r="554" spans="1:9" x14ac:dyDescent="0.35">
      <c r="A554" t="s">
        <v>671</v>
      </c>
      <c r="B554" t="s">
        <v>672</v>
      </c>
      <c r="C554" t="s">
        <v>1274</v>
      </c>
      <c r="D554" t="s">
        <v>1263</v>
      </c>
      <c r="E554" t="s">
        <v>516</v>
      </c>
      <c r="F554" t="s">
        <v>1435</v>
      </c>
      <c r="G554" t="s">
        <v>436</v>
      </c>
      <c r="H554" t="s">
        <v>548</v>
      </c>
      <c r="I554" s="54">
        <v>46174</v>
      </c>
    </row>
    <row r="555" spans="1:9" x14ac:dyDescent="0.35">
      <c r="A555" t="s">
        <v>414</v>
      </c>
      <c r="B555" t="s">
        <v>419</v>
      </c>
      <c r="C555" t="s">
        <v>1257</v>
      </c>
      <c r="D555" t="s">
        <v>1254</v>
      </c>
      <c r="E555" t="s">
        <v>1484</v>
      </c>
      <c r="F555" t="s">
        <v>1435</v>
      </c>
      <c r="G555" t="s">
        <v>439</v>
      </c>
      <c r="H555" t="s">
        <v>572</v>
      </c>
      <c r="I555" s="54">
        <v>46174</v>
      </c>
    </row>
    <row r="556" spans="1:9" x14ac:dyDescent="0.35">
      <c r="A556" t="s">
        <v>1316</v>
      </c>
      <c r="B556" t="s">
        <v>1317</v>
      </c>
      <c r="C556" t="s">
        <v>1274</v>
      </c>
      <c r="D556" t="s">
        <v>1260</v>
      </c>
      <c r="E556" t="s">
        <v>1452</v>
      </c>
      <c r="F556" t="s">
        <v>1435</v>
      </c>
      <c r="G556" t="s">
        <v>442</v>
      </c>
      <c r="H556" t="s">
        <v>575</v>
      </c>
      <c r="I556" s="54">
        <v>46174</v>
      </c>
    </row>
    <row r="557" spans="1:9" x14ac:dyDescent="0.35">
      <c r="A557" t="s">
        <v>1380</v>
      </c>
      <c r="B557" t="s">
        <v>1381</v>
      </c>
      <c r="C557" t="s">
        <v>1274</v>
      </c>
      <c r="D557" t="s">
        <v>1254</v>
      </c>
      <c r="E557" t="s">
        <v>1480</v>
      </c>
      <c r="F557" t="s">
        <v>1435</v>
      </c>
      <c r="G557" t="s">
        <v>440</v>
      </c>
      <c r="H557" t="s">
        <v>578</v>
      </c>
      <c r="I557" s="54">
        <v>46174</v>
      </c>
    </row>
    <row r="558" spans="1:9" x14ac:dyDescent="0.35">
      <c r="A558" t="s">
        <v>5</v>
      </c>
      <c r="B558" t="s">
        <v>7</v>
      </c>
      <c r="C558" t="s">
        <v>1281</v>
      </c>
      <c r="D558" t="s">
        <v>1266</v>
      </c>
      <c r="E558" t="s">
        <v>6</v>
      </c>
      <c r="F558" t="s">
        <v>1435</v>
      </c>
      <c r="G558" t="s">
        <v>439</v>
      </c>
      <c r="H558" t="s">
        <v>572</v>
      </c>
      <c r="I558" s="54">
        <v>46174</v>
      </c>
    </row>
    <row r="559" spans="1:9" x14ac:dyDescent="0.35">
      <c r="A559" t="s">
        <v>1382</v>
      </c>
      <c r="B559" t="s">
        <v>1383</v>
      </c>
      <c r="C559" t="s">
        <v>1257</v>
      </c>
      <c r="D559" t="s">
        <v>1254</v>
      </c>
      <c r="E559" t="s">
        <v>1480</v>
      </c>
      <c r="F559" t="s">
        <v>1435</v>
      </c>
      <c r="G559" t="s">
        <v>440</v>
      </c>
      <c r="H559" t="s">
        <v>578</v>
      </c>
      <c r="I559" s="54">
        <v>46174</v>
      </c>
    </row>
    <row r="560" spans="1:9" x14ac:dyDescent="0.35">
      <c r="A560" t="s">
        <v>1382</v>
      </c>
      <c r="B560" t="s">
        <v>1383</v>
      </c>
      <c r="C560" t="s">
        <v>1274</v>
      </c>
      <c r="D560" t="s">
        <v>1254</v>
      </c>
      <c r="E560" t="s">
        <v>1480</v>
      </c>
      <c r="F560" t="s">
        <v>1435</v>
      </c>
      <c r="G560" t="s">
        <v>440</v>
      </c>
      <c r="H560" t="s">
        <v>578</v>
      </c>
      <c r="I560" s="54">
        <v>46174</v>
      </c>
    </row>
    <row r="561" spans="1:9" x14ac:dyDescent="0.35">
      <c r="A561" t="s">
        <v>1382</v>
      </c>
      <c r="B561" t="s">
        <v>1383</v>
      </c>
      <c r="C561" t="s">
        <v>1281</v>
      </c>
      <c r="D561" t="s">
        <v>1254</v>
      </c>
      <c r="E561" t="s">
        <v>1480</v>
      </c>
      <c r="F561" t="s">
        <v>1435</v>
      </c>
      <c r="G561" t="s">
        <v>440</v>
      </c>
      <c r="H561" t="s">
        <v>578</v>
      </c>
      <c r="I561" s="54">
        <v>46174</v>
      </c>
    </row>
    <row r="562" spans="1:9" x14ac:dyDescent="0.35">
      <c r="A562" t="s">
        <v>46</v>
      </c>
      <c r="B562" t="s">
        <v>47</v>
      </c>
      <c r="C562" t="s">
        <v>1253</v>
      </c>
      <c r="D562" t="s">
        <v>1273</v>
      </c>
      <c r="E562" t="s">
        <v>1476</v>
      </c>
      <c r="F562" t="s">
        <v>1435</v>
      </c>
      <c r="G562" t="s">
        <v>442</v>
      </c>
      <c r="H562" t="s">
        <v>575</v>
      </c>
      <c r="I562" s="54">
        <v>46174</v>
      </c>
    </row>
    <row r="563" spans="1:9" x14ac:dyDescent="0.35">
      <c r="A563" t="s">
        <v>1334</v>
      </c>
      <c r="B563" t="s">
        <v>1335</v>
      </c>
      <c r="C563" t="s">
        <v>1274</v>
      </c>
      <c r="D563" t="s">
        <v>1266</v>
      </c>
      <c r="E563" t="s">
        <v>1460</v>
      </c>
      <c r="F563" t="s">
        <v>1435</v>
      </c>
      <c r="G563" t="s">
        <v>565</v>
      </c>
      <c r="H563" t="s">
        <v>566</v>
      </c>
      <c r="I563" s="54">
        <v>46174</v>
      </c>
    </row>
    <row r="564" spans="1:9" x14ac:dyDescent="0.35">
      <c r="A564" t="s">
        <v>1328</v>
      </c>
      <c r="B564" t="s">
        <v>1329</v>
      </c>
      <c r="C564" t="s">
        <v>1274</v>
      </c>
      <c r="D564" t="s">
        <v>1263</v>
      </c>
      <c r="E564" t="s">
        <v>1456</v>
      </c>
      <c r="F564" t="s">
        <v>1435</v>
      </c>
      <c r="G564" t="s">
        <v>442</v>
      </c>
      <c r="H564" t="s">
        <v>575</v>
      </c>
      <c r="I564" s="54">
        <v>46174</v>
      </c>
    </row>
    <row r="565" spans="1:9" x14ac:dyDescent="0.35">
      <c r="A565" t="s">
        <v>1326</v>
      </c>
      <c r="B565" t="s">
        <v>1327</v>
      </c>
      <c r="C565" t="s">
        <v>1257</v>
      </c>
      <c r="D565" t="s">
        <v>1260</v>
      </c>
      <c r="E565" t="s">
        <v>1455</v>
      </c>
      <c r="F565" t="s">
        <v>1435</v>
      </c>
      <c r="G565" t="s">
        <v>442</v>
      </c>
      <c r="H565" t="s">
        <v>575</v>
      </c>
      <c r="I565" s="54">
        <v>46174</v>
      </c>
    </row>
    <row r="566" spans="1:9" x14ac:dyDescent="0.35">
      <c r="A566" t="s">
        <v>43</v>
      </c>
      <c r="B566" t="s">
        <v>45</v>
      </c>
      <c r="C566" t="s">
        <v>1253</v>
      </c>
      <c r="D566" t="s">
        <v>1273</v>
      </c>
      <c r="E566" t="s">
        <v>1476</v>
      </c>
      <c r="F566" t="s">
        <v>1435</v>
      </c>
      <c r="G566" t="s">
        <v>442</v>
      </c>
      <c r="H566" t="s">
        <v>575</v>
      </c>
      <c r="I566" s="54">
        <v>46174</v>
      </c>
    </row>
    <row r="567" spans="1:9" x14ac:dyDescent="0.35">
      <c r="A567" t="s">
        <v>1332</v>
      </c>
      <c r="B567" t="s">
        <v>1333</v>
      </c>
      <c r="C567" t="s">
        <v>1274</v>
      </c>
      <c r="D567" t="s">
        <v>1260</v>
      </c>
      <c r="E567" t="s">
        <v>1459</v>
      </c>
      <c r="F567" t="s">
        <v>1435</v>
      </c>
      <c r="G567" t="s">
        <v>601</v>
      </c>
      <c r="H567" t="s">
        <v>602</v>
      </c>
      <c r="I567" s="54">
        <v>46174</v>
      </c>
    </row>
    <row r="568" spans="1:9" x14ac:dyDescent="0.35">
      <c r="A568" t="s">
        <v>1308</v>
      </c>
      <c r="B568" t="s">
        <v>1309</v>
      </c>
      <c r="C568" t="s">
        <v>1274</v>
      </c>
      <c r="D568" t="s">
        <v>1263</v>
      </c>
      <c r="E568" t="s">
        <v>1451</v>
      </c>
      <c r="F568" t="s">
        <v>1435</v>
      </c>
      <c r="G568" t="s">
        <v>439</v>
      </c>
      <c r="H568" t="s">
        <v>572</v>
      </c>
      <c r="I568" s="54">
        <v>46174</v>
      </c>
    </row>
    <row r="569" spans="1:9" x14ac:dyDescent="0.35">
      <c r="A569" t="s">
        <v>1336</v>
      </c>
      <c r="B569" t="s">
        <v>1337</v>
      </c>
      <c r="C569" t="s">
        <v>1274</v>
      </c>
      <c r="D569" t="s">
        <v>1266</v>
      </c>
      <c r="E569" t="s">
        <v>1461</v>
      </c>
      <c r="F569" t="s">
        <v>1435</v>
      </c>
      <c r="G569" t="s">
        <v>436</v>
      </c>
      <c r="H569" t="s">
        <v>548</v>
      </c>
      <c r="I569" s="54">
        <v>46174</v>
      </c>
    </row>
    <row r="570" spans="1:9" x14ac:dyDescent="0.35">
      <c r="A570" t="s">
        <v>507</v>
      </c>
      <c r="B570" t="s">
        <v>509</v>
      </c>
      <c r="C570" t="s">
        <v>1274</v>
      </c>
      <c r="D570" t="s">
        <v>1266</v>
      </c>
      <c r="E570" t="s">
        <v>1461</v>
      </c>
      <c r="F570" t="s">
        <v>1435</v>
      </c>
      <c r="G570" t="s">
        <v>436</v>
      </c>
      <c r="H570" t="s">
        <v>548</v>
      </c>
      <c r="I570" s="54">
        <v>46174</v>
      </c>
    </row>
    <row r="571" spans="1:9" x14ac:dyDescent="0.35">
      <c r="A571" t="s">
        <v>1332</v>
      </c>
      <c r="B571" t="s">
        <v>1333</v>
      </c>
      <c r="C571" t="s">
        <v>1257</v>
      </c>
      <c r="D571" t="s">
        <v>1260</v>
      </c>
      <c r="E571" t="s">
        <v>1459</v>
      </c>
      <c r="F571" t="s">
        <v>1435</v>
      </c>
      <c r="G571" t="s">
        <v>601</v>
      </c>
      <c r="H571" t="s">
        <v>602</v>
      </c>
      <c r="I571" s="54">
        <v>46174</v>
      </c>
    </row>
    <row r="572" spans="1:9" x14ac:dyDescent="0.35">
      <c r="A572" t="s">
        <v>1308</v>
      </c>
      <c r="B572" t="s">
        <v>1309</v>
      </c>
      <c r="C572" t="s">
        <v>1257</v>
      </c>
      <c r="D572" t="s">
        <v>1263</v>
      </c>
      <c r="E572" t="s">
        <v>1451</v>
      </c>
      <c r="F572" t="s">
        <v>1435</v>
      </c>
      <c r="G572" t="s">
        <v>439</v>
      </c>
      <c r="H572" t="s">
        <v>572</v>
      </c>
      <c r="I572" s="54">
        <v>46174</v>
      </c>
    </row>
    <row r="573" spans="1:9" x14ac:dyDescent="0.35">
      <c r="A573" t="s">
        <v>70</v>
      </c>
      <c r="B573" t="s">
        <v>71</v>
      </c>
      <c r="C573" t="s">
        <v>1274</v>
      </c>
      <c r="D573" t="s">
        <v>1254</v>
      </c>
      <c r="E573" t="s">
        <v>396</v>
      </c>
      <c r="F573" t="s">
        <v>1435</v>
      </c>
      <c r="G573" t="s">
        <v>438</v>
      </c>
      <c r="H573" t="s">
        <v>554</v>
      </c>
      <c r="I573" s="54">
        <v>46174</v>
      </c>
    </row>
    <row r="574" spans="1:9" x14ac:dyDescent="0.35">
      <c r="A574" t="s">
        <v>1386</v>
      </c>
      <c r="B574" t="s">
        <v>1387</v>
      </c>
      <c r="C574" t="s">
        <v>1257</v>
      </c>
      <c r="D574" t="s">
        <v>1254</v>
      </c>
      <c r="E574" t="s">
        <v>1482</v>
      </c>
      <c r="F574" t="s">
        <v>1435</v>
      </c>
      <c r="G574" t="s">
        <v>440</v>
      </c>
      <c r="H574" t="s">
        <v>578</v>
      </c>
      <c r="I574" s="54">
        <v>46174</v>
      </c>
    </row>
    <row r="575" spans="1:9" x14ac:dyDescent="0.35">
      <c r="A575" t="s">
        <v>1376</v>
      </c>
      <c r="B575" t="s">
        <v>1377</v>
      </c>
      <c r="C575" t="s">
        <v>1253</v>
      </c>
      <c r="D575" t="s">
        <v>1273</v>
      </c>
      <c r="E575" t="s">
        <v>1477</v>
      </c>
      <c r="F575" t="s">
        <v>1435</v>
      </c>
      <c r="G575" t="s">
        <v>437</v>
      </c>
      <c r="H575" t="s">
        <v>551</v>
      </c>
      <c r="I575" s="54">
        <v>46174</v>
      </c>
    </row>
    <row r="576" spans="1:9" x14ac:dyDescent="0.35">
      <c r="A576" t="s">
        <v>1348</v>
      </c>
      <c r="B576" t="s">
        <v>1349</v>
      </c>
      <c r="C576" t="s">
        <v>1274</v>
      </c>
      <c r="D576" t="s">
        <v>1260</v>
      </c>
      <c r="E576" t="s">
        <v>1466</v>
      </c>
      <c r="F576" t="s">
        <v>1435</v>
      </c>
      <c r="G576" t="s">
        <v>437</v>
      </c>
      <c r="H576" t="s">
        <v>551</v>
      </c>
      <c r="I576" s="54">
        <v>46174</v>
      </c>
    </row>
    <row r="577" spans="1:9" x14ac:dyDescent="0.35">
      <c r="A577" t="s">
        <v>1386</v>
      </c>
      <c r="B577" t="s">
        <v>1387</v>
      </c>
      <c r="C577" t="s">
        <v>1274</v>
      </c>
      <c r="D577" t="s">
        <v>1254</v>
      </c>
      <c r="E577" t="s">
        <v>1482</v>
      </c>
      <c r="F577" t="s">
        <v>1435</v>
      </c>
      <c r="G577" t="s">
        <v>440</v>
      </c>
      <c r="H577" t="s">
        <v>578</v>
      </c>
      <c r="I577" s="54">
        <v>46174</v>
      </c>
    </row>
    <row r="578" spans="1:9" x14ac:dyDescent="0.35">
      <c r="A578" t="s">
        <v>1372</v>
      </c>
      <c r="B578" t="s">
        <v>1373</v>
      </c>
      <c r="C578" t="s">
        <v>1257</v>
      </c>
      <c r="D578" t="s">
        <v>1263</v>
      </c>
      <c r="E578" t="s">
        <v>1474</v>
      </c>
      <c r="F578" t="s">
        <v>1435</v>
      </c>
      <c r="G578" t="s">
        <v>565</v>
      </c>
      <c r="H578" t="s">
        <v>566</v>
      </c>
      <c r="I578" s="54">
        <v>46174</v>
      </c>
    </row>
    <row r="579" spans="1:9" x14ac:dyDescent="0.35">
      <c r="A579" t="s">
        <v>1386</v>
      </c>
      <c r="B579" t="s">
        <v>1387</v>
      </c>
      <c r="C579" t="s">
        <v>1281</v>
      </c>
      <c r="D579" t="s">
        <v>1254</v>
      </c>
      <c r="E579" t="s">
        <v>1482</v>
      </c>
      <c r="F579" t="s">
        <v>1435</v>
      </c>
      <c r="G579" t="s">
        <v>440</v>
      </c>
      <c r="H579" t="s">
        <v>578</v>
      </c>
      <c r="I579" s="54">
        <v>46174</v>
      </c>
    </row>
    <row r="580" spans="1:9" x14ac:dyDescent="0.35">
      <c r="A580" t="s">
        <v>66</v>
      </c>
      <c r="B580" t="s">
        <v>675</v>
      </c>
      <c r="C580" t="s">
        <v>1281</v>
      </c>
      <c r="D580" t="s">
        <v>1254</v>
      </c>
      <c r="E580" t="s">
        <v>67</v>
      </c>
      <c r="F580" t="s">
        <v>1435</v>
      </c>
      <c r="G580" t="s">
        <v>440</v>
      </c>
      <c r="H580" t="s">
        <v>578</v>
      </c>
      <c r="I580" s="54">
        <v>46174</v>
      </c>
    </row>
    <row r="581" spans="1:9" x14ac:dyDescent="0.35">
      <c r="A581" t="s">
        <v>66</v>
      </c>
      <c r="B581" t="s">
        <v>675</v>
      </c>
      <c r="C581" t="s">
        <v>1274</v>
      </c>
      <c r="D581" t="s">
        <v>1254</v>
      </c>
      <c r="E581" t="s">
        <v>67</v>
      </c>
      <c r="F581" t="s">
        <v>1435</v>
      </c>
      <c r="G581" t="s">
        <v>440</v>
      </c>
      <c r="H581" t="s">
        <v>578</v>
      </c>
      <c r="I581" s="54">
        <v>46174</v>
      </c>
    </row>
    <row r="582" spans="1:9" x14ac:dyDescent="0.35">
      <c r="A582" t="s">
        <v>1362</v>
      </c>
      <c r="B582" t="s">
        <v>1363</v>
      </c>
      <c r="C582" t="s">
        <v>1274</v>
      </c>
      <c r="D582" t="s">
        <v>1266</v>
      </c>
      <c r="E582" t="s">
        <v>1471</v>
      </c>
      <c r="F582" t="s">
        <v>1435</v>
      </c>
      <c r="G582" t="s">
        <v>437</v>
      </c>
      <c r="H582" t="s">
        <v>551</v>
      </c>
      <c r="I582" s="54">
        <v>46174</v>
      </c>
    </row>
    <row r="583" spans="1:9" x14ac:dyDescent="0.35">
      <c r="A583" t="s">
        <v>66</v>
      </c>
      <c r="B583" t="s">
        <v>675</v>
      </c>
      <c r="C583" t="s">
        <v>1257</v>
      </c>
      <c r="D583" t="s">
        <v>1254</v>
      </c>
      <c r="E583" t="s">
        <v>67</v>
      </c>
      <c r="F583" t="s">
        <v>1435</v>
      </c>
      <c r="G583" t="s">
        <v>440</v>
      </c>
      <c r="H583" t="s">
        <v>578</v>
      </c>
      <c r="I583" s="54">
        <v>46174</v>
      </c>
    </row>
    <row r="584" spans="1:9" x14ac:dyDescent="0.35">
      <c r="A584" t="s">
        <v>1338</v>
      </c>
      <c r="B584" t="s">
        <v>1339</v>
      </c>
      <c r="C584" t="s">
        <v>1257</v>
      </c>
      <c r="D584" t="s">
        <v>1266</v>
      </c>
      <c r="E584" t="s">
        <v>1461</v>
      </c>
      <c r="F584" t="s">
        <v>1435</v>
      </c>
      <c r="G584" t="s">
        <v>436</v>
      </c>
      <c r="H584" t="s">
        <v>548</v>
      </c>
      <c r="I584" s="54">
        <v>46174</v>
      </c>
    </row>
    <row r="585" spans="1:9" x14ac:dyDescent="0.35">
      <c r="A585" t="s">
        <v>635</v>
      </c>
      <c r="B585" t="s">
        <v>636</v>
      </c>
      <c r="C585" t="s">
        <v>1257</v>
      </c>
      <c r="D585" t="s">
        <v>1254</v>
      </c>
      <c r="E585" t="s">
        <v>1452</v>
      </c>
      <c r="F585" t="s">
        <v>1435</v>
      </c>
      <c r="G585" t="s">
        <v>442</v>
      </c>
      <c r="H585" t="s">
        <v>575</v>
      </c>
      <c r="I585" s="54">
        <v>46174</v>
      </c>
    </row>
    <row r="586" spans="1:9" x14ac:dyDescent="0.35">
      <c r="A586" t="s">
        <v>635</v>
      </c>
      <c r="B586" t="s">
        <v>636</v>
      </c>
      <c r="C586" t="s">
        <v>1274</v>
      </c>
      <c r="D586" t="s">
        <v>1254</v>
      </c>
      <c r="E586" t="s">
        <v>1452</v>
      </c>
      <c r="F586" t="s">
        <v>1435</v>
      </c>
      <c r="G586" t="s">
        <v>442</v>
      </c>
      <c r="H586" t="s">
        <v>575</v>
      </c>
      <c r="I586" s="54">
        <v>46174</v>
      </c>
    </row>
    <row r="587" spans="1:9" x14ac:dyDescent="0.35">
      <c r="A587" t="s">
        <v>635</v>
      </c>
      <c r="B587" t="s">
        <v>636</v>
      </c>
      <c r="C587" t="s">
        <v>1281</v>
      </c>
      <c r="D587" t="s">
        <v>1254</v>
      </c>
      <c r="E587" t="s">
        <v>1452</v>
      </c>
      <c r="F587" t="s">
        <v>1435</v>
      </c>
      <c r="G587" t="s">
        <v>442</v>
      </c>
      <c r="H587" t="s">
        <v>575</v>
      </c>
      <c r="I587" s="54">
        <v>46174</v>
      </c>
    </row>
    <row r="588" spans="1:9" x14ac:dyDescent="0.35">
      <c r="A588" t="s">
        <v>415</v>
      </c>
      <c r="B588" t="s">
        <v>416</v>
      </c>
      <c r="C588" t="s">
        <v>1281</v>
      </c>
      <c r="D588" t="s">
        <v>1254</v>
      </c>
      <c r="E588" t="s">
        <v>1479</v>
      </c>
      <c r="F588" t="s">
        <v>1435</v>
      </c>
      <c r="G588" t="s">
        <v>442</v>
      </c>
      <c r="H588" t="s">
        <v>575</v>
      </c>
      <c r="I588" s="54">
        <v>46174</v>
      </c>
    </row>
    <row r="589" spans="1:9" x14ac:dyDescent="0.35">
      <c r="A589" t="s">
        <v>1378</v>
      </c>
      <c r="B589" t="s">
        <v>1379</v>
      </c>
      <c r="C589" t="s">
        <v>1253</v>
      </c>
      <c r="D589" t="s">
        <v>1273</v>
      </c>
      <c r="E589" t="s">
        <v>1478</v>
      </c>
      <c r="F589" t="s">
        <v>1435</v>
      </c>
      <c r="G589" t="s">
        <v>440</v>
      </c>
      <c r="H589" t="s">
        <v>578</v>
      </c>
      <c r="I589" s="54">
        <v>46174</v>
      </c>
    </row>
    <row r="590" spans="1:9" x14ac:dyDescent="0.35">
      <c r="A590" t="s">
        <v>1350</v>
      </c>
      <c r="B590" t="s">
        <v>1351</v>
      </c>
      <c r="C590" t="s">
        <v>1257</v>
      </c>
      <c r="D590" t="s">
        <v>1260</v>
      </c>
      <c r="E590" t="s">
        <v>1466</v>
      </c>
      <c r="F590" t="s">
        <v>1435</v>
      </c>
      <c r="G590" t="s">
        <v>437</v>
      </c>
      <c r="H590" t="s">
        <v>551</v>
      </c>
      <c r="I590" s="54">
        <v>46174</v>
      </c>
    </row>
    <row r="591" spans="1:9" x14ac:dyDescent="0.35">
      <c r="A591" t="s">
        <v>415</v>
      </c>
      <c r="B591" t="s">
        <v>416</v>
      </c>
      <c r="C591" t="s">
        <v>1257</v>
      </c>
      <c r="D591" t="s">
        <v>1254</v>
      </c>
      <c r="E591" t="s">
        <v>1479</v>
      </c>
      <c r="F591" t="s">
        <v>1435</v>
      </c>
      <c r="G591" t="s">
        <v>442</v>
      </c>
      <c r="H591" t="s">
        <v>575</v>
      </c>
      <c r="I591" s="54">
        <v>46174</v>
      </c>
    </row>
    <row r="592" spans="1:9" x14ac:dyDescent="0.35">
      <c r="A592" t="s">
        <v>415</v>
      </c>
      <c r="B592" t="s">
        <v>416</v>
      </c>
      <c r="C592" t="s">
        <v>1274</v>
      </c>
      <c r="D592" t="s">
        <v>1254</v>
      </c>
      <c r="E592" t="s">
        <v>1479</v>
      </c>
      <c r="F592" t="s">
        <v>1435</v>
      </c>
      <c r="G592" t="s">
        <v>442</v>
      </c>
      <c r="H592" t="s">
        <v>575</v>
      </c>
      <c r="I592" s="54">
        <v>46174</v>
      </c>
    </row>
    <row r="593" spans="1:9" x14ac:dyDescent="0.35">
      <c r="A593" t="s">
        <v>1372</v>
      </c>
      <c r="B593" t="s">
        <v>1373</v>
      </c>
      <c r="C593" t="s">
        <v>1274</v>
      </c>
      <c r="D593" t="s">
        <v>1263</v>
      </c>
      <c r="E593" t="s">
        <v>1474</v>
      </c>
      <c r="F593" t="s">
        <v>1435</v>
      </c>
      <c r="G593" t="s">
        <v>565</v>
      </c>
      <c r="H593" t="s">
        <v>566</v>
      </c>
      <c r="I593" s="54">
        <v>46174</v>
      </c>
    </row>
    <row r="594" spans="1:9" x14ac:dyDescent="0.35">
      <c r="A594" t="s">
        <v>1264</v>
      </c>
      <c r="B594" t="s">
        <v>1265</v>
      </c>
      <c r="C594" t="s">
        <v>1257</v>
      </c>
      <c r="D594" t="s">
        <v>1273</v>
      </c>
      <c r="E594" t="s">
        <v>1439</v>
      </c>
      <c r="F594" t="s">
        <v>1435</v>
      </c>
      <c r="G594" t="s">
        <v>437</v>
      </c>
      <c r="H594" t="s">
        <v>551</v>
      </c>
      <c r="I594" s="54">
        <v>46174</v>
      </c>
    </row>
    <row r="595" spans="1:9" x14ac:dyDescent="0.35">
      <c r="A595" t="s">
        <v>639</v>
      </c>
      <c r="B595" t="s">
        <v>640</v>
      </c>
      <c r="C595" t="s">
        <v>1257</v>
      </c>
      <c r="D595" t="s">
        <v>1254</v>
      </c>
      <c r="E595" t="s">
        <v>1455</v>
      </c>
      <c r="F595" t="s">
        <v>1435</v>
      </c>
      <c r="G595" t="s">
        <v>442</v>
      </c>
      <c r="H595" t="s">
        <v>575</v>
      </c>
      <c r="I595" s="54">
        <v>46174</v>
      </c>
    </row>
    <row r="596" spans="1:9" x14ac:dyDescent="0.35">
      <c r="A596" t="s">
        <v>639</v>
      </c>
      <c r="B596" t="s">
        <v>640</v>
      </c>
      <c r="C596" t="s">
        <v>1274</v>
      </c>
      <c r="D596" t="s">
        <v>1254</v>
      </c>
      <c r="E596" t="s">
        <v>1455</v>
      </c>
      <c r="F596" t="s">
        <v>1435</v>
      </c>
      <c r="G596" t="s">
        <v>442</v>
      </c>
      <c r="H596" t="s">
        <v>575</v>
      </c>
      <c r="I596" s="54">
        <v>46174</v>
      </c>
    </row>
    <row r="597" spans="1:9" x14ac:dyDescent="0.35">
      <c r="A597" t="s">
        <v>639</v>
      </c>
      <c r="B597" t="s">
        <v>640</v>
      </c>
      <c r="C597" t="s">
        <v>1281</v>
      </c>
      <c r="D597" t="s">
        <v>1254</v>
      </c>
      <c r="E597" t="s">
        <v>1455</v>
      </c>
      <c r="F597" t="s">
        <v>1435</v>
      </c>
      <c r="G597" t="s">
        <v>442</v>
      </c>
      <c r="H597" t="s">
        <v>575</v>
      </c>
      <c r="I597" s="54">
        <v>46174</v>
      </c>
    </row>
    <row r="598" spans="1:9" x14ac:dyDescent="0.35">
      <c r="A598" t="s">
        <v>673</v>
      </c>
      <c r="B598" t="s">
        <v>674</v>
      </c>
      <c r="C598" t="s">
        <v>1274</v>
      </c>
      <c r="D598" t="s">
        <v>1263</v>
      </c>
      <c r="E598" t="s">
        <v>287</v>
      </c>
      <c r="F598" t="s">
        <v>1435</v>
      </c>
      <c r="G598" t="s">
        <v>442</v>
      </c>
      <c r="H598" t="s">
        <v>575</v>
      </c>
      <c r="I598" s="54">
        <v>46174</v>
      </c>
    </row>
    <row r="599" spans="1:9" x14ac:dyDescent="0.35">
      <c r="A599" t="s">
        <v>1350</v>
      </c>
      <c r="B599" t="s">
        <v>1351</v>
      </c>
      <c r="C599" t="s">
        <v>1274</v>
      </c>
      <c r="D599" t="s">
        <v>1260</v>
      </c>
      <c r="E599" t="s">
        <v>1466</v>
      </c>
      <c r="F599" t="s">
        <v>1435</v>
      </c>
      <c r="G599" t="s">
        <v>437</v>
      </c>
      <c r="H599" t="s">
        <v>551</v>
      </c>
      <c r="I599" s="54">
        <v>46174</v>
      </c>
    </row>
    <row r="600" spans="1:9" x14ac:dyDescent="0.35">
      <c r="A600" t="s">
        <v>57</v>
      </c>
      <c r="B600" t="s">
        <v>58</v>
      </c>
      <c r="C600" t="s">
        <v>1257</v>
      </c>
      <c r="D600" t="s">
        <v>1266</v>
      </c>
      <c r="E600" t="s">
        <v>1469</v>
      </c>
      <c r="F600" t="s">
        <v>1435</v>
      </c>
      <c r="G600" t="s">
        <v>565</v>
      </c>
      <c r="H600" t="s">
        <v>566</v>
      </c>
      <c r="I600" s="54">
        <v>46174</v>
      </c>
    </row>
    <row r="601" spans="1:9" x14ac:dyDescent="0.35">
      <c r="A601" t="s">
        <v>673</v>
      </c>
      <c r="B601" t="s">
        <v>674</v>
      </c>
      <c r="C601" t="s">
        <v>1257</v>
      </c>
      <c r="D601" t="s">
        <v>1263</v>
      </c>
      <c r="E601" t="s">
        <v>287</v>
      </c>
      <c r="F601" t="s">
        <v>1435</v>
      </c>
      <c r="G601" t="s">
        <v>442</v>
      </c>
      <c r="H601" t="s">
        <v>575</v>
      </c>
      <c r="I601" s="54">
        <v>46174</v>
      </c>
    </row>
    <row r="602" spans="1:9" x14ac:dyDescent="0.35">
      <c r="A602" t="s">
        <v>1320</v>
      </c>
      <c r="B602" t="s">
        <v>1321</v>
      </c>
      <c r="C602" t="s">
        <v>1257</v>
      </c>
      <c r="D602" t="s">
        <v>1263</v>
      </c>
      <c r="E602" t="s">
        <v>1454</v>
      </c>
      <c r="F602" t="s">
        <v>1435</v>
      </c>
      <c r="G602" t="s">
        <v>440</v>
      </c>
      <c r="H602" t="s">
        <v>578</v>
      </c>
      <c r="I602" s="54">
        <v>46174</v>
      </c>
    </row>
    <row r="603" spans="1:9" x14ac:dyDescent="0.35">
      <c r="A603" t="s">
        <v>34</v>
      </c>
      <c r="B603" t="s">
        <v>36</v>
      </c>
      <c r="C603" t="s">
        <v>1257</v>
      </c>
      <c r="D603" t="s">
        <v>1266</v>
      </c>
      <c r="E603" t="s">
        <v>35</v>
      </c>
      <c r="F603" t="s">
        <v>1435</v>
      </c>
      <c r="G603" t="s">
        <v>565</v>
      </c>
      <c r="H603" t="s">
        <v>566</v>
      </c>
      <c r="I603" s="54">
        <v>46174</v>
      </c>
    </row>
    <row r="604" spans="1:9" x14ac:dyDescent="0.35">
      <c r="A604" t="s">
        <v>1368</v>
      </c>
      <c r="B604" t="s">
        <v>1369</v>
      </c>
      <c r="C604" t="s">
        <v>1274</v>
      </c>
      <c r="D604" t="s">
        <v>1266</v>
      </c>
      <c r="E604" t="s">
        <v>1473</v>
      </c>
      <c r="F604" t="s">
        <v>1435</v>
      </c>
      <c r="G604" t="s">
        <v>565</v>
      </c>
      <c r="H604" t="s">
        <v>566</v>
      </c>
      <c r="I604" s="54">
        <v>46174</v>
      </c>
    </row>
    <row r="605" spans="1:9" x14ac:dyDescent="0.35">
      <c r="A605" t="s">
        <v>1358</v>
      </c>
      <c r="B605" t="s">
        <v>1359</v>
      </c>
      <c r="C605" t="s">
        <v>1274</v>
      </c>
      <c r="D605" t="s">
        <v>1260</v>
      </c>
      <c r="E605" t="s">
        <v>1468</v>
      </c>
      <c r="F605" t="s">
        <v>1435</v>
      </c>
      <c r="G605" t="s">
        <v>437</v>
      </c>
      <c r="H605" t="s">
        <v>551</v>
      </c>
      <c r="I605" s="54">
        <v>46174</v>
      </c>
    </row>
    <row r="606" spans="1:9" x14ac:dyDescent="0.35">
      <c r="A606" t="s">
        <v>1320</v>
      </c>
      <c r="B606" t="s">
        <v>1321</v>
      </c>
      <c r="C606" t="s">
        <v>1274</v>
      </c>
      <c r="D606" t="s">
        <v>1263</v>
      </c>
      <c r="E606" t="s">
        <v>1454</v>
      </c>
      <c r="F606" t="s">
        <v>1435</v>
      </c>
      <c r="G606" t="s">
        <v>440</v>
      </c>
      <c r="H606" t="s">
        <v>578</v>
      </c>
      <c r="I606" s="54">
        <v>46174</v>
      </c>
    </row>
    <row r="607" spans="1:9" x14ac:dyDescent="0.35">
      <c r="A607" t="s">
        <v>1358</v>
      </c>
      <c r="B607" t="s">
        <v>1359</v>
      </c>
      <c r="C607" t="s">
        <v>1281</v>
      </c>
      <c r="D607" t="s">
        <v>1260</v>
      </c>
      <c r="E607" t="s">
        <v>1468</v>
      </c>
      <c r="F607" t="s">
        <v>1435</v>
      </c>
      <c r="G607" t="s">
        <v>437</v>
      </c>
      <c r="H607" t="s">
        <v>551</v>
      </c>
      <c r="I607" s="54">
        <v>46174</v>
      </c>
    </row>
    <row r="608" spans="1:9" x14ac:dyDescent="0.35">
      <c r="A608" t="s">
        <v>1370</v>
      </c>
      <c r="B608" t="s">
        <v>1371</v>
      </c>
      <c r="C608" t="s">
        <v>1257</v>
      </c>
      <c r="D608" t="s">
        <v>1266</v>
      </c>
      <c r="E608" t="s">
        <v>1474</v>
      </c>
      <c r="F608" t="s">
        <v>1435</v>
      </c>
      <c r="G608" t="s">
        <v>565</v>
      </c>
      <c r="H608" t="s">
        <v>566</v>
      </c>
      <c r="I608" s="54">
        <v>46174</v>
      </c>
    </row>
    <row r="609" spans="1:9" x14ac:dyDescent="0.35">
      <c r="A609" t="s">
        <v>635</v>
      </c>
      <c r="B609" t="s">
        <v>636</v>
      </c>
      <c r="C609" t="s">
        <v>1253</v>
      </c>
      <c r="D609" t="s">
        <v>1273</v>
      </c>
      <c r="E609" t="s">
        <v>1452</v>
      </c>
      <c r="F609" t="s">
        <v>1435</v>
      </c>
      <c r="G609" t="s">
        <v>442</v>
      </c>
      <c r="H609" t="s">
        <v>575</v>
      </c>
      <c r="I609" s="54">
        <v>46174</v>
      </c>
    </row>
    <row r="610" spans="1:9" x14ac:dyDescent="0.35">
      <c r="A610" t="s">
        <v>1370</v>
      </c>
      <c r="B610" t="s">
        <v>1371</v>
      </c>
      <c r="C610" t="s">
        <v>1274</v>
      </c>
      <c r="D610" t="s">
        <v>1266</v>
      </c>
      <c r="E610" t="s">
        <v>1474</v>
      </c>
      <c r="F610" t="s">
        <v>1435</v>
      </c>
      <c r="G610" t="s">
        <v>565</v>
      </c>
      <c r="H610" t="s">
        <v>566</v>
      </c>
      <c r="I610" s="54">
        <v>46174</v>
      </c>
    </row>
    <row r="611" spans="1:9" x14ac:dyDescent="0.35">
      <c r="A611" t="s">
        <v>415</v>
      </c>
      <c r="B611" t="s">
        <v>416</v>
      </c>
      <c r="C611" t="s">
        <v>1253</v>
      </c>
      <c r="D611" t="s">
        <v>1273</v>
      </c>
      <c r="E611" t="s">
        <v>1479</v>
      </c>
      <c r="F611" t="s">
        <v>1435</v>
      </c>
      <c r="G611" t="s">
        <v>442</v>
      </c>
      <c r="H611" t="s">
        <v>575</v>
      </c>
      <c r="I611" s="54">
        <v>46174</v>
      </c>
    </row>
    <row r="612" spans="1:9" x14ac:dyDescent="0.35">
      <c r="A612" t="s">
        <v>1356</v>
      </c>
      <c r="B612" t="s">
        <v>1357</v>
      </c>
      <c r="C612" t="s">
        <v>1274</v>
      </c>
      <c r="D612" t="s">
        <v>1260</v>
      </c>
      <c r="E612" t="s">
        <v>1468</v>
      </c>
      <c r="F612" t="s">
        <v>1435</v>
      </c>
      <c r="G612" t="s">
        <v>437</v>
      </c>
      <c r="H612" t="s">
        <v>551</v>
      </c>
      <c r="I612" s="54">
        <v>46174</v>
      </c>
    </row>
    <row r="613" spans="1:9" x14ac:dyDescent="0.35">
      <c r="A613" t="s">
        <v>1364</v>
      </c>
      <c r="B613" t="s">
        <v>1365</v>
      </c>
      <c r="C613" t="s">
        <v>1257</v>
      </c>
      <c r="D613" t="s">
        <v>1263</v>
      </c>
      <c r="E613" t="s">
        <v>1472</v>
      </c>
      <c r="F613" t="s">
        <v>1435</v>
      </c>
      <c r="G613" t="s">
        <v>437</v>
      </c>
      <c r="H613" t="s">
        <v>551</v>
      </c>
      <c r="I613" s="54">
        <v>46174</v>
      </c>
    </row>
    <row r="614" spans="1:9" x14ac:dyDescent="0.35">
      <c r="A614" t="s">
        <v>1264</v>
      </c>
      <c r="B614" t="s">
        <v>1265</v>
      </c>
      <c r="C614" t="s">
        <v>1274</v>
      </c>
      <c r="D614" t="s">
        <v>1273</v>
      </c>
      <c r="E614" t="s">
        <v>1439</v>
      </c>
      <c r="F614" t="s">
        <v>1435</v>
      </c>
      <c r="G614" t="s">
        <v>437</v>
      </c>
      <c r="H614" t="s">
        <v>551</v>
      </c>
      <c r="I614" s="54">
        <v>46174</v>
      </c>
    </row>
    <row r="615" spans="1:9" x14ac:dyDescent="0.35">
      <c r="A615" t="s">
        <v>1356</v>
      </c>
      <c r="B615" t="s">
        <v>1357</v>
      </c>
      <c r="C615" t="s">
        <v>1281</v>
      </c>
      <c r="D615" t="s">
        <v>1260</v>
      </c>
      <c r="E615" t="s">
        <v>1468</v>
      </c>
      <c r="F615" t="s">
        <v>1435</v>
      </c>
      <c r="G615" t="s">
        <v>437</v>
      </c>
      <c r="H615" t="s">
        <v>551</v>
      </c>
      <c r="I615" s="54">
        <v>46174</v>
      </c>
    </row>
    <row r="616" spans="1:9" x14ac:dyDescent="0.35">
      <c r="A616" t="s">
        <v>37</v>
      </c>
      <c r="B616" t="s">
        <v>39</v>
      </c>
      <c r="C616" t="s">
        <v>1274</v>
      </c>
      <c r="D616" t="s">
        <v>1266</v>
      </c>
      <c r="E616" t="s">
        <v>1464</v>
      </c>
      <c r="F616" t="s">
        <v>1435</v>
      </c>
      <c r="G616" t="s">
        <v>561</v>
      </c>
      <c r="H616" t="s">
        <v>562</v>
      </c>
      <c r="I616" s="54">
        <v>46174</v>
      </c>
    </row>
    <row r="617" spans="1:9" x14ac:dyDescent="0.35">
      <c r="A617" t="s">
        <v>1380</v>
      </c>
      <c r="B617" t="s">
        <v>1381</v>
      </c>
      <c r="C617" t="s">
        <v>1253</v>
      </c>
      <c r="D617" t="s">
        <v>1273</v>
      </c>
      <c r="E617" t="s">
        <v>1480</v>
      </c>
      <c r="F617" t="s">
        <v>1435</v>
      </c>
      <c r="G617" t="s">
        <v>440</v>
      </c>
      <c r="H617" t="s">
        <v>578</v>
      </c>
      <c r="I617" s="54">
        <v>46174</v>
      </c>
    </row>
    <row r="618" spans="1:9" x14ac:dyDescent="0.35">
      <c r="A618" t="s">
        <v>1290</v>
      </c>
      <c r="B618" t="s">
        <v>1291</v>
      </c>
      <c r="C618" t="s">
        <v>1253</v>
      </c>
      <c r="D618" t="s">
        <v>1263</v>
      </c>
      <c r="E618" t="s">
        <v>1444</v>
      </c>
      <c r="F618" t="s">
        <v>1435</v>
      </c>
      <c r="G618" t="s">
        <v>436</v>
      </c>
      <c r="H618" t="s">
        <v>548</v>
      </c>
      <c r="I618" s="54">
        <v>46174</v>
      </c>
    </row>
    <row r="619" spans="1:9" x14ac:dyDescent="0.35">
      <c r="A619" t="s">
        <v>37</v>
      </c>
      <c r="B619" t="s">
        <v>39</v>
      </c>
      <c r="C619" t="s">
        <v>1257</v>
      </c>
      <c r="D619" t="s">
        <v>1266</v>
      </c>
      <c r="E619" t="s">
        <v>1464</v>
      </c>
      <c r="F619" t="s">
        <v>1435</v>
      </c>
      <c r="G619" t="s">
        <v>561</v>
      </c>
      <c r="H619" t="s">
        <v>562</v>
      </c>
      <c r="I619" s="54">
        <v>46174</v>
      </c>
    </row>
    <row r="620" spans="1:9" x14ac:dyDescent="0.35">
      <c r="A620" t="s">
        <v>1382</v>
      </c>
      <c r="B620" t="s">
        <v>1383</v>
      </c>
      <c r="C620" t="s">
        <v>1253</v>
      </c>
      <c r="D620" t="s">
        <v>1273</v>
      </c>
      <c r="E620" t="s">
        <v>1480</v>
      </c>
      <c r="F620" t="s">
        <v>1435</v>
      </c>
      <c r="G620" t="s">
        <v>440</v>
      </c>
      <c r="H620" t="s">
        <v>578</v>
      </c>
      <c r="I620" s="54">
        <v>46174</v>
      </c>
    </row>
    <row r="621" spans="1:9" x14ac:dyDescent="0.35">
      <c r="A621" t="s">
        <v>1364</v>
      </c>
      <c r="B621" t="s">
        <v>1365</v>
      </c>
      <c r="C621" t="s">
        <v>1274</v>
      </c>
      <c r="D621" t="s">
        <v>1263</v>
      </c>
      <c r="E621" t="s">
        <v>1472</v>
      </c>
      <c r="F621" t="s">
        <v>1435</v>
      </c>
      <c r="G621" t="s">
        <v>437</v>
      </c>
      <c r="H621" t="s">
        <v>551</v>
      </c>
      <c r="I621" s="54">
        <v>46174</v>
      </c>
    </row>
    <row r="622" spans="1:9" x14ac:dyDescent="0.35">
      <c r="A622" t="s">
        <v>1334</v>
      </c>
      <c r="B622" t="s">
        <v>1335</v>
      </c>
      <c r="C622" t="s">
        <v>1274</v>
      </c>
      <c r="D622" t="s">
        <v>1260</v>
      </c>
      <c r="E622" t="s">
        <v>1460</v>
      </c>
      <c r="F622" t="s">
        <v>1435</v>
      </c>
      <c r="G622" t="s">
        <v>565</v>
      </c>
      <c r="H622" t="s">
        <v>566</v>
      </c>
      <c r="I622" s="54">
        <v>46174</v>
      </c>
    </row>
    <row r="623" spans="1:9" x14ac:dyDescent="0.35">
      <c r="A623" t="s">
        <v>1384</v>
      </c>
      <c r="B623" t="s">
        <v>1385</v>
      </c>
      <c r="C623" t="s">
        <v>1253</v>
      </c>
      <c r="D623" t="s">
        <v>1273</v>
      </c>
      <c r="E623" t="s">
        <v>1481</v>
      </c>
      <c r="F623" t="s">
        <v>1435</v>
      </c>
      <c r="G623" t="s">
        <v>440</v>
      </c>
      <c r="H623" t="s">
        <v>578</v>
      </c>
      <c r="I623" s="54">
        <v>46174</v>
      </c>
    </row>
    <row r="624" spans="1:9" x14ac:dyDescent="0.35">
      <c r="A624" t="s">
        <v>1306</v>
      </c>
      <c r="B624" t="s">
        <v>1307</v>
      </c>
      <c r="C624" t="s">
        <v>1274</v>
      </c>
      <c r="D624" t="s">
        <v>1263</v>
      </c>
      <c r="E624" t="s">
        <v>376</v>
      </c>
      <c r="F624" t="s">
        <v>1435</v>
      </c>
      <c r="G624" t="s">
        <v>565</v>
      </c>
      <c r="H624" t="s">
        <v>566</v>
      </c>
      <c r="I624" s="54">
        <v>46174</v>
      </c>
    </row>
    <row r="625" spans="1:9" x14ac:dyDescent="0.35">
      <c r="A625" t="s">
        <v>1340</v>
      </c>
      <c r="B625" t="s">
        <v>1341</v>
      </c>
      <c r="C625" t="s">
        <v>1253</v>
      </c>
      <c r="D625" t="s">
        <v>1263</v>
      </c>
      <c r="E625" t="s">
        <v>1462</v>
      </c>
      <c r="F625" t="s">
        <v>1435</v>
      </c>
      <c r="G625" t="s">
        <v>442</v>
      </c>
      <c r="H625" t="s">
        <v>575</v>
      </c>
      <c r="I625" s="54">
        <v>46174</v>
      </c>
    </row>
    <row r="626" spans="1:9" x14ac:dyDescent="0.35">
      <c r="A626" t="s">
        <v>15</v>
      </c>
      <c r="B626" t="s">
        <v>16</v>
      </c>
      <c r="C626" t="s">
        <v>1281</v>
      </c>
      <c r="D626" t="s">
        <v>1260</v>
      </c>
      <c r="E626" t="s">
        <v>1460</v>
      </c>
      <c r="F626" t="s">
        <v>1435</v>
      </c>
      <c r="G626" t="s">
        <v>565</v>
      </c>
      <c r="H626" t="s">
        <v>566</v>
      </c>
      <c r="I626" s="54">
        <v>46174</v>
      </c>
    </row>
    <row r="627" spans="1:9" x14ac:dyDescent="0.35">
      <c r="A627" t="s">
        <v>15</v>
      </c>
      <c r="B627" t="s">
        <v>16</v>
      </c>
      <c r="C627" t="s">
        <v>1274</v>
      </c>
      <c r="D627" t="s">
        <v>1260</v>
      </c>
      <c r="E627" t="s">
        <v>1460</v>
      </c>
      <c r="F627" t="s">
        <v>1435</v>
      </c>
      <c r="G627" t="s">
        <v>565</v>
      </c>
      <c r="H627" t="s">
        <v>566</v>
      </c>
      <c r="I627" s="54">
        <v>46174</v>
      </c>
    </row>
    <row r="628" spans="1:9" x14ac:dyDescent="0.35">
      <c r="A628" t="s">
        <v>1306</v>
      </c>
      <c r="B628" t="s">
        <v>1307</v>
      </c>
      <c r="C628" t="s">
        <v>1257</v>
      </c>
      <c r="D628" t="s">
        <v>1263</v>
      </c>
      <c r="E628" t="s">
        <v>376</v>
      </c>
      <c r="F628" t="s">
        <v>1435</v>
      </c>
      <c r="G628" t="s">
        <v>565</v>
      </c>
      <c r="H628" t="s">
        <v>566</v>
      </c>
      <c r="I628" s="54">
        <v>46174</v>
      </c>
    </row>
    <row r="629" spans="1:9" x14ac:dyDescent="0.35">
      <c r="A629" t="s">
        <v>639</v>
      </c>
      <c r="B629" t="s">
        <v>640</v>
      </c>
      <c r="C629" t="s">
        <v>1253</v>
      </c>
      <c r="D629" t="s">
        <v>1273</v>
      </c>
      <c r="E629" t="s">
        <v>1455</v>
      </c>
      <c r="F629" t="s">
        <v>1435</v>
      </c>
      <c r="G629" t="s">
        <v>442</v>
      </c>
      <c r="H629" t="s">
        <v>575</v>
      </c>
      <c r="I629" s="54">
        <v>46174</v>
      </c>
    </row>
    <row r="630" spans="1:9" x14ac:dyDescent="0.35">
      <c r="A630" t="s">
        <v>43</v>
      </c>
      <c r="B630" t="s">
        <v>45</v>
      </c>
      <c r="C630" t="s">
        <v>1274</v>
      </c>
      <c r="D630" t="s">
        <v>1266</v>
      </c>
      <c r="E630" t="s">
        <v>1476</v>
      </c>
      <c r="F630" t="s">
        <v>1435</v>
      </c>
      <c r="G630" t="s">
        <v>442</v>
      </c>
      <c r="H630" t="s">
        <v>575</v>
      </c>
      <c r="I630" s="54">
        <v>46174</v>
      </c>
    </row>
    <row r="631" spans="1:9" x14ac:dyDescent="0.35">
      <c r="A631" t="s">
        <v>43</v>
      </c>
      <c r="B631" t="s">
        <v>45</v>
      </c>
      <c r="C631" t="s">
        <v>1281</v>
      </c>
      <c r="D631" t="s">
        <v>1266</v>
      </c>
      <c r="E631" t="s">
        <v>1476</v>
      </c>
      <c r="F631" t="s">
        <v>1435</v>
      </c>
      <c r="G631" t="s">
        <v>442</v>
      </c>
      <c r="H631" t="s">
        <v>575</v>
      </c>
      <c r="I631" s="54">
        <v>46174</v>
      </c>
    </row>
    <row r="632" spans="1:9" x14ac:dyDescent="0.35">
      <c r="A632" t="s">
        <v>1300</v>
      </c>
      <c r="B632" t="s">
        <v>1301</v>
      </c>
      <c r="C632" t="s">
        <v>1257</v>
      </c>
      <c r="D632" t="s">
        <v>1260</v>
      </c>
      <c r="E632" t="s">
        <v>1449</v>
      </c>
      <c r="F632" t="s">
        <v>1435</v>
      </c>
      <c r="G632" t="s">
        <v>442</v>
      </c>
      <c r="H632" t="s">
        <v>575</v>
      </c>
      <c r="I632" s="54">
        <v>46174</v>
      </c>
    </row>
    <row r="633" spans="1:9" x14ac:dyDescent="0.35">
      <c r="A633" t="s">
        <v>1286</v>
      </c>
      <c r="B633" t="s">
        <v>1287</v>
      </c>
      <c r="C633" t="s">
        <v>1257</v>
      </c>
      <c r="D633" t="s">
        <v>1263</v>
      </c>
      <c r="E633" t="s">
        <v>1443</v>
      </c>
      <c r="F633" t="s">
        <v>1435</v>
      </c>
      <c r="G633" t="s">
        <v>437</v>
      </c>
      <c r="H633" t="s">
        <v>551</v>
      </c>
      <c r="I633" s="54">
        <v>46174</v>
      </c>
    </row>
    <row r="634" spans="1:9" x14ac:dyDescent="0.35">
      <c r="A634" t="s">
        <v>1302</v>
      </c>
      <c r="B634" t="s">
        <v>1303</v>
      </c>
      <c r="C634" t="s">
        <v>1257</v>
      </c>
      <c r="D634" t="s">
        <v>1263</v>
      </c>
      <c r="E634" t="s">
        <v>1450</v>
      </c>
      <c r="F634" t="s">
        <v>1435</v>
      </c>
      <c r="G634" t="s">
        <v>442</v>
      </c>
      <c r="H634" t="s">
        <v>575</v>
      </c>
      <c r="I634" s="54">
        <v>46174</v>
      </c>
    </row>
    <row r="635" spans="1:9" x14ac:dyDescent="0.35">
      <c r="A635" t="s">
        <v>1304</v>
      </c>
      <c r="B635" t="s">
        <v>1305</v>
      </c>
      <c r="C635" t="s">
        <v>1274</v>
      </c>
      <c r="D635" t="s">
        <v>1260</v>
      </c>
      <c r="E635" t="s">
        <v>1449</v>
      </c>
      <c r="F635" t="s">
        <v>1435</v>
      </c>
      <c r="G635" t="s">
        <v>442</v>
      </c>
      <c r="H635" t="s">
        <v>575</v>
      </c>
      <c r="I635" s="54">
        <v>46174</v>
      </c>
    </row>
    <row r="636" spans="1:9" x14ac:dyDescent="0.35">
      <c r="A636" t="s">
        <v>43</v>
      </c>
      <c r="B636" t="s">
        <v>45</v>
      </c>
      <c r="C636" t="s">
        <v>1257</v>
      </c>
      <c r="D636" t="s">
        <v>1266</v>
      </c>
      <c r="E636" t="s">
        <v>1476</v>
      </c>
      <c r="F636" t="s">
        <v>1435</v>
      </c>
      <c r="G636" t="s">
        <v>442</v>
      </c>
      <c r="H636" t="s">
        <v>575</v>
      </c>
      <c r="I636" s="54">
        <v>46174</v>
      </c>
    </row>
    <row r="637" spans="1:9" x14ac:dyDescent="0.35">
      <c r="A637" t="s">
        <v>9</v>
      </c>
      <c r="B637" t="s">
        <v>11</v>
      </c>
      <c r="C637" t="s">
        <v>1281</v>
      </c>
      <c r="D637" t="s">
        <v>1260</v>
      </c>
      <c r="E637" t="s">
        <v>1458</v>
      </c>
      <c r="F637" t="s">
        <v>1435</v>
      </c>
      <c r="G637" t="s">
        <v>439</v>
      </c>
      <c r="H637" t="s">
        <v>572</v>
      </c>
      <c r="I637" s="54">
        <v>46174</v>
      </c>
    </row>
    <row r="638" spans="1:9" x14ac:dyDescent="0.35">
      <c r="A638" t="s">
        <v>1302</v>
      </c>
      <c r="B638" t="s">
        <v>1303</v>
      </c>
      <c r="C638" t="s">
        <v>1274</v>
      </c>
      <c r="D638" t="s">
        <v>1263</v>
      </c>
      <c r="E638" t="s">
        <v>1450</v>
      </c>
      <c r="F638" t="s">
        <v>1435</v>
      </c>
      <c r="G638" t="s">
        <v>442</v>
      </c>
      <c r="H638" t="s">
        <v>575</v>
      </c>
      <c r="I638" s="54">
        <v>46174</v>
      </c>
    </row>
    <row r="639" spans="1:9" x14ac:dyDescent="0.35">
      <c r="A639" t="s">
        <v>1352</v>
      </c>
      <c r="B639" t="s">
        <v>1353</v>
      </c>
      <c r="C639" t="s">
        <v>1257</v>
      </c>
      <c r="D639" t="s">
        <v>1263</v>
      </c>
      <c r="E639" t="s">
        <v>1467</v>
      </c>
      <c r="F639" t="s">
        <v>1435</v>
      </c>
      <c r="G639" t="s">
        <v>437</v>
      </c>
      <c r="H639" t="s">
        <v>551</v>
      </c>
      <c r="I639" s="54">
        <v>46174</v>
      </c>
    </row>
    <row r="640" spans="1:9" x14ac:dyDescent="0.35">
      <c r="A640" t="s">
        <v>413</v>
      </c>
      <c r="B640" t="s">
        <v>418</v>
      </c>
      <c r="C640" t="s">
        <v>1253</v>
      </c>
      <c r="D640" t="s">
        <v>1273</v>
      </c>
      <c r="E640" t="s">
        <v>1483</v>
      </c>
      <c r="F640" t="s">
        <v>1435</v>
      </c>
      <c r="G640" t="s">
        <v>439</v>
      </c>
      <c r="H640" t="s">
        <v>572</v>
      </c>
      <c r="I640" s="54">
        <v>46174</v>
      </c>
    </row>
    <row r="641" spans="1:9" x14ac:dyDescent="0.35">
      <c r="A641" t="s">
        <v>9</v>
      </c>
      <c r="B641" t="s">
        <v>11</v>
      </c>
      <c r="C641" t="s">
        <v>1274</v>
      </c>
      <c r="D641" t="s">
        <v>1260</v>
      </c>
      <c r="E641" t="s">
        <v>1458</v>
      </c>
      <c r="F641" t="s">
        <v>1435</v>
      </c>
      <c r="G641" t="s">
        <v>439</v>
      </c>
      <c r="H641" t="s">
        <v>572</v>
      </c>
      <c r="I641" s="54">
        <v>46174</v>
      </c>
    </row>
    <row r="642" spans="1:9" x14ac:dyDescent="0.35">
      <c r="A642" t="s">
        <v>9</v>
      </c>
      <c r="B642" t="s">
        <v>11</v>
      </c>
      <c r="C642" t="s">
        <v>1257</v>
      </c>
      <c r="D642" t="s">
        <v>1260</v>
      </c>
      <c r="E642" t="s">
        <v>1458</v>
      </c>
      <c r="F642" t="s">
        <v>1435</v>
      </c>
      <c r="G642" t="s">
        <v>439</v>
      </c>
      <c r="H642" t="s">
        <v>572</v>
      </c>
      <c r="I642" s="54">
        <v>46174</v>
      </c>
    </row>
    <row r="643" spans="1:9" x14ac:dyDescent="0.35">
      <c r="A643" t="s">
        <v>414</v>
      </c>
      <c r="B643" t="s">
        <v>419</v>
      </c>
      <c r="C643" t="s">
        <v>1253</v>
      </c>
      <c r="D643" t="s">
        <v>1273</v>
      </c>
      <c r="E643" t="s">
        <v>1484</v>
      </c>
      <c r="F643" t="s">
        <v>1435</v>
      </c>
      <c r="G643" t="s">
        <v>439</v>
      </c>
      <c r="H643" t="s">
        <v>572</v>
      </c>
      <c r="I643" s="54">
        <v>46174</v>
      </c>
    </row>
    <row r="644" spans="1:9" x14ac:dyDescent="0.35">
      <c r="A644" t="s">
        <v>697</v>
      </c>
      <c r="B644" t="s">
        <v>698</v>
      </c>
      <c r="C644" t="s">
        <v>1253</v>
      </c>
      <c r="D644" t="s">
        <v>1273</v>
      </c>
      <c r="E644" t="s">
        <v>695</v>
      </c>
      <c r="F644" t="s">
        <v>1435</v>
      </c>
      <c r="G644" t="s">
        <v>439</v>
      </c>
      <c r="H644" t="s">
        <v>572</v>
      </c>
      <c r="I644" s="54">
        <v>46174</v>
      </c>
    </row>
    <row r="645" spans="1:9" x14ac:dyDescent="0.35">
      <c r="A645" t="s">
        <v>5</v>
      </c>
      <c r="B645" t="s">
        <v>7</v>
      </c>
      <c r="C645" t="s">
        <v>1274</v>
      </c>
      <c r="D645" t="s">
        <v>1263</v>
      </c>
      <c r="E645" t="s">
        <v>6</v>
      </c>
      <c r="F645" t="s">
        <v>1435</v>
      </c>
      <c r="G645" t="s">
        <v>439</v>
      </c>
      <c r="H645" t="s">
        <v>572</v>
      </c>
      <c r="I645" s="54">
        <v>46174</v>
      </c>
    </row>
    <row r="646" spans="1:9" x14ac:dyDescent="0.35">
      <c r="A646" t="s">
        <v>1342</v>
      </c>
      <c r="B646" t="s">
        <v>1343</v>
      </c>
      <c r="C646" t="s">
        <v>1257</v>
      </c>
      <c r="D646" t="s">
        <v>1260</v>
      </c>
      <c r="E646" t="s">
        <v>1463</v>
      </c>
      <c r="F646" t="s">
        <v>1435</v>
      </c>
      <c r="G646" t="s">
        <v>442</v>
      </c>
      <c r="H646" t="s">
        <v>575</v>
      </c>
      <c r="I646" s="54">
        <v>46174</v>
      </c>
    </row>
    <row r="647" spans="1:9" x14ac:dyDescent="0.35">
      <c r="A647" t="s">
        <v>1376</v>
      </c>
      <c r="B647" t="s">
        <v>1377</v>
      </c>
      <c r="C647" t="s">
        <v>1281</v>
      </c>
      <c r="D647" t="s">
        <v>1266</v>
      </c>
      <c r="E647" t="s">
        <v>1477</v>
      </c>
      <c r="F647" t="s">
        <v>1435</v>
      </c>
      <c r="G647" t="s">
        <v>437</v>
      </c>
      <c r="H647" t="s">
        <v>551</v>
      </c>
      <c r="I647" s="54">
        <v>46174</v>
      </c>
    </row>
    <row r="648" spans="1:9" x14ac:dyDescent="0.35">
      <c r="A648" t="s">
        <v>1376</v>
      </c>
      <c r="B648" t="s">
        <v>1377</v>
      </c>
      <c r="C648" t="s">
        <v>1257</v>
      </c>
      <c r="D648" t="s">
        <v>1266</v>
      </c>
      <c r="E648" t="s">
        <v>1477</v>
      </c>
      <c r="F648" t="s">
        <v>1435</v>
      </c>
      <c r="G648" t="s">
        <v>437</v>
      </c>
      <c r="H648" t="s">
        <v>551</v>
      </c>
      <c r="I648" s="54">
        <v>46174</v>
      </c>
    </row>
    <row r="649" spans="1:9" x14ac:dyDescent="0.35">
      <c r="A649" t="s">
        <v>62</v>
      </c>
      <c r="B649" t="s">
        <v>64</v>
      </c>
      <c r="C649" t="s">
        <v>1253</v>
      </c>
      <c r="D649" t="s">
        <v>1273</v>
      </c>
      <c r="E649" t="s">
        <v>1488</v>
      </c>
      <c r="F649" t="s">
        <v>1435</v>
      </c>
      <c r="G649" t="s">
        <v>561</v>
      </c>
      <c r="H649" t="s">
        <v>562</v>
      </c>
      <c r="I649" s="54">
        <v>46174</v>
      </c>
    </row>
    <row r="650" spans="1:9" x14ac:dyDescent="0.35">
      <c r="A650" t="s">
        <v>1336</v>
      </c>
      <c r="B650" t="s">
        <v>1337</v>
      </c>
      <c r="C650" t="s">
        <v>1257</v>
      </c>
      <c r="D650" t="s">
        <v>1260</v>
      </c>
      <c r="E650" t="s">
        <v>1461</v>
      </c>
      <c r="F650" t="s">
        <v>1435</v>
      </c>
      <c r="G650" t="s">
        <v>436</v>
      </c>
      <c r="H650" t="s">
        <v>548</v>
      </c>
      <c r="I650" s="54">
        <v>46174</v>
      </c>
    </row>
    <row r="651" spans="1:9" x14ac:dyDescent="0.35">
      <c r="A651" t="s">
        <v>5</v>
      </c>
      <c r="B651" t="s">
        <v>7</v>
      </c>
      <c r="C651" t="s">
        <v>1257</v>
      </c>
      <c r="D651" t="s">
        <v>1263</v>
      </c>
      <c r="E651" t="s">
        <v>6</v>
      </c>
      <c r="F651" t="s">
        <v>1435</v>
      </c>
      <c r="G651" t="s">
        <v>439</v>
      </c>
      <c r="H651" t="s">
        <v>572</v>
      </c>
      <c r="I651" s="54">
        <v>46174</v>
      </c>
    </row>
    <row r="652" spans="1:9" x14ac:dyDescent="0.35">
      <c r="A652" t="s">
        <v>507</v>
      </c>
      <c r="B652" t="s">
        <v>509</v>
      </c>
      <c r="C652" t="s">
        <v>1274</v>
      </c>
      <c r="D652" t="s">
        <v>1260</v>
      </c>
      <c r="E652" t="s">
        <v>1461</v>
      </c>
      <c r="F652" t="s">
        <v>1435</v>
      </c>
      <c r="G652" t="s">
        <v>436</v>
      </c>
      <c r="H652" t="s">
        <v>548</v>
      </c>
      <c r="I652" s="54">
        <v>46174</v>
      </c>
    </row>
    <row r="653" spans="1:9" x14ac:dyDescent="0.35">
      <c r="A653" t="s">
        <v>5</v>
      </c>
      <c r="B653" t="s">
        <v>7</v>
      </c>
      <c r="C653" t="s">
        <v>1281</v>
      </c>
      <c r="D653" t="s">
        <v>1263</v>
      </c>
      <c r="E653" t="s">
        <v>6</v>
      </c>
      <c r="F653" t="s">
        <v>1435</v>
      </c>
      <c r="G653" t="s">
        <v>439</v>
      </c>
      <c r="H653" t="s">
        <v>572</v>
      </c>
      <c r="I653" s="54">
        <v>46174</v>
      </c>
    </row>
    <row r="654" spans="1:9" x14ac:dyDescent="0.35">
      <c r="A654" t="s">
        <v>1336</v>
      </c>
      <c r="B654" t="s">
        <v>1337</v>
      </c>
      <c r="C654" t="s">
        <v>1257</v>
      </c>
      <c r="D654" t="s">
        <v>1263</v>
      </c>
      <c r="E654" t="s">
        <v>1461</v>
      </c>
      <c r="F654" t="s">
        <v>1435</v>
      </c>
      <c r="G654" t="s">
        <v>436</v>
      </c>
      <c r="H654" t="s">
        <v>548</v>
      </c>
      <c r="I654" s="54">
        <v>46174</v>
      </c>
    </row>
    <row r="655" spans="1:9" x14ac:dyDescent="0.35">
      <c r="A655" t="s">
        <v>1338</v>
      </c>
      <c r="B655" t="s">
        <v>1339</v>
      </c>
      <c r="C655" t="s">
        <v>1274</v>
      </c>
      <c r="D655" t="s">
        <v>1260</v>
      </c>
      <c r="E655" t="s">
        <v>1461</v>
      </c>
      <c r="F655" t="s">
        <v>1435</v>
      </c>
      <c r="G655" t="s">
        <v>436</v>
      </c>
      <c r="H655" t="s">
        <v>548</v>
      </c>
      <c r="I655" s="54">
        <v>46174</v>
      </c>
    </row>
    <row r="656" spans="1:9" x14ac:dyDescent="0.35">
      <c r="A656" t="s">
        <v>1336</v>
      </c>
      <c r="B656" t="s">
        <v>1337</v>
      </c>
      <c r="C656" t="s">
        <v>1274</v>
      </c>
      <c r="D656" t="s">
        <v>1263</v>
      </c>
      <c r="E656" t="s">
        <v>1461</v>
      </c>
      <c r="F656" t="s">
        <v>1435</v>
      </c>
      <c r="G656" t="s">
        <v>436</v>
      </c>
      <c r="H656" t="s">
        <v>548</v>
      </c>
      <c r="I656" s="54">
        <v>46174</v>
      </c>
    </row>
    <row r="657" spans="1:9" x14ac:dyDescent="0.35">
      <c r="A657" t="s">
        <v>1338</v>
      </c>
      <c r="B657" t="s">
        <v>1339</v>
      </c>
      <c r="C657" t="s">
        <v>1257</v>
      </c>
      <c r="D657" t="s">
        <v>1260</v>
      </c>
      <c r="E657" t="s">
        <v>1461</v>
      </c>
      <c r="F657" t="s">
        <v>1435</v>
      </c>
      <c r="G657" t="s">
        <v>436</v>
      </c>
      <c r="H657" t="s">
        <v>548</v>
      </c>
      <c r="I657" s="54">
        <v>46174</v>
      </c>
    </row>
    <row r="658" spans="1:9" x14ac:dyDescent="0.35">
      <c r="A658" t="s">
        <v>1390</v>
      </c>
      <c r="B658" t="s">
        <v>1391</v>
      </c>
      <c r="C658" t="s">
        <v>1253</v>
      </c>
      <c r="D658" t="s">
        <v>1273</v>
      </c>
      <c r="E658" t="s">
        <v>1481</v>
      </c>
      <c r="F658" t="s">
        <v>1435</v>
      </c>
      <c r="G658" t="s">
        <v>440</v>
      </c>
      <c r="H658" t="s">
        <v>578</v>
      </c>
      <c r="I658" s="54">
        <v>46174</v>
      </c>
    </row>
    <row r="659" spans="1:9" x14ac:dyDescent="0.35">
      <c r="A659" t="s">
        <v>253</v>
      </c>
      <c r="B659" t="s">
        <v>255</v>
      </c>
      <c r="C659" t="s">
        <v>1274</v>
      </c>
      <c r="D659" t="s">
        <v>1260</v>
      </c>
      <c r="E659" t="s">
        <v>1461</v>
      </c>
      <c r="F659" t="s">
        <v>1435</v>
      </c>
      <c r="G659" t="s">
        <v>436</v>
      </c>
      <c r="H659" t="s">
        <v>548</v>
      </c>
      <c r="I659" s="54">
        <v>46174</v>
      </c>
    </row>
    <row r="660" spans="1:9" x14ac:dyDescent="0.35">
      <c r="A660" t="s">
        <v>66</v>
      </c>
      <c r="B660" t="s">
        <v>675</v>
      </c>
      <c r="C660" t="s">
        <v>1253</v>
      </c>
      <c r="D660" t="s">
        <v>1273</v>
      </c>
      <c r="E660" t="s">
        <v>67</v>
      </c>
      <c r="F660" t="s">
        <v>1435</v>
      </c>
      <c r="G660" t="s">
        <v>440</v>
      </c>
      <c r="H660" t="s">
        <v>578</v>
      </c>
      <c r="I660" s="54">
        <v>46174</v>
      </c>
    </row>
    <row r="661" spans="1:9" x14ac:dyDescent="0.35">
      <c r="A661" t="s">
        <v>507</v>
      </c>
      <c r="B661" t="s">
        <v>509</v>
      </c>
      <c r="C661" t="s">
        <v>1257</v>
      </c>
      <c r="D661" t="s">
        <v>1263</v>
      </c>
      <c r="E661" t="s">
        <v>1461</v>
      </c>
      <c r="F661" t="s">
        <v>1435</v>
      </c>
      <c r="G661" t="s">
        <v>436</v>
      </c>
      <c r="H661" t="s">
        <v>548</v>
      </c>
      <c r="I661" s="54">
        <v>46174</v>
      </c>
    </row>
    <row r="662" spans="1:9" x14ac:dyDescent="0.35">
      <c r="A662" t="s">
        <v>507</v>
      </c>
      <c r="B662" t="s">
        <v>509</v>
      </c>
      <c r="C662" t="s">
        <v>1274</v>
      </c>
      <c r="D662" t="s">
        <v>1263</v>
      </c>
      <c r="E662" t="s">
        <v>1461</v>
      </c>
      <c r="F662" t="s">
        <v>1435</v>
      </c>
      <c r="G662" t="s">
        <v>436</v>
      </c>
      <c r="H662" t="s">
        <v>548</v>
      </c>
      <c r="I662" s="54">
        <v>46174</v>
      </c>
    </row>
    <row r="663" spans="1:9" x14ac:dyDescent="0.35">
      <c r="A663" t="s">
        <v>508</v>
      </c>
      <c r="B663" t="s">
        <v>510</v>
      </c>
      <c r="C663" t="s">
        <v>1257</v>
      </c>
      <c r="D663" t="s">
        <v>1260</v>
      </c>
      <c r="E663" t="s">
        <v>1461</v>
      </c>
      <c r="F663" t="s">
        <v>1435</v>
      </c>
      <c r="G663" t="s">
        <v>436</v>
      </c>
      <c r="H663" t="s">
        <v>548</v>
      </c>
      <c r="I663" s="54">
        <v>46174</v>
      </c>
    </row>
    <row r="664" spans="1:9" x14ac:dyDescent="0.35">
      <c r="A664" t="s">
        <v>1394</v>
      </c>
      <c r="B664" t="s">
        <v>1395</v>
      </c>
      <c r="C664" t="s">
        <v>1253</v>
      </c>
      <c r="D664" t="s">
        <v>1273</v>
      </c>
      <c r="E664" t="s">
        <v>1489</v>
      </c>
      <c r="F664" t="s">
        <v>1435</v>
      </c>
      <c r="G664" t="s">
        <v>440</v>
      </c>
      <c r="H664" t="s">
        <v>578</v>
      </c>
      <c r="I664" s="54">
        <v>46174</v>
      </c>
    </row>
    <row r="665" spans="1:9" x14ac:dyDescent="0.35">
      <c r="A665" t="s">
        <v>697</v>
      </c>
      <c r="B665" t="s">
        <v>698</v>
      </c>
      <c r="C665" t="s">
        <v>1274</v>
      </c>
      <c r="D665" t="s">
        <v>1266</v>
      </c>
      <c r="E665" t="s">
        <v>695</v>
      </c>
      <c r="F665" t="s">
        <v>1435</v>
      </c>
      <c r="G665" t="s">
        <v>439</v>
      </c>
      <c r="H665" t="s">
        <v>572</v>
      </c>
      <c r="I665" s="54">
        <v>46174</v>
      </c>
    </row>
    <row r="666" spans="1:9" x14ac:dyDescent="0.35">
      <c r="A666" t="s">
        <v>697</v>
      </c>
      <c r="B666" t="s">
        <v>698</v>
      </c>
      <c r="C666" t="s">
        <v>1281</v>
      </c>
      <c r="D666" t="s">
        <v>1266</v>
      </c>
      <c r="E666" t="s">
        <v>695</v>
      </c>
      <c r="F666" t="s">
        <v>1435</v>
      </c>
      <c r="G666" t="s">
        <v>439</v>
      </c>
      <c r="H666" t="s">
        <v>572</v>
      </c>
      <c r="I666" s="54">
        <v>46174</v>
      </c>
    </row>
    <row r="667" spans="1:9" x14ac:dyDescent="0.35">
      <c r="A667" t="s">
        <v>70</v>
      </c>
      <c r="B667" t="s">
        <v>71</v>
      </c>
      <c r="C667" t="s">
        <v>1253</v>
      </c>
      <c r="D667" t="s">
        <v>1273</v>
      </c>
      <c r="E667" t="s">
        <v>396</v>
      </c>
      <c r="F667" t="s">
        <v>1435</v>
      </c>
      <c r="G667" t="s">
        <v>438</v>
      </c>
      <c r="H667" t="s">
        <v>554</v>
      </c>
      <c r="I667" s="54">
        <v>46174</v>
      </c>
    </row>
    <row r="668" spans="1:9" x14ac:dyDescent="0.35">
      <c r="A668" t="s">
        <v>1279</v>
      </c>
      <c r="B668" t="s">
        <v>1280</v>
      </c>
      <c r="C668" t="s">
        <v>1257</v>
      </c>
      <c r="D668" t="s">
        <v>1273</v>
      </c>
      <c r="E668" t="s">
        <v>1441</v>
      </c>
      <c r="F668" t="s">
        <v>1435</v>
      </c>
      <c r="G668" t="s">
        <v>437</v>
      </c>
      <c r="H668" t="s">
        <v>551</v>
      </c>
      <c r="I668" s="54">
        <v>46174</v>
      </c>
    </row>
    <row r="669" spans="1:9" x14ac:dyDescent="0.35">
      <c r="A669" t="s">
        <v>1338</v>
      </c>
      <c r="B669" t="s">
        <v>1339</v>
      </c>
      <c r="C669" t="s">
        <v>1274</v>
      </c>
      <c r="D669" t="s">
        <v>1263</v>
      </c>
      <c r="E669" t="s">
        <v>1461</v>
      </c>
      <c r="F669" t="s">
        <v>1435</v>
      </c>
      <c r="G669" t="s">
        <v>436</v>
      </c>
      <c r="H669" t="s">
        <v>548</v>
      </c>
      <c r="I669" s="54">
        <v>46174</v>
      </c>
    </row>
    <row r="670" spans="1:9" x14ac:dyDescent="0.35">
      <c r="A670" t="s">
        <v>1338</v>
      </c>
      <c r="B670" t="s">
        <v>1339</v>
      </c>
      <c r="C670" t="s">
        <v>1257</v>
      </c>
      <c r="D670" t="s">
        <v>1263</v>
      </c>
      <c r="E670" t="s">
        <v>1461</v>
      </c>
      <c r="F670" t="s">
        <v>1435</v>
      </c>
      <c r="G670" t="s">
        <v>436</v>
      </c>
      <c r="H670" t="s">
        <v>548</v>
      </c>
      <c r="I670" s="54">
        <v>46174</v>
      </c>
    </row>
    <row r="671" spans="1:9" x14ac:dyDescent="0.35">
      <c r="A671" t="s">
        <v>697</v>
      </c>
      <c r="B671" t="s">
        <v>698</v>
      </c>
      <c r="C671" t="s">
        <v>1257</v>
      </c>
      <c r="D671" t="s">
        <v>1266</v>
      </c>
      <c r="E671" t="s">
        <v>695</v>
      </c>
      <c r="F671" t="s">
        <v>1435</v>
      </c>
      <c r="G671" t="s">
        <v>439</v>
      </c>
      <c r="H671" t="s">
        <v>572</v>
      </c>
      <c r="I671" s="54">
        <v>46174</v>
      </c>
    </row>
    <row r="672" spans="1:9" x14ac:dyDescent="0.35">
      <c r="A672" t="s">
        <v>1346</v>
      </c>
      <c r="B672" t="s">
        <v>1347</v>
      </c>
      <c r="C672" t="s">
        <v>1257</v>
      </c>
      <c r="D672" t="s">
        <v>1260</v>
      </c>
      <c r="E672" t="s">
        <v>1437</v>
      </c>
      <c r="F672" t="s">
        <v>1435</v>
      </c>
      <c r="G672" t="s">
        <v>437</v>
      </c>
      <c r="H672" t="s">
        <v>551</v>
      </c>
      <c r="I672" s="54">
        <v>46174</v>
      </c>
    </row>
    <row r="673" spans="1:9" x14ac:dyDescent="0.35">
      <c r="A673" t="s">
        <v>253</v>
      </c>
      <c r="B673" t="s">
        <v>255</v>
      </c>
      <c r="C673" t="s">
        <v>1274</v>
      </c>
      <c r="D673" t="s">
        <v>1263</v>
      </c>
      <c r="E673" t="s">
        <v>1461</v>
      </c>
      <c r="F673" t="s">
        <v>1435</v>
      </c>
      <c r="G673" t="s">
        <v>436</v>
      </c>
      <c r="H673" t="s">
        <v>548</v>
      </c>
      <c r="I673" s="54">
        <v>46174</v>
      </c>
    </row>
    <row r="674" spans="1:9" x14ac:dyDescent="0.35">
      <c r="A674" t="s">
        <v>253</v>
      </c>
      <c r="B674" t="s">
        <v>255</v>
      </c>
      <c r="C674" t="s">
        <v>1257</v>
      </c>
      <c r="D674" t="s">
        <v>1263</v>
      </c>
      <c r="E674" t="s">
        <v>1461</v>
      </c>
      <c r="F674" t="s">
        <v>1435</v>
      </c>
      <c r="G674" t="s">
        <v>436</v>
      </c>
      <c r="H674" t="s">
        <v>548</v>
      </c>
      <c r="I674" s="54">
        <v>46174</v>
      </c>
    </row>
    <row r="675" spans="1:9" x14ac:dyDescent="0.35">
      <c r="A675" t="s">
        <v>1346</v>
      </c>
      <c r="B675" t="s">
        <v>1347</v>
      </c>
      <c r="C675" t="s">
        <v>1274</v>
      </c>
      <c r="D675" t="s">
        <v>1260</v>
      </c>
      <c r="E675" t="s">
        <v>1437</v>
      </c>
      <c r="F675" t="s">
        <v>1435</v>
      </c>
      <c r="G675" t="s">
        <v>437</v>
      </c>
      <c r="H675" t="s">
        <v>551</v>
      </c>
      <c r="I675" s="54">
        <v>46174</v>
      </c>
    </row>
    <row r="676" spans="1:9" x14ac:dyDescent="0.35">
      <c r="A676" t="s">
        <v>1370</v>
      </c>
      <c r="B676" t="s">
        <v>1371</v>
      </c>
      <c r="C676" t="s">
        <v>1274</v>
      </c>
      <c r="D676" t="s">
        <v>1260</v>
      </c>
      <c r="E676" t="s">
        <v>1474</v>
      </c>
      <c r="F676" t="s">
        <v>1435</v>
      </c>
      <c r="G676" t="s">
        <v>565</v>
      </c>
      <c r="H676" t="s">
        <v>566</v>
      </c>
      <c r="I676" s="54">
        <v>46174</v>
      </c>
    </row>
    <row r="677" spans="1:9" x14ac:dyDescent="0.35">
      <c r="A677" t="s">
        <v>508</v>
      </c>
      <c r="B677" t="s">
        <v>510</v>
      </c>
      <c r="C677" t="s">
        <v>1257</v>
      </c>
      <c r="D677" t="s">
        <v>1263</v>
      </c>
      <c r="E677" t="s">
        <v>1461</v>
      </c>
      <c r="F677" t="s">
        <v>1435</v>
      </c>
      <c r="G677" t="s">
        <v>436</v>
      </c>
      <c r="H677" t="s">
        <v>548</v>
      </c>
      <c r="I677" s="54">
        <v>46174</v>
      </c>
    </row>
    <row r="678" spans="1:9" x14ac:dyDescent="0.35">
      <c r="A678" t="s">
        <v>508</v>
      </c>
      <c r="B678" t="s">
        <v>510</v>
      </c>
      <c r="C678" t="s">
        <v>1274</v>
      </c>
      <c r="D678" t="s">
        <v>1263</v>
      </c>
      <c r="E678" t="s">
        <v>1461</v>
      </c>
      <c r="F678" t="s">
        <v>1435</v>
      </c>
      <c r="G678" t="s">
        <v>436</v>
      </c>
      <c r="H678" t="s">
        <v>548</v>
      </c>
      <c r="I678" s="54">
        <v>46174</v>
      </c>
    </row>
    <row r="679" spans="1:9" x14ac:dyDescent="0.35">
      <c r="A679" t="s">
        <v>1384</v>
      </c>
      <c r="B679" t="s">
        <v>1385</v>
      </c>
      <c r="C679" t="s">
        <v>1257</v>
      </c>
      <c r="D679" t="s">
        <v>1266</v>
      </c>
      <c r="E679" t="s">
        <v>1481</v>
      </c>
      <c r="F679" t="s">
        <v>1435</v>
      </c>
      <c r="G679" t="s">
        <v>440</v>
      </c>
      <c r="H679" t="s">
        <v>578</v>
      </c>
      <c r="I679" s="54">
        <v>46174</v>
      </c>
    </row>
    <row r="680" spans="1:9" x14ac:dyDescent="0.35">
      <c r="A680" t="s">
        <v>1370</v>
      </c>
      <c r="B680" t="s">
        <v>1371</v>
      </c>
      <c r="C680" t="s">
        <v>1257</v>
      </c>
      <c r="D680" t="s">
        <v>1260</v>
      </c>
      <c r="E680" t="s">
        <v>1474</v>
      </c>
      <c r="F680" t="s">
        <v>1435</v>
      </c>
      <c r="G680" t="s">
        <v>565</v>
      </c>
      <c r="H680" t="s">
        <v>566</v>
      </c>
      <c r="I680" s="54">
        <v>46174</v>
      </c>
    </row>
    <row r="681" spans="1:9" x14ac:dyDescent="0.35">
      <c r="A681" t="s">
        <v>1384</v>
      </c>
      <c r="B681" t="s">
        <v>1385</v>
      </c>
      <c r="C681" t="s">
        <v>1274</v>
      </c>
      <c r="D681" t="s">
        <v>1266</v>
      </c>
      <c r="E681" t="s">
        <v>1481</v>
      </c>
      <c r="F681" t="s">
        <v>1435</v>
      </c>
      <c r="G681" t="s">
        <v>440</v>
      </c>
      <c r="H681" t="s">
        <v>578</v>
      </c>
      <c r="I681" s="54">
        <v>46174</v>
      </c>
    </row>
    <row r="682" spans="1:9" x14ac:dyDescent="0.35">
      <c r="A682" t="s">
        <v>1384</v>
      </c>
      <c r="B682" t="s">
        <v>1385</v>
      </c>
      <c r="C682" t="s">
        <v>1281</v>
      </c>
      <c r="D682" t="s">
        <v>1266</v>
      </c>
      <c r="E682" t="s">
        <v>1481</v>
      </c>
      <c r="F682" t="s">
        <v>1435</v>
      </c>
      <c r="G682" t="s">
        <v>440</v>
      </c>
      <c r="H682" t="s">
        <v>578</v>
      </c>
      <c r="I682" s="54">
        <v>46174</v>
      </c>
    </row>
    <row r="683" spans="1:9" x14ac:dyDescent="0.35">
      <c r="A683" t="s">
        <v>37</v>
      </c>
      <c r="B683" t="s">
        <v>39</v>
      </c>
      <c r="C683" t="s">
        <v>1274</v>
      </c>
      <c r="D683" t="s">
        <v>1260</v>
      </c>
      <c r="E683" t="s">
        <v>1464</v>
      </c>
      <c r="F683" t="s">
        <v>1435</v>
      </c>
      <c r="G683" t="s">
        <v>561</v>
      </c>
      <c r="H683" t="s">
        <v>562</v>
      </c>
      <c r="I683" s="54">
        <v>46174</v>
      </c>
    </row>
    <row r="684" spans="1:9" x14ac:dyDescent="0.35">
      <c r="A684" t="s">
        <v>1318</v>
      </c>
      <c r="B684" t="s">
        <v>1319</v>
      </c>
      <c r="C684" t="s">
        <v>1257</v>
      </c>
      <c r="D684" t="s">
        <v>1263</v>
      </c>
      <c r="E684" t="s">
        <v>1453</v>
      </c>
      <c r="F684" t="s">
        <v>1435</v>
      </c>
      <c r="G684" t="s">
        <v>442</v>
      </c>
      <c r="H684" t="s">
        <v>575</v>
      </c>
      <c r="I684" s="54">
        <v>46174</v>
      </c>
    </row>
    <row r="685" spans="1:9" x14ac:dyDescent="0.35">
      <c r="A685" t="s">
        <v>413</v>
      </c>
      <c r="B685" t="s">
        <v>418</v>
      </c>
      <c r="C685" t="s">
        <v>1274</v>
      </c>
      <c r="D685" t="s">
        <v>1266</v>
      </c>
      <c r="E685" t="s">
        <v>1483</v>
      </c>
      <c r="F685" t="s">
        <v>1435</v>
      </c>
      <c r="G685" t="s">
        <v>439</v>
      </c>
      <c r="H685" t="s">
        <v>572</v>
      </c>
      <c r="I685" s="54">
        <v>46174</v>
      </c>
    </row>
    <row r="686" spans="1:9" x14ac:dyDescent="0.35">
      <c r="A686" t="s">
        <v>414</v>
      </c>
      <c r="B686" t="s">
        <v>419</v>
      </c>
      <c r="C686" t="s">
        <v>1274</v>
      </c>
      <c r="D686" t="s">
        <v>1266</v>
      </c>
      <c r="E686" t="s">
        <v>1484</v>
      </c>
      <c r="F686" t="s">
        <v>1435</v>
      </c>
      <c r="G686" t="s">
        <v>439</v>
      </c>
      <c r="H686" t="s">
        <v>572</v>
      </c>
      <c r="I686" s="54">
        <v>46174</v>
      </c>
    </row>
    <row r="687" spans="1:9" x14ac:dyDescent="0.35">
      <c r="A687" t="s">
        <v>1322</v>
      </c>
      <c r="B687" t="s">
        <v>1323</v>
      </c>
      <c r="C687" t="s">
        <v>1253</v>
      </c>
      <c r="D687" t="s">
        <v>1260</v>
      </c>
      <c r="E687" t="s">
        <v>1444</v>
      </c>
      <c r="F687" t="s">
        <v>1435</v>
      </c>
      <c r="G687" t="s">
        <v>436</v>
      </c>
      <c r="H687" t="s">
        <v>548</v>
      </c>
      <c r="I687" s="54">
        <v>46174</v>
      </c>
    </row>
    <row r="688" spans="1:9" x14ac:dyDescent="0.35">
      <c r="A688" t="s">
        <v>414</v>
      </c>
      <c r="B688" t="s">
        <v>419</v>
      </c>
      <c r="C688" t="s">
        <v>1281</v>
      </c>
      <c r="D688" t="s">
        <v>1266</v>
      </c>
      <c r="E688" t="s">
        <v>1484</v>
      </c>
      <c r="F688" t="s">
        <v>1435</v>
      </c>
      <c r="G688" t="s">
        <v>439</v>
      </c>
      <c r="H688" t="s">
        <v>572</v>
      </c>
      <c r="I688" s="54">
        <v>46174</v>
      </c>
    </row>
    <row r="689" spans="1:9" x14ac:dyDescent="0.35">
      <c r="A689" t="s">
        <v>1346</v>
      </c>
      <c r="B689" t="s">
        <v>1347</v>
      </c>
      <c r="C689" t="s">
        <v>1274</v>
      </c>
      <c r="D689" t="s">
        <v>1263</v>
      </c>
      <c r="E689" t="s">
        <v>1437</v>
      </c>
      <c r="F689" t="s">
        <v>1435</v>
      </c>
      <c r="G689" t="s">
        <v>437</v>
      </c>
      <c r="H689" t="s">
        <v>551</v>
      </c>
      <c r="I689" s="54">
        <v>46174</v>
      </c>
    </row>
    <row r="690" spans="1:9" x14ac:dyDescent="0.35">
      <c r="A690" t="s">
        <v>414</v>
      </c>
      <c r="B690" t="s">
        <v>419</v>
      </c>
      <c r="C690" t="s">
        <v>1257</v>
      </c>
      <c r="D690" t="s">
        <v>1266</v>
      </c>
      <c r="E690" t="s">
        <v>1484</v>
      </c>
      <c r="F690" t="s">
        <v>1435</v>
      </c>
      <c r="G690" t="s">
        <v>439</v>
      </c>
      <c r="H690" t="s">
        <v>572</v>
      </c>
      <c r="I690" s="54">
        <v>46174</v>
      </c>
    </row>
    <row r="691" spans="1:9" x14ac:dyDescent="0.35">
      <c r="A691" t="s">
        <v>1380</v>
      </c>
      <c r="B691" t="s">
        <v>1381</v>
      </c>
      <c r="C691" t="s">
        <v>1274</v>
      </c>
      <c r="D691" t="s">
        <v>1266</v>
      </c>
      <c r="E691" t="s">
        <v>1480</v>
      </c>
      <c r="F691" t="s">
        <v>1435</v>
      </c>
      <c r="G691" t="s">
        <v>440</v>
      </c>
      <c r="H691" t="s">
        <v>578</v>
      </c>
      <c r="I691" s="54">
        <v>46174</v>
      </c>
    </row>
    <row r="692" spans="1:9" x14ac:dyDescent="0.35">
      <c r="A692" t="s">
        <v>1370</v>
      </c>
      <c r="B692" t="s">
        <v>1371</v>
      </c>
      <c r="C692" t="s">
        <v>1257</v>
      </c>
      <c r="D692" t="s">
        <v>1263</v>
      </c>
      <c r="E692" t="s">
        <v>1474</v>
      </c>
      <c r="F692" t="s">
        <v>1435</v>
      </c>
      <c r="G692" t="s">
        <v>565</v>
      </c>
      <c r="H692" t="s">
        <v>566</v>
      </c>
      <c r="I692" s="54">
        <v>46174</v>
      </c>
    </row>
    <row r="693" spans="1:9" x14ac:dyDescent="0.35">
      <c r="A693" t="s">
        <v>1370</v>
      </c>
      <c r="B693" t="s">
        <v>1371</v>
      </c>
      <c r="C693" t="s">
        <v>1274</v>
      </c>
      <c r="D693" t="s">
        <v>1263</v>
      </c>
      <c r="E693" t="s">
        <v>1474</v>
      </c>
      <c r="F693" t="s">
        <v>1435</v>
      </c>
      <c r="G693" t="s">
        <v>565</v>
      </c>
      <c r="H693" t="s">
        <v>566</v>
      </c>
      <c r="I693" s="54">
        <v>46174</v>
      </c>
    </row>
    <row r="694" spans="1:9" x14ac:dyDescent="0.35">
      <c r="A694" t="s">
        <v>1376</v>
      </c>
      <c r="B694" t="s">
        <v>1377</v>
      </c>
      <c r="C694" t="s">
        <v>1274</v>
      </c>
      <c r="D694" t="s">
        <v>1260</v>
      </c>
      <c r="E694" t="s">
        <v>1477</v>
      </c>
      <c r="F694" t="s">
        <v>1435</v>
      </c>
      <c r="G694" t="s">
        <v>437</v>
      </c>
      <c r="H694" t="s">
        <v>551</v>
      </c>
      <c r="I694" s="54">
        <v>46174</v>
      </c>
    </row>
    <row r="695" spans="1:9" x14ac:dyDescent="0.35">
      <c r="A695" t="s">
        <v>1376</v>
      </c>
      <c r="B695" t="s">
        <v>1377</v>
      </c>
      <c r="C695" t="s">
        <v>1281</v>
      </c>
      <c r="D695" t="s">
        <v>1260</v>
      </c>
      <c r="E695" t="s">
        <v>1477</v>
      </c>
      <c r="F695" t="s">
        <v>1435</v>
      </c>
      <c r="G695" t="s">
        <v>437</v>
      </c>
      <c r="H695" t="s">
        <v>551</v>
      </c>
      <c r="I695" s="54">
        <v>46174</v>
      </c>
    </row>
    <row r="696" spans="1:9" x14ac:dyDescent="0.35">
      <c r="A696" t="s">
        <v>37</v>
      </c>
      <c r="B696" t="s">
        <v>39</v>
      </c>
      <c r="C696" t="s">
        <v>1257</v>
      </c>
      <c r="D696" t="s">
        <v>1263</v>
      </c>
      <c r="E696" t="s">
        <v>1464</v>
      </c>
      <c r="F696" t="s">
        <v>1435</v>
      </c>
      <c r="G696" t="s">
        <v>561</v>
      </c>
      <c r="H696" t="s">
        <v>562</v>
      </c>
      <c r="I696" s="54">
        <v>46174</v>
      </c>
    </row>
    <row r="697" spans="1:9" x14ac:dyDescent="0.35">
      <c r="A697" t="s">
        <v>37</v>
      </c>
      <c r="B697" t="s">
        <v>39</v>
      </c>
      <c r="C697" t="s">
        <v>1274</v>
      </c>
      <c r="D697" t="s">
        <v>1263</v>
      </c>
      <c r="E697" t="s">
        <v>1464</v>
      </c>
      <c r="F697" t="s">
        <v>1435</v>
      </c>
      <c r="G697" t="s">
        <v>561</v>
      </c>
      <c r="H697" t="s">
        <v>562</v>
      </c>
      <c r="I697" s="54">
        <v>46174</v>
      </c>
    </row>
    <row r="698" spans="1:9" x14ac:dyDescent="0.35">
      <c r="A698" t="s">
        <v>1386</v>
      </c>
      <c r="B698" t="s">
        <v>1387</v>
      </c>
      <c r="C698" t="s">
        <v>1274</v>
      </c>
      <c r="D698" t="s">
        <v>1266</v>
      </c>
      <c r="E698" t="s">
        <v>1482</v>
      </c>
      <c r="F698" t="s">
        <v>1435</v>
      </c>
      <c r="G698" t="s">
        <v>440</v>
      </c>
      <c r="H698" t="s">
        <v>578</v>
      </c>
      <c r="I698" s="54">
        <v>46174</v>
      </c>
    </row>
    <row r="699" spans="1:9" x14ac:dyDescent="0.35">
      <c r="A699" t="s">
        <v>1386</v>
      </c>
      <c r="B699" t="s">
        <v>1387</v>
      </c>
      <c r="C699" t="s">
        <v>1281</v>
      </c>
      <c r="D699" t="s">
        <v>1266</v>
      </c>
      <c r="E699" t="s">
        <v>1482</v>
      </c>
      <c r="F699" t="s">
        <v>1435</v>
      </c>
      <c r="G699" t="s">
        <v>440</v>
      </c>
      <c r="H699" t="s">
        <v>578</v>
      </c>
      <c r="I699" s="54">
        <v>46174</v>
      </c>
    </row>
    <row r="700" spans="1:9" x14ac:dyDescent="0.35">
      <c r="A700" t="s">
        <v>1386</v>
      </c>
      <c r="B700" t="s">
        <v>1387</v>
      </c>
      <c r="C700" t="s">
        <v>1257</v>
      </c>
      <c r="D700" t="s">
        <v>1266</v>
      </c>
      <c r="E700" t="s">
        <v>1482</v>
      </c>
      <c r="F700" t="s">
        <v>1435</v>
      </c>
      <c r="G700" t="s">
        <v>440</v>
      </c>
      <c r="H700" t="s">
        <v>578</v>
      </c>
      <c r="I700" s="54">
        <v>46174</v>
      </c>
    </row>
    <row r="701" spans="1:9" x14ac:dyDescent="0.35">
      <c r="A701" t="s">
        <v>66</v>
      </c>
      <c r="B701" t="s">
        <v>675</v>
      </c>
      <c r="C701" t="s">
        <v>1281</v>
      </c>
      <c r="D701" t="s">
        <v>1266</v>
      </c>
      <c r="E701" t="s">
        <v>67</v>
      </c>
      <c r="F701" t="s">
        <v>1435</v>
      </c>
      <c r="G701" t="s">
        <v>440</v>
      </c>
      <c r="H701" t="s">
        <v>578</v>
      </c>
      <c r="I701" s="54">
        <v>46174</v>
      </c>
    </row>
    <row r="702" spans="1:9" x14ac:dyDescent="0.35">
      <c r="A702" t="s">
        <v>66</v>
      </c>
      <c r="B702" t="s">
        <v>675</v>
      </c>
      <c r="C702" t="s">
        <v>1274</v>
      </c>
      <c r="D702" t="s">
        <v>1266</v>
      </c>
      <c r="E702" t="s">
        <v>67</v>
      </c>
      <c r="F702" t="s">
        <v>1435</v>
      </c>
      <c r="G702" t="s">
        <v>440</v>
      </c>
      <c r="H702" t="s">
        <v>578</v>
      </c>
      <c r="I702" s="54">
        <v>46174</v>
      </c>
    </row>
    <row r="703" spans="1:9" x14ac:dyDescent="0.35">
      <c r="A703" t="s">
        <v>66</v>
      </c>
      <c r="B703" t="s">
        <v>675</v>
      </c>
      <c r="C703" t="s">
        <v>1257</v>
      </c>
      <c r="D703" t="s">
        <v>1266</v>
      </c>
      <c r="E703" t="s">
        <v>67</v>
      </c>
      <c r="F703" t="s">
        <v>1435</v>
      </c>
      <c r="G703" t="s">
        <v>440</v>
      </c>
      <c r="H703" t="s">
        <v>578</v>
      </c>
      <c r="I703" s="54">
        <v>46174</v>
      </c>
    </row>
    <row r="704" spans="1:9" x14ac:dyDescent="0.35">
      <c r="A704" t="s">
        <v>1376</v>
      </c>
      <c r="B704" t="s">
        <v>1377</v>
      </c>
      <c r="C704" t="s">
        <v>1281</v>
      </c>
      <c r="D704" t="s">
        <v>1263</v>
      </c>
      <c r="E704" t="s">
        <v>1477</v>
      </c>
      <c r="F704" t="s">
        <v>1435</v>
      </c>
      <c r="G704" t="s">
        <v>437</v>
      </c>
      <c r="H704" t="s">
        <v>551</v>
      </c>
      <c r="I704" s="54">
        <v>46174</v>
      </c>
    </row>
    <row r="705" spans="1:9" x14ac:dyDescent="0.35">
      <c r="A705" t="s">
        <v>635</v>
      </c>
      <c r="B705" t="s">
        <v>636</v>
      </c>
      <c r="C705" t="s">
        <v>1257</v>
      </c>
      <c r="D705" t="s">
        <v>1266</v>
      </c>
      <c r="E705" t="s">
        <v>1452</v>
      </c>
      <c r="F705" t="s">
        <v>1435</v>
      </c>
      <c r="G705" t="s">
        <v>442</v>
      </c>
      <c r="H705" t="s">
        <v>575</v>
      </c>
      <c r="I705" s="54">
        <v>46174</v>
      </c>
    </row>
    <row r="706" spans="1:9" x14ac:dyDescent="0.35">
      <c r="A706" t="s">
        <v>635</v>
      </c>
      <c r="B706" t="s">
        <v>636</v>
      </c>
      <c r="C706" t="s">
        <v>1281</v>
      </c>
      <c r="D706" t="s">
        <v>1266</v>
      </c>
      <c r="E706" t="s">
        <v>1452</v>
      </c>
      <c r="F706" t="s">
        <v>1435</v>
      </c>
      <c r="G706" t="s">
        <v>442</v>
      </c>
      <c r="H706" t="s">
        <v>575</v>
      </c>
      <c r="I706" s="54">
        <v>46174</v>
      </c>
    </row>
    <row r="707" spans="1:9" x14ac:dyDescent="0.35">
      <c r="A707" t="s">
        <v>1378</v>
      </c>
      <c r="B707" t="s">
        <v>1379</v>
      </c>
      <c r="C707" t="s">
        <v>1281</v>
      </c>
      <c r="D707" t="s">
        <v>1260</v>
      </c>
      <c r="E707" t="s">
        <v>1478</v>
      </c>
      <c r="F707" t="s">
        <v>1435</v>
      </c>
      <c r="G707" t="s">
        <v>440</v>
      </c>
      <c r="H707" t="s">
        <v>578</v>
      </c>
      <c r="I707" s="54">
        <v>46174</v>
      </c>
    </row>
    <row r="708" spans="1:9" x14ac:dyDescent="0.35">
      <c r="A708" t="s">
        <v>1378</v>
      </c>
      <c r="B708" t="s">
        <v>1379</v>
      </c>
      <c r="C708" t="s">
        <v>1274</v>
      </c>
      <c r="D708" t="s">
        <v>1260</v>
      </c>
      <c r="E708" t="s">
        <v>1478</v>
      </c>
      <c r="F708" t="s">
        <v>1435</v>
      </c>
      <c r="G708" t="s">
        <v>440</v>
      </c>
      <c r="H708" t="s">
        <v>578</v>
      </c>
      <c r="I708" s="54">
        <v>46174</v>
      </c>
    </row>
    <row r="709" spans="1:9" x14ac:dyDescent="0.35">
      <c r="A709" t="s">
        <v>635</v>
      </c>
      <c r="B709" t="s">
        <v>636</v>
      </c>
      <c r="C709" t="s">
        <v>1274</v>
      </c>
      <c r="D709" t="s">
        <v>1266</v>
      </c>
      <c r="E709" t="s">
        <v>1452</v>
      </c>
      <c r="F709" t="s">
        <v>1435</v>
      </c>
      <c r="G709" t="s">
        <v>442</v>
      </c>
      <c r="H709" t="s">
        <v>575</v>
      </c>
      <c r="I709" s="54">
        <v>46174</v>
      </c>
    </row>
    <row r="710" spans="1:9" x14ac:dyDescent="0.35">
      <c r="A710" t="s">
        <v>639</v>
      </c>
      <c r="B710" t="s">
        <v>640</v>
      </c>
      <c r="C710" t="s">
        <v>1257</v>
      </c>
      <c r="D710" t="s">
        <v>1266</v>
      </c>
      <c r="E710" t="s">
        <v>1455</v>
      </c>
      <c r="F710" t="s">
        <v>1435</v>
      </c>
      <c r="G710" t="s">
        <v>442</v>
      </c>
      <c r="H710" t="s">
        <v>575</v>
      </c>
      <c r="I710" s="54">
        <v>46174</v>
      </c>
    </row>
    <row r="711" spans="1:9" x14ac:dyDescent="0.35">
      <c r="A711" t="s">
        <v>1376</v>
      </c>
      <c r="B711" t="s">
        <v>1377</v>
      </c>
      <c r="C711" t="s">
        <v>1274</v>
      </c>
      <c r="D711" t="s">
        <v>1263</v>
      </c>
      <c r="E711" t="s">
        <v>1477</v>
      </c>
      <c r="F711" t="s">
        <v>1435</v>
      </c>
      <c r="G711" t="s">
        <v>437</v>
      </c>
      <c r="H711" t="s">
        <v>551</v>
      </c>
      <c r="I711" s="54">
        <v>46174</v>
      </c>
    </row>
    <row r="712" spans="1:9" x14ac:dyDescent="0.35">
      <c r="A712" t="s">
        <v>1376</v>
      </c>
      <c r="B712" t="s">
        <v>1377</v>
      </c>
      <c r="C712" t="s">
        <v>1257</v>
      </c>
      <c r="D712" t="s">
        <v>1263</v>
      </c>
      <c r="E712" t="s">
        <v>1477</v>
      </c>
      <c r="F712" t="s">
        <v>1435</v>
      </c>
      <c r="G712" t="s">
        <v>437</v>
      </c>
      <c r="H712" t="s">
        <v>551</v>
      </c>
      <c r="I712" s="54">
        <v>46174</v>
      </c>
    </row>
    <row r="713" spans="1:9" x14ac:dyDescent="0.35">
      <c r="A713" t="s">
        <v>639</v>
      </c>
      <c r="B713" t="s">
        <v>640</v>
      </c>
      <c r="C713" t="s">
        <v>1274</v>
      </c>
      <c r="D713" t="s">
        <v>1266</v>
      </c>
      <c r="E713" t="s">
        <v>1455</v>
      </c>
      <c r="F713" t="s">
        <v>1435</v>
      </c>
      <c r="G713" t="s">
        <v>442</v>
      </c>
      <c r="H713" t="s">
        <v>575</v>
      </c>
      <c r="I713" s="54">
        <v>46174</v>
      </c>
    </row>
    <row r="714" spans="1:9" x14ac:dyDescent="0.35">
      <c r="A714" t="s">
        <v>1378</v>
      </c>
      <c r="B714" t="s">
        <v>1379</v>
      </c>
      <c r="C714" t="s">
        <v>1257</v>
      </c>
      <c r="D714" t="s">
        <v>1260</v>
      </c>
      <c r="E714" t="s">
        <v>1478</v>
      </c>
      <c r="F714" t="s">
        <v>1435</v>
      </c>
      <c r="G714" t="s">
        <v>440</v>
      </c>
      <c r="H714" t="s">
        <v>578</v>
      </c>
      <c r="I714" s="54">
        <v>46174</v>
      </c>
    </row>
    <row r="715" spans="1:9" x14ac:dyDescent="0.35">
      <c r="A715" t="s">
        <v>639</v>
      </c>
      <c r="B715" t="s">
        <v>640</v>
      </c>
      <c r="C715" t="s">
        <v>1281</v>
      </c>
      <c r="D715" t="s">
        <v>1266</v>
      </c>
      <c r="E715" t="s">
        <v>1455</v>
      </c>
      <c r="F715" t="s">
        <v>1435</v>
      </c>
      <c r="G715" t="s">
        <v>442</v>
      </c>
      <c r="H715" t="s">
        <v>575</v>
      </c>
      <c r="I715" s="54">
        <v>46174</v>
      </c>
    </row>
    <row r="716" spans="1:9" x14ac:dyDescent="0.35">
      <c r="A716" t="s">
        <v>697</v>
      </c>
      <c r="B716" t="s">
        <v>698</v>
      </c>
      <c r="C716" t="s">
        <v>1281</v>
      </c>
      <c r="D716" t="s">
        <v>1260</v>
      </c>
      <c r="E716" t="s">
        <v>695</v>
      </c>
      <c r="F716" t="s">
        <v>1435</v>
      </c>
      <c r="G716" t="s">
        <v>439</v>
      </c>
      <c r="H716" t="s">
        <v>572</v>
      </c>
      <c r="I716" s="54">
        <v>46174</v>
      </c>
    </row>
    <row r="717" spans="1:9" x14ac:dyDescent="0.35">
      <c r="A717" t="s">
        <v>697</v>
      </c>
      <c r="B717" t="s">
        <v>698</v>
      </c>
      <c r="C717" t="s">
        <v>1274</v>
      </c>
      <c r="D717" t="s">
        <v>1260</v>
      </c>
      <c r="E717" t="s">
        <v>695</v>
      </c>
      <c r="F717" t="s">
        <v>1435</v>
      </c>
      <c r="G717" t="s">
        <v>439</v>
      </c>
      <c r="H717" t="s">
        <v>572</v>
      </c>
      <c r="I717" s="54">
        <v>46174</v>
      </c>
    </row>
    <row r="718" spans="1:9" x14ac:dyDescent="0.35">
      <c r="A718" t="s">
        <v>697</v>
      </c>
      <c r="B718" t="s">
        <v>698</v>
      </c>
      <c r="C718" t="s">
        <v>1257</v>
      </c>
      <c r="D718" t="s">
        <v>1260</v>
      </c>
      <c r="E718" t="s">
        <v>695</v>
      </c>
      <c r="F718" t="s">
        <v>1435</v>
      </c>
      <c r="G718" t="s">
        <v>439</v>
      </c>
      <c r="H718" t="s">
        <v>572</v>
      </c>
      <c r="I718" s="54">
        <v>46174</v>
      </c>
    </row>
    <row r="719" spans="1:9" x14ac:dyDescent="0.35">
      <c r="A719" t="s">
        <v>1378</v>
      </c>
      <c r="B719" t="s">
        <v>1379</v>
      </c>
      <c r="C719" t="s">
        <v>1274</v>
      </c>
      <c r="D719" t="s">
        <v>1263</v>
      </c>
      <c r="E719" t="s">
        <v>1478</v>
      </c>
      <c r="F719" t="s">
        <v>1435</v>
      </c>
      <c r="G719" t="s">
        <v>440</v>
      </c>
      <c r="H719" t="s">
        <v>578</v>
      </c>
      <c r="I719" s="54">
        <v>46174</v>
      </c>
    </row>
    <row r="720" spans="1:9" x14ac:dyDescent="0.35">
      <c r="A720" t="s">
        <v>697</v>
      </c>
      <c r="B720" t="s">
        <v>698</v>
      </c>
      <c r="C720" t="s">
        <v>1274</v>
      </c>
      <c r="D720" t="s">
        <v>1263</v>
      </c>
      <c r="E720" t="s">
        <v>695</v>
      </c>
      <c r="F720" t="s">
        <v>1435</v>
      </c>
      <c r="G720" t="s">
        <v>439</v>
      </c>
      <c r="H720" t="s">
        <v>572</v>
      </c>
      <c r="I720" s="54">
        <v>46174</v>
      </c>
    </row>
    <row r="721" spans="1:9" x14ac:dyDescent="0.35">
      <c r="A721" t="s">
        <v>697</v>
      </c>
      <c r="B721" t="s">
        <v>698</v>
      </c>
      <c r="C721" t="s">
        <v>1281</v>
      </c>
      <c r="D721" t="s">
        <v>1263</v>
      </c>
      <c r="E721" t="s">
        <v>695</v>
      </c>
      <c r="F721" t="s">
        <v>1435</v>
      </c>
      <c r="G721" t="s">
        <v>439</v>
      </c>
      <c r="H721" t="s">
        <v>572</v>
      </c>
      <c r="I721" s="54">
        <v>46174</v>
      </c>
    </row>
    <row r="722" spans="1:9" x14ac:dyDescent="0.35">
      <c r="A722" t="s">
        <v>697</v>
      </c>
      <c r="B722" t="s">
        <v>698</v>
      </c>
      <c r="C722" t="s">
        <v>1257</v>
      </c>
      <c r="D722" t="s">
        <v>1263</v>
      </c>
      <c r="E722" t="s">
        <v>695</v>
      </c>
      <c r="F722" t="s">
        <v>1435</v>
      </c>
      <c r="G722" t="s">
        <v>439</v>
      </c>
      <c r="H722" t="s">
        <v>572</v>
      </c>
      <c r="I722" s="54">
        <v>46174</v>
      </c>
    </row>
    <row r="723" spans="1:9" x14ac:dyDescent="0.35">
      <c r="A723" t="s">
        <v>1388</v>
      </c>
      <c r="B723" t="s">
        <v>1389</v>
      </c>
      <c r="C723" t="s">
        <v>1281</v>
      </c>
      <c r="D723" t="s">
        <v>1260</v>
      </c>
      <c r="E723" t="s">
        <v>1485</v>
      </c>
      <c r="F723" t="s">
        <v>1435</v>
      </c>
      <c r="G723" t="s">
        <v>440</v>
      </c>
      <c r="H723" t="s">
        <v>578</v>
      </c>
      <c r="I723" s="54">
        <v>46174</v>
      </c>
    </row>
    <row r="724" spans="1:9" x14ac:dyDescent="0.35">
      <c r="A724" t="s">
        <v>1384</v>
      </c>
      <c r="B724" t="s">
        <v>1385</v>
      </c>
      <c r="C724" t="s">
        <v>1281</v>
      </c>
      <c r="D724" t="s">
        <v>1263</v>
      </c>
      <c r="E724" t="s">
        <v>1481</v>
      </c>
      <c r="F724" t="s">
        <v>1435</v>
      </c>
      <c r="G724" t="s">
        <v>440</v>
      </c>
      <c r="H724" t="s">
        <v>578</v>
      </c>
      <c r="I724" s="54">
        <v>46174</v>
      </c>
    </row>
    <row r="725" spans="1:9" x14ac:dyDescent="0.35">
      <c r="A725" t="s">
        <v>1384</v>
      </c>
      <c r="B725" t="s">
        <v>1385</v>
      </c>
      <c r="C725" t="s">
        <v>1274</v>
      </c>
      <c r="D725" t="s">
        <v>1263</v>
      </c>
      <c r="E725" t="s">
        <v>1481</v>
      </c>
      <c r="F725" t="s">
        <v>1435</v>
      </c>
      <c r="G725" t="s">
        <v>440</v>
      </c>
      <c r="H725" t="s">
        <v>578</v>
      </c>
      <c r="I725" s="54">
        <v>46174</v>
      </c>
    </row>
    <row r="726" spans="1:9" x14ac:dyDescent="0.35">
      <c r="A726" t="s">
        <v>1384</v>
      </c>
      <c r="B726" t="s">
        <v>1385</v>
      </c>
      <c r="C726" t="s">
        <v>1281</v>
      </c>
      <c r="D726" t="s">
        <v>1260</v>
      </c>
      <c r="E726" t="s">
        <v>1481</v>
      </c>
      <c r="F726" t="s">
        <v>1435</v>
      </c>
      <c r="G726" t="s">
        <v>440</v>
      </c>
      <c r="H726" t="s">
        <v>578</v>
      </c>
      <c r="I726" s="54">
        <v>46174</v>
      </c>
    </row>
    <row r="727" spans="1:9" x14ac:dyDescent="0.35">
      <c r="A727" t="s">
        <v>1384</v>
      </c>
      <c r="B727" t="s">
        <v>1385</v>
      </c>
      <c r="C727" t="s">
        <v>1274</v>
      </c>
      <c r="D727" t="s">
        <v>1260</v>
      </c>
      <c r="E727" t="s">
        <v>1481</v>
      </c>
      <c r="F727" t="s">
        <v>1435</v>
      </c>
      <c r="G727" t="s">
        <v>440</v>
      </c>
      <c r="H727" t="s">
        <v>578</v>
      </c>
      <c r="I727" s="54">
        <v>46174</v>
      </c>
    </row>
    <row r="728" spans="1:9" x14ac:dyDescent="0.35">
      <c r="A728" t="s">
        <v>1384</v>
      </c>
      <c r="B728" t="s">
        <v>1385</v>
      </c>
      <c r="C728" t="s">
        <v>1257</v>
      </c>
      <c r="D728" t="s">
        <v>1263</v>
      </c>
      <c r="E728" t="s">
        <v>1481</v>
      </c>
      <c r="F728" t="s">
        <v>1435</v>
      </c>
      <c r="G728" t="s">
        <v>440</v>
      </c>
      <c r="H728" t="s">
        <v>578</v>
      </c>
      <c r="I728" s="54">
        <v>46174</v>
      </c>
    </row>
    <row r="729" spans="1:9" x14ac:dyDescent="0.35">
      <c r="A729" t="s">
        <v>1384</v>
      </c>
      <c r="B729" t="s">
        <v>1385</v>
      </c>
      <c r="C729" t="s">
        <v>1257</v>
      </c>
      <c r="D729" t="s">
        <v>1260</v>
      </c>
      <c r="E729" t="s">
        <v>1481</v>
      </c>
      <c r="F729" t="s">
        <v>1435</v>
      </c>
      <c r="G729" t="s">
        <v>440</v>
      </c>
      <c r="H729" t="s">
        <v>578</v>
      </c>
      <c r="I729" s="54">
        <v>46174</v>
      </c>
    </row>
    <row r="730" spans="1:9" x14ac:dyDescent="0.35">
      <c r="A730" t="s">
        <v>1390</v>
      </c>
      <c r="B730" t="s">
        <v>1391</v>
      </c>
      <c r="C730" t="s">
        <v>1281</v>
      </c>
      <c r="D730" t="s">
        <v>1263</v>
      </c>
      <c r="E730" t="s">
        <v>1481</v>
      </c>
      <c r="F730" t="s">
        <v>1435</v>
      </c>
      <c r="G730" t="s">
        <v>440</v>
      </c>
      <c r="H730" t="s">
        <v>578</v>
      </c>
      <c r="I730" s="54">
        <v>46174</v>
      </c>
    </row>
    <row r="731" spans="1:9" x14ac:dyDescent="0.35">
      <c r="A731" t="s">
        <v>1390</v>
      </c>
      <c r="B731" t="s">
        <v>1391</v>
      </c>
      <c r="C731" t="s">
        <v>1274</v>
      </c>
      <c r="D731" t="s">
        <v>1263</v>
      </c>
      <c r="E731" t="s">
        <v>1481</v>
      </c>
      <c r="F731" t="s">
        <v>1435</v>
      </c>
      <c r="G731" t="s">
        <v>440</v>
      </c>
      <c r="H731" t="s">
        <v>578</v>
      </c>
      <c r="I731" s="54">
        <v>46174</v>
      </c>
    </row>
    <row r="732" spans="1:9" x14ac:dyDescent="0.35">
      <c r="A732" t="s">
        <v>1390</v>
      </c>
      <c r="B732" t="s">
        <v>1391</v>
      </c>
      <c r="C732" t="s">
        <v>1257</v>
      </c>
      <c r="D732" t="s">
        <v>1263</v>
      </c>
      <c r="E732" t="s">
        <v>1481</v>
      </c>
      <c r="F732" t="s">
        <v>1435</v>
      </c>
      <c r="G732" t="s">
        <v>440</v>
      </c>
      <c r="H732" t="s">
        <v>578</v>
      </c>
      <c r="I732" s="54">
        <v>46174</v>
      </c>
    </row>
    <row r="733" spans="1:9" x14ac:dyDescent="0.35">
      <c r="A733" t="s">
        <v>413</v>
      </c>
      <c r="B733" t="s">
        <v>418</v>
      </c>
      <c r="C733" t="s">
        <v>1274</v>
      </c>
      <c r="D733" t="s">
        <v>1263</v>
      </c>
      <c r="E733" t="s">
        <v>1483</v>
      </c>
      <c r="F733" t="s">
        <v>1435</v>
      </c>
      <c r="G733" t="s">
        <v>439</v>
      </c>
      <c r="H733" t="s">
        <v>572</v>
      </c>
      <c r="I733" s="54">
        <v>46174</v>
      </c>
    </row>
    <row r="734" spans="1:9" x14ac:dyDescent="0.35">
      <c r="A734" t="s">
        <v>414</v>
      </c>
      <c r="B734" t="s">
        <v>419</v>
      </c>
      <c r="C734" t="s">
        <v>1281</v>
      </c>
      <c r="D734" t="s">
        <v>1263</v>
      </c>
      <c r="E734" t="s">
        <v>1484</v>
      </c>
      <c r="F734" t="s">
        <v>1435</v>
      </c>
      <c r="G734" t="s">
        <v>439</v>
      </c>
      <c r="H734" t="s">
        <v>572</v>
      </c>
      <c r="I734" s="54">
        <v>46174</v>
      </c>
    </row>
    <row r="735" spans="1:9" x14ac:dyDescent="0.35">
      <c r="A735" t="s">
        <v>414</v>
      </c>
      <c r="B735" t="s">
        <v>419</v>
      </c>
      <c r="C735" t="s">
        <v>1274</v>
      </c>
      <c r="D735" t="s">
        <v>1263</v>
      </c>
      <c r="E735" t="s">
        <v>1484</v>
      </c>
      <c r="F735" t="s">
        <v>1435</v>
      </c>
      <c r="G735" t="s">
        <v>439</v>
      </c>
      <c r="H735" t="s">
        <v>572</v>
      </c>
      <c r="I735" s="54">
        <v>46174</v>
      </c>
    </row>
    <row r="736" spans="1:9" x14ac:dyDescent="0.35">
      <c r="A736" t="s">
        <v>414</v>
      </c>
      <c r="B736" t="s">
        <v>419</v>
      </c>
      <c r="C736" t="s">
        <v>1257</v>
      </c>
      <c r="D736" t="s">
        <v>1263</v>
      </c>
      <c r="E736" t="s">
        <v>1484</v>
      </c>
      <c r="F736" t="s">
        <v>1435</v>
      </c>
      <c r="G736" t="s">
        <v>439</v>
      </c>
      <c r="H736" t="s">
        <v>572</v>
      </c>
      <c r="I736" s="54">
        <v>46174</v>
      </c>
    </row>
    <row r="737" spans="1:9" x14ac:dyDescent="0.35">
      <c r="A737" t="s">
        <v>1390</v>
      </c>
      <c r="B737" t="s">
        <v>1391</v>
      </c>
      <c r="C737" t="s">
        <v>1274</v>
      </c>
      <c r="D737" t="s">
        <v>1260</v>
      </c>
      <c r="E737" t="s">
        <v>1481</v>
      </c>
      <c r="F737" t="s">
        <v>1435</v>
      </c>
      <c r="G737" t="s">
        <v>440</v>
      </c>
      <c r="H737" t="s">
        <v>578</v>
      </c>
      <c r="I737" s="54">
        <v>46174</v>
      </c>
    </row>
    <row r="738" spans="1:9" x14ac:dyDescent="0.35">
      <c r="A738" t="s">
        <v>1380</v>
      </c>
      <c r="B738" t="s">
        <v>1381</v>
      </c>
      <c r="C738" t="s">
        <v>1274</v>
      </c>
      <c r="D738" t="s">
        <v>1263</v>
      </c>
      <c r="E738" t="s">
        <v>1480</v>
      </c>
      <c r="F738" t="s">
        <v>1435</v>
      </c>
      <c r="G738" t="s">
        <v>440</v>
      </c>
      <c r="H738" t="s">
        <v>578</v>
      </c>
      <c r="I738" s="54">
        <v>46174</v>
      </c>
    </row>
    <row r="739" spans="1:9" x14ac:dyDescent="0.35">
      <c r="A739" t="s">
        <v>1390</v>
      </c>
      <c r="B739" t="s">
        <v>1391</v>
      </c>
      <c r="C739" t="s">
        <v>1257</v>
      </c>
      <c r="D739" t="s">
        <v>1260</v>
      </c>
      <c r="E739" t="s">
        <v>1481</v>
      </c>
      <c r="F739" t="s">
        <v>1435</v>
      </c>
      <c r="G739" t="s">
        <v>440</v>
      </c>
      <c r="H739" t="s">
        <v>578</v>
      </c>
      <c r="I739" s="54">
        <v>46174</v>
      </c>
    </row>
    <row r="740" spans="1:9" x14ac:dyDescent="0.35">
      <c r="A740" t="s">
        <v>1382</v>
      </c>
      <c r="B740" t="s">
        <v>1383</v>
      </c>
      <c r="C740" t="s">
        <v>1274</v>
      </c>
      <c r="D740" t="s">
        <v>1263</v>
      </c>
      <c r="E740" t="s">
        <v>1480</v>
      </c>
      <c r="F740" t="s">
        <v>1435</v>
      </c>
      <c r="G740" t="s">
        <v>440</v>
      </c>
      <c r="H740" t="s">
        <v>578</v>
      </c>
      <c r="I740" s="54">
        <v>46174</v>
      </c>
    </row>
    <row r="741" spans="1:9" x14ac:dyDescent="0.35">
      <c r="A741" t="s">
        <v>1382</v>
      </c>
      <c r="B741" t="s">
        <v>1383</v>
      </c>
      <c r="C741" t="s">
        <v>1257</v>
      </c>
      <c r="D741" t="s">
        <v>1263</v>
      </c>
      <c r="E741" t="s">
        <v>1480</v>
      </c>
      <c r="F741" t="s">
        <v>1435</v>
      </c>
      <c r="G741" t="s">
        <v>440</v>
      </c>
      <c r="H741" t="s">
        <v>578</v>
      </c>
      <c r="I741" s="54">
        <v>46174</v>
      </c>
    </row>
    <row r="742" spans="1:9" x14ac:dyDescent="0.35">
      <c r="A742" t="s">
        <v>1382</v>
      </c>
      <c r="B742" t="s">
        <v>1383</v>
      </c>
      <c r="C742" t="s">
        <v>1281</v>
      </c>
      <c r="D742" t="s">
        <v>1263</v>
      </c>
      <c r="E742" t="s">
        <v>1480</v>
      </c>
      <c r="F742" t="s">
        <v>1435</v>
      </c>
      <c r="G742" t="s">
        <v>440</v>
      </c>
      <c r="H742" t="s">
        <v>578</v>
      </c>
      <c r="I742" s="54">
        <v>46174</v>
      </c>
    </row>
    <row r="743" spans="1:9" x14ac:dyDescent="0.35">
      <c r="A743" t="s">
        <v>1390</v>
      </c>
      <c r="B743" t="s">
        <v>1391</v>
      </c>
      <c r="C743" t="s">
        <v>1281</v>
      </c>
      <c r="D743" t="s">
        <v>1260</v>
      </c>
      <c r="E743" t="s">
        <v>1481</v>
      </c>
      <c r="F743" t="s">
        <v>1435</v>
      </c>
      <c r="G743" t="s">
        <v>440</v>
      </c>
      <c r="H743" t="s">
        <v>578</v>
      </c>
      <c r="I743" s="54">
        <v>46174</v>
      </c>
    </row>
    <row r="744" spans="1:9" x14ac:dyDescent="0.35">
      <c r="A744" t="s">
        <v>1290</v>
      </c>
      <c r="B744" t="s">
        <v>1291</v>
      </c>
      <c r="C744" t="s">
        <v>1274</v>
      </c>
      <c r="D744" t="s">
        <v>1273</v>
      </c>
      <c r="E744" t="s">
        <v>1444</v>
      </c>
      <c r="F744" t="s">
        <v>1435</v>
      </c>
      <c r="G744" t="s">
        <v>436</v>
      </c>
      <c r="H744" t="s">
        <v>548</v>
      </c>
      <c r="I744" s="54">
        <v>46174</v>
      </c>
    </row>
    <row r="745" spans="1:9" x14ac:dyDescent="0.35">
      <c r="A745" t="s">
        <v>414</v>
      </c>
      <c r="B745" t="s">
        <v>419</v>
      </c>
      <c r="C745" t="s">
        <v>1274</v>
      </c>
      <c r="D745" t="s">
        <v>1260</v>
      </c>
      <c r="E745" t="s">
        <v>1484</v>
      </c>
      <c r="F745" t="s">
        <v>1435</v>
      </c>
      <c r="G745" t="s">
        <v>439</v>
      </c>
      <c r="H745" t="s">
        <v>572</v>
      </c>
      <c r="I745" s="54">
        <v>46174</v>
      </c>
    </row>
    <row r="746" spans="1:9" x14ac:dyDescent="0.35">
      <c r="A746" t="s">
        <v>414</v>
      </c>
      <c r="B746" t="s">
        <v>419</v>
      </c>
      <c r="C746" t="s">
        <v>1257</v>
      </c>
      <c r="D746" t="s">
        <v>1260</v>
      </c>
      <c r="E746" t="s">
        <v>1484</v>
      </c>
      <c r="F746" t="s">
        <v>1435</v>
      </c>
      <c r="G746" t="s">
        <v>439</v>
      </c>
      <c r="H746" t="s">
        <v>572</v>
      </c>
      <c r="I746" s="54">
        <v>46174</v>
      </c>
    </row>
    <row r="747" spans="1:9" x14ac:dyDescent="0.35">
      <c r="A747" t="s">
        <v>414</v>
      </c>
      <c r="B747" t="s">
        <v>419</v>
      </c>
      <c r="C747" t="s">
        <v>1281</v>
      </c>
      <c r="D747" t="s">
        <v>1260</v>
      </c>
      <c r="E747" t="s">
        <v>1484</v>
      </c>
      <c r="F747" t="s">
        <v>1435</v>
      </c>
      <c r="G747" t="s">
        <v>439</v>
      </c>
      <c r="H747" t="s">
        <v>572</v>
      </c>
      <c r="I747" s="54">
        <v>46174</v>
      </c>
    </row>
    <row r="748" spans="1:9" x14ac:dyDescent="0.35">
      <c r="A748" t="s">
        <v>1382</v>
      </c>
      <c r="B748" t="s">
        <v>1383</v>
      </c>
      <c r="C748" t="s">
        <v>1281</v>
      </c>
      <c r="D748" t="s">
        <v>1260</v>
      </c>
      <c r="E748" t="s">
        <v>1480</v>
      </c>
      <c r="F748" t="s">
        <v>1435</v>
      </c>
      <c r="G748" t="s">
        <v>440</v>
      </c>
      <c r="H748" t="s">
        <v>578</v>
      </c>
      <c r="I748" s="54">
        <v>46174</v>
      </c>
    </row>
    <row r="749" spans="1:9" x14ac:dyDescent="0.35">
      <c r="A749" t="s">
        <v>1382</v>
      </c>
      <c r="B749" t="s">
        <v>1383</v>
      </c>
      <c r="C749" t="s">
        <v>1274</v>
      </c>
      <c r="D749" t="s">
        <v>1260</v>
      </c>
      <c r="E749" t="s">
        <v>1480</v>
      </c>
      <c r="F749" t="s">
        <v>1435</v>
      </c>
      <c r="G749" t="s">
        <v>440</v>
      </c>
      <c r="H749" t="s">
        <v>578</v>
      </c>
      <c r="I749" s="54">
        <v>46174</v>
      </c>
    </row>
    <row r="750" spans="1:9" x14ac:dyDescent="0.35">
      <c r="A750" t="s">
        <v>1382</v>
      </c>
      <c r="B750" t="s">
        <v>1383</v>
      </c>
      <c r="C750" t="s">
        <v>1257</v>
      </c>
      <c r="D750" t="s">
        <v>1260</v>
      </c>
      <c r="E750" t="s">
        <v>1480</v>
      </c>
      <c r="F750" t="s">
        <v>1435</v>
      </c>
      <c r="G750" t="s">
        <v>440</v>
      </c>
      <c r="H750" t="s">
        <v>578</v>
      </c>
      <c r="I750" s="54">
        <v>46174</v>
      </c>
    </row>
    <row r="751" spans="1:9" x14ac:dyDescent="0.35">
      <c r="A751" t="s">
        <v>70</v>
      </c>
      <c r="B751" t="s">
        <v>71</v>
      </c>
      <c r="C751" t="s">
        <v>1274</v>
      </c>
      <c r="D751" t="s">
        <v>1263</v>
      </c>
      <c r="E751" t="s">
        <v>396</v>
      </c>
      <c r="F751" t="s">
        <v>1435</v>
      </c>
      <c r="G751" t="s">
        <v>438</v>
      </c>
      <c r="H751" t="s">
        <v>554</v>
      </c>
      <c r="I751" s="54">
        <v>46174</v>
      </c>
    </row>
    <row r="752" spans="1:9" x14ac:dyDescent="0.35">
      <c r="A752" t="s">
        <v>635</v>
      </c>
      <c r="B752" t="s">
        <v>636</v>
      </c>
      <c r="C752" t="s">
        <v>1257</v>
      </c>
      <c r="D752" t="s">
        <v>1263</v>
      </c>
      <c r="E752" t="s">
        <v>1452</v>
      </c>
      <c r="F752" t="s">
        <v>1435</v>
      </c>
      <c r="G752" t="s">
        <v>442</v>
      </c>
      <c r="H752" t="s">
        <v>575</v>
      </c>
      <c r="I752" s="54">
        <v>46174</v>
      </c>
    </row>
    <row r="753" spans="1:9" x14ac:dyDescent="0.35">
      <c r="A753" t="s">
        <v>1277</v>
      </c>
      <c r="B753" t="s">
        <v>1278</v>
      </c>
      <c r="C753" t="s">
        <v>1274</v>
      </c>
      <c r="D753" t="s">
        <v>1273</v>
      </c>
      <c r="E753" t="s">
        <v>1441</v>
      </c>
      <c r="F753" t="s">
        <v>1435</v>
      </c>
      <c r="G753" t="s">
        <v>437</v>
      </c>
      <c r="H753" t="s">
        <v>551</v>
      </c>
      <c r="I753" s="54">
        <v>46174</v>
      </c>
    </row>
    <row r="754" spans="1:9" x14ac:dyDescent="0.35">
      <c r="A754" t="s">
        <v>635</v>
      </c>
      <c r="B754" t="s">
        <v>636</v>
      </c>
      <c r="C754" t="s">
        <v>1274</v>
      </c>
      <c r="D754" t="s">
        <v>1263</v>
      </c>
      <c r="E754" t="s">
        <v>1452</v>
      </c>
      <c r="F754" t="s">
        <v>1435</v>
      </c>
      <c r="G754" t="s">
        <v>442</v>
      </c>
      <c r="H754" t="s">
        <v>575</v>
      </c>
      <c r="I754" s="54">
        <v>46174</v>
      </c>
    </row>
    <row r="755" spans="1:9" x14ac:dyDescent="0.35">
      <c r="A755" t="s">
        <v>635</v>
      </c>
      <c r="B755" t="s">
        <v>636</v>
      </c>
      <c r="C755" t="s">
        <v>1281</v>
      </c>
      <c r="D755" t="s">
        <v>1263</v>
      </c>
      <c r="E755" t="s">
        <v>1452</v>
      </c>
      <c r="F755" t="s">
        <v>1435</v>
      </c>
      <c r="G755" t="s">
        <v>442</v>
      </c>
      <c r="H755" t="s">
        <v>575</v>
      </c>
      <c r="I755" s="54">
        <v>46174</v>
      </c>
    </row>
    <row r="756" spans="1:9" x14ac:dyDescent="0.35">
      <c r="A756" t="s">
        <v>639</v>
      </c>
      <c r="B756" t="s">
        <v>640</v>
      </c>
      <c r="C756" t="s">
        <v>1257</v>
      </c>
      <c r="D756" t="s">
        <v>1263</v>
      </c>
      <c r="E756" t="s">
        <v>1455</v>
      </c>
      <c r="F756" t="s">
        <v>1435</v>
      </c>
      <c r="G756" t="s">
        <v>442</v>
      </c>
      <c r="H756" t="s">
        <v>575</v>
      </c>
      <c r="I756" s="54">
        <v>46174</v>
      </c>
    </row>
    <row r="757" spans="1:9" x14ac:dyDescent="0.35">
      <c r="A757" t="s">
        <v>639</v>
      </c>
      <c r="B757" t="s">
        <v>640</v>
      </c>
      <c r="C757" t="s">
        <v>1274</v>
      </c>
      <c r="D757" t="s">
        <v>1263</v>
      </c>
      <c r="E757" t="s">
        <v>1455</v>
      </c>
      <c r="F757" t="s">
        <v>1435</v>
      </c>
      <c r="G757" t="s">
        <v>442</v>
      </c>
      <c r="H757" t="s">
        <v>575</v>
      </c>
      <c r="I757" s="54">
        <v>46174</v>
      </c>
    </row>
    <row r="758" spans="1:9" x14ac:dyDescent="0.35">
      <c r="A758" t="s">
        <v>639</v>
      </c>
      <c r="B758" t="s">
        <v>640</v>
      </c>
      <c r="C758" t="s">
        <v>1281</v>
      </c>
      <c r="D758" t="s">
        <v>1263</v>
      </c>
      <c r="E758" t="s">
        <v>1455</v>
      </c>
      <c r="F758" t="s">
        <v>1435</v>
      </c>
      <c r="G758" t="s">
        <v>442</v>
      </c>
      <c r="H758" t="s">
        <v>575</v>
      </c>
      <c r="I758" s="54">
        <v>46174</v>
      </c>
    </row>
    <row r="759" spans="1:9" x14ac:dyDescent="0.35">
      <c r="A759" t="s">
        <v>1277</v>
      </c>
      <c r="B759" t="s">
        <v>1278</v>
      </c>
      <c r="C759" t="s">
        <v>1257</v>
      </c>
      <c r="D759" t="s">
        <v>1273</v>
      </c>
      <c r="E759" t="s">
        <v>1441</v>
      </c>
      <c r="F759" t="s">
        <v>1435</v>
      </c>
      <c r="G759" t="s">
        <v>437</v>
      </c>
      <c r="H759" t="s">
        <v>551</v>
      </c>
      <c r="I759" s="54">
        <v>46174</v>
      </c>
    </row>
    <row r="760" spans="1:9" x14ac:dyDescent="0.35">
      <c r="A760" t="s">
        <v>1386</v>
      </c>
      <c r="B760" t="s">
        <v>1387</v>
      </c>
      <c r="C760" t="s">
        <v>1281</v>
      </c>
      <c r="D760" t="s">
        <v>1260</v>
      </c>
      <c r="E760" t="s">
        <v>1482</v>
      </c>
      <c r="F760" t="s">
        <v>1435</v>
      </c>
      <c r="G760" t="s">
        <v>440</v>
      </c>
      <c r="H760" t="s">
        <v>578</v>
      </c>
      <c r="I760" s="54">
        <v>46174</v>
      </c>
    </row>
    <row r="761" spans="1:9" x14ac:dyDescent="0.35">
      <c r="A761" t="s">
        <v>1386</v>
      </c>
      <c r="B761" t="s">
        <v>1387</v>
      </c>
      <c r="C761" t="s">
        <v>1274</v>
      </c>
      <c r="D761" t="s">
        <v>1260</v>
      </c>
      <c r="E761" t="s">
        <v>1482</v>
      </c>
      <c r="F761" t="s">
        <v>1435</v>
      </c>
      <c r="G761" t="s">
        <v>440</v>
      </c>
      <c r="H761" t="s">
        <v>578</v>
      </c>
      <c r="I761" s="54">
        <v>46174</v>
      </c>
    </row>
    <row r="762" spans="1:9" x14ac:dyDescent="0.35">
      <c r="A762" t="s">
        <v>1386</v>
      </c>
      <c r="B762" t="s">
        <v>1387</v>
      </c>
      <c r="C762" t="s">
        <v>1257</v>
      </c>
      <c r="D762" t="s">
        <v>1260</v>
      </c>
      <c r="E762" t="s">
        <v>1482</v>
      </c>
      <c r="F762" t="s">
        <v>1435</v>
      </c>
      <c r="G762" t="s">
        <v>440</v>
      </c>
      <c r="H762" t="s">
        <v>578</v>
      </c>
      <c r="I762" s="54">
        <v>46174</v>
      </c>
    </row>
    <row r="763" spans="1:9" x14ac:dyDescent="0.35">
      <c r="A763" t="s">
        <v>635</v>
      </c>
      <c r="B763" t="s">
        <v>636</v>
      </c>
      <c r="C763" t="s">
        <v>1281</v>
      </c>
      <c r="D763" t="s">
        <v>1260</v>
      </c>
      <c r="E763" t="s">
        <v>1452</v>
      </c>
      <c r="F763" t="s">
        <v>1435</v>
      </c>
      <c r="G763" t="s">
        <v>442</v>
      </c>
      <c r="H763" t="s">
        <v>575</v>
      </c>
      <c r="I763" s="54">
        <v>46174</v>
      </c>
    </row>
    <row r="764" spans="1:9" x14ac:dyDescent="0.35">
      <c r="A764" t="s">
        <v>635</v>
      </c>
      <c r="B764" t="s">
        <v>636</v>
      </c>
      <c r="C764" t="s">
        <v>1274</v>
      </c>
      <c r="D764" t="s">
        <v>1260</v>
      </c>
      <c r="E764" t="s">
        <v>1452</v>
      </c>
      <c r="F764" t="s">
        <v>1435</v>
      </c>
      <c r="G764" t="s">
        <v>442</v>
      </c>
      <c r="H764" t="s">
        <v>575</v>
      </c>
      <c r="I764" s="54">
        <v>46174</v>
      </c>
    </row>
    <row r="765" spans="1:9" x14ac:dyDescent="0.35">
      <c r="A765" t="s">
        <v>635</v>
      </c>
      <c r="B765" t="s">
        <v>636</v>
      </c>
      <c r="C765" t="s">
        <v>1257</v>
      </c>
      <c r="D765" t="s">
        <v>1260</v>
      </c>
      <c r="E765" t="s">
        <v>1452</v>
      </c>
      <c r="F765" t="s">
        <v>1435</v>
      </c>
      <c r="G765" t="s">
        <v>442</v>
      </c>
      <c r="H765" t="s">
        <v>575</v>
      </c>
      <c r="I765" s="54">
        <v>46174</v>
      </c>
    </row>
    <row r="766" spans="1:9" x14ac:dyDescent="0.35">
      <c r="A766" t="s">
        <v>415</v>
      </c>
      <c r="B766" t="s">
        <v>416</v>
      </c>
      <c r="C766" t="s">
        <v>1257</v>
      </c>
      <c r="D766" t="s">
        <v>1260</v>
      </c>
      <c r="E766" t="s">
        <v>1479</v>
      </c>
      <c r="F766" t="s">
        <v>1435</v>
      </c>
      <c r="G766" t="s">
        <v>442</v>
      </c>
      <c r="H766" t="s">
        <v>575</v>
      </c>
      <c r="I766" s="54">
        <v>46174</v>
      </c>
    </row>
    <row r="767" spans="1:9" x14ac:dyDescent="0.35">
      <c r="A767" t="s">
        <v>415</v>
      </c>
      <c r="B767" t="s">
        <v>416</v>
      </c>
      <c r="C767" t="s">
        <v>1274</v>
      </c>
      <c r="D767" t="s">
        <v>1260</v>
      </c>
      <c r="E767" t="s">
        <v>1479</v>
      </c>
      <c r="F767" t="s">
        <v>1435</v>
      </c>
      <c r="G767" t="s">
        <v>442</v>
      </c>
      <c r="H767" t="s">
        <v>575</v>
      </c>
      <c r="I767" s="54">
        <v>46174</v>
      </c>
    </row>
    <row r="768" spans="1:9" x14ac:dyDescent="0.35">
      <c r="A768" t="s">
        <v>415</v>
      </c>
      <c r="B768" t="s">
        <v>416</v>
      </c>
      <c r="C768" t="s">
        <v>1281</v>
      </c>
      <c r="D768" t="s">
        <v>1260</v>
      </c>
      <c r="E768" t="s">
        <v>1479</v>
      </c>
      <c r="F768" t="s">
        <v>1435</v>
      </c>
      <c r="G768" t="s">
        <v>442</v>
      </c>
      <c r="H768" t="s">
        <v>575</v>
      </c>
      <c r="I768" s="54">
        <v>46174</v>
      </c>
    </row>
    <row r="769" spans="1:9" x14ac:dyDescent="0.35">
      <c r="A769" t="s">
        <v>639</v>
      </c>
      <c r="B769" t="s">
        <v>640</v>
      </c>
      <c r="C769" t="s">
        <v>1257</v>
      </c>
      <c r="D769" t="s">
        <v>1260</v>
      </c>
      <c r="E769" t="s">
        <v>1455</v>
      </c>
      <c r="F769" t="s">
        <v>1435</v>
      </c>
      <c r="G769" t="s">
        <v>442</v>
      </c>
      <c r="H769" t="s">
        <v>575</v>
      </c>
      <c r="I769" s="54">
        <v>46174</v>
      </c>
    </row>
    <row r="770" spans="1:9" x14ac:dyDescent="0.35">
      <c r="A770" t="s">
        <v>639</v>
      </c>
      <c r="B770" t="s">
        <v>640</v>
      </c>
      <c r="C770" t="s">
        <v>1274</v>
      </c>
      <c r="D770" t="s">
        <v>1260</v>
      </c>
      <c r="E770" t="s">
        <v>1455</v>
      </c>
      <c r="F770" t="s">
        <v>1435</v>
      </c>
      <c r="G770" t="s">
        <v>442</v>
      </c>
      <c r="H770" t="s">
        <v>575</v>
      </c>
      <c r="I770" s="54">
        <v>46174</v>
      </c>
    </row>
    <row r="771" spans="1:9" x14ac:dyDescent="0.35">
      <c r="A771" t="s">
        <v>639</v>
      </c>
      <c r="B771" t="s">
        <v>640</v>
      </c>
      <c r="C771" t="s">
        <v>1281</v>
      </c>
      <c r="D771" t="s">
        <v>1260</v>
      </c>
      <c r="E771" t="s">
        <v>1455</v>
      </c>
      <c r="F771" t="s">
        <v>1435</v>
      </c>
      <c r="G771" t="s">
        <v>442</v>
      </c>
      <c r="H771" t="s">
        <v>575</v>
      </c>
      <c r="I771" s="54">
        <v>46174</v>
      </c>
    </row>
    <row r="772" spans="1:9" x14ac:dyDescent="0.35">
      <c r="A772" t="s">
        <v>1322</v>
      </c>
      <c r="B772" t="s">
        <v>1323</v>
      </c>
      <c r="C772" t="s">
        <v>1253</v>
      </c>
      <c r="D772" t="s">
        <v>1273</v>
      </c>
      <c r="E772" t="s">
        <v>1444</v>
      </c>
      <c r="F772" t="s">
        <v>1435</v>
      </c>
      <c r="G772" t="s">
        <v>436</v>
      </c>
      <c r="H772" t="s">
        <v>548</v>
      </c>
      <c r="I772" s="54">
        <v>46174</v>
      </c>
    </row>
    <row r="773" spans="1:9" x14ac:dyDescent="0.35">
      <c r="A773" t="s">
        <v>1290</v>
      </c>
      <c r="B773" t="s">
        <v>1291</v>
      </c>
      <c r="C773" t="s">
        <v>1253</v>
      </c>
      <c r="D773" t="s">
        <v>1273</v>
      </c>
      <c r="E773" t="s">
        <v>1444</v>
      </c>
      <c r="F773" t="s">
        <v>1435</v>
      </c>
      <c r="G773" t="s">
        <v>436</v>
      </c>
      <c r="H773" t="s">
        <v>548</v>
      </c>
      <c r="I773" s="54">
        <v>46174</v>
      </c>
    </row>
    <row r="774" spans="1:9" x14ac:dyDescent="0.35">
      <c r="A774" t="s">
        <v>1267</v>
      </c>
      <c r="B774" t="s">
        <v>1268</v>
      </c>
      <c r="C774" t="s">
        <v>1274</v>
      </c>
      <c r="D774" t="s">
        <v>1273</v>
      </c>
      <c r="E774" t="s">
        <v>1440</v>
      </c>
      <c r="F774" t="s">
        <v>1435</v>
      </c>
      <c r="G774" t="s">
        <v>437</v>
      </c>
      <c r="H774" t="s">
        <v>551</v>
      </c>
      <c r="I774" s="54">
        <v>46174</v>
      </c>
    </row>
    <row r="775" spans="1:9" x14ac:dyDescent="0.35">
      <c r="A775" t="s">
        <v>1267</v>
      </c>
      <c r="B775" t="s">
        <v>1268</v>
      </c>
      <c r="C775" t="s">
        <v>1257</v>
      </c>
      <c r="D775" t="s">
        <v>1273</v>
      </c>
      <c r="E775" t="s">
        <v>1440</v>
      </c>
      <c r="F775" t="s">
        <v>1435</v>
      </c>
      <c r="G775" t="s">
        <v>437</v>
      </c>
      <c r="H775" t="s">
        <v>551</v>
      </c>
      <c r="I775" s="54">
        <v>46174</v>
      </c>
    </row>
    <row r="776" spans="1:9" x14ac:dyDescent="0.35">
      <c r="A776" t="s">
        <v>1322</v>
      </c>
      <c r="B776" t="s">
        <v>1323</v>
      </c>
      <c r="C776" t="s">
        <v>1274</v>
      </c>
      <c r="D776" t="s">
        <v>1273</v>
      </c>
      <c r="E776" t="s">
        <v>1444</v>
      </c>
      <c r="F776" t="s">
        <v>1435</v>
      </c>
      <c r="G776" t="s">
        <v>436</v>
      </c>
      <c r="H776" t="s">
        <v>548</v>
      </c>
      <c r="I776" s="54">
        <v>46174</v>
      </c>
    </row>
    <row r="777" spans="1:9" x14ac:dyDescent="0.35">
      <c r="A777" t="s">
        <v>668</v>
      </c>
      <c r="B777" t="s">
        <v>669</v>
      </c>
      <c r="C777" t="s">
        <v>1257</v>
      </c>
      <c r="D777" t="s">
        <v>1273</v>
      </c>
      <c r="E777" t="s">
        <v>670</v>
      </c>
      <c r="F777" t="s">
        <v>1435</v>
      </c>
      <c r="G777" t="s">
        <v>437</v>
      </c>
      <c r="H777" t="s">
        <v>551</v>
      </c>
      <c r="I777" s="54">
        <v>46174</v>
      </c>
    </row>
    <row r="778" spans="1:9" x14ac:dyDescent="0.35">
      <c r="A778" t="s">
        <v>668</v>
      </c>
      <c r="B778" t="s">
        <v>669</v>
      </c>
      <c r="C778" t="s">
        <v>1274</v>
      </c>
      <c r="D778" t="s">
        <v>1273</v>
      </c>
      <c r="E778" t="s">
        <v>670</v>
      </c>
      <c r="F778" t="s">
        <v>1435</v>
      </c>
      <c r="G778" t="s">
        <v>437</v>
      </c>
      <c r="H778" t="s">
        <v>551</v>
      </c>
      <c r="I778" s="54">
        <v>46174</v>
      </c>
    </row>
    <row r="779" spans="1:9" x14ac:dyDescent="0.35">
      <c r="A779" t="s">
        <v>25</v>
      </c>
      <c r="B779" t="s">
        <v>27</v>
      </c>
      <c r="C779" t="s">
        <v>1257</v>
      </c>
      <c r="D779" t="s">
        <v>1273</v>
      </c>
      <c r="E779" t="s">
        <v>26</v>
      </c>
      <c r="F779" t="s">
        <v>1435</v>
      </c>
      <c r="G779" t="s">
        <v>439</v>
      </c>
      <c r="H779" t="s">
        <v>572</v>
      </c>
      <c r="I779" s="54">
        <v>46174</v>
      </c>
    </row>
    <row r="780" spans="1:9" x14ac:dyDescent="0.35">
      <c r="A780" t="s">
        <v>298</v>
      </c>
      <c r="B780" t="s">
        <v>300</v>
      </c>
      <c r="C780" t="s">
        <v>1257</v>
      </c>
      <c r="D780" t="s">
        <v>1273</v>
      </c>
      <c r="E780" t="s">
        <v>299</v>
      </c>
      <c r="F780" t="s">
        <v>1435</v>
      </c>
      <c r="G780" t="s">
        <v>565</v>
      </c>
      <c r="H780" t="s">
        <v>566</v>
      </c>
      <c r="I780" s="54">
        <v>46174</v>
      </c>
    </row>
    <row r="781" spans="1:9" x14ac:dyDescent="0.35">
      <c r="A781" t="s">
        <v>298</v>
      </c>
      <c r="B781" t="s">
        <v>300</v>
      </c>
      <c r="C781" t="s">
        <v>1274</v>
      </c>
      <c r="D781" t="s">
        <v>1273</v>
      </c>
      <c r="E781" t="s">
        <v>299</v>
      </c>
      <c r="F781" t="s">
        <v>1435</v>
      </c>
      <c r="G781" t="s">
        <v>565</v>
      </c>
      <c r="H781" t="s">
        <v>566</v>
      </c>
      <c r="I781" s="54">
        <v>46174</v>
      </c>
    </row>
    <row r="782" spans="1:9" x14ac:dyDescent="0.35">
      <c r="A782" t="s">
        <v>259</v>
      </c>
      <c r="B782" t="s">
        <v>261</v>
      </c>
      <c r="C782" t="s">
        <v>1274</v>
      </c>
      <c r="D782" t="s">
        <v>1273</v>
      </c>
      <c r="E782" t="s">
        <v>260</v>
      </c>
      <c r="F782" t="s">
        <v>1435</v>
      </c>
      <c r="G782" t="s">
        <v>565</v>
      </c>
      <c r="H782" t="s">
        <v>566</v>
      </c>
      <c r="I782" s="54">
        <v>46174</v>
      </c>
    </row>
    <row r="783" spans="1:9" x14ac:dyDescent="0.35">
      <c r="A783" t="s">
        <v>259</v>
      </c>
      <c r="B783" t="s">
        <v>261</v>
      </c>
      <c r="C783" t="s">
        <v>1257</v>
      </c>
      <c r="D783" t="s">
        <v>1273</v>
      </c>
      <c r="E783" t="s">
        <v>260</v>
      </c>
      <c r="F783" t="s">
        <v>1435</v>
      </c>
      <c r="G783" t="s">
        <v>565</v>
      </c>
      <c r="H783" t="s">
        <v>566</v>
      </c>
      <c r="I783" s="54">
        <v>46174</v>
      </c>
    </row>
    <row r="784" spans="1:9" x14ac:dyDescent="0.35">
      <c r="A784" t="s">
        <v>12</v>
      </c>
      <c r="B784" t="s">
        <v>14</v>
      </c>
      <c r="C784" t="s">
        <v>1257</v>
      </c>
      <c r="D784" t="s">
        <v>1273</v>
      </c>
      <c r="E784" t="s">
        <v>1460</v>
      </c>
      <c r="F784" t="s">
        <v>1435</v>
      </c>
      <c r="G784" t="s">
        <v>565</v>
      </c>
      <c r="H784" t="s">
        <v>566</v>
      </c>
      <c r="I784" s="54">
        <v>46174</v>
      </c>
    </row>
    <row r="785" spans="1:9" x14ac:dyDescent="0.35">
      <c r="A785" t="s">
        <v>1258</v>
      </c>
      <c r="B785" t="s">
        <v>1259</v>
      </c>
      <c r="C785" t="s">
        <v>1257</v>
      </c>
      <c r="D785" t="s">
        <v>1273</v>
      </c>
      <c r="E785" t="s">
        <v>1437</v>
      </c>
      <c r="F785" t="s">
        <v>1435</v>
      </c>
      <c r="G785" t="s">
        <v>437</v>
      </c>
      <c r="H785" t="s">
        <v>551</v>
      </c>
      <c r="I785" s="54">
        <v>46174</v>
      </c>
    </row>
    <row r="786" spans="1:9" x14ac:dyDescent="0.35">
      <c r="A786" t="s">
        <v>1258</v>
      </c>
      <c r="B786" t="s">
        <v>1259</v>
      </c>
      <c r="C786" t="s">
        <v>1274</v>
      </c>
      <c r="D786" t="s">
        <v>1273</v>
      </c>
      <c r="E786" t="s">
        <v>1437</v>
      </c>
      <c r="F786" t="s">
        <v>1435</v>
      </c>
      <c r="G786" t="s">
        <v>437</v>
      </c>
      <c r="H786" t="s">
        <v>551</v>
      </c>
      <c r="I786" s="54">
        <v>46174</v>
      </c>
    </row>
    <row r="787" spans="1:9" x14ac:dyDescent="0.35">
      <c r="A787" t="s">
        <v>1271</v>
      </c>
      <c r="B787" t="s">
        <v>1272</v>
      </c>
      <c r="C787" t="s">
        <v>1274</v>
      </c>
      <c r="D787" t="s">
        <v>1273</v>
      </c>
      <c r="E787" t="s">
        <v>1437</v>
      </c>
      <c r="F787" t="s">
        <v>1435</v>
      </c>
      <c r="G787" t="s">
        <v>437</v>
      </c>
      <c r="H787" t="s">
        <v>551</v>
      </c>
      <c r="I787" s="54">
        <v>46174</v>
      </c>
    </row>
    <row r="788" spans="1:9" x14ac:dyDescent="0.35">
      <c r="A788" t="s">
        <v>1284</v>
      </c>
      <c r="B788" t="s">
        <v>1285</v>
      </c>
      <c r="C788" t="s">
        <v>1274</v>
      </c>
      <c r="D788" t="s">
        <v>1273</v>
      </c>
      <c r="E788" t="s">
        <v>1442</v>
      </c>
      <c r="F788" t="s">
        <v>1435</v>
      </c>
      <c r="G788" t="s">
        <v>437</v>
      </c>
      <c r="H788" t="s">
        <v>551</v>
      </c>
      <c r="I788" s="54">
        <v>46174</v>
      </c>
    </row>
    <row r="789" spans="1:9" x14ac:dyDescent="0.35">
      <c r="A789" t="s">
        <v>1261</v>
      </c>
      <c r="B789" t="s">
        <v>1262</v>
      </c>
      <c r="C789" t="s">
        <v>1274</v>
      </c>
      <c r="D789" t="s">
        <v>1273</v>
      </c>
      <c r="E789" t="s">
        <v>1438</v>
      </c>
      <c r="F789" t="s">
        <v>1435</v>
      </c>
      <c r="G789" t="s">
        <v>565</v>
      </c>
      <c r="H789" t="s">
        <v>566</v>
      </c>
      <c r="I789" s="54">
        <v>46174</v>
      </c>
    </row>
    <row r="790" spans="1:9" x14ac:dyDescent="0.35">
      <c r="A790" t="s">
        <v>1261</v>
      </c>
      <c r="B790" t="s">
        <v>1262</v>
      </c>
      <c r="C790" t="s">
        <v>1257</v>
      </c>
      <c r="D790" t="s">
        <v>1273</v>
      </c>
      <c r="E790" t="s">
        <v>1438</v>
      </c>
      <c r="F790" t="s">
        <v>1435</v>
      </c>
      <c r="G790" t="s">
        <v>565</v>
      </c>
      <c r="H790" t="s">
        <v>566</v>
      </c>
      <c r="I790" s="54">
        <v>46174</v>
      </c>
    </row>
    <row r="791" spans="1:9" x14ac:dyDescent="0.35">
      <c r="A791" t="s">
        <v>1296</v>
      </c>
      <c r="B791" t="s">
        <v>1297</v>
      </c>
      <c r="C791" t="s">
        <v>1257</v>
      </c>
      <c r="D791" t="s">
        <v>1273</v>
      </c>
      <c r="E791" t="s">
        <v>1447</v>
      </c>
      <c r="F791" t="s">
        <v>1435</v>
      </c>
      <c r="G791" t="s">
        <v>440</v>
      </c>
      <c r="H791" t="s">
        <v>578</v>
      </c>
      <c r="I791" s="54">
        <v>46174</v>
      </c>
    </row>
    <row r="792" spans="1:9" x14ac:dyDescent="0.35">
      <c r="A792" t="s">
        <v>1296</v>
      </c>
      <c r="B792" t="s">
        <v>1297</v>
      </c>
      <c r="C792" t="s">
        <v>1274</v>
      </c>
      <c r="D792" t="s">
        <v>1273</v>
      </c>
      <c r="E792" t="s">
        <v>1447</v>
      </c>
      <c r="F792" t="s">
        <v>1435</v>
      </c>
      <c r="G792" t="s">
        <v>440</v>
      </c>
      <c r="H792" t="s">
        <v>578</v>
      </c>
      <c r="I792" s="54">
        <v>46174</v>
      </c>
    </row>
    <row r="793" spans="1:9" x14ac:dyDescent="0.35">
      <c r="A793" t="s">
        <v>1344</v>
      </c>
      <c r="B793" t="s">
        <v>1345</v>
      </c>
      <c r="C793" t="s">
        <v>1257</v>
      </c>
      <c r="D793" t="s">
        <v>1273</v>
      </c>
      <c r="E793" t="s">
        <v>1465</v>
      </c>
      <c r="F793" t="s">
        <v>1435</v>
      </c>
      <c r="G793" t="s">
        <v>440</v>
      </c>
      <c r="H793" t="s">
        <v>578</v>
      </c>
      <c r="I793" s="54">
        <v>46174</v>
      </c>
    </row>
    <row r="794" spans="1:9" x14ac:dyDescent="0.35">
      <c r="A794" t="s">
        <v>671</v>
      </c>
      <c r="B794" t="s">
        <v>672</v>
      </c>
      <c r="C794" t="s">
        <v>1274</v>
      </c>
      <c r="D794" t="s">
        <v>1273</v>
      </c>
      <c r="E794" t="s">
        <v>516</v>
      </c>
      <c r="F794" t="s">
        <v>1435</v>
      </c>
      <c r="G794" t="s">
        <v>436</v>
      </c>
      <c r="H794" t="s">
        <v>548</v>
      </c>
      <c r="I794" s="54">
        <v>46174</v>
      </c>
    </row>
    <row r="795" spans="1:9" x14ac:dyDescent="0.35">
      <c r="A795" t="s">
        <v>671</v>
      </c>
      <c r="B795" t="s">
        <v>672</v>
      </c>
      <c r="C795" t="s">
        <v>1257</v>
      </c>
      <c r="D795" t="s">
        <v>1273</v>
      </c>
      <c r="E795" t="s">
        <v>516</v>
      </c>
      <c r="F795" t="s">
        <v>1435</v>
      </c>
      <c r="G795" t="s">
        <v>436</v>
      </c>
      <c r="H795" t="s">
        <v>548</v>
      </c>
      <c r="I795" s="54">
        <v>46174</v>
      </c>
    </row>
    <row r="796" spans="1:9" x14ac:dyDescent="0.35">
      <c r="A796" t="s">
        <v>673</v>
      </c>
      <c r="B796" t="s">
        <v>674</v>
      </c>
      <c r="C796" t="s">
        <v>1257</v>
      </c>
      <c r="D796" t="s">
        <v>1273</v>
      </c>
      <c r="E796" t="s">
        <v>287</v>
      </c>
      <c r="F796" t="s">
        <v>1435</v>
      </c>
      <c r="G796" t="s">
        <v>442</v>
      </c>
      <c r="H796" t="s">
        <v>575</v>
      </c>
      <c r="I796" s="54">
        <v>46174</v>
      </c>
    </row>
    <row r="797" spans="1:9" x14ac:dyDescent="0.35">
      <c r="A797" t="s">
        <v>673</v>
      </c>
      <c r="B797" t="s">
        <v>674</v>
      </c>
      <c r="C797" t="s">
        <v>1274</v>
      </c>
      <c r="D797" t="s">
        <v>1273</v>
      </c>
      <c r="E797" t="s">
        <v>287</v>
      </c>
      <c r="F797" t="s">
        <v>1435</v>
      </c>
      <c r="G797" t="s">
        <v>442</v>
      </c>
      <c r="H797" t="s">
        <v>575</v>
      </c>
      <c r="I797" s="54">
        <v>46174</v>
      </c>
    </row>
    <row r="798" spans="1:9" x14ac:dyDescent="0.35">
      <c r="A798" t="s">
        <v>1306</v>
      </c>
      <c r="B798" t="s">
        <v>1307</v>
      </c>
      <c r="C798" t="s">
        <v>1257</v>
      </c>
      <c r="D798" t="s">
        <v>1273</v>
      </c>
      <c r="E798" t="s">
        <v>376</v>
      </c>
      <c r="F798" t="s">
        <v>1435</v>
      </c>
      <c r="G798" t="s">
        <v>565</v>
      </c>
      <c r="H798" t="s">
        <v>566</v>
      </c>
      <c r="I798" s="54">
        <v>46174</v>
      </c>
    </row>
    <row r="799" spans="1:9" x14ac:dyDescent="0.35">
      <c r="A799" t="s">
        <v>1306</v>
      </c>
      <c r="B799" t="s">
        <v>1307</v>
      </c>
      <c r="C799" t="s">
        <v>1274</v>
      </c>
      <c r="D799" t="s">
        <v>1273</v>
      </c>
      <c r="E799" t="s">
        <v>376</v>
      </c>
      <c r="F799" t="s">
        <v>1435</v>
      </c>
      <c r="G799" t="s">
        <v>565</v>
      </c>
      <c r="H799" t="s">
        <v>566</v>
      </c>
      <c r="I799" s="54">
        <v>46174</v>
      </c>
    </row>
    <row r="800" spans="1:9" x14ac:dyDescent="0.35">
      <c r="A800" t="s">
        <v>239</v>
      </c>
      <c r="B800" t="s">
        <v>241</v>
      </c>
      <c r="C800" t="s">
        <v>1274</v>
      </c>
      <c r="D800" t="s">
        <v>1273</v>
      </c>
      <c r="E800" t="s">
        <v>1486</v>
      </c>
      <c r="F800" t="s">
        <v>1435</v>
      </c>
      <c r="G800" t="s">
        <v>437</v>
      </c>
      <c r="H800" t="s">
        <v>551</v>
      </c>
      <c r="I800" s="54">
        <v>46174</v>
      </c>
    </row>
    <row r="801" spans="1:9" x14ac:dyDescent="0.35">
      <c r="A801" t="s">
        <v>239</v>
      </c>
      <c r="B801" t="s">
        <v>241</v>
      </c>
      <c r="C801" t="s">
        <v>1257</v>
      </c>
      <c r="D801" t="s">
        <v>1273</v>
      </c>
      <c r="E801" t="s">
        <v>1486</v>
      </c>
      <c r="F801" t="s">
        <v>1435</v>
      </c>
      <c r="G801" t="s">
        <v>437</v>
      </c>
      <c r="H801" t="s">
        <v>551</v>
      </c>
      <c r="I801" s="54">
        <v>46174</v>
      </c>
    </row>
    <row r="802" spans="1:9" x14ac:dyDescent="0.35">
      <c r="A802" t="s">
        <v>412</v>
      </c>
      <c r="B802" t="s">
        <v>420</v>
      </c>
      <c r="C802" t="s">
        <v>1274</v>
      </c>
      <c r="D802" t="s">
        <v>1273</v>
      </c>
      <c r="E802" t="s">
        <v>1445</v>
      </c>
      <c r="F802" t="s">
        <v>1435</v>
      </c>
      <c r="G802" t="s">
        <v>437</v>
      </c>
      <c r="H802" t="s">
        <v>551</v>
      </c>
      <c r="I802" s="54">
        <v>46174</v>
      </c>
    </row>
    <row r="803" spans="1:9" x14ac:dyDescent="0.35">
      <c r="A803" t="s">
        <v>1302</v>
      </c>
      <c r="B803" t="s">
        <v>1303</v>
      </c>
      <c r="C803" t="s">
        <v>1274</v>
      </c>
      <c r="D803" t="s">
        <v>1273</v>
      </c>
      <c r="E803" t="s">
        <v>1450</v>
      </c>
      <c r="F803" t="s">
        <v>1435</v>
      </c>
      <c r="G803" t="s">
        <v>442</v>
      </c>
      <c r="H803" t="s">
        <v>575</v>
      </c>
      <c r="I803" s="54">
        <v>46174</v>
      </c>
    </row>
    <row r="804" spans="1:9" x14ac:dyDescent="0.35">
      <c r="A804" t="s">
        <v>1302</v>
      </c>
      <c r="B804" t="s">
        <v>1303</v>
      </c>
      <c r="C804" t="s">
        <v>1257</v>
      </c>
      <c r="D804" t="s">
        <v>1273</v>
      </c>
      <c r="E804" t="s">
        <v>1450</v>
      </c>
      <c r="F804" t="s">
        <v>1435</v>
      </c>
      <c r="G804" t="s">
        <v>442</v>
      </c>
      <c r="H804" t="s">
        <v>575</v>
      </c>
      <c r="I804" s="54">
        <v>46174</v>
      </c>
    </row>
    <row r="805" spans="1:9" x14ac:dyDescent="0.35">
      <c r="A805" t="s">
        <v>54</v>
      </c>
      <c r="B805" t="s">
        <v>56</v>
      </c>
      <c r="C805" t="s">
        <v>1257</v>
      </c>
      <c r="D805" t="s">
        <v>1273</v>
      </c>
      <c r="E805" t="s">
        <v>1469</v>
      </c>
      <c r="F805" t="s">
        <v>1435</v>
      </c>
      <c r="G805" t="s">
        <v>565</v>
      </c>
      <c r="H805" t="s">
        <v>566</v>
      </c>
      <c r="I805" s="54">
        <v>46174</v>
      </c>
    </row>
    <row r="806" spans="1:9" x14ac:dyDescent="0.35">
      <c r="A806" t="s">
        <v>22</v>
      </c>
      <c r="B806" t="s">
        <v>24</v>
      </c>
      <c r="C806" t="s">
        <v>1257</v>
      </c>
      <c r="D806" t="s">
        <v>1273</v>
      </c>
      <c r="E806" t="s">
        <v>1487</v>
      </c>
      <c r="F806" t="s">
        <v>1435</v>
      </c>
      <c r="G806" t="s">
        <v>439</v>
      </c>
      <c r="H806" t="s">
        <v>572</v>
      </c>
      <c r="I806" s="54">
        <v>46174</v>
      </c>
    </row>
    <row r="807" spans="1:9" x14ac:dyDescent="0.35">
      <c r="A807" t="s">
        <v>59</v>
      </c>
      <c r="B807" t="s">
        <v>60</v>
      </c>
      <c r="C807" t="s">
        <v>1257</v>
      </c>
      <c r="D807" t="s">
        <v>1273</v>
      </c>
      <c r="E807" t="s">
        <v>1469</v>
      </c>
      <c r="F807" t="s">
        <v>1435</v>
      </c>
      <c r="G807" t="s">
        <v>565</v>
      </c>
      <c r="H807" t="s">
        <v>566</v>
      </c>
      <c r="I807" s="54">
        <v>46174</v>
      </c>
    </row>
    <row r="808" spans="1:9" x14ac:dyDescent="0.35">
      <c r="A808" t="s">
        <v>1358</v>
      </c>
      <c r="B808" t="s">
        <v>1359</v>
      </c>
      <c r="C808" t="s">
        <v>1274</v>
      </c>
      <c r="D808" t="s">
        <v>1273</v>
      </c>
      <c r="E808" t="s">
        <v>1468</v>
      </c>
      <c r="F808" t="s">
        <v>1435</v>
      </c>
      <c r="G808" t="s">
        <v>437</v>
      </c>
      <c r="H808" t="s">
        <v>551</v>
      </c>
      <c r="I808" s="54">
        <v>46174</v>
      </c>
    </row>
    <row r="809" spans="1:9" x14ac:dyDescent="0.35">
      <c r="A809" t="s">
        <v>1358</v>
      </c>
      <c r="B809" t="s">
        <v>1359</v>
      </c>
      <c r="C809" t="s">
        <v>1257</v>
      </c>
      <c r="D809" t="s">
        <v>1273</v>
      </c>
      <c r="E809" t="s">
        <v>1468</v>
      </c>
      <c r="F809" t="s">
        <v>1435</v>
      </c>
      <c r="G809" t="s">
        <v>437</v>
      </c>
      <c r="H809" t="s">
        <v>551</v>
      </c>
      <c r="I809" s="54">
        <v>46174</v>
      </c>
    </row>
    <row r="810" spans="1:9" x14ac:dyDescent="0.35">
      <c r="A810" t="s">
        <v>1356</v>
      </c>
      <c r="B810" t="s">
        <v>1357</v>
      </c>
      <c r="C810" t="s">
        <v>1257</v>
      </c>
      <c r="D810" t="s">
        <v>1273</v>
      </c>
      <c r="E810" t="s">
        <v>1468</v>
      </c>
      <c r="F810" t="s">
        <v>1435</v>
      </c>
      <c r="G810" t="s">
        <v>437</v>
      </c>
      <c r="H810" t="s">
        <v>551</v>
      </c>
      <c r="I810" s="54">
        <v>46174</v>
      </c>
    </row>
    <row r="811" spans="1:9" x14ac:dyDescent="0.35">
      <c r="A811" t="s">
        <v>1356</v>
      </c>
      <c r="B811" t="s">
        <v>1357</v>
      </c>
      <c r="C811" t="s">
        <v>1274</v>
      </c>
      <c r="D811" t="s">
        <v>1273</v>
      </c>
      <c r="E811" t="s">
        <v>1468</v>
      </c>
      <c r="F811" t="s">
        <v>1435</v>
      </c>
      <c r="G811" t="s">
        <v>437</v>
      </c>
      <c r="H811" t="s">
        <v>551</v>
      </c>
      <c r="I811" s="54">
        <v>46174</v>
      </c>
    </row>
    <row r="812" spans="1:9" x14ac:dyDescent="0.35">
      <c r="A812" t="s">
        <v>5</v>
      </c>
      <c r="B812" t="s">
        <v>7</v>
      </c>
      <c r="C812" t="s">
        <v>1257</v>
      </c>
      <c r="D812" t="s">
        <v>1273</v>
      </c>
      <c r="E812" t="s">
        <v>6</v>
      </c>
      <c r="F812" t="s">
        <v>1435</v>
      </c>
      <c r="G812" t="s">
        <v>439</v>
      </c>
      <c r="H812" t="s">
        <v>572</v>
      </c>
      <c r="I812" s="54">
        <v>46174</v>
      </c>
    </row>
    <row r="813" spans="1:9" x14ac:dyDescent="0.35">
      <c r="A813" t="s">
        <v>5</v>
      </c>
      <c r="B813" t="s">
        <v>7</v>
      </c>
      <c r="C813" t="s">
        <v>1274</v>
      </c>
      <c r="D813" t="s">
        <v>1273</v>
      </c>
      <c r="E813" t="s">
        <v>6</v>
      </c>
      <c r="F813" t="s">
        <v>1435</v>
      </c>
      <c r="G813" t="s">
        <v>439</v>
      </c>
      <c r="H813" t="s">
        <v>572</v>
      </c>
      <c r="I813" s="54">
        <v>46174</v>
      </c>
    </row>
    <row r="814" spans="1:9" x14ac:dyDescent="0.35">
      <c r="A814" t="s">
        <v>15</v>
      </c>
      <c r="B814" t="s">
        <v>16</v>
      </c>
      <c r="C814" t="s">
        <v>1274</v>
      </c>
      <c r="D814" t="s">
        <v>1273</v>
      </c>
      <c r="E814" t="s">
        <v>1460</v>
      </c>
      <c r="F814" t="s">
        <v>1435</v>
      </c>
      <c r="G814" t="s">
        <v>565</v>
      </c>
      <c r="H814" t="s">
        <v>566</v>
      </c>
      <c r="I814" s="54">
        <v>46174</v>
      </c>
    </row>
    <row r="815" spans="1:9" x14ac:dyDescent="0.35">
      <c r="A815" t="s">
        <v>15</v>
      </c>
      <c r="B815" t="s">
        <v>16</v>
      </c>
      <c r="C815" t="s">
        <v>1257</v>
      </c>
      <c r="D815" t="s">
        <v>1273</v>
      </c>
      <c r="E815" t="s">
        <v>1460</v>
      </c>
      <c r="F815" t="s">
        <v>1435</v>
      </c>
      <c r="G815" t="s">
        <v>565</v>
      </c>
      <c r="H815" t="s">
        <v>566</v>
      </c>
      <c r="I815" s="54">
        <v>46174</v>
      </c>
    </row>
    <row r="816" spans="1:9" x14ac:dyDescent="0.35">
      <c r="A816" t="s">
        <v>507</v>
      </c>
      <c r="B816" t="s">
        <v>509</v>
      </c>
      <c r="C816" t="s">
        <v>1257</v>
      </c>
      <c r="D816" t="s">
        <v>1273</v>
      </c>
      <c r="E816" t="s">
        <v>1461</v>
      </c>
      <c r="F816" t="s">
        <v>1435</v>
      </c>
      <c r="G816" t="s">
        <v>436</v>
      </c>
      <c r="H816" t="s">
        <v>548</v>
      </c>
      <c r="I816" s="54">
        <v>46174</v>
      </c>
    </row>
    <row r="817" spans="1:9" x14ac:dyDescent="0.35">
      <c r="A817" t="s">
        <v>507</v>
      </c>
      <c r="B817" t="s">
        <v>509</v>
      </c>
      <c r="C817" t="s">
        <v>1274</v>
      </c>
      <c r="D817" t="s">
        <v>1273</v>
      </c>
      <c r="E817" t="s">
        <v>1461</v>
      </c>
      <c r="F817" t="s">
        <v>1435</v>
      </c>
      <c r="G817" t="s">
        <v>436</v>
      </c>
      <c r="H817" t="s">
        <v>548</v>
      </c>
      <c r="I817" s="54">
        <v>46174</v>
      </c>
    </row>
    <row r="818" spans="1:9" x14ac:dyDescent="0.35">
      <c r="A818" t="s">
        <v>508</v>
      </c>
      <c r="B818" t="s">
        <v>510</v>
      </c>
      <c r="C818" t="s">
        <v>1257</v>
      </c>
      <c r="D818" t="s">
        <v>1273</v>
      </c>
      <c r="E818" t="s">
        <v>1461</v>
      </c>
      <c r="F818" t="s">
        <v>1435</v>
      </c>
      <c r="G818" t="s">
        <v>436</v>
      </c>
      <c r="H818" t="s">
        <v>548</v>
      </c>
      <c r="I818" s="54">
        <v>46174</v>
      </c>
    </row>
    <row r="819" spans="1:9" x14ac:dyDescent="0.35">
      <c r="A819" t="s">
        <v>1392</v>
      </c>
      <c r="B819" t="s">
        <v>1393</v>
      </c>
      <c r="C819" t="s">
        <v>1257</v>
      </c>
      <c r="D819" t="s">
        <v>1273</v>
      </c>
      <c r="E819" t="s">
        <v>1453</v>
      </c>
      <c r="F819" t="s">
        <v>1435</v>
      </c>
      <c r="G819" t="s">
        <v>442</v>
      </c>
      <c r="H819" t="s">
        <v>575</v>
      </c>
      <c r="I819" s="54">
        <v>46174</v>
      </c>
    </row>
    <row r="820" spans="1:9" x14ac:dyDescent="0.35">
      <c r="A820" t="s">
        <v>57</v>
      </c>
      <c r="B820" t="s">
        <v>58</v>
      </c>
      <c r="C820" t="s">
        <v>1257</v>
      </c>
      <c r="D820" t="s">
        <v>1273</v>
      </c>
      <c r="E820" t="s">
        <v>1469</v>
      </c>
      <c r="F820" t="s">
        <v>1435</v>
      </c>
      <c r="G820" t="s">
        <v>565</v>
      </c>
      <c r="H820" t="s">
        <v>566</v>
      </c>
      <c r="I820" s="54">
        <v>46174</v>
      </c>
    </row>
    <row r="821" spans="1:9" x14ac:dyDescent="0.35">
      <c r="A821" t="s">
        <v>57</v>
      </c>
      <c r="B821" t="s">
        <v>58</v>
      </c>
      <c r="C821" t="s">
        <v>1274</v>
      </c>
      <c r="D821" t="s">
        <v>1273</v>
      </c>
      <c r="E821" t="s">
        <v>1469</v>
      </c>
      <c r="F821" t="s">
        <v>1435</v>
      </c>
      <c r="G821" t="s">
        <v>565</v>
      </c>
      <c r="H821" t="s">
        <v>566</v>
      </c>
      <c r="I821" s="54">
        <v>46174</v>
      </c>
    </row>
    <row r="822" spans="1:9" x14ac:dyDescent="0.35">
      <c r="A822" t="s">
        <v>34</v>
      </c>
      <c r="B822" t="s">
        <v>36</v>
      </c>
      <c r="C822" t="s">
        <v>1257</v>
      </c>
      <c r="D822" t="s">
        <v>1273</v>
      </c>
      <c r="E822" t="s">
        <v>35</v>
      </c>
      <c r="F822" t="s">
        <v>1435</v>
      </c>
      <c r="G822" t="s">
        <v>565</v>
      </c>
      <c r="H822" t="s">
        <v>566</v>
      </c>
      <c r="I822" s="54">
        <v>46174</v>
      </c>
    </row>
    <row r="823" spans="1:9" x14ac:dyDescent="0.35">
      <c r="A823" t="s">
        <v>1368</v>
      </c>
      <c r="B823" t="s">
        <v>1369</v>
      </c>
      <c r="C823" t="s">
        <v>1274</v>
      </c>
      <c r="D823" t="s">
        <v>1273</v>
      </c>
      <c r="E823" t="s">
        <v>1473</v>
      </c>
      <c r="F823" t="s">
        <v>1435</v>
      </c>
      <c r="G823" t="s">
        <v>565</v>
      </c>
      <c r="H823" t="s">
        <v>566</v>
      </c>
      <c r="I823" s="54">
        <v>46174</v>
      </c>
    </row>
    <row r="824" spans="1:9" x14ac:dyDescent="0.35">
      <c r="A824" t="s">
        <v>1346</v>
      </c>
      <c r="B824" t="s">
        <v>1347</v>
      </c>
      <c r="C824" t="s">
        <v>1274</v>
      </c>
      <c r="D824" t="s">
        <v>1273</v>
      </c>
      <c r="E824" t="s">
        <v>1437</v>
      </c>
      <c r="F824" t="s">
        <v>1435</v>
      </c>
      <c r="G824" t="s">
        <v>437</v>
      </c>
      <c r="H824" t="s">
        <v>551</v>
      </c>
      <c r="I824" s="54">
        <v>46174</v>
      </c>
    </row>
    <row r="825" spans="1:9" x14ac:dyDescent="0.35">
      <c r="A825" t="s">
        <v>1370</v>
      </c>
      <c r="B825" t="s">
        <v>1371</v>
      </c>
      <c r="C825" t="s">
        <v>1257</v>
      </c>
      <c r="D825" t="s">
        <v>1273</v>
      </c>
      <c r="E825" t="s">
        <v>1474</v>
      </c>
      <c r="F825" t="s">
        <v>1435</v>
      </c>
      <c r="G825" t="s">
        <v>565</v>
      </c>
      <c r="H825" t="s">
        <v>566</v>
      </c>
      <c r="I825" s="54">
        <v>46174</v>
      </c>
    </row>
    <row r="826" spans="1:9" x14ac:dyDescent="0.35">
      <c r="A826" t="s">
        <v>37</v>
      </c>
      <c r="B826" t="s">
        <v>39</v>
      </c>
      <c r="C826" t="s">
        <v>1257</v>
      </c>
      <c r="D826" t="s">
        <v>1273</v>
      </c>
      <c r="E826" t="s">
        <v>1464</v>
      </c>
      <c r="F826" t="s">
        <v>1435</v>
      </c>
      <c r="G826" t="s">
        <v>561</v>
      </c>
      <c r="H826" t="s">
        <v>562</v>
      </c>
      <c r="I826" s="54">
        <v>46174</v>
      </c>
    </row>
    <row r="827" spans="1:9" x14ac:dyDescent="0.35">
      <c r="A827" t="s">
        <v>37</v>
      </c>
      <c r="B827" t="s">
        <v>39</v>
      </c>
      <c r="C827" t="s">
        <v>1274</v>
      </c>
      <c r="D827" t="s">
        <v>1273</v>
      </c>
      <c r="E827" t="s">
        <v>1464</v>
      </c>
      <c r="F827" t="s">
        <v>1435</v>
      </c>
      <c r="G827" t="s">
        <v>561</v>
      </c>
      <c r="H827" t="s">
        <v>562</v>
      </c>
      <c r="I827" s="54">
        <v>46174</v>
      </c>
    </row>
    <row r="828" spans="1:9" x14ac:dyDescent="0.35">
      <c r="A828" t="s">
        <v>46</v>
      </c>
      <c r="B828" t="s">
        <v>47</v>
      </c>
      <c r="C828" t="s">
        <v>1274</v>
      </c>
      <c r="D828" t="s">
        <v>1273</v>
      </c>
      <c r="E828" t="s">
        <v>1476</v>
      </c>
      <c r="F828" t="s">
        <v>1435</v>
      </c>
      <c r="G828" t="s">
        <v>442</v>
      </c>
      <c r="H828" t="s">
        <v>575</v>
      </c>
      <c r="I828" s="54">
        <v>46174</v>
      </c>
    </row>
    <row r="829" spans="1:9" x14ac:dyDescent="0.35">
      <c r="A829" t="s">
        <v>46</v>
      </c>
      <c r="B829" t="s">
        <v>47</v>
      </c>
      <c r="C829" t="s">
        <v>1257</v>
      </c>
      <c r="D829" t="s">
        <v>1273</v>
      </c>
      <c r="E829" t="s">
        <v>1476</v>
      </c>
      <c r="F829" t="s">
        <v>1435</v>
      </c>
      <c r="G829" t="s">
        <v>442</v>
      </c>
      <c r="H829" t="s">
        <v>575</v>
      </c>
      <c r="I829" s="54">
        <v>46174</v>
      </c>
    </row>
    <row r="830" spans="1:9" x14ac:dyDescent="0.35">
      <c r="A830" t="s">
        <v>43</v>
      </c>
      <c r="B830" t="s">
        <v>45</v>
      </c>
      <c r="C830" t="s">
        <v>1257</v>
      </c>
      <c r="D830" t="s">
        <v>1273</v>
      </c>
      <c r="E830" t="s">
        <v>1476</v>
      </c>
      <c r="F830" t="s">
        <v>1435</v>
      </c>
      <c r="G830" t="s">
        <v>442</v>
      </c>
      <c r="H830" t="s">
        <v>575</v>
      </c>
      <c r="I830" s="54">
        <v>46174</v>
      </c>
    </row>
    <row r="831" spans="1:9" x14ac:dyDescent="0.35">
      <c r="A831" t="s">
        <v>43</v>
      </c>
      <c r="B831" t="s">
        <v>45</v>
      </c>
      <c r="C831" t="s">
        <v>1274</v>
      </c>
      <c r="D831" t="s">
        <v>1273</v>
      </c>
      <c r="E831" t="s">
        <v>1476</v>
      </c>
      <c r="F831" t="s">
        <v>1435</v>
      </c>
      <c r="G831" t="s">
        <v>442</v>
      </c>
      <c r="H831" t="s">
        <v>575</v>
      </c>
      <c r="I831" s="54">
        <v>46174</v>
      </c>
    </row>
    <row r="832" spans="1:9" x14ac:dyDescent="0.35">
      <c r="A832" t="s">
        <v>1376</v>
      </c>
      <c r="B832" t="s">
        <v>1377</v>
      </c>
      <c r="C832" t="s">
        <v>1274</v>
      </c>
      <c r="D832" t="s">
        <v>1273</v>
      </c>
      <c r="E832" t="s">
        <v>1477</v>
      </c>
      <c r="F832" t="s">
        <v>1435</v>
      </c>
      <c r="G832" t="s">
        <v>437</v>
      </c>
      <c r="H832" t="s">
        <v>551</v>
      </c>
      <c r="I832" s="54">
        <v>46174</v>
      </c>
    </row>
    <row r="833" spans="1:9" x14ac:dyDescent="0.35">
      <c r="A833" t="s">
        <v>1376</v>
      </c>
      <c r="B833" t="s">
        <v>1377</v>
      </c>
      <c r="C833" t="s">
        <v>1257</v>
      </c>
      <c r="D833" t="s">
        <v>1273</v>
      </c>
      <c r="E833" t="s">
        <v>1477</v>
      </c>
      <c r="F833" t="s">
        <v>1435</v>
      </c>
      <c r="G833" t="s">
        <v>437</v>
      </c>
      <c r="H833" t="s">
        <v>551</v>
      </c>
      <c r="I833" s="54">
        <v>46174</v>
      </c>
    </row>
    <row r="834" spans="1:9" x14ac:dyDescent="0.35">
      <c r="A834" t="s">
        <v>1376</v>
      </c>
      <c r="B834" t="s">
        <v>1377</v>
      </c>
      <c r="C834" t="s">
        <v>1281</v>
      </c>
      <c r="D834" t="s">
        <v>1273</v>
      </c>
      <c r="E834" t="s">
        <v>1477</v>
      </c>
      <c r="F834" t="s">
        <v>1435</v>
      </c>
      <c r="G834" t="s">
        <v>437</v>
      </c>
      <c r="H834" t="s">
        <v>551</v>
      </c>
      <c r="I834" s="54">
        <v>46174</v>
      </c>
    </row>
    <row r="835" spans="1:9" x14ac:dyDescent="0.35">
      <c r="A835" t="s">
        <v>1378</v>
      </c>
      <c r="B835" t="s">
        <v>1379</v>
      </c>
      <c r="C835" t="s">
        <v>1281</v>
      </c>
      <c r="D835" t="s">
        <v>1273</v>
      </c>
      <c r="E835" t="s">
        <v>1478</v>
      </c>
      <c r="F835" t="s">
        <v>1435</v>
      </c>
      <c r="G835" t="s">
        <v>440</v>
      </c>
      <c r="H835" t="s">
        <v>578</v>
      </c>
      <c r="I835" s="54">
        <v>46174</v>
      </c>
    </row>
    <row r="836" spans="1:9" x14ac:dyDescent="0.35">
      <c r="A836" t="s">
        <v>1378</v>
      </c>
      <c r="B836" t="s">
        <v>1379</v>
      </c>
      <c r="C836" t="s">
        <v>1274</v>
      </c>
      <c r="D836" t="s">
        <v>1273</v>
      </c>
      <c r="E836" t="s">
        <v>1478</v>
      </c>
      <c r="F836" t="s">
        <v>1435</v>
      </c>
      <c r="G836" t="s">
        <v>440</v>
      </c>
      <c r="H836" t="s">
        <v>578</v>
      </c>
      <c r="I836" s="54">
        <v>46174</v>
      </c>
    </row>
    <row r="837" spans="1:9" x14ac:dyDescent="0.35">
      <c r="A837" t="s">
        <v>1378</v>
      </c>
      <c r="B837" t="s">
        <v>1379</v>
      </c>
      <c r="C837" t="s">
        <v>1257</v>
      </c>
      <c r="D837" t="s">
        <v>1273</v>
      </c>
      <c r="E837" t="s">
        <v>1478</v>
      </c>
      <c r="F837" t="s">
        <v>1435</v>
      </c>
      <c r="G837" t="s">
        <v>440</v>
      </c>
      <c r="H837" t="s">
        <v>578</v>
      </c>
      <c r="I837" s="54">
        <v>46174</v>
      </c>
    </row>
    <row r="838" spans="1:9" x14ac:dyDescent="0.35">
      <c r="A838" t="s">
        <v>697</v>
      </c>
      <c r="B838" t="s">
        <v>698</v>
      </c>
      <c r="C838" t="s">
        <v>1281</v>
      </c>
      <c r="D838" t="s">
        <v>1273</v>
      </c>
      <c r="E838" t="s">
        <v>695</v>
      </c>
      <c r="F838" t="s">
        <v>1435</v>
      </c>
      <c r="G838" t="s">
        <v>439</v>
      </c>
      <c r="H838" t="s">
        <v>572</v>
      </c>
      <c r="I838" s="54">
        <v>46174</v>
      </c>
    </row>
    <row r="839" spans="1:9" x14ac:dyDescent="0.35">
      <c r="A839" t="s">
        <v>697</v>
      </c>
      <c r="B839" t="s">
        <v>698</v>
      </c>
      <c r="C839" t="s">
        <v>1257</v>
      </c>
      <c r="D839" t="s">
        <v>1273</v>
      </c>
      <c r="E839" t="s">
        <v>695</v>
      </c>
      <c r="F839" t="s">
        <v>1435</v>
      </c>
      <c r="G839" t="s">
        <v>439</v>
      </c>
      <c r="H839" t="s">
        <v>572</v>
      </c>
      <c r="I839" s="54">
        <v>46174</v>
      </c>
    </row>
    <row r="840" spans="1:9" x14ac:dyDescent="0.35">
      <c r="A840" t="s">
        <v>697</v>
      </c>
      <c r="B840" t="s">
        <v>698</v>
      </c>
      <c r="C840" t="s">
        <v>1274</v>
      </c>
      <c r="D840" t="s">
        <v>1273</v>
      </c>
      <c r="E840" t="s">
        <v>695</v>
      </c>
      <c r="F840" t="s">
        <v>1435</v>
      </c>
      <c r="G840" t="s">
        <v>439</v>
      </c>
      <c r="H840" t="s">
        <v>572</v>
      </c>
      <c r="I840" s="54">
        <v>46174</v>
      </c>
    </row>
    <row r="841" spans="1:9" x14ac:dyDescent="0.35">
      <c r="A841" t="s">
        <v>1384</v>
      </c>
      <c r="B841" t="s">
        <v>1385</v>
      </c>
      <c r="C841" t="s">
        <v>1257</v>
      </c>
      <c r="D841" t="s">
        <v>1273</v>
      </c>
      <c r="E841" t="s">
        <v>1481</v>
      </c>
      <c r="F841" t="s">
        <v>1435</v>
      </c>
      <c r="G841" t="s">
        <v>440</v>
      </c>
      <c r="H841" t="s">
        <v>578</v>
      </c>
      <c r="I841" s="54">
        <v>46174</v>
      </c>
    </row>
    <row r="842" spans="1:9" x14ac:dyDescent="0.35">
      <c r="A842" t="s">
        <v>1384</v>
      </c>
      <c r="B842" t="s">
        <v>1385</v>
      </c>
      <c r="C842" t="s">
        <v>1274</v>
      </c>
      <c r="D842" t="s">
        <v>1273</v>
      </c>
      <c r="E842" t="s">
        <v>1481</v>
      </c>
      <c r="F842" t="s">
        <v>1435</v>
      </c>
      <c r="G842" t="s">
        <v>440</v>
      </c>
      <c r="H842" t="s">
        <v>578</v>
      </c>
      <c r="I842" s="54">
        <v>46174</v>
      </c>
    </row>
    <row r="843" spans="1:9" x14ac:dyDescent="0.35">
      <c r="A843" t="s">
        <v>1384</v>
      </c>
      <c r="B843" t="s">
        <v>1385</v>
      </c>
      <c r="C843" t="s">
        <v>1281</v>
      </c>
      <c r="D843" t="s">
        <v>1273</v>
      </c>
      <c r="E843" t="s">
        <v>1481</v>
      </c>
      <c r="F843" t="s">
        <v>1435</v>
      </c>
      <c r="G843" t="s">
        <v>440</v>
      </c>
      <c r="H843" t="s">
        <v>578</v>
      </c>
      <c r="I843" s="54">
        <v>46174</v>
      </c>
    </row>
    <row r="844" spans="1:9" x14ac:dyDescent="0.35">
      <c r="A844" t="s">
        <v>1390</v>
      </c>
      <c r="B844" t="s">
        <v>1391</v>
      </c>
      <c r="C844" t="s">
        <v>1281</v>
      </c>
      <c r="D844" t="s">
        <v>1273</v>
      </c>
      <c r="E844" t="s">
        <v>1481</v>
      </c>
      <c r="F844" t="s">
        <v>1435</v>
      </c>
      <c r="G844" t="s">
        <v>440</v>
      </c>
      <c r="H844" t="s">
        <v>578</v>
      </c>
      <c r="I844" s="54">
        <v>46174</v>
      </c>
    </row>
    <row r="845" spans="1:9" x14ac:dyDescent="0.35">
      <c r="A845" t="s">
        <v>1390</v>
      </c>
      <c r="B845" t="s">
        <v>1391</v>
      </c>
      <c r="C845" t="s">
        <v>1274</v>
      </c>
      <c r="D845" t="s">
        <v>1273</v>
      </c>
      <c r="E845" t="s">
        <v>1481</v>
      </c>
      <c r="F845" t="s">
        <v>1435</v>
      </c>
      <c r="G845" t="s">
        <v>440</v>
      </c>
      <c r="H845" t="s">
        <v>578</v>
      </c>
      <c r="I845" s="54">
        <v>46174</v>
      </c>
    </row>
    <row r="846" spans="1:9" x14ac:dyDescent="0.35">
      <c r="A846" t="s">
        <v>1390</v>
      </c>
      <c r="B846" t="s">
        <v>1391</v>
      </c>
      <c r="C846" t="s">
        <v>1257</v>
      </c>
      <c r="D846" t="s">
        <v>1273</v>
      </c>
      <c r="E846" t="s">
        <v>1481</v>
      </c>
      <c r="F846" t="s">
        <v>1435</v>
      </c>
      <c r="G846" t="s">
        <v>440</v>
      </c>
      <c r="H846" t="s">
        <v>578</v>
      </c>
      <c r="I846" s="54">
        <v>46174</v>
      </c>
    </row>
    <row r="847" spans="1:9" x14ac:dyDescent="0.35">
      <c r="A847" t="s">
        <v>62</v>
      </c>
      <c r="B847" t="s">
        <v>64</v>
      </c>
      <c r="C847" t="s">
        <v>1281</v>
      </c>
      <c r="D847" t="s">
        <v>1273</v>
      </c>
      <c r="E847" t="s">
        <v>1488</v>
      </c>
      <c r="F847" t="s">
        <v>1435</v>
      </c>
      <c r="G847" t="s">
        <v>561</v>
      </c>
      <c r="H847" t="s">
        <v>562</v>
      </c>
      <c r="I847" s="54">
        <v>46174</v>
      </c>
    </row>
    <row r="848" spans="1:9" x14ac:dyDescent="0.35">
      <c r="A848" t="s">
        <v>62</v>
      </c>
      <c r="B848" t="s">
        <v>64</v>
      </c>
      <c r="C848" t="s">
        <v>1257</v>
      </c>
      <c r="D848" t="s">
        <v>1273</v>
      </c>
      <c r="E848" t="s">
        <v>1488</v>
      </c>
      <c r="F848" t="s">
        <v>1435</v>
      </c>
      <c r="G848" t="s">
        <v>561</v>
      </c>
      <c r="H848" t="s">
        <v>562</v>
      </c>
      <c r="I848" s="54">
        <v>46174</v>
      </c>
    </row>
    <row r="849" spans="1:9" x14ac:dyDescent="0.35">
      <c r="A849" t="s">
        <v>62</v>
      </c>
      <c r="B849" t="s">
        <v>64</v>
      </c>
      <c r="C849" t="s">
        <v>1274</v>
      </c>
      <c r="D849" t="s">
        <v>1273</v>
      </c>
      <c r="E849" t="s">
        <v>1488</v>
      </c>
      <c r="F849" t="s">
        <v>1435</v>
      </c>
      <c r="G849" t="s">
        <v>561</v>
      </c>
      <c r="H849" t="s">
        <v>562</v>
      </c>
      <c r="I849" s="54">
        <v>46174</v>
      </c>
    </row>
    <row r="850" spans="1:9" x14ac:dyDescent="0.35">
      <c r="A850" t="s">
        <v>413</v>
      </c>
      <c r="B850" t="s">
        <v>418</v>
      </c>
      <c r="C850" t="s">
        <v>1257</v>
      </c>
      <c r="D850" t="s">
        <v>1273</v>
      </c>
      <c r="E850" t="s">
        <v>1483</v>
      </c>
      <c r="F850" t="s">
        <v>1435</v>
      </c>
      <c r="G850" t="s">
        <v>439</v>
      </c>
      <c r="H850" t="s">
        <v>572</v>
      </c>
      <c r="I850" s="54">
        <v>46174</v>
      </c>
    </row>
    <row r="851" spans="1:9" x14ac:dyDescent="0.35">
      <c r="A851" t="s">
        <v>413</v>
      </c>
      <c r="B851" t="s">
        <v>418</v>
      </c>
      <c r="C851" t="s">
        <v>1281</v>
      </c>
      <c r="D851" t="s">
        <v>1273</v>
      </c>
      <c r="E851" t="s">
        <v>1483</v>
      </c>
      <c r="F851" t="s">
        <v>1435</v>
      </c>
      <c r="G851" t="s">
        <v>439</v>
      </c>
      <c r="H851" t="s">
        <v>572</v>
      </c>
      <c r="I851" s="54">
        <v>46174</v>
      </c>
    </row>
    <row r="852" spans="1:9" x14ac:dyDescent="0.35">
      <c r="A852" t="s">
        <v>413</v>
      </c>
      <c r="B852" t="s">
        <v>418</v>
      </c>
      <c r="C852" t="s">
        <v>1274</v>
      </c>
      <c r="D852" t="s">
        <v>1273</v>
      </c>
      <c r="E852" t="s">
        <v>1483</v>
      </c>
      <c r="F852" t="s">
        <v>1435</v>
      </c>
      <c r="G852" t="s">
        <v>439</v>
      </c>
      <c r="H852" t="s">
        <v>572</v>
      </c>
      <c r="I852" s="54">
        <v>46174</v>
      </c>
    </row>
    <row r="853" spans="1:9" x14ac:dyDescent="0.35">
      <c r="A853" t="s">
        <v>414</v>
      </c>
      <c r="B853" t="s">
        <v>419</v>
      </c>
      <c r="C853" t="s">
        <v>1274</v>
      </c>
      <c r="D853" t="s">
        <v>1273</v>
      </c>
      <c r="E853" t="s">
        <v>1484</v>
      </c>
      <c r="F853" t="s">
        <v>1435</v>
      </c>
      <c r="G853" t="s">
        <v>439</v>
      </c>
      <c r="H853" t="s">
        <v>572</v>
      </c>
      <c r="I853" s="54">
        <v>46174</v>
      </c>
    </row>
    <row r="854" spans="1:9" x14ac:dyDescent="0.35">
      <c r="A854" t="s">
        <v>414</v>
      </c>
      <c r="B854" t="s">
        <v>419</v>
      </c>
      <c r="C854" t="s">
        <v>1257</v>
      </c>
      <c r="D854" t="s">
        <v>1273</v>
      </c>
      <c r="E854" t="s">
        <v>1484</v>
      </c>
      <c r="F854" t="s">
        <v>1435</v>
      </c>
      <c r="G854" t="s">
        <v>439</v>
      </c>
      <c r="H854" t="s">
        <v>572</v>
      </c>
      <c r="I854" s="54">
        <v>46174</v>
      </c>
    </row>
    <row r="855" spans="1:9" x14ac:dyDescent="0.35">
      <c r="A855" t="s">
        <v>414</v>
      </c>
      <c r="B855" t="s">
        <v>419</v>
      </c>
      <c r="C855" t="s">
        <v>1281</v>
      </c>
      <c r="D855" t="s">
        <v>1273</v>
      </c>
      <c r="E855" t="s">
        <v>1484</v>
      </c>
      <c r="F855" t="s">
        <v>1435</v>
      </c>
      <c r="G855" t="s">
        <v>439</v>
      </c>
      <c r="H855" t="s">
        <v>572</v>
      </c>
      <c r="I855" s="54">
        <v>46174</v>
      </c>
    </row>
    <row r="856" spans="1:9" x14ac:dyDescent="0.35">
      <c r="A856" t="s">
        <v>1380</v>
      </c>
      <c r="B856" t="s">
        <v>1381</v>
      </c>
      <c r="C856" t="s">
        <v>1274</v>
      </c>
      <c r="D856" t="s">
        <v>1273</v>
      </c>
      <c r="E856" t="s">
        <v>1480</v>
      </c>
      <c r="F856" t="s">
        <v>1435</v>
      </c>
      <c r="G856" t="s">
        <v>440</v>
      </c>
      <c r="H856" t="s">
        <v>578</v>
      </c>
      <c r="I856" s="54">
        <v>46174</v>
      </c>
    </row>
    <row r="857" spans="1:9" x14ac:dyDescent="0.35">
      <c r="A857" t="s">
        <v>1380</v>
      </c>
      <c r="B857" t="s">
        <v>1381</v>
      </c>
      <c r="C857" t="s">
        <v>1257</v>
      </c>
      <c r="D857" t="s">
        <v>1273</v>
      </c>
      <c r="E857" t="s">
        <v>1480</v>
      </c>
      <c r="F857" t="s">
        <v>1435</v>
      </c>
      <c r="G857" t="s">
        <v>440</v>
      </c>
      <c r="H857" t="s">
        <v>578</v>
      </c>
      <c r="I857" s="54">
        <v>46174</v>
      </c>
    </row>
    <row r="858" spans="1:9" x14ac:dyDescent="0.35">
      <c r="A858" t="s">
        <v>1380</v>
      </c>
      <c r="B858" t="s">
        <v>1381</v>
      </c>
      <c r="C858" t="s">
        <v>1281</v>
      </c>
      <c r="D858" t="s">
        <v>1273</v>
      </c>
      <c r="E858" t="s">
        <v>1480</v>
      </c>
      <c r="F858" t="s">
        <v>1435</v>
      </c>
      <c r="G858" t="s">
        <v>440</v>
      </c>
      <c r="H858" t="s">
        <v>578</v>
      </c>
      <c r="I858" s="54">
        <v>46174</v>
      </c>
    </row>
    <row r="859" spans="1:9" x14ac:dyDescent="0.35">
      <c r="A859" t="s">
        <v>1382</v>
      </c>
      <c r="B859" t="s">
        <v>1383</v>
      </c>
      <c r="C859" t="s">
        <v>1281</v>
      </c>
      <c r="D859" t="s">
        <v>1273</v>
      </c>
      <c r="E859" t="s">
        <v>1480</v>
      </c>
      <c r="F859" t="s">
        <v>1435</v>
      </c>
      <c r="G859" t="s">
        <v>440</v>
      </c>
      <c r="H859" t="s">
        <v>578</v>
      </c>
      <c r="I859" s="54">
        <v>46174</v>
      </c>
    </row>
    <row r="860" spans="1:9" x14ac:dyDescent="0.35">
      <c r="A860" t="s">
        <v>1382</v>
      </c>
      <c r="B860" t="s">
        <v>1383</v>
      </c>
      <c r="C860" t="s">
        <v>1257</v>
      </c>
      <c r="D860" t="s">
        <v>1273</v>
      </c>
      <c r="E860" t="s">
        <v>1480</v>
      </c>
      <c r="F860" t="s">
        <v>1435</v>
      </c>
      <c r="G860" t="s">
        <v>440</v>
      </c>
      <c r="H860" t="s">
        <v>578</v>
      </c>
      <c r="I860" s="54">
        <v>46174</v>
      </c>
    </row>
    <row r="861" spans="1:9" x14ac:dyDescent="0.35">
      <c r="A861" t="s">
        <v>1382</v>
      </c>
      <c r="B861" t="s">
        <v>1383</v>
      </c>
      <c r="C861" t="s">
        <v>1274</v>
      </c>
      <c r="D861" t="s">
        <v>1273</v>
      </c>
      <c r="E861" t="s">
        <v>1480</v>
      </c>
      <c r="F861" t="s">
        <v>1435</v>
      </c>
      <c r="G861" t="s">
        <v>440</v>
      </c>
      <c r="H861" t="s">
        <v>578</v>
      </c>
      <c r="I861" s="54">
        <v>46174</v>
      </c>
    </row>
    <row r="862" spans="1:9" x14ac:dyDescent="0.35">
      <c r="A862" t="s">
        <v>70</v>
      </c>
      <c r="B862" t="s">
        <v>71</v>
      </c>
      <c r="C862" t="s">
        <v>1281</v>
      </c>
      <c r="D862" t="s">
        <v>1273</v>
      </c>
      <c r="E862" t="s">
        <v>396</v>
      </c>
      <c r="F862" t="s">
        <v>1435</v>
      </c>
      <c r="G862" t="s">
        <v>438</v>
      </c>
      <c r="H862" t="s">
        <v>554</v>
      </c>
      <c r="I862" s="54">
        <v>46174</v>
      </c>
    </row>
    <row r="863" spans="1:9" x14ac:dyDescent="0.35">
      <c r="A863" t="s">
        <v>70</v>
      </c>
      <c r="B863" t="s">
        <v>71</v>
      </c>
      <c r="C863" t="s">
        <v>1274</v>
      </c>
      <c r="D863" t="s">
        <v>1273</v>
      </c>
      <c r="E863" t="s">
        <v>396</v>
      </c>
      <c r="F863" t="s">
        <v>1435</v>
      </c>
      <c r="G863" t="s">
        <v>438</v>
      </c>
      <c r="H863" t="s">
        <v>554</v>
      </c>
      <c r="I863" s="54">
        <v>46174</v>
      </c>
    </row>
    <row r="864" spans="1:9" x14ac:dyDescent="0.35">
      <c r="A864" t="s">
        <v>70</v>
      </c>
      <c r="B864" t="s">
        <v>71</v>
      </c>
      <c r="C864" t="s">
        <v>1257</v>
      </c>
      <c r="D864" t="s">
        <v>1273</v>
      </c>
      <c r="E864" t="s">
        <v>396</v>
      </c>
      <c r="F864" t="s">
        <v>1435</v>
      </c>
      <c r="G864" t="s">
        <v>438</v>
      </c>
      <c r="H864" t="s">
        <v>554</v>
      </c>
      <c r="I864" s="54">
        <v>46174</v>
      </c>
    </row>
    <row r="865" spans="1:9" x14ac:dyDescent="0.35">
      <c r="A865" t="s">
        <v>66</v>
      </c>
      <c r="B865" t="s">
        <v>675</v>
      </c>
      <c r="C865" t="s">
        <v>1281</v>
      </c>
      <c r="D865" t="s">
        <v>1273</v>
      </c>
      <c r="E865" t="s">
        <v>67</v>
      </c>
      <c r="F865" t="s">
        <v>1435</v>
      </c>
      <c r="G865" t="s">
        <v>440</v>
      </c>
      <c r="H865" t="s">
        <v>578</v>
      </c>
      <c r="I865" s="54">
        <v>46174</v>
      </c>
    </row>
    <row r="866" spans="1:9" x14ac:dyDescent="0.35">
      <c r="A866" t="s">
        <v>66</v>
      </c>
      <c r="B866" t="s">
        <v>675</v>
      </c>
      <c r="C866" t="s">
        <v>1274</v>
      </c>
      <c r="D866" t="s">
        <v>1273</v>
      </c>
      <c r="E866" t="s">
        <v>67</v>
      </c>
      <c r="F866" t="s">
        <v>1435</v>
      </c>
      <c r="G866" t="s">
        <v>440</v>
      </c>
      <c r="H866" t="s">
        <v>578</v>
      </c>
      <c r="I866" s="54">
        <v>46174</v>
      </c>
    </row>
    <row r="867" spans="1:9" x14ac:dyDescent="0.35">
      <c r="A867" t="s">
        <v>66</v>
      </c>
      <c r="B867" t="s">
        <v>675</v>
      </c>
      <c r="C867" t="s">
        <v>1257</v>
      </c>
      <c r="D867" t="s">
        <v>1273</v>
      </c>
      <c r="E867" t="s">
        <v>67</v>
      </c>
      <c r="F867" t="s">
        <v>1435</v>
      </c>
      <c r="G867" t="s">
        <v>440</v>
      </c>
      <c r="H867" t="s">
        <v>578</v>
      </c>
      <c r="I867" s="54">
        <v>46174</v>
      </c>
    </row>
    <row r="868" spans="1:9" x14ac:dyDescent="0.35">
      <c r="A868" t="s">
        <v>1394</v>
      </c>
      <c r="B868" t="s">
        <v>1395</v>
      </c>
      <c r="C868" t="s">
        <v>1281</v>
      </c>
      <c r="D868" t="s">
        <v>1273</v>
      </c>
      <c r="E868" t="s">
        <v>1489</v>
      </c>
      <c r="F868" t="s">
        <v>1435</v>
      </c>
      <c r="G868" t="s">
        <v>440</v>
      </c>
      <c r="H868" t="s">
        <v>578</v>
      </c>
      <c r="I868" s="54">
        <v>46174</v>
      </c>
    </row>
    <row r="869" spans="1:9" x14ac:dyDescent="0.35">
      <c r="A869" t="s">
        <v>635</v>
      </c>
      <c r="B869" t="s">
        <v>636</v>
      </c>
      <c r="C869" t="s">
        <v>1274</v>
      </c>
      <c r="D869" t="s">
        <v>1273</v>
      </c>
      <c r="E869" t="s">
        <v>1452</v>
      </c>
      <c r="F869" t="s">
        <v>1435</v>
      </c>
      <c r="G869" t="s">
        <v>442</v>
      </c>
      <c r="H869" t="s">
        <v>575</v>
      </c>
      <c r="I869" s="54">
        <v>46174</v>
      </c>
    </row>
    <row r="870" spans="1:9" x14ac:dyDescent="0.35">
      <c r="A870" t="s">
        <v>635</v>
      </c>
      <c r="B870" t="s">
        <v>636</v>
      </c>
      <c r="C870" t="s">
        <v>1257</v>
      </c>
      <c r="D870" t="s">
        <v>1273</v>
      </c>
      <c r="E870" t="s">
        <v>1452</v>
      </c>
      <c r="F870" t="s">
        <v>1435</v>
      </c>
      <c r="G870" t="s">
        <v>442</v>
      </c>
      <c r="H870" t="s">
        <v>575</v>
      </c>
      <c r="I870" s="54">
        <v>46174</v>
      </c>
    </row>
    <row r="871" spans="1:9" x14ac:dyDescent="0.35">
      <c r="A871" t="s">
        <v>635</v>
      </c>
      <c r="B871" t="s">
        <v>636</v>
      </c>
      <c r="C871" t="s">
        <v>1281</v>
      </c>
      <c r="D871" t="s">
        <v>1273</v>
      </c>
      <c r="E871" t="s">
        <v>1452</v>
      </c>
      <c r="F871" t="s">
        <v>1435</v>
      </c>
      <c r="G871" t="s">
        <v>442</v>
      </c>
      <c r="H871" t="s">
        <v>575</v>
      </c>
      <c r="I871" s="54">
        <v>46174</v>
      </c>
    </row>
    <row r="872" spans="1:9" x14ac:dyDescent="0.35">
      <c r="A872" t="s">
        <v>415</v>
      </c>
      <c r="B872" t="s">
        <v>416</v>
      </c>
      <c r="C872" t="s">
        <v>1281</v>
      </c>
      <c r="D872" t="s">
        <v>1273</v>
      </c>
      <c r="E872" t="s">
        <v>1479</v>
      </c>
      <c r="F872" t="s">
        <v>1435</v>
      </c>
      <c r="G872" t="s">
        <v>442</v>
      </c>
      <c r="H872" t="s">
        <v>575</v>
      </c>
      <c r="I872" s="54">
        <v>46174</v>
      </c>
    </row>
    <row r="873" spans="1:9" x14ac:dyDescent="0.35">
      <c r="A873" t="s">
        <v>415</v>
      </c>
      <c r="B873" t="s">
        <v>416</v>
      </c>
      <c r="C873" t="s">
        <v>1257</v>
      </c>
      <c r="D873" t="s">
        <v>1273</v>
      </c>
      <c r="E873" t="s">
        <v>1479</v>
      </c>
      <c r="F873" t="s">
        <v>1435</v>
      </c>
      <c r="G873" t="s">
        <v>442</v>
      </c>
      <c r="H873" t="s">
        <v>575</v>
      </c>
      <c r="I873" s="54">
        <v>46174</v>
      </c>
    </row>
    <row r="874" spans="1:9" x14ac:dyDescent="0.35">
      <c r="A874" t="s">
        <v>415</v>
      </c>
      <c r="B874" t="s">
        <v>416</v>
      </c>
      <c r="C874" t="s">
        <v>1274</v>
      </c>
      <c r="D874" t="s">
        <v>1273</v>
      </c>
      <c r="E874" t="s">
        <v>1479</v>
      </c>
      <c r="F874" t="s">
        <v>1435</v>
      </c>
      <c r="G874" t="s">
        <v>442</v>
      </c>
      <c r="H874" t="s">
        <v>575</v>
      </c>
      <c r="I874" s="54">
        <v>46174</v>
      </c>
    </row>
    <row r="875" spans="1:9" x14ac:dyDescent="0.35">
      <c r="A875" t="s">
        <v>639</v>
      </c>
      <c r="B875" t="s">
        <v>640</v>
      </c>
      <c r="C875" t="s">
        <v>1257</v>
      </c>
      <c r="D875" t="s">
        <v>1273</v>
      </c>
      <c r="E875" t="s">
        <v>1455</v>
      </c>
      <c r="F875" t="s">
        <v>1435</v>
      </c>
      <c r="G875" t="s">
        <v>442</v>
      </c>
      <c r="H875" t="s">
        <v>575</v>
      </c>
      <c r="I875" s="54">
        <v>46174</v>
      </c>
    </row>
    <row r="876" spans="1:9" x14ac:dyDescent="0.35">
      <c r="A876" t="s">
        <v>639</v>
      </c>
      <c r="B876" t="s">
        <v>640</v>
      </c>
      <c r="C876" t="s">
        <v>1274</v>
      </c>
      <c r="D876" t="s">
        <v>1273</v>
      </c>
      <c r="E876" t="s">
        <v>1455</v>
      </c>
      <c r="F876" t="s">
        <v>1435</v>
      </c>
      <c r="G876" t="s">
        <v>442</v>
      </c>
      <c r="H876" t="s">
        <v>575</v>
      </c>
      <c r="I876" s="54">
        <v>46174</v>
      </c>
    </row>
    <row r="877" spans="1:9" x14ac:dyDescent="0.35">
      <c r="A877" t="s">
        <v>639</v>
      </c>
      <c r="B877" t="s">
        <v>640</v>
      </c>
      <c r="C877" t="s">
        <v>1281</v>
      </c>
      <c r="D877" t="s">
        <v>1273</v>
      </c>
      <c r="E877" t="s">
        <v>1455</v>
      </c>
      <c r="F877" t="s">
        <v>1435</v>
      </c>
      <c r="G877" t="s">
        <v>442</v>
      </c>
      <c r="H877" t="s">
        <v>575</v>
      </c>
      <c r="I877" s="54">
        <v>46174</v>
      </c>
    </row>
    <row r="878" spans="1:9" x14ac:dyDescent="0.35">
      <c r="A878" t="s">
        <v>1396</v>
      </c>
      <c r="B878" t="s">
        <v>1397</v>
      </c>
      <c r="C878" t="s">
        <v>1274</v>
      </c>
      <c r="D878" t="s">
        <v>1254</v>
      </c>
      <c r="E878" t="s">
        <v>1490</v>
      </c>
      <c r="F878" t="s">
        <v>1435</v>
      </c>
      <c r="G878" t="s">
        <v>581</v>
      </c>
      <c r="H878" t="s">
        <v>582</v>
      </c>
      <c r="I878" s="54">
        <v>46174</v>
      </c>
    </row>
    <row r="879" spans="1:9" x14ac:dyDescent="0.35">
      <c r="A879" t="s">
        <v>1398</v>
      </c>
      <c r="B879" t="s">
        <v>1399</v>
      </c>
      <c r="C879" t="s">
        <v>1257</v>
      </c>
      <c r="D879" t="s">
        <v>1254</v>
      </c>
      <c r="E879" t="s">
        <v>1491</v>
      </c>
      <c r="F879" t="s">
        <v>1435</v>
      </c>
      <c r="G879" t="s">
        <v>581</v>
      </c>
      <c r="H879" t="s">
        <v>582</v>
      </c>
      <c r="I879" s="54">
        <v>46174</v>
      </c>
    </row>
    <row r="880" spans="1:9" x14ac:dyDescent="0.35">
      <c r="A880" t="s">
        <v>1400</v>
      </c>
      <c r="B880" t="s">
        <v>1401</v>
      </c>
      <c r="C880" t="s">
        <v>1274</v>
      </c>
      <c r="D880" t="s">
        <v>1254</v>
      </c>
      <c r="E880" t="s">
        <v>1492</v>
      </c>
      <c r="F880" t="s">
        <v>1435</v>
      </c>
      <c r="G880" t="s">
        <v>597</v>
      </c>
      <c r="H880" t="s">
        <v>598</v>
      </c>
      <c r="I880" s="54">
        <v>46174</v>
      </c>
    </row>
    <row r="881" spans="1:9" x14ac:dyDescent="0.35">
      <c r="A881" t="s">
        <v>1396</v>
      </c>
      <c r="B881" t="s">
        <v>1397</v>
      </c>
      <c r="C881" t="s">
        <v>1274</v>
      </c>
      <c r="D881" t="s">
        <v>1263</v>
      </c>
      <c r="E881" t="s">
        <v>1490</v>
      </c>
      <c r="F881" t="s">
        <v>1435</v>
      </c>
      <c r="G881" t="s">
        <v>581</v>
      </c>
      <c r="H881" t="s">
        <v>582</v>
      </c>
      <c r="I881" s="54">
        <v>46174</v>
      </c>
    </row>
    <row r="882" spans="1:9" x14ac:dyDescent="0.35">
      <c r="A882" t="s">
        <v>1398</v>
      </c>
      <c r="B882" t="s">
        <v>1399</v>
      </c>
      <c r="C882" t="s">
        <v>1257</v>
      </c>
      <c r="D882" t="s">
        <v>1260</v>
      </c>
      <c r="E882" t="s">
        <v>1491</v>
      </c>
      <c r="F882" t="s">
        <v>1435</v>
      </c>
      <c r="G882" t="s">
        <v>581</v>
      </c>
      <c r="H882" t="s">
        <v>582</v>
      </c>
      <c r="I882" s="54">
        <v>46174</v>
      </c>
    </row>
    <row r="883" spans="1:9" x14ac:dyDescent="0.35">
      <c r="A883" t="s">
        <v>1400</v>
      </c>
      <c r="B883" t="s">
        <v>1401</v>
      </c>
      <c r="C883" t="s">
        <v>1274</v>
      </c>
      <c r="D883" t="s">
        <v>1263</v>
      </c>
      <c r="E883" t="s">
        <v>1492</v>
      </c>
      <c r="F883" t="s">
        <v>1435</v>
      </c>
      <c r="G883" t="s">
        <v>597</v>
      </c>
      <c r="H883" t="s">
        <v>598</v>
      </c>
      <c r="I883" s="54">
        <v>46174</v>
      </c>
    </row>
    <row r="884" spans="1:9" x14ac:dyDescent="0.35">
      <c r="A884" t="s">
        <v>1402</v>
      </c>
      <c r="B884" t="s">
        <v>1403</v>
      </c>
      <c r="C884" t="s">
        <v>1257</v>
      </c>
      <c r="D884" t="s">
        <v>1254</v>
      </c>
      <c r="E884" t="s">
        <v>1493</v>
      </c>
      <c r="F884" t="s">
        <v>1435</v>
      </c>
      <c r="G884" t="s">
        <v>581</v>
      </c>
      <c r="H884" t="s">
        <v>582</v>
      </c>
      <c r="I884" s="54">
        <v>46174</v>
      </c>
    </row>
    <row r="885" spans="1:9" x14ac:dyDescent="0.35">
      <c r="A885" t="s">
        <v>1402</v>
      </c>
      <c r="B885" t="s">
        <v>1403</v>
      </c>
      <c r="C885" t="s">
        <v>1274</v>
      </c>
      <c r="D885" t="s">
        <v>1254</v>
      </c>
      <c r="E885" t="s">
        <v>1493</v>
      </c>
      <c r="F885" t="s">
        <v>1435</v>
      </c>
      <c r="G885" t="s">
        <v>581</v>
      </c>
      <c r="H885" t="s">
        <v>582</v>
      </c>
      <c r="I885" s="54">
        <v>46174</v>
      </c>
    </row>
    <row r="886" spans="1:9" x14ac:dyDescent="0.35">
      <c r="A886" t="s">
        <v>145</v>
      </c>
      <c r="B886" t="s">
        <v>147</v>
      </c>
      <c r="C886" t="s">
        <v>1274</v>
      </c>
      <c r="D886" t="s">
        <v>1266</v>
      </c>
      <c r="E886" t="s">
        <v>146</v>
      </c>
      <c r="F886" t="s">
        <v>1435</v>
      </c>
      <c r="G886" t="s">
        <v>544</v>
      </c>
      <c r="H886" t="s">
        <v>545</v>
      </c>
      <c r="I886" s="54">
        <v>46174</v>
      </c>
    </row>
    <row r="887" spans="1:9" x14ac:dyDescent="0.35">
      <c r="A887" t="s">
        <v>1404</v>
      </c>
      <c r="B887" t="s">
        <v>1405</v>
      </c>
      <c r="C887" t="s">
        <v>1257</v>
      </c>
      <c r="D887" t="s">
        <v>1254</v>
      </c>
      <c r="E887" t="s">
        <v>1494</v>
      </c>
      <c r="F887" t="s">
        <v>1435</v>
      </c>
      <c r="G887" t="s">
        <v>544</v>
      </c>
      <c r="H887" t="s">
        <v>545</v>
      </c>
      <c r="I887" s="54">
        <v>46174</v>
      </c>
    </row>
    <row r="888" spans="1:9" x14ac:dyDescent="0.35">
      <c r="A888" t="s">
        <v>1404</v>
      </c>
      <c r="B888" t="s">
        <v>1405</v>
      </c>
      <c r="C888" t="s">
        <v>1274</v>
      </c>
      <c r="D888" t="s">
        <v>1254</v>
      </c>
      <c r="E888" t="s">
        <v>1494</v>
      </c>
      <c r="F888" t="s">
        <v>1435</v>
      </c>
      <c r="G888" t="s">
        <v>544</v>
      </c>
      <c r="H888" t="s">
        <v>545</v>
      </c>
      <c r="I888" s="54">
        <v>46174</v>
      </c>
    </row>
    <row r="889" spans="1:9" x14ac:dyDescent="0.35">
      <c r="A889" t="s">
        <v>145</v>
      </c>
      <c r="B889" t="s">
        <v>147</v>
      </c>
      <c r="C889" t="s">
        <v>1257</v>
      </c>
      <c r="D889" t="s">
        <v>1266</v>
      </c>
      <c r="E889" t="s">
        <v>146</v>
      </c>
      <c r="F889" t="s">
        <v>1435</v>
      </c>
      <c r="G889" t="s">
        <v>544</v>
      </c>
      <c r="H889" t="s">
        <v>545</v>
      </c>
      <c r="I889" s="54">
        <v>46174</v>
      </c>
    </row>
    <row r="890" spans="1:9" x14ac:dyDescent="0.35">
      <c r="A890" t="s">
        <v>1404</v>
      </c>
      <c r="B890" t="s">
        <v>1405</v>
      </c>
      <c r="C890" t="s">
        <v>1274</v>
      </c>
      <c r="D890" t="s">
        <v>1263</v>
      </c>
      <c r="E890" t="s">
        <v>1494</v>
      </c>
      <c r="F890" t="s">
        <v>1435</v>
      </c>
      <c r="G890" t="s">
        <v>544</v>
      </c>
      <c r="H890" t="s">
        <v>545</v>
      </c>
      <c r="I890" s="54">
        <v>46174</v>
      </c>
    </row>
    <row r="891" spans="1:9" x14ac:dyDescent="0.35">
      <c r="A891" t="s">
        <v>1404</v>
      </c>
      <c r="B891" t="s">
        <v>1405</v>
      </c>
      <c r="C891" t="s">
        <v>1257</v>
      </c>
      <c r="D891" t="s">
        <v>1263</v>
      </c>
      <c r="E891" t="s">
        <v>1494</v>
      </c>
      <c r="F891" t="s">
        <v>1435</v>
      </c>
      <c r="G891" t="s">
        <v>544</v>
      </c>
      <c r="H891" t="s">
        <v>545</v>
      </c>
      <c r="I891" s="54">
        <v>46174</v>
      </c>
    </row>
    <row r="892" spans="1:9" x14ac:dyDescent="0.35">
      <c r="A892" t="s">
        <v>1406</v>
      </c>
      <c r="B892" t="s">
        <v>1407</v>
      </c>
      <c r="C892" t="s">
        <v>1274</v>
      </c>
      <c r="D892" t="s">
        <v>1254</v>
      </c>
      <c r="E892" t="s">
        <v>1495</v>
      </c>
      <c r="F892" t="s">
        <v>1435</v>
      </c>
      <c r="G892" t="s">
        <v>544</v>
      </c>
      <c r="H892" t="s">
        <v>545</v>
      </c>
      <c r="I892" s="54">
        <v>46174</v>
      </c>
    </row>
    <row r="893" spans="1:9" x14ac:dyDescent="0.35">
      <c r="A893" t="s">
        <v>1406</v>
      </c>
      <c r="B893" t="s">
        <v>1407</v>
      </c>
      <c r="C893" t="s">
        <v>1257</v>
      </c>
      <c r="D893" t="s">
        <v>1254</v>
      </c>
      <c r="E893" t="s">
        <v>1495</v>
      </c>
      <c r="F893" t="s">
        <v>1435</v>
      </c>
      <c r="G893" t="s">
        <v>544</v>
      </c>
      <c r="H893" t="s">
        <v>545</v>
      </c>
      <c r="I893" s="54">
        <v>46174</v>
      </c>
    </row>
    <row r="894" spans="1:9" x14ac:dyDescent="0.35">
      <c r="A894" t="s">
        <v>1408</v>
      </c>
      <c r="B894" t="s">
        <v>1409</v>
      </c>
      <c r="C894" t="s">
        <v>1274</v>
      </c>
      <c r="D894" t="s">
        <v>1254</v>
      </c>
      <c r="E894" t="s">
        <v>1496</v>
      </c>
      <c r="F894" t="s">
        <v>1435</v>
      </c>
      <c r="G894" t="s">
        <v>544</v>
      </c>
      <c r="H894" t="s">
        <v>545</v>
      </c>
      <c r="I894" s="54">
        <v>46174</v>
      </c>
    </row>
    <row r="895" spans="1:9" x14ac:dyDescent="0.35">
      <c r="A895" t="s">
        <v>1408</v>
      </c>
      <c r="B895" t="s">
        <v>1409</v>
      </c>
      <c r="C895" t="s">
        <v>1257</v>
      </c>
      <c r="D895" t="s">
        <v>1254</v>
      </c>
      <c r="E895" t="s">
        <v>1496</v>
      </c>
      <c r="F895" t="s">
        <v>1435</v>
      </c>
      <c r="G895" t="s">
        <v>544</v>
      </c>
      <c r="H895" t="s">
        <v>545</v>
      </c>
      <c r="I895" s="54">
        <v>46174</v>
      </c>
    </row>
    <row r="896" spans="1:9" x14ac:dyDescent="0.35">
      <c r="A896" t="s">
        <v>1410</v>
      </c>
      <c r="B896" t="s">
        <v>1411</v>
      </c>
      <c r="C896" t="s">
        <v>1257</v>
      </c>
      <c r="D896" t="s">
        <v>1254</v>
      </c>
      <c r="E896" t="s">
        <v>146</v>
      </c>
      <c r="F896" t="s">
        <v>1435</v>
      </c>
      <c r="G896" t="s">
        <v>544</v>
      </c>
      <c r="H896" t="s">
        <v>545</v>
      </c>
      <c r="I896" s="54">
        <v>46174</v>
      </c>
    </row>
    <row r="897" spans="1:9" x14ac:dyDescent="0.35">
      <c r="A897" t="s">
        <v>1410</v>
      </c>
      <c r="B897" t="s">
        <v>1411</v>
      </c>
      <c r="C897" t="s">
        <v>1274</v>
      </c>
      <c r="D897" t="s">
        <v>1254</v>
      </c>
      <c r="E897" t="s">
        <v>146</v>
      </c>
      <c r="F897" t="s">
        <v>1435</v>
      </c>
      <c r="G897" t="s">
        <v>544</v>
      </c>
      <c r="H897" t="s">
        <v>545</v>
      </c>
      <c r="I897" s="54">
        <v>46174</v>
      </c>
    </row>
    <row r="898" spans="1:9" x14ac:dyDescent="0.35">
      <c r="A898" t="s">
        <v>1412</v>
      </c>
      <c r="B898" t="s">
        <v>1413</v>
      </c>
      <c r="C898" t="s">
        <v>1257</v>
      </c>
      <c r="D898" t="s">
        <v>1266</v>
      </c>
      <c r="E898" t="s">
        <v>1497</v>
      </c>
      <c r="F898" t="s">
        <v>1435</v>
      </c>
      <c r="G898" t="s">
        <v>597</v>
      </c>
      <c r="H898" t="s">
        <v>598</v>
      </c>
      <c r="I898" s="54">
        <v>46174</v>
      </c>
    </row>
    <row r="899" spans="1:9" x14ac:dyDescent="0.35">
      <c r="A899" t="s">
        <v>1412</v>
      </c>
      <c r="B899" t="s">
        <v>1413</v>
      </c>
      <c r="C899" t="s">
        <v>1274</v>
      </c>
      <c r="D899" t="s">
        <v>1266</v>
      </c>
      <c r="E899" t="s">
        <v>1497</v>
      </c>
      <c r="F899" t="s">
        <v>1435</v>
      </c>
      <c r="G899" t="s">
        <v>597</v>
      </c>
      <c r="H899" t="s">
        <v>598</v>
      </c>
      <c r="I899" s="54">
        <v>46174</v>
      </c>
    </row>
    <row r="900" spans="1:9" x14ac:dyDescent="0.35">
      <c r="A900" t="s">
        <v>145</v>
      </c>
      <c r="B900" t="s">
        <v>147</v>
      </c>
      <c r="C900" t="s">
        <v>1274</v>
      </c>
      <c r="D900" t="s">
        <v>1254</v>
      </c>
      <c r="E900" t="s">
        <v>146</v>
      </c>
      <c r="F900" t="s">
        <v>1435</v>
      </c>
      <c r="G900" t="s">
        <v>544</v>
      </c>
      <c r="H900" t="s">
        <v>545</v>
      </c>
      <c r="I900" s="54">
        <v>46174</v>
      </c>
    </row>
    <row r="901" spans="1:9" x14ac:dyDescent="0.35">
      <c r="A901" t="s">
        <v>145</v>
      </c>
      <c r="B901" t="s">
        <v>147</v>
      </c>
      <c r="C901" t="s">
        <v>1257</v>
      </c>
      <c r="D901" t="s">
        <v>1254</v>
      </c>
      <c r="E901" t="s">
        <v>146</v>
      </c>
      <c r="F901" t="s">
        <v>1435</v>
      </c>
      <c r="G901" t="s">
        <v>544</v>
      </c>
      <c r="H901" t="s">
        <v>545</v>
      </c>
      <c r="I901" s="54">
        <v>46174</v>
      </c>
    </row>
    <row r="902" spans="1:9" x14ac:dyDescent="0.35">
      <c r="A902" t="s">
        <v>1406</v>
      </c>
      <c r="B902" t="s">
        <v>1407</v>
      </c>
      <c r="C902" t="s">
        <v>1257</v>
      </c>
      <c r="D902" t="s">
        <v>1263</v>
      </c>
      <c r="E902" t="s">
        <v>1495</v>
      </c>
      <c r="F902" t="s">
        <v>1435</v>
      </c>
      <c r="G902" t="s">
        <v>544</v>
      </c>
      <c r="H902" t="s">
        <v>545</v>
      </c>
      <c r="I902" s="54">
        <v>46174</v>
      </c>
    </row>
    <row r="903" spans="1:9" x14ac:dyDescent="0.35">
      <c r="A903" t="s">
        <v>1406</v>
      </c>
      <c r="B903" t="s">
        <v>1407</v>
      </c>
      <c r="C903" t="s">
        <v>1274</v>
      </c>
      <c r="D903" t="s">
        <v>1263</v>
      </c>
      <c r="E903" t="s">
        <v>1495</v>
      </c>
      <c r="F903" t="s">
        <v>1435</v>
      </c>
      <c r="G903" t="s">
        <v>544</v>
      </c>
      <c r="H903" t="s">
        <v>545</v>
      </c>
      <c r="I903" s="54">
        <v>46174</v>
      </c>
    </row>
    <row r="904" spans="1:9" x14ac:dyDescent="0.35">
      <c r="A904" t="s">
        <v>1402</v>
      </c>
      <c r="B904" t="s">
        <v>1403</v>
      </c>
      <c r="C904" t="s">
        <v>1274</v>
      </c>
      <c r="D904" t="s">
        <v>1260</v>
      </c>
      <c r="E904" t="s">
        <v>1493</v>
      </c>
      <c r="F904" t="s">
        <v>1435</v>
      </c>
      <c r="G904" t="s">
        <v>581</v>
      </c>
      <c r="H904" t="s">
        <v>582</v>
      </c>
      <c r="I904" s="54">
        <v>46174</v>
      </c>
    </row>
    <row r="905" spans="1:9" x14ac:dyDescent="0.35">
      <c r="A905" t="s">
        <v>1408</v>
      </c>
      <c r="B905" t="s">
        <v>1409</v>
      </c>
      <c r="C905" t="s">
        <v>1274</v>
      </c>
      <c r="D905" t="s">
        <v>1263</v>
      </c>
      <c r="E905" t="s">
        <v>1496</v>
      </c>
      <c r="F905" t="s">
        <v>1435</v>
      </c>
      <c r="G905" t="s">
        <v>544</v>
      </c>
      <c r="H905" t="s">
        <v>545</v>
      </c>
      <c r="I905" s="54">
        <v>46174</v>
      </c>
    </row>
    <row r="906" spans="1:9" x14ac:dyDescent="0.35">
      <c r="A906" t="s">
        <v>85</v>
      </c>
      <c r="B906" t="s">
        <v>1414</v>
      </c>
      <c r="C906" t="s">
        <v>1253</v>
      </c>
      <c r="D906" t="s">
        <v>1254</v>
      </c>
      <c r="E906" t="s">
        <v>86</v>
      </c>
      <c r="F906" t="s">
        <v>1435</v>
      </c>
      <c r="G906" t="s">
        <v>593</v>
      </c>
      <c r="H906" t="s">
        <v>594</v>
      </c>
      <c r="I906" s="54">
        <v>46174</v>
      </c>
    </row>
    <row r="907" spans="1:9" x14ac:dyDescent="0.35">
      <c r="A907" t="s">
        <v>1408</v>
      </c>
      <c r="B907" t="s">
        <v>1409</v>
      </c>
      <c r="C907" t="s">
        <v>1257</v>
      </c>
      <c r="D907" t="s">
        <v>1263</v>
      </c>
      <c r="E907" t="s">
        <v>1496</v>
      </c>
      <c r="F907" t="s">
        <v>1435</v>
      </c>
      <c r="G907" t="s">
        <v>544</v>
      </c>
      <c r="H907" t="s">
        <v>545</v>
      </c>
      <c r="I907" s="54">
        <v>46174</v>
      </c>
    </row>
    <row r="908" spans="1:9" x14ac:dyDescent="0.35">
      <c r="A908" t="s">
        <v>79</v>
      </c>
      <c r="B908" t="s">
        <v>81</v>
      </c>
      <c r="C908" t="s">
        <v>1253</v>
      </c>
      <c r="D908" t="s">
        <v>1254</v>
      </c>
      <c r="E908" t="s">
        <v>80</v>
      </c>
      <c r="F908" t="s">
        <v>1435</v>
      </c>
      <c r="G908" t="s">
        <v>593</v>
      </c>
      <c r="H908" t="s">
        <v>594</v>
      </c>
      <c r="I908" s="54">
        <v>46174</v>
      </c>
    </row>
    <row r="909" spans="1:9" x14ac:dyDescent="0.35">
      <c r="A909" t="s">
        <v>82</v>
      </c>
      <c r="B909" t="s">
        <v>84</v>
      </c>
      <c r="C909" t="s">
        <v>1253</v>
      </c>
      <c r="D909" t="s">
        <v>1254</v>
      </c>
      <c r="E909" t="s">
        <v>83</v>
      </c>
      <c r="F909" t="s">
        <v>1435</v>
      </c>
      <c r="G909" t="s">
        <v>593</v>
      </c>
      <c r="H909" t="s">
        <v>594</v>
      </c>
      <c r="I909" s="54">
        <v>46174</v>
      </c>
    </row>
    <row r="910" spans="1:9" x14ac:dyDescent="0.35">
      <c r="A910" t="s">
        <v>1402</v>
      </c>
      <c r="B910" t="s">
        <v>1403</v>
      </c>
      <c r="C910" t="s">
        <v>1257</v>
      </c>
      <c r="D910" t="s">
        <v>1260</v>
      </c>
      <c r="E910" t="s">
        <v>1493</v>
      </c>
      <c r="F910" t="s">
        <v>1435</v>
      </c>
      <c r="G910" t="s">
        <v>581</v>
      </c>
      <c r="H910" t="s">
        <v>582</v>
      </c>
      <c r="I910" s="54">
        <v>46174</v>
      </c>
    </row>
    <row r="911" spans="1:9" x14ac:dyDescent="0.35">
      <c r="A911" t="s">
        <v>1412</v>
      </c>
      <c r="B911" t="s">
        <v>1413</v>
      </c>
      <c r="C911" t="s">
        <v>1257</v>
      </c>
      <c r="D911" t="s">
        <v>1254</v>
      </c>
      <c r="E911" t="s">
        <v>1497</v>
      </c>
      <c r="F911" t="s">
        <v>1435</v>
      </c>
      <c r="G911" t="s">
        <v>597</v>
      </c>
      <c r="H911" t="s">
        <v>598</v>
      </c>
      <c r="I911" s="54">
        <v>46174</v>
      </c>
    </row>
    <row r="912" spans="1:9" x14ac:dyDescent="0.35">
      <c r="A912" t="s">
        <v>1412</v>
      </c>
      <c r="B912" t="s">
        <v>1413</v>
      </c>
      <c r="C912" t="s">
        <v>1274</v>
      </c>
      <c r="D912" t="s">
        <v>1254</v>
      </c>
      <c r="E912" t="s">
        <v>1497</v>
      </c>
      <c r="F912" t="s">
        <v>1435</v>
      </c>
      <c r="G912" t="s">
        <v>597</v>
      </c>
      <c r="H912" t="s">
        <v>598</v>
      </c>
      <c r="I912" s="54">
        <v>46174</v>
      </c>
    </row>
    <row r="913" spans="1:9" x14ac:dyDescent="0.35">
      <c r="A913" t="s">
        <v>1410</v>
      </c>
      <c r="B913" t="s">
        <v>1411</v>
      </c>
      <c r="C913" t="s">
        <v>1274</v>
      </c>
      <c r="D913" t="s">
        <v>1263</v>
      </c>
      <c r="E913" t="s">
        <v>146</v>
      </c>
      <c r="F913" t="s">
        <v>1435</v>
      </c>
      <c r="G913" t="s">
        <v>544</v>
      </c>
      <c r="H913" t="s">
        <v>545</v>
      </c>
      <c r="I913" s="54">
        <v>46174</v>
      </c>
    </row>
    <row r="914" spans="1:9" x14ac:dyDescent="0.35">
      <c r="A914" t="s">
        <v>1410</v>
      </c>
      <c r="B914" t="s">
        <v>1411</v>
      </c>
      <c r="C914" t="s">
        <v>1257</v>
      </c>
      <c r="D914" t="s">
        <v>1263</v>
      </c>
      <c r="E914" t="s">
        <v>146</v>
      </c>
      <c r="F914" t="s">
        <v>1435</v>
      </c>
      <c r="G914" t="s">
        <v>544</v>
      </c>
      <c r="H914" t="s">
        <v>545</v>
      </c>
      <c r="I914" s="54">
        <v>46174</v>
      </c>
    </row>
    <row r="915" spans="1:9" x14ac:dyDescent="0.35">
      <c r="A915" t="s">
        <v>1415</v>
      </c>
      <c r="C915" t="s">
        <v>1274</v>
      </c>
      <c r="D915" t="s">
        <v>1266</v>
      </c>
      <c r="E915" t="s">
        <v>1498</v>
      </c>
      <c r="F915" t="s">
        <v>1435</v>
      </c>
      <c r="G915" t="s">
        <v>581</v>
      </c>
      <c r="H915" t="s">
        <v>582</v>
      </c>
      <c r="I915" s="54">
        <v>46174</v>
      </c>
    </row>
    <row r="916" spans="1:9" x14ac:dyDescent="0.35">
      <c r="A916" t="s">
        <v>1415</v>
      </c>
      <c r="C916" t="s">
        <v>1257</v>
      </c>
      <c r="D916" t="s">
        <v>1266</v>
      </c>
      <c r="E916" t="s">
        <v>1498</v>
      </c>
      <c r="F916" t="s">
        <v>1435</v>
      </c>
      <c r="G916" t="s">
        <v>581</v>
      </c>
      <c r="H916" t="s">
        <v>582</v>
      </c>
      <c r="I916" s="54">
        <v>46174</v>
      </c>
    </row>
    <row r="917" spans="1:9" x14ac:dyDescent="0.35">
      <c r="A917" t="s">
        <v>1402</v>
      </c>
      <c r="B917" t="s">
        <v>1403</v>
      </c>
      <c r="C917" t="s">
        <v>1253</v>
      </c>
      <c r="D917" t="s">
        <v>1254</v>
      </c>
      <c r="E917" t="s">
        <v>1493</v>
      </c>
      <c r="F917" t="s">
        <v>1435</v>
      </c>
      <c r="G917" t="s">
        <v>581</v>
      </c>
      <c r="H917" t="s">
        <v>582</v>
      </c>
      <c r="I917" s="54">
        <v>46174</v>
      </c>
    </row>
    <row r="918" spans="1:9" x14ac:dyDescent="0.35">
      <c r="A918" t="s">
        <v>82</v>
      </c>
      <c r="B918" t="s">
        <v>84</v>
      </c>
      <c r="C918" t="s">
        <v>1257</v>
      </c>
      <c r="D918" t="s">
        <v>1266</v>
      </c>
      <c r="E918" t="s">
        <v>83</v>
      </c>
      <c r="F918" t="s">
        <v>1435</v>
      </c>
      <c r="G918" t="s">
        <v>593</v>
      </c>
      <c r="H918" t="s">
        <v>594</v>
      </c>
      <c r="I918" s="54">
        <v>46174</v>
      </c>
    </row>
    <row r="919" spans="1:9" x14ac:dyDescent="0.35">
      <c r="A919" t="s">
        <v>82</v>
      </c>
      <c r="B919" t="s">
        <v>84</v>
      </c>
      <c r="C919" t="s">
        <v>1274</v>
      </c>
      <c r="D919" t="s">
        <v>1266</v>
      </c>
      <c r="E919" t="s">
        <v>83</v>
      </c>
      <c r="F919" t="s">
        <v>1435</v>
      </c>
      <c r="G919" t="s">
        <v>593</v>
      </c>
      <c r="H919" t="s">
        <v>594</v>
      </c>
      <c r="I919" s="54">
        <v>46174</v>
      </c>
    </row>
    <row r="920" spans="1:9" x14ac:dyDescent="0.35">
      <c r="A920" t="s">
        <v>1406</v>
      </c>
      <c r="B920" t="s">
        <v>1407</v>
      </c>
      <c r="C920" t="s">
        <v>1274</v>
      </c>
      <c r="D920" t="s">
        <v>1260</v>
      </c>
      <c r="E920" t="s">
        <v>1495</v>
      </c>
      <c r="F920" t="s">
        <v>1435</v>
      </c>
      <c r="G920" t="s">
        <v>544</v>
      </c>
      <c r="H920" t="s">
        <v>545</v>
      </c>
      <c r="I920" s="54">
        <v>46174</v>
      </c>
    </row>
    <row r="921" spans="1:9" x14ac:dyDescent="0.35">
      <c r="A921" t="s">
        <v>1406</v>
      </c>
      <c r="B921" t="s">
        <v>1407</v>
      </c>
      <c r="C921" t="s">
        <v>1257</v>
      </c>
      <c r="D921" t="s">
        <v>1260</v>
      </c>
      <c r="E921" t="s">
        <v>1495</v>
      </c>
      <c r="F921" t="s">
        <v>1435</v>
      </c>
      <c r="G921" t="s">
        <v>544</v>
      </c>
      <c r="H921" t="s">
        <v>545</v>
      </c>
      <c r="I921" s="54">
        <v>46174</v>
      </c>
    </row>
    <row r="922" spans="1:9" x14ac:dyDescent="0.35">
      <c r="A922" t="s">
        <v>1416</v>
      </c>
      <c r="C922" t="s">
        <v>1274</v>
      </c>
      <c r="D922" t="s">
        <v>1266</v>
      </c>
      <c r="E922" t="s">
        <v>1499</v>
      </c>
      <c r="F922" t="s">
        <v>1435</v>
      </c>
      <c r="G922" t="s">
        <v>593</v>
      </c>
      <c r="H922" t="s">
        <v>594</v>
      </c>
      <c r="I922" s="54">
        <v>46174</v>
      </c>
    </row>
    <row r="923" spans="1:9" x14ac:dyDescent="0.35">
      <c r="A923" t="s">
        <v>1417</v>
      </c>
      <c r="B923" t="s">
        <v>1418</v>
      </c>
      <c r="C923" t="s">
        <v>1253</v>
      </c>
      <c r="D923" t="s">
        <v>1254</v>
      </c>
      <c r="E923" t="s">
        <v>1500</v>
      </c>
      <c r="F923" t="s">
        <v>1435</v>
      </c>
      <c r="G923" t="s">
        <v>589</v>
      </c>
      <c r="H923" t="s">
        <v>590</v>
      </c>
      <c r="I923" s="54">
        <v>46174</v>
      </c>
    </row>
    <row r="924" spans="1:9" x14ac:dyDescent="0.35">
      <c r="A924" t="s">
        <v>1416</v>
      </c>
      <c r="C924" t="s">
        <v>1257</v>
      </c>
      <c r="D924" t="s">
        <v>1266</v>
      </c>
      <c r="E924" t="s">
        <v>1499</v>
      </c>
      <c r="F924" t="s">
        <v>1435</v>
      </c>
      <c r="G924" t="s">
        <v>593</v>
      </c>
      <c r="H924" t="s">
        <v>594</v>
      </c>
      <c r="I924" s="54">
        <v>46174</v>
      </c>
    </row>
    <row r="925" spans="1:9" x14ac:dyDescent="0.35">
      <c r="A925" t="s">
        <v>1404</v>
      </c>
      <c r="B925" t="s">
        <v>1405</v>
      </c>
      <c r="C925" t="s">
        <v>1253</v>
      </c>
      <c r="D925" t="s">
        <v>1254</v>
      </c>
      <c r="E925" t="s">
        <v>1494</v>
      </c>
      <c r="F925" t="s">
        <v>1435</v>
      </c>
      <c r="G925" t="s">
        <v>544</v>
      </c>
      <c r="H925" t="s">
        <v>545</v>
      </c>
      <c r="I925" s="54">
        <v>46174</v>
      </c>
    </row>
    <row r="926" spans="1:9" x14ac:dyDescent="0.35">
      <c r="A926" t="s">
        <v>1415</v>
      </c>
      <c r="C926" t="s">
        <v>1274</v>
      </c>
      <c r="D926" t="s">
        <v>1254</v>
      </c>
      <c r="E926" t="s">
        <v>1498</v>
      </c>
      <c r="F926" t="s">
        <v>1435</v>
      </c>
      <c r="G926" t="s">
        <v>581</v>
      </c>
      <c r="H926" t="s">
        <v>582</v>
      </c>
      <c r="I926" s="54">
        <v>46174</v>
      </c>
    </row>
    <row r="927" spans="1:9" x14ac:dyDescent="0.35">
      <c r="A927" t="s">
        <v>1419</v>
      </c>
      <c r="C927" t="s">
        <v>1257</v>
      </c>
      <c r="D927" t="s">
        <v>1266</v>
      </c>
      <c r="E927" t="s">
        <v>1501</v>
      </c>
      <c r="F927" t="s">
        <v>1435</v>
      </c>
      <c r="G927" t="s">
        <v>593</v>
      </c>
      <c r="H927" t="s">
        <v>594</v>
      </c>
      <c r="I927" s="54">
        <v>46174</v>
      </c>
    </row>
    <row r="928" spans="1:9" x14ac:dyDescent="0.35">
      <c r="A928" t="s">
        <v>1398</v>
      </c>
      <c r="B928" t="s">
        <v>1399</v>
      </c>
      <c r="C928" t="s">
        <v>1253</v>
      </c>
      <c r="D928" t="s">
        <v>1254</v>
      </c>
      <c r="E928" t="s">
        <v>1491</v>
      </c>
      <c r="F928" t="s">
        <v>1435</v>
      </c>
      <c r="G928" t="s">
        <v>581</v>
      </c>
      <c r="H928" t="s">
        <v>582</v>
      </c>
      <c r="I928" s="54">
        <v>46174</v>
      </c>
    </row>
    <row r="929" spans="1:9" x14ac:dyDescent="0.35">
      <c r="A929" t="s">
        <v>1415</v>
      </c>
      <c r="C929" t="s">
        <v>1257</v>
      </c>
      <c r="D929" t="s">
        <v>1254</v>
      </c>
      <c r="E929" t="s">
        <v>1498</v>
      </c>
      <c r="F929" t="s">
        <v>1435</v>
      </c>
      <c r="G929" t="s">
        <v>581</v>
      </c>
      <c r="H929" t="s">
        <v>582</v>
      </c>
      <c r="I929" s="54">
        <v>46174</v>
      </c>
    </row>
    <row r="930" spans="1:9" x14ac:dyDescent="0.35">
      <c r="A930" t="s">
        <v>1419</v>
      </c>
      <c r="C930" t="s">
        <v>1274</v>
      </c>
      <c r="D930" t="s">
        <v>1266</v>
      </c>
      <c r="E930" t="s">
        <v>1501</v>
      </c>
      <c r="F930" t="s">
        <v>1435</v>
      </c>
      <c r="G930" t="s">
        <v>593</v>
      </c>
      <c r="H930" t="s">
        <v>594</v>
      </c>
      <c r="I930" s="54">
        <v>46174</v>
      </c>
    </row>
    <row r="931" spans="1:9" x14ac:dyDescent="0.35">
      <c r="A931" t="s">
        <v>82</v>
      </c>
      <c r="B931" t="s">
        <v>84</v>
      </c>
      <c r="C931" t="s">
        <v>1274</v>
      </c>
      <c r="D931" t="s">
        <v>1254</v>
      </c>
      <c r="E931" t="s">
        <v>83</v>
      </c>
      <c r="F931" t="s">
        <v>1435</v>
      </c>
      <c r="G931" t="s">
        <v>593</v>
      </c>
      <c r="H931" t="s">
        <v>594</v>
      </c>
      <c r="I931" s="54">
        <v>46174</v>
      </c>
    </row>
    <row r="932" spans="1:9" x14ac:dyDescent="0.35">
      <c r="A932" t="s">
        <v>1415</v>
      </c>
      <c r="C932" t="s">
        <v>1274</v>
      </c>
      <c r="D932" t="s">
        <v>1263</v>
      </c>
      <c r="E932" t="s">
        <v>1498</v>
      </c>
      <c r="F932" t="s">
        <v>1435</v>
      </c>
      <c r="G932" t="s">
        <v>581</v>
      </c>
      <c r="H932" t="s">
        <v>582</v>
      </c>
      <c r="I932" s="54">
        <v>46174</v>
      </c>
    </row>
    <row r="933" spans="1:9" x14ac:dyDescent="0.35">
      <c r="A933" t="s">
        <v>145</v>
      </c>
      <c r="B933" t="s">
        <v>147</v>
      </c>
      <c r="C933" t="s">
        <v>1274</v>
      </c>
      <c r="D933" t="s">
        <v>1260</v>
      </c>
      <c r="E933" t="s">
        <v>146</v>
      </c>
      <c r="F933" t="s">
        <v>1435</v>
      </c>
      <c r="G933" t="s">
        <v>544</v>
      </c>
      <c r="H933" t="s">
        <v>545</v>
      </c>
      <c r="I933" s="54">
        <v>46174</v>
      </c>
    </row>
    <row r="934" spans="1:9" x14ac:dyDescent="0.35">
      <c r="A934" t="s">
        <v>1415</v>
      </c>
      <c r="C934" t="s">
        <v>1257</v>
      </c>
      <c r="D934" t="s">
        <v>1263</v>
      </c>
      <c r="E934" t="s">
        <v>1498</v>
      </c>
      <c r="F934" t="s">
        <v>1435</v>
      </c>
      <c r="G934" t="s">
        <v>581</v>
      </c>
      <c r="H934" t="s">
        <v>582</v>
      </c>
      <c r="I934" s="54">
        <v>46174</v>
      </c>
    </row>
    <row r="935" spans="1:9" x14ac:dyDescent="0.35">
      <c r="A935" t="s">
        <v>680</v>
      </c>
      <c r="B935" t="s">
        <v>681</v>
      </c>
      <c r="C935" t="s">
        <v>1253</v>
      </c>
      <c r="D935" t="s">
        <v>1254</v>
      </c>
      <c r="E935" t="s">
        <v>1502</v>
      </c>
      <c r="F935" t="s">
        <v>1435</v>
      </c>
      <c r="G935" t="s">
        <v>683</v>
      </c>
      <c r="H935" t="s">
        <v>685</v>
      </c>
      <c r="I935" s="54">
        <v>46174</v>
      </c>
    </row>
    <row r="936" spans="1:9" x14ac:dyDescent="0.35">
      <c r="A936" t="s">
        <v>145</v>
      </c>
      <c r="B936" t="s">
        <v>147</v>
      </c>
      <c r="C936" t="s">
        <v>1257</v>
      </c>
      <c r="D936" t="s">
        <v>1260</v>
      </c>
      <c r="E936" t="s">
        <v>146</v>
      </c>
      <c r="F936" t="s">
        <v>1435</v>
      </c>
      <c r="G936" t="s">
        <v>544</v>
      </c>
      <c r="H936" t="s">
        <v>545</v>
      </c>
      <c r="I936" s="54">
        <v>46174</v>
      </c>
    </row>
    <row r="937" spans="1:9" x14ac:dyDescent="0.35">
      <c r="A937" t="s">
        <v>1400</v>
      </c>
      <c r="B937" t="s">
        <v>1401</v>
      </c>
      <c r="C937" t="s">
        <v>1253</v>
      </c>
      <c r="D937" t="s">
        <v>1254</v>
      </c>
      <c r="E937" t="s">
        <v>1492</v>
      </c>
      <c r="F937" t="s">
        <v>1435</v>
      </c>
      <c r="G937" t="s">
        <v>597</v>
      </c>
      <c r="H937" t="s">
        <v>598</v>
      </c>
      <c r="I937" s="54">
        <v>46174</v>
      </c>
    </row>
    <row r="938" spans="1:9" x14ac:dyDescent="0.35">
      <c r="A938" t="s">
        <v>85</v>
      </c>
      <c r="B938" t="s">
        <v>1414</v>
      </c>
      <c r="C938" t="s">
        <v>1274</v>
      </c>
      <c r="D938" t="s">
        <v>1266</v>
      </c>
      <c r="E938" t="s">
        <v>86</v>
      </c>
      <c r="F938" t="s">
        <v>1435</v>
      </c>
      <c r="G938" t="s">
        <v>593</v>
      </c>
      <c r="H938" t="s">
        <v>594</v>
      </c>
      <c r="I938" s="54">
        <v>46174</v>
      </c>
    </row>
    <row r="939" spans="1:9" x14ac:dyDescent="0.35">
      <c r="A939" t="s">
        <v>1408</v>
      </c>
      <c r="B939" t="s">
        <v>1409</v>
      </c>
      <c r="C939" t="s">
        <v>1253</v>
      </c>
      <c r="D939" t="s">
        <v>1254</v>
      </c>
      <c r="E939" t="s">
        <v>1496</v>
      </c>
      <c r="F939" t="s">
        <v>1435</v>
      </c>
      <c r="G939" t="s">
        <v>544</v>
      </c>
      <c r="H939" t="s">
        <v>545</v>
      </c>
      <c r="I939" s="54">
        <v>46174</v>
      </c>
    </row>
    <row r="940" spans="1:9" x14ac:dyDescent="0.35">
      <c r="A940" t="s">
        <v>1420</v>
      </c>
      <c r="B940" t="s">
        <v>1421</v>
      </c>
      <c r="C940" t="s">
        <v>1253</v>
      </c>
      <c r="D940" t="s">
        <v>1254</v>
      </c>
      <c r="E940" t="s">
        <v>1503</v>
      </c>
      <c r="F940" t="s">
        <v>1435</v>
      </c>
      <c r="G940" t="s">
        <v>544</v>
      </c>
      <c r="H940" t="s">
        <v>545</v>
      </c>
      <c r="I940" s="54">
        <v>46174</v>
      </c>
    </row>
    <row r="941" spans="1:9" x14ac:dyDescent="0.35">
      <c r="A941" t="s">
        <v>139</v>
      </c>
      <c r="B941" t="s">
        <v>141</v>
      </c>
      <c r="C941" t="s">
        <v>1257</v>
      </c>
      <c r="D941" t="s">
        <v>1266</v>
      </c>
      <c r="E941" t="s">
        <v>140</v>
      </c>
      <c r="F941" t="s">
        <v>1435</v>
      </c>
      <c r="G941" t="s">
        <v>544</v>
      </c>
      <c r="H941" t="s">
        <v>545</v>
      </c>
      <c r="I941" s="54">
        <v>46174</v>
      </c>
    </row>
    <row r="942" spans="1:9" x14ac:dyDescent="0.35">
      <c r="A942" t="s">
        <v>82</v>
      </c>
      <c r="B942" t="s">
        <v>84</v>
      </c>
      <c r="C942" t="s">
        <v>1257</v>
      </c>
      <c r="D942" t="s">
        <v>1254</v>
      </c>
      <c r="E942" t="s">
        <v>83</v>
      </c>
      <c r="F942" t="s">
        <v>1435</v>
      </c>
      <c r="G942" t="s">
        <v>593</v>
      </c>
      <c r="H942" t="s">
        <v>594</v>
      </c>
      <c r="I942" s="54">
        <v>46174</v>
      </c>
    </row>
    <row r="943" spans="1:9" x14ac:dyDescent="0.35">
      <c r="A943" t="s">
        <v>139</v>
      </c>
      <c r="B943" t="s">
        <v>141</v>
      </c>
      <c r="C943" t="s">
        <v>1253</v>
      </c>
      <c r="D943" t="s">
        <v>1254</v>
      </c>
      <c r="E943" t="s">
        <v>140</v>
      </c>
      <c r="F943" t="s">
        <v>1435</v>
      </c>
      <c r="G943" t="s">
        <v>544</v>
      </c>
      <c r="H943" t="s">
        <v>545</v>
      </c>
      <c r="I943" s="54">
        <v>46174</v>
      </c>
    </row>
    <row r="944" spans="1:9" x14ac:dyDescent="0.35">
      <c r="A944" t="s">
        <v>82</v>
      </c>
      <c r="B944" t="s">
        <v>84</v>
      </c>
      <c r="C944" t="s">
        <v>1257</v>
      </c>
      <c r="D944" t="s">
        <v>1263</v>
      </c>
      <c r="E944" t="s">
        <v>83</v>
      </c>
      <c r="F944" t="s">
        <v>1435</v>
      </c>
      <c r="G944" t="s">
        <v>593</v>
      </c>
      <c r="H944" t="s">
        <v>594</v>
      </c>
      <c r="I944" s="54">
        <v>46174</v>
      </c>
    </row>
    <row r="945" spans="1:9" x14ac:dyDescent="0.35">
      <c r="A945" t="s">
        <v>1416</v>
      </c>
      <c r="C945" t="s">
        <v>1257</v>
      </c>
      <c r="D945" t="s">
        <v>1254</v>
      </c>
      <c r="E945" t="s">
        <v>1499</v>
      </c>
      <c r="F945" t="s">
        <v>1435</v>
      </c>
      <c r="G945" t="s">
        <v>593</v>
      </c>
      <c r="H945" t="s">
        <v>594</v>
      </c>
      <c r="I945" s="54">
        <v>46174</v>
      </c>
    </row>
    <row r="946" spans="1:9" x14ac:dyDescent="0.35">
      <c r="A946" t="s">
        <v>1422</v>
      </c>
      <c r="B946" t="s">
        <v>1423</v>
      </c>
      <c r="C946" t="s">
        <v>1253</v>
      </c>
      <c r="D946" t="s">
        <v>1254</v>
      </c>
      <c r="E946" t="s">
        <v>1504</v>
      </c>
      <c r="F946" t="s">
        <v>1435</v>
      </c>
      <c r="G946" t="s">
        <v>544</v>
      </c>
      <c r="H946" t="s">
        <v>545</v>
      </c>
      <c r="I946" s="54">
        <v>46174</v>
      </c>
    </row>
    <row r="947" spans="1:9" x14ac:dyDescent="0.35">
      <c r="A947" t="s">
        <v>82</v>
      </c>
      <c r="B947" t="s">
        <v>84</v>
      </c>
      <c r="C947" t="s">
        <v>1274</v>
      </c>
      <c r="D947" t="s">
        <v>1263</v>
      </c>
      <c r="E947" t="s">
        <v>83</v>
      </c>
      <c r="F947" t="s">
        <v>1435</v>
      </c>
      <c r="G947" t="s">
        <v>593</v>
      </c>
      <c r="H947" t="s">
        <v>594</v>
      </c>
      <c r="I947" s="54">
        <v>46174</v>
      </c>
    </row>
    <row r="948" spans="1:9" x14ac:dyDescent="0.35">
      <c r="A948" t="s">
        <v>1424</v>
      </c>
      <c r="B948" t="s">
        <v>1425</v>
      </c>
      <c r="C948" t="s">
        <v>1253</v>
      </c>
      <c r="D948" t="s">
        <v>1254</v>
      </c>
      <c r="E948" t="s">
        <v>1505</v>
      </c>
      <c r="F948" t="s">
        <v>1435</v>
      </c>
      <c r="G948" t="s">
        <v>589</v>
      </c>
      <c r="H948" t="s">
        <v>590</v>
      </c>
      <c r="I948" s="54">
        <v>46174</v>
      </c>
    </row>
    <row r="949" spans="1:9" x14ac:dyDescent="0.35">
      <c r="A949" t="s">
        <v>1426</v>
      </c>
      <c r="B949" t="s">
        <v>1427</v>
      </c>
      <c r="C949" t="s">
        <v>1253</v>
      </c>
      <c r="D949" t="s">
        <v>1254</v>
      </c>
      <c r="E949" t="s">
        <v>1506</v>
      </c>
      <c r="F949" t="s">
        <v>1435</v>
      </c>
      <c r="G949" t="s">
        <v>589</v>
      </c>
      <c r="H949" t="s">
        <v>590</v>
      </c>
      <c r="I949" s="54">
        <v>46174</v>
      </c>
    </row>
    <row r="950" spans="1:9" x14ac:dyDescent="0.35">
      <c r="A950" t="s">
        <v>139</v>
      </c>
      <c r="B950" t="s">
        <v>141</v>
      </c>
      <c r="C950" t="s">
        <v>1274</v>
      </c>
      <c r="D950" t="s">
        <v>1266</v>
      </c>
      <c r="E950" t="s">
        <v>140</v>
      </c>
      <c r="F950" t="s">
        <v>1435</v>
      </c>
      <c r="G950" t="s">
        <v>544</v>
      </c>
      <c r="H950" t="s">
        <v>545</v>
      </c>
      <c r="I950" s="54">
        <v>46174</v>
      </c>
    </row>
    <row r="951" spans="1:9" x14ac:dyDescent="0.35">
      <c r="A951" t="s">
        <v>1406</v>
      </c>
      <c r="B951" t="s">
        <v>1407</v>
      </c>
      <c r="C951" t="s">
        <v>1253</v>
      </c>
      <c r="D951" t="s">
        <v>1254</v>
      </c>
      <c r="E951" t="s">
        <v>1495</v>
      </c>
      <c r="F951" t="s">
        <v>1435</v>
      </c>
      <c r="G951" t="s">
        <v>544</v>
      </c>
      <c r="H951" t="s">
        <v>545</v>
      </c>
      <c r="I951" s="54">
        <v>46174</v>
      </c>
    </row>
    <row r="952" spans="1:9" x14ac:dyDescent="0.35">
      <c r="A952" t="s">
        <v>1416</v>
      </c>
      <c r="C952" t="s">
        <v>1274</v>
      </c>
      <c r="D952" t="s">
        <v>1254</v>
      </c>
      <c r="E952" t="s">
        <v>1499</v>
      </c>
      <c r="F952" t="s">
        <v>1435</v>
      </c>
      <c r="G952" t="s">
        <v>593</v>
      </c>
      <c r="H952" t="s">
        <v>594</v>
      </c>
      <c r="I952" s="54">
        <v>46174</v>
      </c>
    </row>
    <row r="953" spans="1:9" x14ac:dyDescent="0.35">
      <c r="A953" t="s">
        <v>1419</v>
      </c>
      <c r="C953" t="s">
        <v>1274</v>
      </c>
      <c r="D953" t="s">
        <v>1254</v>
      </c>
      <c r="E953" t="s">
        <v>1501</v>
      </c>
      <c r="F953" t="s">
        <v>1435</v>
      </c>
      <c r="G953" t="s">
        <v>593</v>
      </c>
      <c r="H953" t="s">
        <v>594</v>
      </c>
      <c r="I953" s="54">
        <v>46174</v>
      </c>
    </row>
    <row r="954" spans="1:9" x14ac:dyDescent="0.35">
      <c r="A954" t="s">
        <v>1410</v>
      </c>
      <c r="B954" t="s">
        <v>1411</v>
      </c>
      <c r="C954" t="s">
        <v>1253</v>
      </c>
      <c r="D954" t="s">
        <v>1254</v>
      </c>
      <c r="E954" t="s">
        <v>146</v>
      </c>
      <c r="F954" t="s">
        <v>1435</v>
      </c>
      <c r="G954" t="s">
        <v>544</v>
      </c>
      <c r="H954" t="s">
        <v>545</v>
      </c>
      <c r="I954" s="54">
        <v>46174</v>
      </c>
    </row>
    <row r="955" spans="1:9" x14ac:dyDescent="0.35">
      <c r="A955" t="s">
        <v>85</v>
      </c>
      <c r="B955" t="s">
        <v>1414</v>
      </c>
      <c r="C955" t="s">
        <v>1274</v>
      </c>
      <c r="D955" t="s">
        <v>1263</v>
      </c>
      <c r="E955" t="s">
        <v>86</v>
      </c>
      <c r="F955" t="s">
        <v>1435</v>
      </c>
      <c r="G955" t="s">
        <v>593</v>
      </c>
      <c r="H955" t="s">
        <v>594</v>
      </c>
      <c r="I955" s="54">
        <v>46174</v>
      </c>
    </row>
    <row r="956" spans="1:9" x14ac:dyDescent="0.35">
      <c r="A956" t="s">
        <v>1428</v>
      </c>
      <c r="B956" t="s">
        <v>1429</v>
      </c>
      <c r="C956" t="s">
        <v>1253</v>
      </c>
      <c r="D956" t="s">
        <v>1254</v>
      </c>
      <c r="E956" t="s">
        <v>1507</v>
      </c>
      <c r="F956" t="s">
        <v>1435</v>
      </c>
      <c r="G956" t="s">
        <v>544</v>
      </c>
      <c r="H956" t="s">
        <v>545</v>
      </c>
      <c r="I956" s="54">
        <v>46174</v>
      </c>
    </row>
    <row r="957" spans="1:9" x14ac:dyDescent="0.35">
      <c r="A957" t="s">
        <v>145</v>
      </c>
      <c r="B957" t="s">
        <v>147</v>
      </c>
      <c r="C957" t="s">
        <v>1253</v>
      </c>
      <c r="D957" t="s">
        <v>1254</v>
      </c>
      <c r="E957" t="s">
        <v>146</v>
      </c>
      <c r="F957" t="s">
        <v>1435</v>
      </c>
      <c r="G957" t="s">
        <v>544</v>
      </c>
      <c r="H957" t="s">
        <v>545</v>
      </c>
      <c r="I957" s="54">
        <v>46174</v>
      </c>
    </row>
    <row r="958" spans="1:9" x14ac:dyDescent="0.35">
      <c r="A958" t="s">
        <v>85</v>
      </c>
      <c r="B958" t="s">
        <v>1414</v>
      </c>
      <c r="C958" t="s">
        <v>1253</v>
      </c>
      <c r="D958" t="s">
        <v>1266</v>
      </c>
      <c r="E958" t="s">
        <v>86</v>
      </c>
      <c r="F958" t="s">
        <v>1435</v>
      </c>
      <c r="G958" t="s">
        <v>593</v>
      </c>
      <c r="H958" t="s">
        <v>594</v>
      </c>
      <c r="I958" s="54">
        <v>46174</v>
      </c>
    </row>
    <row r="959" spans="1:9" x14ac:dyDescent="0.35">
      <c r="A959" t="s">
        <v>85</v>
      </c>
      <c r="B959" t="s">
        <v>1414</v>
      </c>
      <c r="C959" t="s">
        <v>1281</v>
      </c>
      <c r="D959" t="s">
        <v>1263</v>
      </c>
      <c r="E959" t="s">
        <v>86</v>
      </c>
      <c r="F959" t="s">
        <v>1435</v>
      </c>
      <c r="G959" t="s">
        <v>593</v>
      </c>
      <c r="H959" t="s">
        <v>594</v>
      </c>
      <c r="I959" s="54">
        <v>46174</v>
      </c>
    </row>
    <row r="960" spans="1:9" x14ac:dyDescent="0.35">
      <c r="A960" t="s">
        <v>1396</v>
      </c>
      <c r="B960" t="s">
        <v>1397</v>
      </c>
      <c r="C960" t="s">
        <v>1253</v>
      </c>
      <c r="D960" t="s">
        <v>1254</v>
      </c>
      <c r="E960" t="s">
        <v>1490</v>
      </c>
      <c r="F960" t="s">
        <v>1435</v>
      </c>
      <c r="G960" t="s">
        <v>581</v>
      </c>
      <c r="H960" t="s">
        <v>582</v>
      </c>
      <c r="I960" s="54">
        <v>46174</v>
      </c>
    </row>
    <row r="961" spans="1:9" x14ac:dyDescent="0.35">
      <c r="A961" t="s">
        <v>1412</v>
      </c>
      <c r="B961" t="s">
        <v>1413</v>
      </c>
      <c r="C961" t="s">
        <v>1253</v>
      </c>
      <c r="D961" t="s">
        <v>1254</v>
      </c>
      <c r="E961" t="s">
        <v>1497</v>
      </c>
      <c r="F961" t="s">
        <v>1435</v>
      </c>
      <c r="G961" t="s">
        <v>597</v>
      </c>
      <c r="H961" t="s">
        <v>598</v>
      </c>
      <c r="I961" s="54">
        <v>46174</v>
      </c>
    </row>
    <row r="962" spans="1:9" x14ac:dyDescent="0.35">
      <c r="A962" t="s">
        <v>82</v>
      </c>
      <c r="B962" t="s">
        <v>84</v>
      </c>
      <c r="C962" t="s">
        <v>1253</v>
      </c>
      <c r="D962" t="s">
        <v>1266</v>
      </c>
      <c r="E962" t="s">
        <v>83</v>
      </c>
      <c r="F962" t="s">
        <v>1435</v>
      </c>
      <c r="G962" t="s">
        <v>593</v>
      </c>
      <c r="H962" t="s">
        <v>594</v>
      </c>
      <c r="I962" s="54">
        <v>46174</v>
      </c>
    </row>
    <row r="963" spans="1:9" x14ac:dyDescent="0.35">
      <c r="A963" t="s">
        <v>1419</v>
      </c>
      <c r="C963" t="s">
        <v>1281</v>
      </c>
      <c r="D963" t="s">
        <v>1254</v>
      </c>
      <c r="E963" t="s">
        <v>1501</v>
      </c>
      <c r="F963" t="s">
        <v>1435</v>
      </c>
      <c r="G963" t="s">
        <v>593</v>
      </c>
      <c r="H963" t="s">
        <v>594</v>
      </c>
      <c r="I963" s="54">
        <v>46174</v>
      </c>
    </row>
    <row r="964" spans="1:9" x14ac:dyDescent="0.35">
      <c r="A964" t="s">
        <v>1419</v>
      </c>
      <c r="C964" t="s">
        <v>1257</v>
      </c>
      <c r="D964" t="s">
        <v>1254</v>
      </c>
      <c r="E964" t="s">
        <v>1501</v>
      </c>
      <c r="F964" t="s">
        <v>1435</v>
      </c>
      <c r="G964" t="s">
        <v>593</v>
      </c>
      <c r="H964" t="s">
        <v>594</v>
      </c>
      <c r="I964" s="54">
        <v>46174</v>
      </c>
    </row>
    <row r="965" spans="1:9" x14ac:dyDescent="0.35">
      <c r="A965" t="s">
        <v>139</v>
      </c>
      <c r="B965" t="s">
        <v>141</v>
      </c>
      <c r="C965" t="s">
        <v>1257</v>
      </c>
      <c r="D965" t="s">
        <v>1263</v>
      </c>
      <c r="E965" t="s">
        <v>140</v>
      </c>
      <c r="F965" t="s">
        <v>1435</v>
      </c>
      <c r="G965" t="s">
        <v>544</v>
      </c>
      <c r="H965" t="s">
        <v>545</v>
      </c>
      <c r="I965" s="54">
        <v>46174</v>
      </c>
    </row>
    <row r="966" spans="1:9" x14ac:dyDescent="0.35">
      <c r="A966" t="s">
        <v>85</v>
      </c>
      <c r="B966" t="s">
        <v>1414</v>
      </c>
      <c r="C966" t="s">
        <v>1281</v>
      </c>
      <c r="D966" t="s">
        <v>1254</v>
      </c>
      <c r="E966" t="s">
        <v>86</v>
      </c>
      <c r="F966" t="s">
        <v>1435</v>
      </c>
      <c r="G966" t="s">
        <v>593</v>
      </c>
      <c r="H966" t="s">
        <v>594</v>
      </c>
      <c r="I966" s="54">
        <v>46174</v>
      </c>
    </row>
    <row r="967" spans="1:9" x14ac:dyDescent="0.35">
      <c r="A967" t="s">
        <v>85</v>
      </c>
      <c r="B967" t="s">
        <v>1414</v>
      </c>
      <c r="C967" t="s">
        <v>1274</v>
      </c>
      <c r="D967" t="s">
        <v>1254</v>
      </c>
      <c r="E967" t="s">
        <v>86</v>
      </c>
      <c r="F967" t="s">
        <v>1435</v>
      </c>
      <c r="G967" t="s">
        <v>593</v>
      </c>
      <c r="H967" t="s">
        <v>594</v>
      </c>
      <c r="I967" s="54">
        <v>46174</v>
      </c>
    </row>
    <row r="968" spans="1:9" x14ac:dyDescent="0.35">
      <c r="A968" t="s">
        <v>139</v>
      </c>
      <c r="B968" t="s">
        <v>141</v>
      </c>
      <c r="C968" t="s">
        <v>1257</v>
      </c>
      <c r="D968" t="s">
        <v>1254</v>
      </c>
      <c r="E968" t="s">
        <v>140</v>
      </c>
      <c r="F968" t="s">
        <v>1435</v>
      </c>
      <c r="G968" t="s">
        <v>544</v>
      </c>
      <c r="H968" t="s">
        <v>545</v>
      </c>
      <c r="I968" s="54">
        <v>46174</v>
      </c>
    </row>
    <row r="969" spans="1:9" x14ac:dyDescent="0.35">
      <c r="A969" t="s">
        <v>139</v>
      </c>
      <c r="B969" t="s">
        <v>141</v>
      </c>
      <c r="C969" t="s">
        <v>1274</v>
      </c>
      <c r="D969" t="s">
        <v>1254</v>
      </c>
      <c r="E969" t="s">
        <v>140</v>
      </c>
      <c r="F969" t="s">
        <v>1435</v>
      </c>
      <c r="G969" t="s">
        <v>544</v>
      </c>
      <c r="H969" t="s">
        <v>545</v>
      </c>
      <c r="I969" s="54">
        <v>46174</v>
      </c>
    </row>
    <row r="970" spans="1:9" x14ac:dyDescent="0.35">
      <c r="A970" t="s">
        <v>139</v>
      </c>
      <c r="B970" t="s">
        <v>141</v>
      </c>
      <c r="C970" t="s">
        <v>1274</v>
      </c>
      <c r="D970" t="s">
        <v>1263</v>
      </c>
      <c r="E970" t="s">
        <v>140</v>
      </c>
      <c r="F970" t="s">
        <v>1435</v>
      </c>
      <c r="G970" t="s">
        <v>544</v>
      </c>
      <c r="H970" t="s">
        <v>545</v>
      </c>
      <c r="I970" s="54">
        <v>46174</v>
      </c>
    </row>
    <row r="971" spans="1:9" x14ac:dyDescent="0.35">
      <c r="A971" t="s">
        <v>85</v>
      </c>
      <c r="B971" t="s">
        <v>1414</v>
      </c>
      <c r="C971" t="s">
        <v>1253</v>
      </c>
      <c r="D971" t="s">
        <v>1263</v>
      </c>
      <c r="E971" t="s">
        <v>86</v>
      </c>
      <c r="F971" t="s">
        <v>1435</v>
      </c>
      <c r="G971" t="s">
        <v>593</v>
      </c>
      <c r="H971" t="s">
        <v>594</v>
      </c>
      <c r="I971" s="54">
        <v>46174</v>
      </c>
    </row>
    <row r="972" spans="1:9" x14ac:dyDescent="0.35">
      <c r="A972" t="s">
        <v>79</v>
      </c>
      <c r="B972" t="s">
        <v>81</v>
      </c>
      <c r="C972" t="s">
        <v>1253</v>
      </c>
      <c r="D972" t="s">
        <v>1263</v>
      </c>
      <c r="E972" t="s">
        <v>80</v>
      </c>
      <c r="F972" t="s">
        <v>1435</v>
      </c>
      <c r="G972" t="s">
        <v>593</v>
      </c>
      <c r="H972" t="s">
        <v>594</v>
      </c>
      <c r="I972" s="54">
        <v>46174</v>
      </c>
    </row>
    <row r="973" spans="1:9" x14ac:dyDescent="0.35">
      <c r="A973" t="s">
        <v>82</v>
      </c>
      <c r="B973" t="s">
        <v>84</v>
      </c>
      <c r="C973" t="s">
        <v>1253</v>
      </c>
      <c r="D973" t="s">
        <v>1263</v>
      </c>
      <c r="E973" t="s">
        <v>83</v>
      </c>
      <c r="F973" t="s">
        <v>1435</v>
      </c>
      <c r="G973" t="s">
        <v>593</v>
      </c>
      <c r="H973" t="s">
        <v>594</v>
      </c>
      <c r="I973" s="54">
        <v>46174</v>
      </c>
    </row>
    <row r="974" spans="1:9" x14ac:dyDescent="0.35">
      <c r="A974" t="s">
        <v>1420</v>
      </c>
      <c r="B974" t="s">
        <v>1421</v>
      </c>
      <c r="C974" t="s">
        <v>1281</v>
      </c>
      <c r="D974" t="s">
        <v>1254</v>
      </c>
      <c r="E974" t="s">
        <v>1503</v>
      </c>
      <c r="F974" t="s">
        <v>1435</v>
      </c>
      <c r="G974" t="s">
        <v>544</v>
      </c>
      <c r="H974" t="s">
        <v>545</v>
      </c>
      <c r="I974" s="54">
        <v>46174</v>
      </c>
    </row>
    <row r="975" spans="1:9" x14ac:dyDescent="0.35">
      <c r="A975" t="s">
        <v>1420</v>
      </c>
      <c r="B975" t="s">
        <v>1421</v>
      </c>
      <c r="C975" t="s">
        <v>1274</v>
      </c>
      <c r="D975" t="s">
        <v>1254</v>
      </c>
      <c r="E975" t="s">
        <v>1503</v>
      </c>
      <c r="F975" t="s">
        <v>1435</v>
      </c>
      <c r="G975" t="s">
        <v>544</v>
      </c>
      <c r="H975" t="s">
        <v>545</v>
      </c>
      <c r="I975" s="54">
        <v>46174</v>
      </c>
    </row>
    <row r="976" spans="1:9" x14ac:dyDescent="0.35">
      <c r="A976" t="s">
        <v>1420</v>
      </c>
      <c r="B976" t="s">
        <v>1421</v>
      </c>
      <c r="C976" t="s">
        <v>1257</v>
      </c>
      <c r="D976" t="s">
        <v>1266</v>
      </c>
      <c r="E976" t="s">
        <v>1503</v>
      </c>
      <c r="F976" t="s">
        <v>1435</v>
      </c>
      <c r="G976" t="s">
        <v>544</v>
      </c>
      <c r="H976" t="s">
        <v>545</v>
      </c>
      <c r="I976" s="54">
        <v>46174</v>
      </c>
    </row>
    <row r="977" spans="1:9" x14ac:dyDescent="0.35">
      <c r="A977" t="s">
        <v>1420</v>
      </c>
      <c r="B977" t="s">
        <v>1421</v>
      </c>
      <c r="C977" t="s">
        <v>1257</v>
      </c>
      <c r="D977" t="s">
        <v>1254</v>
      </c>
      <c r="E977" t="s">
        <v>1503</v>
      </c>
      <c r="F977" t="s">
        <v>1435</v>
      </c>
      <c r="G977" t="s">
        <v>544</v>
      </c>
      <c r="H977" t="s">
        <v>545</v>
      </c>
      <c r="I977" s="54">
        <v>46174</v>
      </c>
    </row>
    <row r="978" spans="1:9" x14ac:dyDescent="0.35">
      <c r="A978" t="s">
        <v>1430</v>
      </c>
      <c r="C978" t="s">
        <v>1257</v>
      </c>
      <c r="D978" t="s">
        <v>1254</v>
      </c>
      <c r="E978" t="s">
        <v>1508</v>
      </c>
      <c r="F978" t="s">
        <v>1435</v>
      </c>
      <c r="G978" t="s">
        <v>593</v>
      </c>
      <c r="H978" t="s">
        <v>594</v>
      </c>
      <c r="I978" s="54">
        <v>46174</v>
      </c>
    </row>
    <row r="979" spans="1:9" x14ac:dyDescent="0.35">
      <c r="A979" t="s">
        <v>1430</v>
      </c>
      <c r="C979" t="s">
        <v>1274</v>
      </c>
      <c r="D979" t="s">
        <v>1266</v>
      </c>
      <c r="E979" t="s">
        <v>1508</v>
      </c>
      <c r="F979" t="s">
        <v>1435</v>
      </c>
      <c r="G979" t="s">
        <v>593</v>
      </c>
      <c r="H979" t="s">
        <v>594</v>
      </c>
      <c r="I979" s="54">
        <v>46174</v>
      </c>
    </row>
    <row r="980" spans="1:9" x14ac:dyDescent="0.35">
      <c r="A980" t="s">
        <v>1430</v>
      </c>
      <c r="C980" t="s">
        <v>1274</v>
      </c>
      <c r="D980" t="s">
        <v>1254</v>
      </c>
      <c r="E980" t="s">
        <v>1508</v>
      </c>
      <c r="F980" t="s">
        <v>1435</v>
      </c>
      <c r="G980" t="s">
        <v>593</v>
      </c>
      <c r="H980" t="s">
        <v>594</v>
      </c>
      <c r="I980" s="54">
        <v>46174</v>
      </c>
    </row>
    <row r="981" spans="1:9" x14ac:dyDescent="0.35">
      <c r="A981" t="s">
        <v>1431</v>
      </c>
      <c r="C981" t="s">
        <v>1274</v>
      </c>
      <c r="D981" t="s">
        <v>1254</v>
      </c>
      <c r="E981" t="s">
        <v>1509</v>
      </c>
      <c r="F981" t="s">
        <v>1435</v>
      </c>
      <c r="G981" t="s">
        <v>593</v>
      </c>
      <c r="H981" t="s">
        <v>594</v>
      </c>
      <c r="I981" s="54">
        <v>46174</v>
      </c>
    </row>
    <row r="982" spans="1:9" x14ac:dyDescent="0.35">
      <c r="A982" t="s">
        <v>1431</v>
      </c>
      <c r="C982" t="s">
        <v>1257</v>
      </c>
      <c r="D982" t="s">
        <v>1254</v>
      </c>
      <c r="E982" t="s">
        <v>1509</v>
      </c>
      <c r="F982" t="s">
        <v>1435</v>
      </c>
      <c r="G982" t="s">
        <v>593</v>
      </c>
      <c r="H982" t="s">
        <v>594</v>
      </c>
      <c r="I982" s="54">
        <v>46174</v>
      </c>
    </row>
    <row r="983" spans="1:9" x14ac:dyDescent="0.35">
      <c r="A983" t="s">
        <v>1432</v>
      </c>
      <c r="C983" t="s">
        <v>1257</v>
      </c>
      <c r="D983" t="s">
        <v>1254</v>
      </c>
      <c r="E983" t="s">
        <v>1510</v>
      </c>
      <c r="F983" t="s">
        <v>1435</v>
      </c>
      <c r="G983" t="s">
        <v>593</v>
      </c>
      <c r="H983" t="s">
        <v>594</v>
      </c>
      <c r="I983" s="54">
        <v>46174</v>
      </c>
    </row>
    <row r="984" spans="1:9" x14ac:dyDescent="0.35">
      <c r="A984" t="s">
        <v>1432</v>
      </c>
      <c r="C984" t="s">
        <v>1274</v>
      </c>
      <c r="D984" t="s">
        <v>1254</v>
      </c>
      <c r="E984" t="s">
        <v>1510</v>
      </c>
      <c r="F984" t="s">
        <v>1435</v>
      </c>
      <c r="G984" t="s">
        <v>593</v>
      </c>
      <c r="H984" t="s">
        <v>594</v>
      </c>
      <c r="I984" s="54">
        <v>46174</v>
      </c>
    </row>
    <row r="985" spans="1:9" x14ac:dyDescent="0.35">
      <c r="A985" t="s">
        <v>1432</v>
      </c>
      <c r="C985" t="s">
        <v>1281</v>
      </c>
      <c r="D985" t="s">
        <v>1254</v>
      </c>
      <c r="E985" t="s">
        <v>1510</v>
      </c>
      <c r="F985" t="s">
        <v>1435</v>
      </c>
      <c r="G985" t="s">
        <v>593</v>
      </c>
      <c r="H985" t="s">
        <v>594</v>
      </c>
      <c r="I985" s="54">
        <v>46174</v>
      </c>
    </row>
    <row r="986" spans="1:9" x14ac:dyDescent="0.35">
      <c r="A986" t="s">
        <v>79</v>
      </c>
      <c r="B986" t="s">
        <v>81</v>
      </c>
      <c r="C986" t="s">
        <v>1274</v>
      </c>
      <c r="D986" t="s">
        <v>1254</v>
      </c>
      <c r="E986" t="s">
        <v>80</v>
      </c>
      <c r="F986" t="s">
        <v>1435</v>
      </c>
      <c r="G986" t="s">
        <v>593</v>
      </c>
      <c r="H986" t="s">
        <v>594</v>
      </c>
      <c r="I986" s="54">
        <v>46174</v>
      </c>
    </row>
    <row r="987" spans="1:9" x14ac:dyDescent="0.35">
      <c r="A987" t="s">
        <v>1430</v>
      </c>
      <c r="C987" t="s">
        <v>1257</v>
      </c>
      <c r="D987" t="s">
        <v>1266</v>
      </c>
      <c r="E987" t="s">
        <v>1508</v>
      </c>
      <c r="F987" t="s">
        <v>1435</v>
      </c>
      <c r="G987" t="s">
        <v>593</v>
      </c>
      <c r="H987" t="s">
        <v>594</v>
      </c>
      <c r="I987" s="54">
        <v>46174</v>
      </c>
    </row>
    <row r="988" spans="1:9" x14ac:dyDescent="0.35">
      <c r="A988" t="s">
        <v>1431</v>
      </c>
      <c r="C988" t="s">
        <v>1257</v>
      </c>
      <c r="D988" t="s">
        <v>1266</v>
      </c>
      <c r="E988" t="s">
        <v>1509</v>
      </c>
      <c r="F988" t="s">
        <v>1435</v>
      </c>
      <c r="G988" t="s">
        <v>593</v>
      </c>
      <c r="H988" t="s">
        <v>594</v>
      </c>
      <c r="I988" s="54">
        <v>46174</v>
      </c>
    </row>
    <row r="989" spans="1:9" x14ac:dyDescent="0.35">
      <c r="A989" t="s">
        <v>1431</v>
      </c>
      <c r="C989" t="s">
        <v>1274</v>
      </c>
      <c r="D989" t="s">
        <v>1266</v>
      </c>
      <c r="E989" t="s">
        <v>1509</v>
      </c>
      <c r="F989" t="s">
        <v>1435</v>
      </c>
      <c r="G989" t="s">
        <v>593</v>
      </c>
      <c r="H989" t="s">
        <v>594</v>
      </c>
      <c r="I989" s="54">
        <v>46174</v>
      </c>
    </row>
    <row r="990" spans="1:9" x14ac:dyDescent="0.35">
      <c r="A990" t="s">
        <v>1432</v>
      </c>
      <c r="C990" t="s">
        <v>1257</v>
      </c>
      <c r="D990" t="s">
        <v>1266</v>
      </c>
      <c r="E990" t="s">
        <v>1510</v>
      </c>
      <c r="F990" t="s">
        <v>1435</v>
      </c>
      <c r="G990" t="s">
        <v>593</v>
      </c>
      <c r="H990" t="s">
        <v>594</v>
      </c>
      <c r="I990" s="54">
        <v>46174</v>
      </c>
    </row>
    <row r="991" spans="1:9" x14ac:dyDescent="0.35">
      <c r="A991" t="s">
        <v>1426</v>
      </c>
      <c r="B991" t="s">
        <v>1427</v>
      </c>
      <c r="C991" t="s">
        <v>1257</v>
      </c>
      <c r="D991" t="s">
        <v>1254</v>
      </c>
      <c r="E991" t="s">
        <v>1506</v>
      </c>
      <c r="F991" t="s">
        <v>1435</v>
      </c>
      <c r="G991" t="s">
        <v>589</v>
      </c>
      <c r="H991" t="s">
        <v>590</v>
      </c>
      <c r="I991" s="54">
        <v>46174</v>
      </c>
    </row>
    <row r="992" spans="1:9" x14ac:dyDescent="0.35">
      <c r="A992" t="s">
        <v>1426</v>
      </c>
      <c r="B992" t="s">
        <v>1427</v>
      </c>
      <c r="C992" t="s">
        <v>1281</v>
      </c>
      <c r="D992" t="s">
        <v>1254</v>
      </c>
      <c r="E992" t="s">
        <v>1506</v>
      </c>
      <c r="F992" t="s">
        <v>1435</v>
      </c>
      <c r="G992" t="s">
        <v>589</v>
      </c>
      <c r="H992" t="s">
        <v>590</v>
      </c>
      <c r="I992" s="54">
        <v>46174</v>
      </c>
    </row>
    <row r="993" spans="1:9" x14ac:dyDescent="0.35">
      <c r="A993" t="s">
        <v>1426</v>
      </c>
      <c r="B993" t="s">
        <v>1427</v>
      </c>
      <c r="C993" t="s">
        <v>1274</v>
      </c>
      <c r="D993" t="s">
        <v>1254</v>
      </c>
      <c r="E993" t="s">
        <v>1506</v>
      </c>
      <c r="F993" t="s">
        <v>1435</v>
      </c>
      <c r="G993" t="s">
        <v>589</v>
      </c>
      <c r="H993" t="s">
        <v>590</v>
      </c>
      <c r="I993" s="54">
        <v>46174</v>
      </c>
    </row>
    <row r="994" spans="1:9" x14ac:dyDescent="0.35">
      <c r="A994" t="s">
        <v>1432</v>
      </c>
      <c r="C994" t="s">
        <v>1274</v>
      </c>
      <c r="D994" t="s">
        <v>1266</v>
      </c>
      <c r="E994" t="s">
        <v>1510</v>
      </c>
      <c r="F994" t="s">
        <v>1435</v>
      </c>
      <c r="G994" t="s">
        <v>593</v>
      </c>
      <c r="H994" t="s">
        <v>594</v>
      </c>
      <c r="I994" s="54">
        <v>46174</v>
      </c>
    </row>
    <row r="995" spans="1:9" x14ac:dyDescent="0.35">
      <c r="A995" t="s">
        <v>1420</v>
      </c>
      <c r="B995" t="s">
        <v>1421</v>
      </c>
      <c r="C995" t="s">
        <v>1274</v>
      </c>
      <c r="D995" t="s">
        <v>1263</v>
      </c>
      <c r="E995" t="s">
        <v>1503</v>
      </c>
      <c r="F995" t="s">
        <v>1435</v>
      </c>
      <c r="G995" t="s">
        <v>544</v>
      </c>
      <c r="H995" t="s">
        <v>545</v>
      </c>
      <c r="I995" s="54">
        <v>46174</v>
      </c>
    </row>
    <row r="996" spans="1:9" x14ac:dyDescent="0.35">
      <c r="A996" t="s">
        <v>1420</v>
      </c>
      <c r="B996" t="s">
        <v>1421</v>
      </c>
      <c r="C996" t="s">
        <v>1281</v>
      </c>
      <c r="D996" t="s">
        <v>1263</v>
      </c>
      <c r="E996" t="s">
        <v>1503</v>
      </c>
      <c r="F996" t="s">
        <v>1435</v>
      </c>
      <c r="G996" t="s">
        <v>544</v>
      </c>
      <c r="H996" t="s">
        <v>545</v>
      </c>
      <c r="I996" s="54">
        <v>46174</v>
      </c>
    </row>
    <row r="997" spans="1:9" x14ac:dyDescent="0.35">
      <c r="A997" t="s">
        <v>1420</v>
      </c>
      <c r="B997" t="s">
        <v>1421</v>
      </c>
      <c r="C997" t="s">
        <v>1253</v>
      </c>
      <c r="D997" t="s">
        <v>1266</v>
      </c>
      <c r="E997" t="s">
        <v>1503</v>
      </c>
      <c r="F997" t="s">
        <v>1435</v>
      </c>
      <c r="G997" t="s">
        <v>544</v>
      </c>
      <c r="H997" t="s">
        <v>545</v>
      </c>
      <c r="I997" s="54">
        <v>46174</v>
      </c>
    </row>
    <row r="998" spans="1:9" x14ac:dyDescent="0.35">
      <c r="A998" t="s">
        <v>1404</v>
      </c>
      <c r="B998" t="s">
        <v>1405</v>
      </c>
      <c r="C998" t="s">
        <v>1253</v>
      </c>
      <c r="D998" t="s">
        <v>1263</v>
      </c>
      <c r="E998" t="s">
        <v>1494</v>
      </c>
      <c r="F998" t="s">
        <v>1435</v>
      </c>
      <c r="G998" t="s">
        <v>544</v>
      </c>
      <c r="H998" t="s">
        <v>545</v>
      </c>
      <c r="I998" s="54">
        <v>46174</v>
      </c>
    </row>
    <row r="999" spans="1:9" x14ac:dyDescent="0.35">
      <c r="A999" t="s">
        <v>1424</v>
      </c>
      <c r="B999" t="s">
        <v>1425</v>
      </c>
      <c r="C999" t="s">
        <v>1281</v>
      </c>
      <c r="D999" t="s">
        <v>1254</v>
      </c>
      <c r="E999" t="s">
        <v>1505</v>
      </c>
      <c r="F999" t="s">
        <v>1435</v>
      </c>
      <c r="G999" t="s">
        <v>589</v>
      </c>
      <c r="H999" t="s">
        <v>590</v>
      </c>
      <c r="I999" s="54">
        <v>46174</v>
      </c>
    </row>
    <row r="1000" spans="1:9" x14ac:dyDescent="0.35">
      <c r="A1000" t="s">
        <v>139</v>
      </c>
      <c r="B1000" t="s">
        <v>141</v>
      </c>
      <c r="C1000" t="s">
        <v>1253</v>
      </c>
      <c r="D1000" t="s">
        <v>1266</v>
      </c>
      <c r="E1000" t="s">
        <v>140</v>
      </c>
      <c r="F1000" t="s">
        <v>1435</v>
      </c>
      <c r="G1000" t="s">
        <v>544</v>
      </c>
      <c r="H1000" t="s">
        <v>545</v>
      </c>
      <c r="I1000" s="54">
        <v>46174</v>
      </c>
    </row>
    <row r="1001" spans="1:9" x14ac:dyDescent="0.35">
      <c r="A1001" t="s">
        <v>1424</v>
      </c>
      <c r="B1001" t="s">
        <v>1425</v>
      </c>
      <c r="C1001" t="s">
        <v>1274</v>
      </c>
      <c r="D1001" t="s">
        <v>1254</v>
      </c>
      <c r="E1001" t="s">
        <v>1505</v>
      </c>
      <c r="F1001" t="s">
        <v>1435</v>
      </c>
      <c r="G1001" t="s">
        <v>589</v>
      </c>
      <c r="H1001" t="s">
        <v>590</v>
      </c>
      <c r="I1001" s="54">
        <v>46174</v>
      </c>
    </row>
    <row r="1002" spans="1:9" x14ac:dyDescent="0.35">
      <c r="A1002" t="s">
        <v>1424</v>
      </c>
      <c r="B1002" t="s">
        <v>1425</v>
      </c>
      <c r="C1002" t="s">
        <v>1257</v>
      </c>
      <c r="D1002" t="s">
        <v>1254</v>
      </c>
      <c r="E1002" t="s">
        <v>1505</v>
      </c>
      <c r="F1002" t="s">
        <v>1435</v>
      </c>
      <c r="G1002" t="s">
        <v>589</v>
      </c>
      <c r="H1002" t="s">
        <v>590</v>
      </c>
      <c r="I1002" s="54">
        <v>46174</v>
      </c>
    </row>
    <row r="1003" spans="1:9" x14ac:dyDescent="0.35">
      <c r="A1003" t="s">
        <v>1420</v>
      </c>
      <c r="B1003" t="s">
        <v>1421</v>
      </c>
      <c r="C1003" t="s">
        <v>1257</v>
      </c>
      <c r="D1003" t="s">
        <v>1263</v>
      </c>
      <c r="E1003" t="s">
        <v>1503</v>
      </c>
      <c r="F1003" t="s">
        <v>1435</v>
      </c>
      <c r="G1003" t="s">
        <v>544</v>
      </c>
      <c r="H1003" t="s">
        <v>545</v>
      </c>
      <c r="I1003" s="54">
        <v>46174</v>
      </c>
    </row>
    <row r="1004" spans="1:9" x14ac:dyDescent="0.35">
      <c r="A1004" t="s">
        <v>1431</v>
      </c>
      <c r="C1004" t="s">
        <v>1257</v>
      </c>
      <c r="D1004" t="s">
        <v>1263</v>
      </c>
      <c r="E1004" t="s">
        <v>1509</v>
      </c>
      <c r="F1004" t="s">
        <v>1435</v>
      </c>
      <c r="G1004" t="s">
        <v>593</v>
      </c>
      <c r="H1004" t="s">
        <v>594</v>
      </c>
      <c r="I1004" s="54">
        <v>46174</v>
      </c>
    </row>
    <row r="1005" spans="1:9" x14ac:dyDescent="0.35">
      <c r="A1005" t="s">
        <v>1422</v>
      </c>
      <c r="B1005" t="s">
        <v>1423</v>
      </c>
      <c r="C1005" t="s">
        <v>1253</v>
      </c>
      <c r="D1005" t="s">
        <v>1266</v>
      </c>
      <c r="E1005" t="s">
        <v>1504</v>
      </c>
      <c r="F1005" t="s">
        <v>1435</v>
      </c>
      <c r="G1005" t="s">
        <v>544</v>
      </c>
      <c r="H1005" t="s">
        <v>545</v>
      </c>
      <c r="I1005" s="54">
        <v>46174</v>
      </c>
    </row>
    <row r="1006" spans="1:9" x14ac:dyDescent="0.35">
      <c r="A1006" t="s">
        <v>1415</v>
      </c>
      <c r="C1006" t="s">
        <v>1274</v>
      </c>
      <c r="D1006" t="s">
        <v>1260</v>
      </c>
      <c r="E1006" t="s">
        <v>1498</v>
      </c>
      <c r="F1006" t="s">
        <v>1435</v>
      </c>
      <c r="G1006" t="s">
        <v>581</v>
      </c>
      <c r="H1006" t="s">
        <v>582</v>
      </c>
      <c r="I1006" s="54">
        <v>46174</v>
      </c>
    </row>
    <row r="1007" spans="1:9" x14ac:dyDescent="0.35">
      <c r="A1007" t="s">
        <v>1415</v>
      </c>
      <c r="C1007" t="s">
        <v>1257</v>
      </c>
      <c r="D1007" t="s">
        <v>1260</v>
      </c>
      <c r="E1007" t="s">
        <v>1498</v>
      </c>
      <c r="F1007" t="s">
        <v>1435</v>
      </c>
      <c r="G1007" t="s">
        <v>581</v>
      </c>
      <c r="H1007" t="s">
        <v>582</v>
      </c>
      <c r="I1007" s="54">
        <v>46174</v>
      </c>
    </row>
    <row r="1008" spans="1:9" x14ac:dyDescent="0.35">
      <c r="A1008" t="s">
        <v>1431</v>
      </c>
      <c r="C1008" t="s">
        <v>1274</v>
      </c>
      <c r="D1008" t="s">
        <v>1263</v>
      </c>
      <c r="E1008" t="s">
        <v>1509</v>
      </c>
      <c r="F1008" t="s">
        <v>1435</v>
      </c>
      <c r="G1008" t="s">
        <v>593</v>
      </c>
      <c r="H1008" t="s">
        <v>594</v>
      </c>
      <c r="I1008" s="54">
        <v>46174</v>
      </c>
    </row>
    <row r="1009" spans="1:9" x14ac:dyDescent="0.35">
      <c r="A1009" t="s">
        <v>79</v>
      </c>
      <c r="B1009" t="s">
        <v>81</v>
      </c>
      <c r="C1009" t="s">
        <v>1274</v>
      </c>
      <c r="D1009" t="s">
        <v>1263</v>
      </c>
      <c r="E1009" t="s">
        <v>80</v>
      </c>
      <c r="F1009" t="s">
        <v>1435</v>
      </c>
      <c r="G1009" t="s">
        <v>593</v>
      </c>
      <c r="H1009" t="s">
        <v>594</v>
      </c>
      <c r="I1009" s="54">
        <v>46174</v>
      </c>
    </row>
    <row r="1010" spans="1:9" x14ac:dyDescent="0.35">
      <c r="A1010" t="s">
        <v>1419</v>
      </c>
      <c r="C1010" t="s">
        <v>1257</v>
      </c>
      <c r="D1010" t="s">
        <v>1260</v>
      </c>
      <c r="E1010" t="s">
        <v>1501</v>
      </c>
      <c r="F1010" t="s">
        <v>1435</v>
      </c>
      <c r="G1010" t="s">
        <v>593</v>
      </c>
      <c r="H1010" t="s">
        <v>594</v>
      </c>
      <c r="I1010" s="54">
        <v>46174</v>
      </c>
    </row>
    <row r="1011" spans="1:9" x14ac:dyDescent="0.35">
      <c r="A1011" t="s">
        <v>1419</v>
      </c>
      <c r="C1011" t="s">
        <v>1281</v>
      </c>
      <c r="D1011" t="s">
        <v>1260</v>
      </c>
      <c r="E1011" t="s">
        <v>1501</v>
      </c>
      <c r="F1011" t="s">
        <v>1435</v>
      </c>
      <c r="G1011" t="s">
        <v>593</v>
      </c>
      <c r="H1011" t="s">
        <v>594</v>
      </c>
      <c r="I1011" s="54">
        <v>46174</v>
      </c>
    </row>
    <row r="1012" spans="1:9" x14ac:dyDescent="0.35">
      <c r="A1012" t="s">
        <v>145</v>
      </c>
      <c r="B1012" t="s">
        <v>147</v>
      </c>
      <c r="C1012" t="s">
        <v>1253</v>
      </c>
      <c r="D1012" t="s">
        <v>1266</v>
      </c>
      <c r="E1012" t="s">
        <v>146</v>
      </c>
      <c r="F1012" t="s">
        <v>1435</v>
      </c>
      <c r="G1012" t="s">
        <v>544</v>
      </c>
      <c r="H1012" t="s">
        <v>545</v>
      </c>
      <c r="I1012" s="54">
        <v>46174</v>
      </c>
    </row>
    <row r="1013" spans="1:9" x14ac:dyDescent="0.35">
      <c r="A1013" t="s">
        <v>1419</v>
      </c>
      <c r="C1013" t="s">
        <v>1274</v>
      </c>
      <c r="D1013" t="s">
        <v>1260</v>
      </c>
      <c r="E1013" t="s">
        <v>1501</v>
      </c>
      <c r="F1013" t="s">
        <v>1435</v>
      </c>
      <c r="G1013" t="s">
        <v>593</v>
      </c>
      <c r="H1013" t="s">
        <v>594</v>
      </c>
      <c r="I1013" s="54">
        <v>46174</v>
      </c>
    </row>
    <row r="1014" spans="1:9" x14ac:dyDescent="0.35">
      <c r="A1014" t="s">
        <v>1412</v>
      </c>
      <c r="B1014" t="s">
        <v>1413</v>
      </c>
      <c r="C1014" t="s">
        <v>1253</v>
      </c>
      <c r="D1014" t="s">
        <v>1266</v>
      </c>
      <c r="E1014" t="s">
        <v>1497</v>
      </c>
      <c r="F1014" t="s">
        <v>1435</v>
      </c>
      <c r="G1014" t="s">
        <v>597</v>
      </c>
      <c r="H1014" t="s">
        <v>598</v>
      </c>
      <c r="I1014" s="54">
        <v>46174</v>
      </c>
    </row>
    <row r="1015" spans="1:9" x14ac:dyDescent="0.35">
      <c r="A1015" t="s">
        <v>1402</v>
      </c>
      <c r="B1015" t="s">
        <v>1403</v>
      </c>
      <c r="C1015" t="s">
        <v>1253</v>
      </c>
      <c r="D1015" t="s">
        <v>1260</v>
      </c>
      <c r="E1015" t="s">
        <v>1493</v>
      </c>
      <c r="F1015" t="s">
        <v>1435</v>
      </c>
      <c r="G1015" t="s">
        <v>581</v>
      </c>
      <c r="H1015" t="s">
        <v>582</v>
      </c>
      <c r="I1015" s="54">
        <v>46174</v>
      </c>
    </row>
    <row r="1016" spans="1:9" x14ac:dyDescent="0.35">
      <c r="A1016" t="s">
        <v>139</v>
      </c>
      <c r="B1016" t="s">
        <v>141</v>
      </c>
      <c r="C1016" t="s">
        <v>1274</v>
      </c>
      <c r="D1016" t="s">
        <v>1260</v>
      </c>
      <c r="E1016" t="s">
        <v>140</v>
      </c>
      <c r="F1016" t="s">
        <v>1435</v>
      </c>
      <c r="G1016" t="s">
        <v>544</v>
      </c>
      <c r="H1016" t="s">
        <v>545</v>
      </c>
      <c r="I1016" s="54">
        <v>46174</v>
      </c>
    </row>
    <row r="1017" spans="1:9" x14ac:dyDescent="0.35">
      <c r="A1017" t="s">
        <v>1400</v>
      </c>
      <c r="B1017" t="s">
        <v>1401</v>
      </c>
      <c r="C1017" t="s">
        <v>1253</v>
      </c>
      <c r="D1017" t="s">
        <v>1263</v>
      </c>
      <c r="E1017" t="s">
        <v>1492</v>
      </c>
      <c r="F1017" t="s">
        <v>1435</v>
      </c>
      <c r="G1017" t="s">
        <v>597</v>
      </c>
      <c r="H1017" t="s">
        <v>598</v>
      </c>
      <c r="I1017" s="54">
        <v>46174</v>
      </c>
    </row>
    <row r="1018" spans="1:9" x14ac:dyDescent="0.35">
      <c r="A1018" t="s">
        <v>139</v>
      </c>
      <c r="B1018" t="s">
        <v>141</v>
      </c>
      <c r="C1018" t="s">
        <v>1257</v>
      </c>
      <c r="D1018" t="s">
        <v>1260</v>
      </c>
      <c r="E1018" t="s">
        <v>140</v>
      </c>
      <c r="F1018" t="s">
        <v>1435</v>
      </c>
      <c r="G1018" t="s">
        <v>544</v>
      </c>
      <c r="H1018" t="s">
        <v>545</v>
      </c>
      <c r="I1018" s="54">
        <v>46174</v>
      </c>
    </row>
    <row r="1019" spans="1:9" x14ac:dyDescent="0.35">
      <c r="A1019" t="s">
        <v>1408</v>
      </c>
      <c r="B1019" t="s">
        <v>1409</v>
      </c>
      <c r="C1019" t="s">
        <v>1253</v>
      </c>
      <c r="D1019" t="s">
        <v>1263</v>
      </c>
      <c r="E1019" t="s">
        <v>1496</v>
      </c>
      <c r="F1019" t="s">
        <v>1435</v>
      </c>
      <c r="G1019" t="s">
        <v>544</v>
      </c>
      <c r="H1019" t="s">
        <v>545</v>
      </c>
      <c r="I1019" s="54">
        <v>46174</v>
      </c>
    </row>
    <row r="1020" spans="1:9" x14ac:dyDescent="0.35">
      <c r="A1020" t="s">
        <v>1420</v>
      </c>
      <c r="B1020" t="s">
        <v>1421</v>
      </c>
      <c r="C1020" t="s">
        <v>1253</v>
      </c>
      <c r="D1020" t="s">
        <v>1263</v>
      </c>
      <c r="E1020" t="s">
        <v>1503</v>
      </c>
      <c r="F1020" t="s">
        <v>1435</v>
      </c>
      <c r="G1020" t="s">
        <v>544</v>
      </c>
      <c r="H1020" t="s">
        <v>545</v>
      </c>
      <c r="I1020" s="54">
        <v>46174</v>
      </c>
    </row>
    <row r="1021" spans="1:9" x14ac:dyDescent="0.35">
      <c r="A1021" t="s">
        <v>139</v>
      </c>
      <c r="B1021" t="s">
        <v>141</v>
      </c>
      <c r="C1021" t="s">
        <v>1253</v>
      </c>
      <c r="D1021" t="s">
        <v>1263</v>
      </c>
      <c r="E1021" t="s">
        <v>140</v>
      </c>
      <c r="F1021" t="s">
        <v>1435</v>
      </c>
      <c r="G1021" t="s">
        <v>544</v>
      </c>
      <c r="H1021" t="s">
        <v>545</v>
      </c>
      <c r="I1021" s="54">
        <v>46174</v>
      </c>
    </row>
    <row r="1022" spans="1:9" x14ac:dyDescent="0.35">
      <c r="A1022" t="s">
        <v>676</v>
      </c>
      <c r="B1022" t="s">
        <v>677</v>
      </c>
      <c r="C1022" t="s">
        <v>1257</v>
      </c>
      <c r="D1022" t="s">
        <v>1273</v>
      </c>
      <c r="E1022" t="s">
        <v>1511</v>
      </c>
      <c r="F1022" t="s">
        <v>1435</v>
      </c>
      <c r="G1022" t="s">
        <v>661</v>
      </c>
      <c r="H1022" t="s">
        <v>650</v>
      </c>
      <c r="I1022" s="54">
        <v>46174</v>
      </c>
    </row>
    <row r="1023" spans="1:9" x14ac:dyDescent="0.35">
      <c r="A1023" t="s">
        <v>1406</v>
      </c>
      <c r="B1023" t="s">
        <v>1407</v>
      </c>
      <c r="C1023" t="s">
        <v>1253</v>
      </c>
      <c r="D1023" t="s">
        <v>1263</v>
      </c>
      <c r="E1023" t="s">
        <v>1495</v>
      </c>
      <c r="F1023" t="s">
        <v>1435</v>
      </c>
      <c r="G1023" t="s">
        <v>544</v>
      </c>
      <c r="H1023" t="s">
        <v>545</v>
      </c>
      <c r="I1023" s="54">
        <v>46174</v>
      </c>
    </row>
    <row r="1024" spans="1:9" x14ac:dyDescent="0.35">
      <c r="A1024" t="s">
        <v>1417</v>
      </c>
      <c r="B1024" t="s">
        <v>1418</v>
      </c>
      <c r="C1024" t="s">
        <v>1281</v>
      </c>
      <c r="D1024" t="s">
        <v>1254</v>
      </c>
      <c r="E1024" t="s">
        <v>1500</v>
      </c>
      <c r="F1024" t="s">
        <v>1435</v>
      </c>
      <c r="G1024" t="s">
        <v>589</v>
      </c>
      <c r="H1024" t="s">
        <v>590</v>
      </c>
      <c r="I1024" s="54">
        <v>46174</v>
      </c>
    </row>
    <row r="1025" spans="1:9" x14ac:dyDescent="0.35">
      <c r="A1025" t="s">
        <v>1417</v>
      </c>
      <c r="B1025" t="s">
        <v>1418</v>
      </c>
      <c r="C1025" t="s">
        <v>1274</v>
      </c>
      <c r="D1025" t="s">
        <v>1254</v>
      </c>
      <c r="E1025" t="s">
        <v>1500</v>
      </c>
      <c r="F1025" t="s">
        <v>1435</v>
      </c>
      <c r="G1025" t="s">
        <v>589</v>
      </c>
      <c r="H1025" t="s">
        <v>590</v>
      </c>
      <c r="I1025" s="54">
        <v>46174</v>
      </c>
    </row>
    <row r="1026" spans="1:9" x14ac:dyDescent="0.35">
      <c r="A1026" t="s">
        <v>1410</v>
      </c>
      <c r="B1026" t="s">
        <v>1411</v>
      </c>
      <c r="C1026" t="s">
        <v>1253</v>
      </c>
      <c r="D1026" t="s">
        <v>1263</v>
      </c>
      <c r="E1026" t="s">
        <v>146</v>
      </c>
      <c r="F1026" t="s">
        <v>1435</v>
      </c>
      <c r="G1026" t="s">
        <v>544</v>
      </c>
      <c r="H1026" t="s">
        <v>545</v>
      </c>
      <c r="I1026" s="54">
        <v>46174</v>
      </c>
    </row>
    <row r="1027" spans="1:9" x14ac:dyDescent="0.35">
      <c r="A1027" t="s">
        <v>680</v>
      </c>
      <c r="B1027" t="s">
        <v>681</v>
      </c>
      <c r="C1027" t="s">
        <v>1274</v>
      </c>
      <c r="D1027" t="s">
        <v>1254</v>
      </c>
      <c r="E1027" t="s">
        <v>1502</v>
      </c>
      <c r="F1027" t="s">
        <v>1435</v>
      </c>
      <c r="G1027" t="s">
        <v>683</v>
      </c>
      <c r="H1027" t="s">
        <v>685</v>
      </c>
      <c r="I1027" s="54">
        <v>46174</v>
      </c>
    </row>
    <row r="1028" spans="1:9" x14ac:dyDescent="0.35">
      <c r="A1028" t="s">
        <v>680</v>
      </c>
      <c r="B1028" t="s">
        <v>681</v>
      </c>
      <c r="C1028" t="s">
        <v>1281</v>
      </c>
      <c r="D1028" t="s">
        <v>1254</v>
      </c>
      <c r="E1028" t="s">
        <v>1502</v>
      </c>
      <c r="F1028" t="s">
        <v>1435</v>
      </c>
      <c r="G1028" t="s">
        <v>683</v>
      </c>
      <c r="H1028" t="s">
        <v>685</v>
      </c>
      <c r="I1028" s="54">
        <v>46174</v>
      </c>
    </row>
    <row r="1029" spans="1:9" x14ac:dyDescent="0.35">
      <c r="A1029" t="s">
        <v>1396</v>
      </c>
      <c r="B1029" t="s">
        <v>1397</v>
      </c>
      <c r="C1029" t="s">
        <v>1253</v>
      </c>
      <c r="D1029" t="s">
        <v>1263</v>
      </c>
      <c r="E1029" t="s">
        <v>1490</v>
      </c>
      <c r="F1029" t="s">
        <v>1435</v>
      </c>
      <c r="G1029" t="s">
        <v>581</v>
      </c>
      <c r="H1029" t="s">
        <v>582</v>
      </c>
      <c r="I1029" s="54">
        <v>46174</v>
      </c>
    </row>
    <row r="1030" spans="1:9" x14ac:dyDescent="0.35">
      <c r="A1030" t="s">
        <v>680</v>
      </c>
      <c r="B1030" t="s">
        <v>681</v>
      </c>
      <c r="C1030" t="s">
        <v>1257</v>
      </c>
      <c r="D1030" t="s">
        <v>1254</v>
      </c>
      <c r="E1030" t="s">
        <v>1502</v>
      </c>
      <c r="F1030" t="s">
        <v>1435</v>
      </c>
      <c r="G1030" t="s">
        <v>683</v>
      </c>
      <c r="H1030" t="s">
        <v>685</v>
      </c>
      <c r="I1030" s="54">
        <v>46174</v>
      </c>
    </row>
    <row r="1031" spans="1:9" x14ac:dyDescent="0.35">
      <c r="A1031" t="s">
        <v>1417</v>
      </c>
      <c r="B1031" t="s">
        <v>1418</v>
      </c>
      <c r="C1031" t="s">
        <v>1253</v>
      </c>
      <c r="D1031" t="s">
        <v>1260</v>
      </c>
      <c r="E1031" t="s">
        <v>1500</v>
      </c>
      <c r="F1031" t="s">
        <v>1435</v>
      </c>
      <c r="G1031" t="s">
        <v>589</v>
      </c>
      <c r="H1031" t="s">
        <v>590</v>
      </c>
      <c r="I1031" s="54">
        <v>46174</v>
      </c>
    </row>
    <row r="1032" spans="1:9" x14ac:dyDescent="0.35">
      <c r="A1032" t="s">
        <v>1422</v>
      </c>
      <c r="B1032" t="s">
        <v>1423</v>
      </c>
      <c r="C1032" t="s">
        <v>1257</v>
      </c>
      <c r="D1032" t="s">
        <v>1254</v>
      </c>
      <c r="E1032" t="s">
        <v>1504</v>
      </c>
      <c r="F1032" t="s">
        <v>1435</v>
      </c>
      <c r="G1032" t="s">
        <v>544</v>
      </c>
      <c r="H1032" t="s">
        <v>545</v>
      </c>
      <c r="I1032" s="54">
        <v>46174</v>
      </c>
    </row>
    <row r="1033" spans="1:9" x14ac:dyDescent="0.35">
      <c r="A1033" t="s">
        <v>1422</v>
      </c>
      <c r="B1033" t="s">
        <v>1423</v>
      </c>
      <c r="C1033" t="s">
        <v>1274</v>
      </c>
      <c r="D1033" t="s">
        <v>1254</v>
      </c>
      <c r="E1033" t="s">
        <v>1504</v>
      </c>
      <c r="F1033" t="s">
        <v>1435</v>
      </c>
      <c r="G1033" t="s">
        <v>544</v>
      </c>
      <c r="H1033" t="s">
        <v>545</v>
      </c>
      <c r="I1033" s="54">
        <v>46174</v>
      </c>
    </row>
    <row r="1034" spans="1:9" x14ac:dyDescent="0.35">
      <c r="A1034" t="s">
        <v>1422</v>
      </c>
      <c r="B1034" t="s">
        <v>1423</v>
      </c>
      <c r="C1034" t="s">
        <v>1281</v>
      </c>
      <c r="D1034" t="s">
        <v>1254</v>
      </c>
      <c r="E1034" t="s">
        <v>1504</v>
      </c>
      <c r="F1034" t="s">
        <v>1435</v>
      </c>
      <c r="G1034" t="s">
        <v>544</v>
      </c>
      <c r="H1034" t="s">
        <v>545</v>
      </c>
      <c r="I1034" s="54">
        <v>46174</v>
      </c>
    </row>
    <row r="1035" spans="1:9" x14ac:dyDescent="0.35">
      <c r="A1035" t="s">
        <v>1428</v>
      </c>
      <c r="B1035" t="s">
        <v>1429</v>
      </c>
      <c r="C1035" t="s">
        <v>1257</v>
      </c>
      <c r="D1035" t="s">
        <v>1254</v>
      </c>
      <c r="E1035" t="s">
        <v>1507</v>
      </c>
      <c r="F1035" t="s">
        <v>1435</v>
      </c>
      <c r="G1035" t="s">
        <v>544</v>
      </c>
      <c r="H1035" t="s">
        <v>545</v>
      </c>
      <c r="I1035" s="54">
        <v>46174</v>
      </c>
    </row>
    <row r="1036" spans="1:9" x14ac:dyDescent="0.35">
      <c r="A1036" t="s">
        <v>1428</v>
      </c>
      <c r="B1036" t="s">
        <v>1429</v>
      </c>
      <c r="C1036" t="s">
        <v>1274</v>
      </c>
      <c r="D1036" t="s">
        <v>1254</v>
      </c>
      <c r="E1036" t="s">
        <v>1507</v>
      </c>
      <c r="F1036" t="s">
        <v>1435</v>
      </c>
      <c r="G1036" t="s">
        <v>544</v>
      </c>
      <c r="H1036" t="s">
        <v>545</v>
      </c>
      <c r="I1036" s="54">
        <v>46174</v>
      </c>
    </row>
    <row r="1037" spans="1:9" x14ac:dyDescent="0.35">
      <c r="A1037" t="s">
        <v>1428</v>
      </c>
      <c r="B1037" t="s">
        <v>1429</v>
      </c>
      <c r="C1037" t="s">
        <v>1281</v>
      </c>
      <c r="D1037" t="s">
        <v>1254</v>
      </c>
      <c r="E1037" t="s">
        <v>1507</v>
      </c>
      <c r="F1037" t="s">
        <v>1435</v>
      </c>
      <c r="G1037" t="s">
        <v>544</v>
      </c>
      <c r="H1037" t="s">
        <v>545</v>
      </c>
      <c r="I1037" s="54">
        <v>46174</v>
      </c>
    </row>
    <row r="1038" spans="1:9" x14ac:dyDescent="0.35">
      <c r="A1038" t="s">
        <v>1398</v>
      </c>
      <c r="B1038" t="s">
        <v>1399</v>
      </c>
      <c r="C1038" t="s">
        <v>1253</v>
      </c>
      <c r="D1038" t="s">
        <v>1260</v>
      </c>
      <c r="E1038" t="s">
        <v>1491</v>
      </c>
      <c r="F1038" t="s">
        <v>1435</v>
      </c>
      <c r="G1038" t="s">
        <v>581</v>
      </c>
      <c r="H1038" t="s">
        <v>582</v>
      </c>
      <c r="I1038" s="54">
        <v>46174</v>
      </c>
    </row>
    <row r="1039" spans="1:9" x14ac:dyDescent="0.35">
      <c r="A1039" t="s">
        <v>1432</v>
      </c>
      <c r="C1039" t="s">
        <v>1274</v>
      </c>
      <c r="D1039" t="s">
        <v>1260</v>
      </c>
      <c r="E1039" t="s">
        <v>1510</v>
      </c>
      <c r="F1039" t="s">
        <v>1435</v>
      </c>
      <c r="G1039" t="s">
        <v>593</v>
      </c>
      <c r="H1039" t="s">
        <v>594</v>
      </c>
      <c r="I1039" s="54">
        <v>46174</v>
      </c>
    </row>
    <row r="1040" spans="1:9" x14ac:dyDescent="0.35">
      <c r="A1040" t="s">
        <v>1432</v>
      </c>
      <c r="C1040" t="s">
        <v>1257</v>
      </c>
      <c r="D1040" t="s">
        <v>1260</v>
      </c>
      <c r="E1040" t="s">
        <v>1510</v>
      </c>
      <c r="F1040" t="s">
        <v>1435</v>
      </c>
      <c r="G1040" t="s">
        <v>593</v>
      </c>
      <c r="H1040" t="s">
        <v>594</v>
      </c>
      <c r="I1040" s="54">
        <v>46174</v>
      </c>
    </row>
    <row r="1041" spans="1:9" x14ac:dyDescent="0.35">
      <c r="A1041" t="s">
        <v>1432</v>
      </c>
      <c r="C1041" t="s">
        <v>1281</v>
      </c>
      <c r="D1041" t="s">
        <v>1260</v>
      </c>
      <c r="E1041" t="s">
        <v>1510</v>
      </c>
      <c r="F1041" t="s">
        <v>1435</v>
      </c>
      <c r="G1041" t="s">
        <v>593</v>
      </c>
      <c r="H1041" t="s">
        <v>594</v>
      </c>
      <c r="I1041" s="54">
        <v>46174</v>
      </c>
    </row>
    <row r="1042" spans="1:9" x14ac:dyDescent="0.35">
      <c r="A1042" t="s">
        <v>680</v>
      </c>
      <c r="B1042" t="s">
        <v>681</v>
      </c>
      <c r="C1042" t="s">
        <v>1253</v>
      </c>
      <c r="D1042" t="s">
        <v>1260</v>
      </c>
      <c r="E1042" t="s">
        <v>1502</v>
      </c>
      <c r="F1042" t="s">
        <v>1435</v>
      </c>
      <c r="G1042" t="s">
        <v>683</v>
      </c>
      <c r="H1042" t="s">
        <v>685</v>
      </c>
      <c r="I1042" s="54">
        <v>46174</v>
      </c>
    </row>
    <row r="1043" spans="1:9" x14ac:dyDescent="0.35">
      <c r="A1043" t="s">
        <v>649</v>
      </c>
      <c r="B1043" t="s">
        <v>648</v>
      </c>
      <c r="C1043" t="s">
        <v>1274</v>
      </c>
      <c r="D1043" t="s">
        <v>1273</v>
      </c>
      <c r="E1043" t="s">
        <v>646</v>
      </c>
      <c r="F1043" t="s">
        <v>1435</v>
      </c>
      <c r="G1043" t="s">
        <v>661</v>
      </c>
      <c r="H1043" t="s">
        <v>650</v>
      </c>
      <c r="I1043" s="54">
        <v>46174</v>
      </c>
    </row>
    <row r="1044" spans="1:9" x14ac:dyDescent="0.35">
      <c r="A1044" t="s">
        <v>1422</v>
      </c>
      <c r="B1044" t="s">
        <v>1423</v>
      </c>
      <c r="C1044" t="s">
        <v>1257</v>
      </c>
      <c r="D1044" t="s">
        <v>1266</v>
      </c>
      <c r="E1044" t="s">
        <v>1504</v>
      </c>
      <c r="F1044" t="s">
        <v>1435</v>
      </c>
      <c r="G1044" t="s">
        <v>544</v>
      </c>
      <c r="H1044" t="s">
        <v>545</v>
      </c>
      <c r="I1044" s="54">
        <v>46174</v>
      </c>
    </row>
    <row r="1045" spans="1:9" x14ac:dyDescent="0.35">
      <c r="A1045" t="s">
        <v>139</v>
      </c>
      <c r="B1045" t="s">
        <v>141</v>
      </c>
      <c r="C1045" t="s">
        <v>1253</v>
      </c>
      <c r="D1045" t="s">
        <v>1260</v>
      </c>
      <c r="E1045" t="s">
        <v>140</v>
      </c>
      <c r="F1045" t="s">
        <v>1435</v>
      </c>
      <c r="G1045" t="s">
        <v>544</v>
      </c>
      <c r="H1045" t="s">
        <v>545</v>
      </c>
      <c r="I1045" s="54">
        <v>46174</v>
      </c>
    </row>
    <row r="1046" spans="1:9" x14ac:dyDescent="0.35">
      <c r="A1046" t="s">
        <v>1422</v>
      </c>
      <c r="B1046" t="s">
        <v>1423</v>
      </c>
      <c r="C1046" t="s">
        <v>1274</v>
      </c>
      <c r="D1046" t="s">
        <v>1266</v>
      </c>
      <c r="E1046" t="s">
        <v>1504</v>
      </c>
      <c r="F1046" t="s">
        <v>1435</v>
      </c>
      <c r="G1046" t="s">
        <v>544</v>
      </c>
      <c r="H1046" t="s">
        <v>545</v>
      </c>
      <c r="I1046" s="54">
        <v>46174</v>
      </c>
    </row>
    <row r="1047" spans="1:9" x14ac:dyDescent="0.35">
      <c r="A1047" t="s">
        <v>1422</v>
      </c>
      <c r="B1047" t="s">
        <v>1423</v>
      </c>
      <c r="C1047" t="s">
        <v>1281</v>
      </c>
      <c r="D1047" t="s">
        <v>1266</v>
      </c>
      <c r="E1047" t="s">
        <v>1504</v>
      </c>
      <c r="F1047" t="s">
        <v>1435</v>
      </c>
      <c r="G1047" t="s">
        <v>544</v>
      </c>
      <c r="H1047" t="s">
        <v>545</v>
      </c>
      <c r="I1047" s="54">
        <v>46174</v>
      </c>
    </row>
    <row r="1048" spans="1:9" x14ac:dyDescent="0.35">
      <c r="A1048" t="s">
        <v>1422</v>
      </c>
      <c r="B1048" t="s">
        <v>1423</v>
      </c>
      <c r="C1048" t="s">
        <v>1253</v>
      </c>
      <c r="D1048" t="s">
        <v>1260</v>
      </c>
      <c r="E1048" t="s">
        <v>1504</v>
      </c>
      <c r="F1048" t="s">
        <v>1435</v>
      </c>
      <c r="G1048" t="s">
        <v>544</v>
      </c>
      <c r="H1048" t="s">
        <v>545</v>
      </c>
      <c r="I1048" s="54">
        <v>46174</v>
      </c>
    </row>
    <row r="1049" spans="1:9" x14ac:dyDescent="0.35">
      <c r="A1049" t="s">
        <v>649</v>
      </c>
      <c r="B1049" t="s">
        <v>648</v>
      </c>
      <c r="C1049" t="s">
        <v>1257</v>
      </c>
      <c r="D1049" t="s">
        <v>1273</v>
      </c>
      <c r="E1049" t="s">
        <v>646</v>
      </c>
      <c r="F1049" t="s">
        <v>1435</v>
      </c>
      <c r="G1049" t="s">
        <v>661</v>
      </c>
      <c r="H1049" t="s">
        <v>650</v>
      </c>
      <c r="I1049" s="54">
        <v>46174</v>
      </c>
    </row>
    <row r="1050" spans="1:9" x14ac:dyDescent="0.35">
      <c r="A1050" t="s">
        <v>1424</v>
      </c>
      <c r="B1050" t="s">
        <v>1425</v>
      </c>
      <c r="C1050" t="s">
        <v>1253</v>
      </c>
      <c r="D1050" t="s">
        <v>1260</v>
      </c>
      <c r="E1050" t="s">
        <v>1505</v>
      </c>
      <c r="F1050" t="s">
        <v>1435</v>
      </c>
      <c r="G1050" t="s">
        <v>589</v>
      </c>
      <c r="H1050" t="s">
        <v>590</v>
      </c>
      <c r="I1050" s="54">
        <v>46174</v>
      </c>
    </row>
    <row r="1051" spans="1:9" x14ac:dyDescent="0.35">
      <c r="A1051" t="s">
        <v>1426</v>
      </c>
      <c r="B1051" t="s">
        <v>1427</v>
      </c>
      <c r="C1051" t="s">
        <v>1253</v>
      </c>
      <c r="D1051" t="s">
        <v>1260</v>
      </c>
      <c r="E1051" t="s">
        <v>1506</v>
      </c>
      <c r="F1051" t="s">
        <v>1435</v>
      </c>
      <c r="G1051" t="s">
        <v>589</v>
      </c>
      <c r="H1051" t="s">
        <v>590</v>
      </c>
      <c r="I1051" s="54">
        <v>46174</v>
      </c>
    </row>
    <row r="1052" spans="1:9" x14ac:dyDescent="0.35">
      <c r="A1052" t="s">
        <v>1406</v>
      </c>
      <c r="B1052" t="s">
        <v>1407</v>
      </c>
      <c r="C1052" t="s">
        <v>1253</v>
      </c>
      <c r="D1052" t="s">
        <v>1260</v>
      </c>
      <c r="E1052" t="s">
        <v>1495</v>
      </c>
      <c r="F1052" t="s">
        <v>1435</v>
      </c>
      <c r="G1052" t="s">
        <v>544</v>
      </c>
      <c r="H1052" t="s">
        <v>545</v>
      </c>
      <c r="I1052" s="54">
        <v>46174</v>
      </c>
    </row>
    <row r="1053" spans="1:9" x14ac:dyDescent="0.35">
      <c r="A1053" t="s">
        <v>1426</v>
      </c>
      <c r="B1053" t="s">
        <v>1427</v>
      </c>
      <c r="C1053" t="s">
        <v>1257</v>
      </c>
      <c r="D1053" t="s">
        <v>1260</v>
      </c>
      <c r="E1053" t="s">
        <v>1506</v>
      </c>
      <c r="F1053" t="s">
        <v>1435</v>
      </c>
      <c r="G1053" t="s">
        <v>589</v>
      </c>
      <c r="H1053" t="s">
        <v>590</v>
      </c>
      <c r="I1053" s="54">
        <v>46174</v>
      </c>
    </row>
    <row r="1054" spans="1:9" x14ac:dyDescent="0.35">
      <c r="A1054" t="s">
        <v>1426</v>
      </c>
      <c r="B1054" t="s">
        <v>1427</v>
      </c>
      <c r="C1054" t="s">
        <v>1274</v>
      </c>
      <c r="D1054" t="s">
        <v>1260</v>
      </c>
      <c r="E1054" t="s">
        <v>1506</v>
      </c>
      <c r="F1054" t="s">
        <v>1435</v>
      </c>
      <c r="G1054" t="s">
        <v>589</v>
      </c>
      <c r="H1054" t="s">
        <v>590</v>
      </c>
      <c r="I1054" s="54">
        <v>46174</v>
      </c>
    </row>
    <row r="1055" spans="1:9" x14ac:dyDescent="0.35">
      <c r="A1055" t="s">
        <v>1426</v>
      </c>
      <c r="B1055" t="s">
        <v>1427</v>
      </c>
      <c r="C1055" t="s">
        <v>1281</v>
      </c>
      <c r="D1055" t="s">
        <v>1260</v>
      </c>
      <c r="E1055" t="s">
        <v>1506</v>
      </c>
      <c r="F1055" t="s">
        <v>1435</v>
      </c>
      <c r="G1055" t="s">
        <v>589</v>
      </c>
      <c r="H1055" t="s">
        <v>590</v>
      </c>
      <c r="I1055" s="54">
        <v>46174</v>
      </c>
    </row>
    <row r="1056" spans="1:9" x14ac:dyDescent="0.35">
      <c r="A1056" t="s">
        <v>1428</v>
      </c>
      <c r="B1056" t="s">
        <v>1429</v>
      </c>
      <c r="C1056" t="s">
        <v>1253</v>
      </c>
      <c r="D1056" t="s">
        <v>1260</v>
      </c>
      <c r="E1056" t="s">
        <v>1507</v>
      </c>
      <c r="F1056" t="s">
        <v>1435</v>
      </c>
      <c r="G1056" t="s">
        <v>544</v>
      </c>
      <c r="H1056" t="s">
        <v>545</v>
      </c>
      <c r="I1056" s="54">
        <v>46174</v>
      </c>
    </row>
    <row r="1057" spans="1:9" x14ac:dyDescent="0.35">
      <c r="A1057" t="s">
        <v>145</v>
      </c>
      <c r="B1057" t="s">
        <v>147</v>
      </c>
      <c r="C1057" t="s">
        <v>1253</v>
      </c>
      <c r="D1057" t="s">
        <v>1260</v>
      </c>
      <c r="E1057" t="s">
        <v>146</v>
      </c>
      <c r="F1057" t="s">
        <v>1435</v>
      </c>
      <c r="G1057" t="s">
        <v>544</v>
      </c>
      <c r="H1057" t="s">
        <v>545</v>
      </c>
      <c r="I1057" s="54">
        <v>46174</v>
      </c>
    </row>
    <row r="1058" spans="1:9" x14ac:dyDescent="0.35">
      <c r="A1058" t="s">
        <v>85</v>
      </c>
      <c r="B1058" t="s">
        <v>1414</v>
      </c>
      <c r="C1058" t="s">
        <v>1253</v>
      </c>
      <c r="D1058" t="s">
        <v>1273</v>
      </c>
      <c r="E1058" t="s">
        <v>86</v>
      </c>
      <c r="F1058" t="s">
        <v>1435</v>
      </c>
      <c r="G1058" t="s">
        <v>593</v>
      </c>
      <c r="H1058" t="s">
        <v>594</v>
      </c>
      <c r="I1058" s="54">
        <v>46174</v>
      </c>
    </row>
    <row r="1059" spans="1:9" x14ac:dyDescent="0.35">
      <c r="A1059" t="s">
        <v>79</v>
      </c>
      <c r="B1059" t="s">
        <v>81</v>
      </c>
      <c r="C1059" t="s">
        <v>1253</v>
      </c>
      <c r="D1059" t="s">
        <v>1273</v>
      </c>
      <c r="E1059" t="s">
        <v>80</v>
      </c>
      <c r="F1059" t="s">
        <v>1435</v>
      </c>
      <c r="G1059" t="s">
        <v>593</v>
      </c>
      <c r="H1059" t="s">
        <v>594</v>
      </c>
      <c r="I1059" s="54">
        <v>46174</v>
      </c>
    </row>
    <row r="1060" spans="1:9" x14ac:dyDescent="0.35">
      <c r="A1060" t="s">
        <v>82</v>
      </c>
      <c r="B1060" t="s">
        <v>84</v>
      </c>
      <c r="C1060" t="s">
        <v>1253</v>
      </c>
      <c r="D1060" t="s">
        <v>1273</v>
      </c>
      <c r="E1060" t="s">
        <v>83</v>
      </c>
      <c r="F1060" t="s">
        <v>1435</v>
      </c>
      <c r="G1060" t="s">
        <v>593</v>
      </c>
      <c r="H1060" t="s">
        <v>594</v>
      </c>
      <c r="I1060" s="54">
        <v>46174</v>
      </c>
    </row>
    <row r="1061" spans="1:9" x14ac:dyDescent="0.35">
      <c r="A1061" t="s">
        <v>89</v>
      </c>
      <c r="B1061" t="s">
        <v>91</v>
      </c>
      <c r="C1061" t="s">
        <v>1253</v>
      </c>
      <c r="D1061" t="s">
        <v>1273</v>
      </c>
      <c r="E1061" t="s">
        <v>90</v>
      </c>
      <c r="F1061" t="s">
        <v>1435</v>
      </c>
      <c r="G1061" t="s">
        <v>593</v>
      </c>
      <c r="H1061" t="s">
        <v>594</v>
      </c>
      <c r="I1061" s="54">
        <v>46174</v>
      </c>
    </row>
    <row r="1062" spans="1:9" x14ac:dyDescent="0.35">
      <c r="A1062" t="s">
        <v>1424</v>
      </c>
      <c r="B1062" t="s">
        <v>1425</v>
      </c>
      <c r="C1062" t="s">
        <v>1281</v>
      </c>
      <c r="D1062" t="s">
        <v>1260</v>
      </c>
      <c r="E1062" t="s">
        <v>1505</v>
      </c>
      <c r="F1062" t="s">
        <v>1435</v>
      </c>
      <c r="G1062" t="s">
        <v>589</v>
      </c>
      <c r="H1062" t="s">
        <v>590</v>
      </c>
      <c r="I1062" s="54">
        <v>46174</v>
      </c>
    </row>
    <row r="1063" spans="1:9" x14ac:dyDescent="0.35">
      <c r="A1063" t="s">
        <v>1424</v>
      </c>
      <c r="B1063" t="s">
        <v>1425</v>
      </c>
      <c r="C1063" t="s">
        <v>1274</v>
      </c>
      <c r="D1063" t="s">
        <v>1260</v>
      </c>
      <c r="E1063" t="s">
        <v>1505</v>
      </c>
      <c r="F1063" t="s">
        <v>1435</v>
      </c>
      <c r="G1063" t="s">
        <v>589</v>
      </c>
      <c r="H1063" t="s">
        <v>590</v>
      </c>
      <c r="I1063" s="54">
        <v>46174</v>
      </c>
    </row>
    <row r="1064" spans="1:9" x14ac:dyDescent="0.35">
      <c r="A1064" t="s">
        <v>1424</v>
      </c>
      <c r="B1064" t="s">
        <v>1425</v>
      </c>
      <c r="C1064" t="s">
        <v>1257</v>
      </c>
      <c r="D1064" t="s">
        <v>1260</v>
      </c>
      <c r="E1064" t="s">
        <v>1505</v>
      </c>
      <c r="F1064" t="s">
        <v>1435</v>
      </c>
      <c r="G1064" t="s">
        <v>589</v>
      </c>
      <c r="H1064" t="s">
        <v>590</v>
      </c>
      <c r="I1064" s="54">
        <v>46174</v>
      </c>
    </row>
    <row r="1065" spans="1:9" x14ac:dyDescent="0.35">
      <c r="A1065" t="s">
        <v>676</v>
      </c>
      <c r="B1065" t="s">
        <v>677</v>
      </c>
      <c r="C1065" t="s">
        <v>1253</v>
      </c>
      <c r="D1065" t="s">
        <v>1273</v>
      </c>
      <c r="E1065" t="s">
        <v>1511</v>
      </c>
      <c r="F1065" t="s">
        <v>1435</v>
      </c>
      <c r="G1065" t="s">
        <v>661</v>
      </c>
      <c r="H1065" t="s">
        <v>650</v>
      </c>
      <c r="I1065" s="54">
        <v>46174</v>
      </c>
    </row>
    <row r="1066" spans="1:9" x14ac:dyDescent="0.35">
      <c r="A1066" t="s">
        <v>649</v>
      </c>
      <c r="B1066" t="s">
        <v>648</v>
      </c>
      <c r="C1066" t="s">
        <v>1253</v>
      </c>
      <c r="D1066" t="s">
        <v>1273</v>
      </c>
      <c r="E1066" t="s">
        <v>646</v>
      </c>
      <c r="F1066" t="s">
        <v>1435</v>
      </c>
      <c r="G1066" t="s">
        <v>661</v>
      </c>
      <c r="H1066" t="s">
        <v>650</v>
      </c>
      <c r="I1066" s="54">
        <v>46174</v>
      </c>
    </row>
    <row r="1067" spans="1:9" x14ac:dyDescent="0.35">
      <c r="A1067" t="s">
        <v>643</v>
      </c>
      <c r="B1067" t="s">
        <v>644</v>
      </c>
      <c r="C1067" t="s">
        <v>1253</v>
      </c>
      <c r="D1067" t="s">
        <v>1273</v>
      </c>
      <c r="E1067" t="s">
        <v>645</v>
      </c>
      <c r="F1067" t="s">
        <v>1435</v>
      </c>
      <c r="G1067" t="s">
        <v>656</v>
      </c>
      <c r="H1067" t="s">
        <v>657</v>
      </c>
      <c r="I1067" s="54">
        <v>46174</v>
      </c>
    </row>
    <row r="1068" spans="1:9" x14ac:dyDescent="0.35">
      <c r="A1068" t="s">
        <v>680</v>
      </c>
      <c r="B1068" t="s">
        <v>681</v>
      </c>
      <c r="C1068" t="s">
        <v>1253</v>
      </c>
      <c r="D1068" t="s">
        <v>1273</v>
      </c>
      <c r="E1068" t="s">
        <v>1502</v>
      </c>
      <c r="F1068" t="s">
        <v>1435</v>
      </c>
      <c r="G1068" t="s">
        <v>683</v>
      </c>
      <c r="H1068" t="s">
        <v>685</v>
      </c>
      <c r="I1068" s="54">
        <v>46174</v>
      </c>
    </row>
    <row r="1069" spans="1:9" x14ac:dyDescent="0.35">
      <c r="A1069" t="s">
        <v>139</v>
      </c>
      <c r="B1069" t="s">
        <v>141</v>
      </c>
      <c r="C1069" t="s">
        <v>1253</v>
      </c>
      <c r="D1069" t="s">
        <v>1273</v>
      </c>
      <c r="E1069" t="s">
        <v>140</v>
      </c>
      <c r="F1069" t="s">
        <v>1435</v>
      </c>
      <c r="G1069" t="s">
        <v>544</v>
      </c>
      <c r="H1069" t="s">
        <v>545</v>
      </c>
      <c r="I1069" s="54">
        <v>46174</v>
      </c>
    </row>
    <row r="1070" spans="1:9" x14ac:dyDescent="0.35">
      <c r="A1070" t="s">
        <v>1433</v>
      </c>
      <c r="B1070" t="s">
        <v>1425</v>
      </c>
      <c r="C1070" t="s">
        <v>1253</v>
      </c>
      <c r="D1070" t="s">
        <v>1273</v>
      </c>
      <c r="E1070" t="s">
        <v>1505</v>
      </c>
      <c r="F1070" t="s">
        <v>1435</v>
      </c>
      <c r="G1070" t="s">
        <v>589</v>
      </c>
      <c r="H1070" t="s">
        <v>590</v>
      </c>
      <c r="I1070" s="54">
        <v>46174</v>
      </c>
    </row>
    <row r="1071" spans="1:9" x14ac:dyDescent="0.35">
      <c r="A1071" t="s">
        <v>145</v>
      </c>
      <c r="B1071" t="s">
        <v>147</v>
      </c>
      <c r="C1071" t="s">
        <v>1253</v>
      </c>
      <c r="D1071" t="s">
        <v>1273</v>
      </c>
      <c r="E1071" t="s">
        <v>146</v>
      </c>
      <c r="F1071" t="s">
        <v>1435</v>
      </c>
      <c r="G1071" t="s">
        <v>544</v>
      </c>
      <c r="H1071" t="s">
        <v>545</v>
      </c>
      <c r="I1071" s="54">
        <v>46174</v>
      </c>
    </row>
    <row r="1072" spans="1:9" x14ac:dyDescent="0.35">
      <c r="A1072" t="s">
        <v>678</v>
      </c>
      <c r="B1072" t="s">
        <v>679</v>
      </c>
      <c r="C1072" t="s">
        <v>1253</v>
      </c>
      <c r="D1072" t="s">
        <v>1273</v>
      </c>
      <c r="E1072" t="s">
        <v>1512</v>
      </c>
      <c r="F1072" t="s">
        <v>1435</v>
      </c>
      <c r="G1072" t="s">
        <v>700</v>
      </c>
      <c r="H1072" t="s">
        <v>609</v>
      </c>
      <c r="I1072" s="54">
        <v>46174</v>
      </c>
    </row>
    <row r="1073" spans="1:9" x14ac:dyDescent="0.35">
      <c r="A1073" t="s">
        <v>1417</v>
      </c>
      <c r="B1073" t="s">
        <v>1418</v>
      </c>
      <c r="C1073" t="s">
        <v>1274</v>
      </c>
      <c r="D1073" t="s">
        <v>1260</v>
      </c>
      <c r="E1073" t="s">
        <v>1500</v>
      </c>
      <c r="F1073" t="s">
        <v>1435</v>
      </c>
      <c r="G1073" t="s">
        <v>589</v>
      </c>
      <c r="H1073" t="s">
        <v>590</v>
      </c>
      <c r="I1073" s="54">
        <v>46174</v>
      </c>
    </row>
    <row r="1074" spans="1:9" x14ac:dyDescent="0.35">
      <c r="A1074" t="s">
        <v>1417</v>
      </c>
      <c r="B1074" t="s">
        <v>1418</v>
      </c>
      <c r="C1074" t="s">
        <v>1281</v>
      </c>
      <c r="D1074" t="s">
        <v>1260</v>
      </c>
      <c r="E1074" t="s">
        <v>1500</v>
      </c>
      <c r="F1074" t="s">
        <v>1435</v>
      </c>
      <c r="G1074" t="s">
        <v>589</v>
      </c>
      <c r="H1074" t="s">
        <v>590</v>
      </c>
      <c r="I1074" s="54">
        <v>46174</v>
      </c>
    </row>
    <row r="1075" spans="1:9" x14ac:dyDescent="0.35">
      <c r="A1075" t="s">
        <v>680</v>
      </c>
      <c r="B1075" t="s">
        <v>681</v>
      </c>
      <c r="C1075" t="s">
        <v>1257</v>
      </c>
      <c r="D1075" t="s">
        <v>1260</v>
      </c>
      <c r="E1075" t="s">
        <v>1502</v>
      </c>
      <c r="F1075" t="s">
        <v>1435</v>
      </c>
      <c r="G1075" t="s">
        <v>683</v>
      </c>
      <c r="H1075" t="s">
        <v>685</v>
      </c>
      <c r="I1075" s="54">
        <v>46174</v>
      </c>
    </row>
    <row r="1076" spans="1:9" x14ac:dyDescent="0.35">
      <c r="A1076" t="s">
        <v>680</v>
      </c>
      <c r="B1076" t="s">
        <v>681</v>
      </c>
      <c r="C1076" t="s">
        <v>1274</v>
      </c>
      <c r="D1076" t="s">
        <v>1260</v>
      </c>
      <c r="E1076" t="s">
        <v>1502</v>
      </c>
      <c r="F1076" t="s">
        <v>1435</v>
      </c>
      <c r="G1076" t="s">
        <v>683</v>
      </c>
      <c r="H1076" t="s">
        <v>685</v>
      </c>
      <c r="I1076" s="54">
        <v>46174</v>
      </c>
    </row>
    <row r="1077" spans="1:9" x14ac:dyDescent="0.35">
      <c r="A1077" t="s">
        <v>680</v>
      </c>
      <c r="B1077" t="s">
        <v>681</v>
      </c>
      <c r="C1077" t="s">
        <v>1281</v>
      </c>
      <c r="D1077" t="s">
        <v>1260</v>
      </c>
      <c r="E1077" t="s">
        <v>1502</v>
      </c>
      <c r="F1077" t="s">
        <v>1435</v>
      </c>
      <c r="G1077" t="s">
        <v>683</v>
      </c>
      <c r="H1077" t="s">
        <v>685</v>
      </c>
      <c r="I1077" s="54">
        <v>46174</v>
      </c>
    </row>
    <row r="1078" spans="1:9" x14ac:dyDescent="0.35">
      <c r="A1078" t="s">
        <v>678</v>
      </c>
      <c r="B1078" t="s">
        <v>679</v>
      </c>
      <c r="C1078" t="s">
        <v>1257</v>
      </c>
      <c r="D1078" t="s">
        <v>1273</v>
      </c>
      <c r="E1078" t="s">
        <v>1512</v>
      </c>
      <c r="F1078" t="s">
        <v>1435</v>
      </c>
      <c r="G1078" t="s">
        <v>700</v>
      </c>
      <c r="H1078" t="s">
        <v>609</v>
      </c>
      <c r="I1078" s="54">
        <v>46174</v>
      </c>
    </row>
    <row r="1079" spans="1:9" x14ac:dyDescent="0.35">
      <c r="A1079" t="s">
        <v>1422</v>
      </c>
      <c r="B1079" t="s">
        <v>1423</v>
      </c>
      <c r="C1079" t="s">
        <v>1274</v>
      </c>
      <c r="D1079" t="s">
        <v>1260</v>
      </c>
      <c r="E1079" t="s">
        <v>1504</v>
      </c>
      <c r="F1079" t="s">
        <v>1435</v>
      </c>
      <c r="G1079" t="s">
        <v>544</v>
      </c>
      <c r="H1079" t="s">
        <v>545</v>
      </c>
      <c r="I1079" s="54">
        <v>46174</v>
      </c>
    </row>
    <row r="1080" spans="1:9" x14ac:dyDescent="0.35">
      <c r="A1080" t="s">
        <v>1422</v>
      </c>
      <c r="B1080" t="s">
        <v>1423</v>
      </c>
      <c r="C1080" t="s">
        <v>1257</v>
      </c>
      <c r="D1080" t="s">
        <v>1260</v>
      </c>
      <c r="E1080" t="s">
        <v>1504</v>
      </c>
      <c r="F1080" t="s">
        <v>1435</v>
      </c>
      <c r="G1080" t="s">
        <v>544</v>
      </c>
      <c r="H1080" t="s">
        <v>545</v>
      </c>
      <c r="I1080" s="54">
        <v>46174</v>
      </c>
    </row>
    <row r="1081" spans="1:9" x14ac:dyDescent="0.35">
      <c r="A1081" t="s">
        <v>1422</v>
      </c>
      <c r="B1081" t="s">
        <v>1423</v>
      </c>
      <c r="C1081" t="s">
        <v>1281</v>
      </c>
      <c r="D1081" t="s">
        <v>1260</v>
      </c>
      <c r="E1081" t="s">
        <v>1504</v>
      </c>
      <c r="F1081" t="s">
        <v>1435</v>
      </c>
      <c r="G1081" t="s">
        <v>544</v>
      </c>
      <c r="H1081" t="s">
        <v>545</v>
      </c>
      <c r="I1081" s="54">
        <v>46174</v>
      </c>
    </row>
    <row r="1082" spans="1:9" x14ac:dyDescent="0.35">
      <c r="A1082" t="s">
        <v>1428</v>
      </c>
      <c r="B1082" t="s">
        <v>1429</v>
      </c>
      <c r="C1082" t="s">
        <v>1281</v>
      </c>
      <c r="D1082" t="s">
        <v>1260</v>
      </c>
      <c r="E1082" t="s">
        <v>1507</v>
      </c>
      <c r="F1082" t="s">
        <v>1435</v>
      </c>
      <c r="G1082" t="s">
        <v>544</v>
      </c>
      <c r="H1082" t="s">
        <v>545</v>
      </c>
      <c r="I1082" s="54">
        <v>46174</v>
      </c>
    </row>
    <row r="1083" spans="1:9" x14ac:dyDescent="0.35">
      <c r="A1083" t="s">
        <v>1428</v>
      </c>
      <c r="B1083" t="s">
        <v>1429</v>
      </c>
      <c r="C1083" t="s">
        <v>1257</v>
      </c>
      <c r="D1083" t="s">
        <v>1260</v>
      </c>
      <c r="E1083" t="s">
        <v>1507</v>
      </c>
      <c r="F1083" t="s">
        <v>1435</v>
      </c>
      <c r="G1083" t="s">
        <v>544</v>
      </c>
      <c r="H1083" t="s">
        <v>545</v>
      </c>
      <c r="I1083" s="54">
        <v>46174</v>
      </c>
    </row>
    <row r="1084" spans="1:9" x14ac:dyDescent="0.35">
      <c r="A1084" t="s">
        <v>1428</v>
      </c>
      <c r="B1084" t="s">
        <v>1429</v>
      </c>
      <c r="C1084" t="s">
        <v>1274</v>
      </c>
      <c r="D1084" t="s">
        <v>1260</v>
      </c>
      <c r="E1084" t="s">
        <v>1507</v>
      </c>
      <c r="F1084" t="s">
        <v>1435</v>
      </c>
      <c r="G1084" t="s">
        <v>544</v>
      </c>
      <c r="H1084" t="s">
        <v>545</v>
      </c>
      <c r="I1084" s="54">
        <v>46174</v>
      </c>
    </row>
    <row r="1085" spans="1:9" x14ac:dyDescent="0.35">
      <c r="A1085" t="s">
        <v>678</v>
      </c>
      <c r="B1085" t="s">
        <v>679</v>
      </c>
      <c r="C1085" t="s">
        <v>1274</v>
      </c>
      <c r="D1085" t="s">
        <v>1273</v>
      </c>
      <c r="E1085" t="s">
        <v>1512</v>
      </c>
      <c r="F1085" t="s">
        <v>1435</v>
      </c>
      <c r="G1085" t="s">
        <v>700</v>
      </c>
      <c r="H1085" t="s">
        <v>609</v>
      </c>
      <c r="I1085" s="54">
        <v>46174</v>
      </c>
    </row>
    <row r="1086" spans="1:9" x14ac:dyDescent="0.35">
      <c r="A1086" t="s">
        <v>145</v>
      </c>
      <c r="B1086" t="s">
        <v>147</v>
      </c>
      <c r="C1086" t="s">
        <v>1274</v>
      </c>
      <c r="D1086" t="s">
        <v>1273</v>
      </c>
      <c r="E1086" t="s">
        <v>146</v>
      </c>
      <c r="F1086" t="s">
        <v>1435</v>
      </c>
      <c r="G1086" t="s">
        <v>544</v>
      </c>
      <c r="H1086" t="s">
        <v>545</v>
      </c>
      <c r="I1086" s="54">
        <v>46174</v>
      </c>
    </row>
    <row r="1087" spans="1:9" x14ac:dyDescent="0.35">
      <c r="A1087" t="s">
        <v>145</v>
      </c>
      <c r="B1087" t="s">
        <v>147</v>
      </c>
      <c r="C1087" t="s">
        <v>1257</v>
      </c>
      <c r="D1087" t="s">
        <v>1273</v>
      </c>
      <c r="E1087" t="s">
        <v>146</v>
      </c>
      <c r="F1087" t="s">
        <v>1435</v>
      </c>
      <c r="G1087" t="s">
        <v>544</v>
      </c>
      <c r="H1087" t="s">
        <v>545</v>
      </c>
      <c r="I1087" s="54">
        <v>46174</v>
      </c>
    </row>
    <row r="1088" spans="1:9" x14ac:dyDescent="0.35">
      <c r="A1088" t="s">
        <v>145</v>
      </c>
      <c r="B1088" t="s">
        <v>147</v>
      </c>
      <c r="C1088" t="s">
        <v>1281</v>
      </c>
      <c r="D1088" t="s">
        <v>1273</v>
      </c>
      <c r="E1088" t="s">
        <v>146</v>
      </c>
      <c r="F1088" t="s">
        <v>1435</v>
      </c>
      <c r="G1088" t="s">
        <v>544</v>
      </c>
      <c r="H1088" t="s">
        <v>545</v>
      </c>
      <c r="I1088" s="54">
        <v>46174</v>
      </c>
    </row>
    <row r="1089" spans="1:9" x14ac:dyDescent="0.35">
      <c r="A1089" t="s">
        <v>82</v>
      </c>
      <c r="B1089" t="s">
        <v>84</v>
      </c>
      <c r="C1089" t="s">
        <v>1257</v>
      </c>
      <c r="D1089" t="s">
        <v>1273</v>
      </c>
      <c r="E1089" t="s">
        <v>83</v>
      </c>
      <c r="F1089" t="s">
        <v>1435</v>
      </c>
      <c r="G1089" t="s">
        <v>593</v>
      </c>
      <c r="H1089" t="s">
        <v>594</v>
      </c>
      <c r="I1089" s="54">
        <v>46174</v>
      </c>
    </row>
    <row r="1090" spans="1:9" x14ac:dyDescent="0.35">
      <c r="A1090" t="s">
        <v>82</v>
      </c>
      <c r="B1090" t="s">
        <v>84</v>
      </c>
      <c r="C1090" t="s">
        <v>1274</v>
      </c>
      <c r="D1090" t="s">
        <v>1273</v>
      </c>
      <c r="E1090" t="s">
        <v>83</v>
      </c>
      <c r="F1090" t="s">
        <v>1435</v>
      </c>
      <c r="G1090" t="s">
        <v>593</v>
      </c>
      <c r="H1090" t="s">
        <v>594</v>
      </c>
      <c r="I1090" s="54">
        <v>46174</v>
      </c>
    </row>
    <row r="1091" spans="1:9" x14ac:dyDescent="0.35">
      <c r="A1091" t="s">
        <v>85</v>
      </c>
      <c r="B1091" t="s">
        <v>1414</v>
      </c>
      <c r="C1091" t="s">
        <v>1274</v>
      </c>
      <c r="D1091" t="s">
        <v>1273</v>
      </c>
      <c r="E1091" t="s">
        <v>86</v>
      </c>
      <c r="F1091" t="s">
        <v>1435</v>
      </c>
      <c r="G1091" t="s">
        <v>593</v>
      </c>
      <c r="H1091" t="s">
        <v>594</v>
      </c>
      <c r="I1091" s="54">
        <v>46174</v>
      </c>
    </row>
    <row r="1092" spans="1:9" x14ac:dyDescent="0.35">
      <c r="A1092" t="s">
        <v>139</v>
      </c>
      <c r="B1092" t="s">
        <v>141</v>
      </c>
      <c r="C1092" t="s">
        <v>1257</v>
      </c>
      <c r="D1092" t="s">
        <v>1273</v>
      </c>
      <c r="E1092" t="s">
        <v>140</v>
      </c>
      <c r="F1092" t="s">
        <v>1435</v>
      </c>
      <c r="G1092" t="s">
        <v>544</v>
      </c>
      <c r="H1092" t="s">
        <v>545</v>
      </c>
      <c r="I1092" s="54">
        <v>46174</v>
      </c>
    </row>
    <row r="1093" spans="1:9" x14ac:dyDescent="0.35">
      <c r="A1093" t="s">
        <v>139</v>
      </c>
      <c r="B1093" t="s">
        <v>141</v>
      </c>
      <c r="C1093" t="s">
        <v>1274</v>
      </c>
      <c r="D1093" t="s">
        <v>1273</v>
      </c>
      <c r="E1093" t="s">
        <v>140</v>
      </c>
      <c r="F1093" t="s">
        <v>1435</v>
      </c>
      <c r="G1093" t="s">
        <v>544</v>
      </c>
      <c r="H1093" t="s">
        <v>545</v>
      </c>
      <c r="I1093" s="54">
        <v>46174</v>
      </c>
    </row>
    <row r="1094" spans="1:9" x14ac:dyDescent="0.35">
      <c r="A1094" t="s">
        <v>79</v>
      </c>
      <c r="B1094" t="s">
        <v>81</v>
      </c>
      <c r="C1094" t="s">
        <v>1274</v>
      </c>
      <c r="D1094" t="s">
        <v>1273</v>
      </c>
      <c r="E1094" t="s">
        <v>80</v>
      </c>
      <c r="F1094" t="s">
        <v>1435</v>
      </c>
      <c r="G1094" t="s">
        <v>593</v>
      </c>
      <c r="H1094" t="s">
        <v>594</v>
      </c>
      <c r="I1094" s="54">
        <v>46174</v>
      </c>
    </row>
    <row r="1095" spans="1:9" x14ac:dyDescent="0.35">
      <c r="A1095" t="s">
        <v>79</v>
      </c>
      <c r="B1095" t="s">
        <v>81</v>
      </c>
      <c r="C1095" t="s">
        <v>1281</v>
      </c>
      <c r="D1095" t="s">
        <v>1273</v>
      </c>
      <c r="E1095" t="s">
        <v>80</v>
      </c>
      <c r="F1095" t="s">
        <v>1435</v>
      </c>
      <c r="G1095" t="s">
        <v>593</v>
      </c>
      <c r="H1095" t="s">
        <v>594</v>
      </c>
      <c r="I1095" s="54">
        <v>46174</v>
      </c>
    </row>
    <row r="1096" spans="1:9" x14ac:dyDescent="0.35">
      <c r="A1096" t="s">
        <v>643</v>
      </c>
      <c r="B1096" t="s">
        <v>644</v>
      </c>
      <c r="C1096" t="s">
        <v>1274</v>
      </c>
      <c r="D1096" t="s">
        <v>1273</v>
      </c>
      <c r="E1096" t="s">
        <v>645</v>
      </c>
      <c r="F1096" t="s">
        <v>1435</v>
      </c>
      <c r="G1096" t="s">
        <v>656</v>
      </c>
      <c r="H1096" t="s">
        <v>657</v>
      </c>
      <c r="I1096" s="54">
        <v>46174</v>
      </c>
    </row>
    <row r="1097" spans="1:9" x14ac:dyDescent="0.35">
      <c r="A1097" t="s">
        <v>643</v>
      </c>
      <c r="B1097" t="s">
        <v>644</v>
      </c>
      <c r="C1097" t="s">
        <v>1281</v>
      </c>
      <c r="D1097" t="s">
        <v>1273</v>
      </c>
      <c r="E1097" t="s">
        <v>645</v>
      </c>
      <c r="F1097" t="s">
        <v>1435</v>
      </c>
      <c r="G1097" t="s">
        <v>656</v>
      </c>
      <c r="H1097" t="s">
        <v>657</v>
      </c>
      <c r="I1097" s="54">
        <v>46174</v>
      </c>
    </row>
    <row r="1098" spans="1:9" x14ac:dyDescent="0.35">
      <c r="A1098" t="s">
        <v>1433</v>
      </c>
      <c r="B1098" t="s">
        <v>1425</v>
      </c>
      <c r="C1098" t="s">
        <v>1281</v>
      </c>
      <c r="D1098" t="s">
        <v>1273</v>
      </c>
      <c r="E1098" t="s">
        <v>1505</v>
      </c>
      <c r="F1098" t="s">
        <v>1435</v>
      </c>
      <c r="G1098" t="s">
        <v>589</v>
      </c>
      <c r="H1098" t="s">
        <v>590</v>
      </c>
      <c r="I1098" s="54">
        <v>46174</v>
      </c>
    </row>
    <row r="1099" spans="1:9" x14ac:dyDescent="0.35">
      <c r="A1099" t="s">
        <v>1433</v>
      </c>
      <c r="B1099" t="s">
        <v>1425</v>
      </c>
      <c r="C1099" t="s">
        <v>1274</v>
      </c>
      <c r="D1099" t="s">
        <v>1273</v>
      </c>
      <c r="E1099" t="s">
        <v>1505</v>
      </c>
      <c r="F1099" t="s">
        <v>1435</v>
      </c>
      <c r="G1099" t="s">
        <v>589</v>
      </c>
      <c r="H1099" t="s">
        <v>590</v>
      </c>
      <c r="I1099" s="54">
        <v>46174</v>
      </c>
    </row>
    <row r="1100" spans="1:9" x14ac:dyDescent="0.35">
      <c r="A1100" t="s">
        <v>680</v>
      </c>
      <c r="B1100" t="s">
        <v>681</v>
      </c>
      <c r="C1100" t="s">
        <v>1281</v>
      </c>
      <c r="D1100" t="s">
        <v>1273</v>
      </c>
      <c r="E1100" t="s">
        <v>1502</v>
      </c>
      <c r="F1100" t="s">
        <v>1435</v>
      </c>
      <c r="G1100" t="s">
        <v>683</v>
      </c>
      <c r="H1100" t="s">
        <v>685</v>
      </c>
      <c r="I1100" s="54">
        <v>46174</v>
      </c>
    </row>
    <row r="1101" spans="1:9" x14ac:dyDescent="0.35">
      <c r="A1101" t="s">
        <v>680</v>
      </c>
      <c r="B1101" t="s">
        <v>681</v>
      </c>
      <c r="C1101" t="s">
        <v>1274</v>
      </c>
      <c r="D1101" t="s">
        <v>1273</v>
      </c>
      <c r="E1101" t="s">
        <v>1502</v>
      </c>
      <c r="F1101" t="s">
        <v>1435</v>
      </c>
      <c r="G1101" t="s">
        <v>683</v>
      </c>
      <c r="H1101" t="s">
        <v>685</v>
      </c>
      <c r="I1101" s="54">
        <v>46174</v>
      </c>
    </row>
    <row r="1102" spans="1:9" x14ac:dyDescent="0.35">
      <c r="A1102" t="s">
        <v>89</v>
      </c>
      <c r="B1102" t="s">
        <v>91</v>
      </c>
      <c r="C1102" t="s">
        <v>1274</v>
      </c>
      <c r="D1102" t="s">
        <v>1273</v>
      </c>
      <c r="E1102" t="s">
        <v>90</v>
      </c>
      <c r="F1102" t="s">
        <v>1435</v>
      </c>
      <c r="G1102" t="s">
        <v>593</v>
      </c>
      <c r="H1102" t="s">
        <v>594</v>
      </c>
      <c r="I1102" s="54">
        <v>46174</v>
      </c>
    </row>
  </sheetData>
  <autoFilter ref="A1:I1102" xr:uid="{66372715-A10A-4E98-B04E-409A8E71EE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B0EC-93A5-429F-9B08-A7FDE110FF78}">
  <dimension ref="A1:QK26"/>
  <sheetViews>
    <sheetView topLeftCell="LQ1" workbookViewId="0">
      <selection activeCell="MB11" sqref="MB11"/>
    </sheetView>
  </sheetViews>
  <sheetFormatPr defaultRowHeight="14.5" x14ac:dyDescent="0.35"/>
  <sheetData>
    <row r="1" spans="1:453" x14ac:dyDescent="0.35">
      <c r="A1" s="40" t="s">
        <v>527</v>
      </c>
      <c r="B1" s="40" t="s">
        <v>528</v>
      </c>
      <c r="C1" s="40" t="s">
        <v>485</v>
      </c>
      <c r="D1" s="40" t="s">
        <v>529</v>
      </c>
      <c r="E1" s="40" t="s">
        <v>530</v>
      </c>
      <c r="F1" s="40" t="s">
        <v>703</v>
      </c>
      <c r="G1" s="40" t="s">
        <v>531</v>
      </c>
      <c r="H1" s="40" t="s">
        <v>532</v>
      </c>
      <c r="I1" s="40" t="s">
        <v>704</v>
      </c>
      <c r="J1" s="40" t="s">
        <v>705</v>
      </c>
      <c r="K1" s="40" t="s">
        <v>706</v>
      </c>
      <c r="L1" s="40" t="s">
        <v>533</v>
      </c>
      <c r="M1" s="40" t="s">
        <v>707</v>
      </c>
      <c r="N1" s="40" t="s">
        <v>708</v>
      </c>
      <c r="O1" s="40" t="s">
        <v>709</v>
      </c>
      <c r="P1" s="40" t="s">
        <v>710</v>
      </c>
      <c r="Q1" s="40" t="s">
        <v>711</v>
      </c>
      <c r="R1" s="40" t="s">
        <v>712</v>
      </c>
      <c r="S1" s="40" t="s">
        <v>713</v>
      </c>
      <c r="T1" s="40" t="s">
        <v>714</v>
      </c>
      <c r="U1" s="40" t="s">
        <v>715</v>
      </c>
      <c r="V1" s="40" t="s">
        <v>716</v>
      </c>
      <c r="W1" s="40" t="s">
        <v>717</v>
      </c>
      <c r="X1" s="40" t="s">
        <v>718</v>
      </c>
      <c r="Y1" s="40" t="s">
        <v>719</v>
      </c>
      <c r="Z1" s="40" t="s">
        <v>720</v>
      </c>
      <c r="AA1" s="40" t="s">
        <v>721</v>
      </c>
      <c r="AB1" s="40" t="s">
        <v>722</v>
      </c>
      <c r="AC1" s="40" t="s">
        <v>723</v>
      </c>
      <c r="AD1" s="40" t="s">
        <v>724</v>
      </c>
      <c r="AE1" s="40" t="s">
        <v>725</v>
      </c>
      <c r="AF1" s="40" t="s">
        <v>726</v>
      </c>
      <c r="AG1" s="40" t="s">
        <v>727</v>
      </c>
      <c r="AH1" s="40" t="s">
        <v>728</v>
      </c>
      <c r="AI1" s="40" t="s">
        <v>729</v>
      </c>
      <c r="AJ1" s="40" t="s">
        <v>730</v>
      </c>
      <c r="AK1" s="40" t="s">
        <v>731</v>
      </c>
      <c r="AL1" s="40" t="s">
        <v>732</v>
      </c>
      <c r="AM1" s="40" t="s">
        <v>733</v>
      </c>
      <c r="AN1" s="40" t="s">
        <v>734</v>
      </c>
      <c r="AO1" s="40" t="s">
        <v>735</v>
      </c>
      <c r="AP1" s="40" t="s">
        <v>736</v>
      </c>
      <c r="AQ1" s="40" t="s">
        <v>737</v>
      </c>
      <c r="AR1" s="40" t="s">
        <v>738</v>
      </c>
      <c r="AS1" s="40" t="s">
        <v>739</v>
      </c>
      <c r="AT1" s="40" t="s">
        <v>740</v>
      </c>
      <c r="AU1" s="40" t="s">
        <v>741</v>
      </c>
      <c r="AV1" s="40" t="s">
        <v>742</v>
      </c>
      <c r="AW1" s="40" t="s">
        <v>743</v>
      </c>
      <c r="AX1" s="40" t="s">
        <v>744</v>
      </c>
      <c r="AY1" s="40" t="s">
        <v>745</v>
      </c>
      <c r="AZ1" s="40" t="s">
        <v>746</v>
      </c>
      <c r="BA1" s="40" t="s">
        <v>747</v>
      </c>
      <c r="BB1" s="40" t="s">
        <v>748</v>
      </c>
      <c r="BC1" s="40" t="s">
        <v>749</v>
      </c>
      <c r="BD1" s="40" t="s">
        <v>750</v>
      </c>
      <c r="BE1" s="40" t="s">
        <v>751</v>
      </c>
      <c r="BF1" s="40" t="s">
        <v>752</v>
      </c>
      <c r="BG1" s="40" t="s">
        <v>753</v>
      </c>
      <c r="BH1" s="40" t="s">
        <v>754</v>
      </c>
      <c r="BI1" s="40" t="s">
        <v>755</v>
      </c>
      <c r="BJ1" s="40" t="s">
        <v>756</v>
      </c>
      <c r="BK1" s="40" t="s">
        <v>757</v>
      </c>
      <c r="BL1" s="40" t="s">
        <v>758</v>
      </c>
      <c r="BM1" s="40" t="s">
        <v>759</v>
      </c>
      <c r="BN1" s="40" t="s">
        <v>760</v>
      </c>
      <c r="BO1" s="40" t="s">
        <v>761</v>
      </c>
      <c r="BP1" s="40" t="s">
        <v>762</v>
      </c>
      <c r="BQ1" s="40" t="s">
        <v>763</v>
      </c>
      <c r="BR1" s="40" t="s">
        <v>764</v>
      </c>
      <c r="BS1" s="40" t="s">
        <v>765</v>
      </c>
      <c r="BT1" s="40" t="s">
        <v>766</v>
      </c>
      <c r="BU1" s="40" t="s">
        <v>767</v>
      </c>
      <c r="BV1" s="40" t="s">
        <v>768</v>
      </c>
      <c r="BW1" s="40" t="s">
        <v>769</v>
      </c>
      <c r="BX1" s="40" t="s">
        <v>770</v>
      </c>
      <c r="BY1" s="40" t="s">
        <v>771</v>
      </c>
      <c r="BZ1" s="40" t="s">
        <v>772</v>
      </c>
      <c r="CA1" s="40" t="s">
        <v>773</v>
      </c>
      <c r="CB1" s="40" t="s">
        <v>774</v>
      </c>
      <c r="CC1" s="40" t="s">
        <v>775</v>
      </c>
      <c r="CD1" s="40" t="s">
        <v>776</v>
      </c>
      <c r="CE1" s="40" t="s">
        <v>777</v>
      </c>
      <c r="CF1" s="40" t="s">
        <v>778</v>
      </c>
      <c r="CG1" s="40" t="s">
        <v>779</v>
      </c>
      <c r="CH1" s="40" t="s">
        <v>780</v>
      </c>
      <c r="CI1" s="40" t="s">
        <v>781</v>
      </c>
      <c r="CJ1" s="40" t="s">
        <v>782</v>
      </c>
      <c r="CK1" s="40" t="s">
        <v>783</v>
      </c>
      <c r="CL1" s="40" t="s">
        <v>784</v>
      </c>
      <c r="CM1" s="40" t="s">
        <v>785</v>
      </c>
      <c r="CN1" s="40" t="s">
        <v>786</v>
      </c>
      <c r="CO1" s="40" t="s">
        <v>787</v>
      </c>
      <c r="CP1" s="40" t="s">
        <v>788</v>
      </c>
      <c r="CQ1" s="40" t="s">
        <v>789</v>
      </c>
      <c r="CR1" s="40" t="s">
        <v>790</v>
      </c>
      <c r="CS1" s="40" t="s">
        <v>791</v>
      </c>
      <c r="CT1" s="40" t="s">
        <v>792</v>
      </c>
      <c r="CU1" s="40" t="s">
        <v>793</v>
      </c>
      <c r="CV1" s="40" t="s">
        <v>794</v>
      </c>
      <c r="CW1" s="40" t="s">
        <v>795</v>
      </c>
      <c r="CX1" s="40" t="s">
        <v>796</v>
      </c>
      <c r="CY1" s="40" t="s">
        <v>797</v>
      </c>
      <c r="CZ1" s="40" t="s">
        <v>798</v>
      </c>
      <c r="DA1" s="40" t="s">
        <v>799</v>
      </c>
      <c r="DB1" s="40" t="s">
        <v>800</v>
      </c>
      <c r="DC1" s="40" t="s">
        <v>801</v>
      </c>
      <c r="DD1" s="40" t="s">
        <v>802</v>
      </c>
      <c r="DE1" s="40" t="s">
        <v>803</v>
      </c>
      <c r="DF1" s="40" t="s">
        <v>804</v>
      </c>
      <c r="DG1" s="40" t="s">
        <v>805</v>
      </c>
      <c r="DH1" s="40" t="s">
        <v>806</v>
      </c>
      <c r="DI1" s="40" t="s">
        <v>807</v>
      </c>
      <c r="DJ1" s="40" t="s">
        <v>808</v>
      </c>
      <c r="DK1" s="40" t="s">
        <v>809</v>
      </c>
      <c r="DL1" s="40" t="s">
        <v>810</v>
      </c>
      <c r="DM1" s="40" t="s">
        <v>811</v>
      </c>
      <c r="DN1" s="40" t="s">
        <v>812</v>
      </c>
      <c r="DO1" s="40" t="s">
        <v>813</v>
      </c>
      <c r="DP1" s="40" t="s">
        <v>814</v>
      </c>
      <c r="DQ1" s="40" t="s">
        <v>815</v>
      </c>
      <c r="DR1" s="40" t="s">
        <v>816</v>
      </c>
      <c r="DS1" s="40" t="s">
        <v>817</v>
      </c>
      <c r="DT1" s="40" t="s">
        <v>818</v>
      </c>
      <c r="DU1" s="40" t="s">
        <v>819</v>
      </c>
      <c r="DV1" s="40" t="s">
        <v>820</v>
      </c>
      <c r="DW1" s="40" t="s">
        <v>821</v>
      </c>
      <c r="DX1" s="40" t="s">
        <v>822</v>
      </c>
      <c r="DY1" s="40" t="s">
        <v>823</v>
      </c>
      <c r="DZ1" s="40" t="s">
        <v>824</v>
      </c>
      <c r="EA1" s="40" t="s">
        <v>825</v>
      </c>
      <c r="EB1" s="40" t="s">
        <v>826</v>
      </c>
      <c r="EC1" s="40" t="s">
        <v>827</v>
      </c>
      <c r="ED1" s="40" t="s">
        <v>828</v>
      </c>
      <c r="EE1" s="40" t="s">
        <v>829</v>
      </c>
      <c r="EF1" s="40" t="s">
        <v>830</v>
      </c>
      <c r="EG1" s="40" t="s">
        <v>831</v>
      </c>
      <c r="EH1" s="40" t="s">
        <v>832</v>
      </c>
      <c r="EI1" s="40" t="s">
        <v>833</v>
      </c>
      <c r="EJ1" s="40" t="s">
        <v>834</v>
      </c>
      <c r="EK1" s="40" t="s">
        <v>835</v>
      </c>
      <c r="EL1" s="40" t="s">
        <v>836</v>
      </c>
      <c r="EM1" s="40" t="s">
        <v>837</v>
      </c>
      <c r="EN1" s="40" t="s">
        <v>838</v>
      </c>
      <c r="EO1" s="40" t="s">
        <v>839</v>
      </c>
      <c r="EP1" s="40" t="s">
        <v>840</v>
      </c>
      <c r="EQ1" s="40" t="s">
        <v>841</v>
      </c>
      <c r="ER1" s="40" t="s">
        <v>842</v>
      </c>
      <c r="ES1" s="40" t="s">
        <v>843</v>
      </c>
      <c r="ET1" s="40" t="s">
        <v>844</v>
      </c>
      <c r="EU1" s="40" t="s">
        <v>845</v>
      </c>
      <c r="EV1" s="40" t="s">
        <v>846</v>
      </c>
      <c r="EW1" s="40" t="s">
        <v>847</v>
      </c>
      <c r="EX1" s="40" t="s">
        <v>848</v>
      </c>
      <c r="EY1" s="40" t="s">
        <v>849</v>
      </c>
      <c r="EZ1" s="40" t="s">
        <v>850</v>
      </c>
      <c r="FA1" s="40" t="s">
        <v>851</v>
      </c>
      <c r="FB1" s="40" t="s">
        <v>852</v>
      </c>
      <c r="FC1" s="40" t="s">
        <v>853</v>
      </c>
      <c r="FD1" s="40" t="s">
        <v>854</v>
      </c>
      <c r="FE1" s="40" t="s">
        <v>855</v>
      </c>
      <c r="FF1" s="40" t="s">
        <v>856</v>
      </c>
      <c r="FG1" s="40" t="s">
        <v>857</v>
      </c>
      <c r="FH1" s="40" t="s">
        <v>858</v>
      </c>
      <c r="FI1" s="40" t="s">
        <v>859</v>
      </c>
      <c r="FJ1" s="40" t="s">
        <v>860</v>
      </c>
      <c r="FK1" s="40" t="s">
        <v>861</v>
      </c>
      <c r="FL1" s="40" t="s">
        <v>862</v>
      </c>
      <c r="FM1" s="40" t="s">
        <v>863</v>
      </c>
      <c r="FN1" s="40" t="s">
        <v>864</v>
      </c>
      <c r="FO1" s="40" t="s">
        <v>865</v>
      </c>
      <c r="FP1" s="40" t="s">
        <v>866</v>
      </c>
      <c r="FQ1" s="40" t="s">
        <v>867</v>
      </c>
      <c r="FR1" s="40" t="s">
        <v>868</v>
      </c>
      <c r="FS1" s="40" t="s">
        <v>869</v>
      </c>
      <c r="FT1" s="40" t="s">
        <v>870</v>
      </c>
      <c r="FU1" s="40" t="s">
        <v>871</v>
      </c>
      <c r="FV1" s="40" t="s">
        <v>872</v>
      </c>
      <c r="FW1" s="40" t="s">
        <v>873</v>
      </c>
      <c r="FX1" s="40" t="s">
        <v>874</v>
      </c>
      <c r="FY1" s="40" t="s">
        <v>875</v>
      </c>
      <c r="FZ1" s="40" t="s">
        <v>876</v>
      </c>
      <c r="GA1" s="40" t="s">
        <v>877</v>
      </c>
      <c r="GB1" s="40" t="s">
        <v>878</v>
      </c>
      <c r="GC1" s="40" t="s">
        <v>879</v>
      </c>
      <c r="GD1" s="40" t="s">
        <v>880</v>
      </c>
      <c r="GE1" s="40" t="s">
        <v>881</v>
      </c>
      <c r="GF1" s="40" t="s">
        <v>882</v>
      </c>
      <c r="GG1" s="40" t="s">
        <v>883</v>
      </c>
      <c r="GH1" s="40" t="s">
        <v>884</v>
      </c>
      <c r="GI1" s="40" t="s">
        <v>885</v>
      </c>
      <c r="GJ1" s="40" t="s">
        <v>886</v>
      </c>
      <c r="GK1" s="40" t="s">
        <v>887</v>
      </c>
      <c r="GL1" s="40" t="s">
        <v>888</v>
      </c>
      <c r="GM1" s="40" t="s">
        <v>889</v>
      </c>
      <c r="GN1" s="40" t="s">
        <v>890</v>
      </c>
      <c r="GO1" s="40" t="s">
        <v>891</v>
      </c>
      <c r="GP1" s="40" t="s">
        <v>892</v>
      </c>
      <c r="GQ1" s="40" t="s">
        <v>893</v>
      </c>
      <c r="GR1" s="40" t="s">
        <v>894</v>
      </c>
      <c r="GS1" s="40" t="s">
        <v>895</v>
      </c>
      <c r="GT1" s="40" t="s">
        <v>896</v>
      </c>
      <c r="GU1" s="40" t="s">
        <v>897</v>
      </c>
      <c r="GV1" s="40" t="s">
        <v>898</v>
      </c>
      <c r="GW1" s="40" t="s">
        <v>899</v>
      </c>
      <c r="GX1" s="40" t="s">
        <v>900</v>
      </c>
      <c r="GY1" s="40" t="s">
        <v>901</v>
      </c>
      <c r="GZ1" s="40" t="s">
        <v>902</v>
      </c>
      <c r="HA1" s="40" t="s">
        <v>903</v>
      </c>
      <c r="HB1" s="40" t="s">
        <v>904</v>
      </c>
      <c r="HC1" s="40" t="s">
        <v>905</v>
      </c>
      <c r="HD1" s="40" t="s">
        <v>906</v>
      </c>
      <c r="HE1" s="40" t="s">
        <v>907</v>
      </c>
      <c r="HF1" s="40" t="s">
        <v>908</v>
      </c>
      <c r="HG1" s="40" t="s">
        <v>909</v>
      </c>
      <c r="HH1" s="40" t="s">
        <v>910</v>
      </c>
      <c r="HI1" s="40" t="s">
        <v>911</v>
      </c>
      <c r="HJ1" s="40" t="s">
        <v>912</v>
      </c>
      <c r="HK1" s="40" t="s">
        <v>913</v>
      </c>
      <c r="HL1" s="40" t="s">
        <v>914</v>
      </c>
      <c r="HM1" s="40" t="s">
        <v>915</v>
      </c>
      <c r="HN1" s="40" t="s">
        <v>916</v>
      </c>
      <c r="HO1" s="40" t="s">
        <v>917</v>
      </c>
      <c r="HP1" s="40" t="s">
        <v>918</v>
      </c>
      <c r="HQ1" s="40" t="s">
        <v>919</v>
      </c>
      <c r="HR1" s="40" t="s">
        <v>920</v>
      </c>
      <c r="HS1" s="40" t="s">
        <v>921</v>
      </c>
      <c r="HT1" s="40" t="s">
        <v>922</v>
      </c>
      <c r="HU1" s="40" t="s">
        <v>923</v>
      </c>
      <c r="HV1" s="40" t="s">
        <v>924</v>
      </c>
      <c r="HW1" s="40" t="s">
        <v>925</v>
      </c>
      <c r="HX1" s="40" t="s">
        <v>926</v>
      </c>
      <c r="HY1" s="40" t="s">
        <v>927</v>
      </c>
      <c r="HZ1" s="40" t="s">
        <v>928</v>
      </c>
      <c r="IA1" s="40" t="s">
        <v>929</v>
      </c>
      <c r="IB1" s="40" t="s">
        <v>930</v>
      </c>
      <c r="IC1" s="40" t="s">
        <v>931</v>
      </c>
      <c r="ID1" s="40" t="s">
        <v>932</v>
      </c>
      <c r="IE1" s="40" t="s">
        <v>933</v>
      </c>
      <c r="IF1" s="40" t="s">
        <v>934</v>
      </c>
      <c r="IG1" s="40" t="s">
        <v>935</v>
      </c>
      <c r="IH1" s="40" t="s">
        <v>936</v>
      </c>
      <c r="II1" s="40" t="s">
        <v>937</v>
      </c>
      <c r="IJ1" s="40" t="s">
        <v>938</v>
      </c>
      <c r="IK1" s="40" t="s">
        <v>939</v>
      </c>
      <c r="IL1" s="40" t="s">
        <v>940</v>
      </c>
      <c r="IM1" s="40" t="s">
        <v>941</v>
      </c>
      <c r="IN1" s="40" t="s">
        <v>942</v>
      </c>
      <c r="IO1" s="40" t="s">
        <v>943</v>
      </c>
      <c r="IP1" s="40" t="s">
        <v>944</v>
      </c>
      <c r="IQ1" s="40" t="s">
        <v>945</v>
      </c>
      <c r="IR1" s="40" t="s">
        <v>946</v>
      </c>
      <c r="IS1" s="40" t="s">
        <v>947</v>
      </c>
      <c r="IT1" s="40" t="s">
        <v>948</v>
      </c>
      <c r="IU1" s="40" t="s">
        <v>949</v>
      </c>
      <c r="IV1" s="40" t="s">
        <v>950</v>
      </c>
      <c r="IW1" s="40" t="s">
        <v>951</v>
      </c>
      <c r="IX1" s="40" t="s">
        <v>952</v>
      </c>
      <c r="IY1" s="40" t="s">
        <v>953</v>
      </c>
      <c r="IZ1" s="40" t="s">
        <v>954</v>
      </c>
      <c r="JA1" s="40" t="s">
        <v>955</v>
      </c>
      <c r="JB1" s="40" t="s">
        <v>956</v>
      </c>
      <c r="JC1" s="40" t="s">
        <v>957</v>
      </c>
      <c r="JD1" s="40" t="s">
        <v>958</v>
      </c>
      <c r="JE1" s="40" t="s">
        <v>959</v>
      </c>
      <c r="JF1" s="40" t="s">
        <v>960</v>
      </c>
      <c r="JG1" s="40" t="s">
        <v>961</v>
      </c>
      <c r="JH1" s="40" t="s">
        <v>962</v>
      </c>
      <c r="JI1" s="40" t="s">
        <v>963</v>
      </c>
      <c r="JJ1" s="40" t="s">
        <v>964</v>
      </c>
      <c r="JK1" s="40" t="s">
        <v>965</v>
      </c>
      <c r="JL1" s="40" t="s">
        <v>966</v>
      </c>
      <c r="JM1" s="40" t="s">
        <v>967</v>
      </c>
      <c r="JN1" s="40" t="s">
        <v>968</v>
      </c>
      <c r="JO1" s="40" t="s">
        <v>969</v>
      </c>
      <c r="JP1" s="40" t="s">
        <v>970</v>
      </c>
      <c r="JQ1" s="40" t="s">
        <v>971</v>
      </c>
      <c r="JR1" s="40" t="s">
        <v>972</v>
      </c>
      <c r="JS1" s="40" t="s">
        <v>973</v>
      </c>
      <c r="JT1" s="40" t="s">
        <v>974</v>
      </c>
      <c r="JU1" s="40" t="s">
        <v>975</v>
      </c>
      <c r="JV1" s="40" t="s">
        <v>976</v>
      </c>
      <c r="JW1" s="40" t="s">
        <v>977</v>
      </c>
      <c r="JX1" s="40" t="s">
        <v>978</v>
      </c>
      <c r="JY1" s="40" t="s">
        <v>979</v>
      </c>
      <c r="JZ1" s="40" t="s">
        <v>980</v>
      </c>
      <c r="KA1" s="40" t="s">
        <v>981</v>
      </c>
      <c r="KB1" s="40" t="s">
        <v>982</v>
      </c>
      <c r="KC1" s="40" t="s">
        <v>983</v>
      </c>
      <c r="KD1" s="40" t="s">
        <v>984</v>
      </c>
      <c r="KE1" s="40" t="s">
        <v>985</v>
      </c>
      <c r="KF1" s="40" t="s">
        <v>986</v>
      </c>
      <c r="KG1" s="40" t="s">
        <v>987</v>
      </c>
      <c r="KH1" s="40" t="s">
        <v>988</v>
      </c>
      <c r="KI1" s="40" t="s">
        <v>989</v>
      </c>
      <c r="KJ1" s="40" t="s">
        <v>990</v>
      </c>
      <c r="KK1" s="40" t="s">
        <v>991</v>
      </c>
      <c r="KL1" s="40" t="s">
        <v>992</v>
      </c>
      <c r="KM1" s="40" t="s">
        <v>993</v>
      </c>
      <c r="KN1" s="40" t="s">
        <v>994</v>
      </c>
      <c r="KO1" s="40" t="s">
        <v>995</v>
      </c>
      <c r="KP1" s="40" t="s">
        <v>996</v>
      </c>
      <c r="KQ1" s="40" t="s">
        <v>997</v>
      </c>
      <c r="KR1" s="40" t="s">
        <v>998</v>
      </c>
      <c r="KS1" s="40" t="s">
        <v>999</v>
      </c>
      <c r="KT1" s="40" t="s">
        <v>1000</v>
      </c>
      <c r="KU1" s="40" t="s">
        <v>1001</v>
      </c>
      <c r="KV1" s="40" t="s">
        <v>1002</v>
      </c>
      <c r="KW1" s="40" t="s">
        <v>1003</v>
      </c>
      <c r="KX1" s="40" t="s">
        <v>1004</v>
      </c>
      <c r="KY1" s="40" t="s">
        <v>1005</v>
      </c>
      <c r="KZ1" s="40" t="s">
        <v>1006</v>
      </c>
      <c r="LA1" s="40" t="s">
        <v>1007</v>
      </c>
      <c r="LB1" s="40" t="s">
        <v>1008</v>
      </c>
      <c r="LC1" s="40" t="s">
        <v>1009</v>
      </c>
      <c r="LD1" s="40" t="s">
        <v>1010</v>
      </c>
      <c r="LE1" s="40" t="s">
        <v>1011</v>
      </c>
      <c r="LF1" s="40" t="s">
        <v>1012</v>
      </c>
      <c r="LG1" s="40" t="s">
        <v>1013</v>
      </c>
      <c r="LH1" s="40" t="s">
        <v>1014</v>
      </c>
      <c r="LI1" s="40" t="s">
        <v>1015</v>
      </c>
      <c r="LJ1" s="40" t="s">
        <v>1016</v>
      </c>
      <c r="LK1" s="40" t="s">
        <v>1017</v>
      </c>
      <c r="LL1" s="40" t="s">
        <v>1018</v>
      </c>
      <c r="LM1" s="40" t="s">
        <v>1019</v>
      </c>
      <c r="LN1" s="40" t="s">
        <v>1020</v>
      </c>
      <c r="LO1" s="40" t="s">
        <v>1021</v>
      </c>
      <c r="LP1" s="40" t="s">
        <v>1022</v>
      </c>
      <c r="LQ1" s="40" t="s">
        <v>1023</v>
      </c>
      <c r="LR1" s="40" t="s">
        <v>1024</v>
      </c>
      <c r="LS1" s="40" t="s">
        <v>1025</v>
      </c>
      <c r="LT1" s="40" t="s">
        <v>1026</v>
      </c>
      <c r="LU1" s="40" t="s">
        <v>1027</v>
      </c>
      <c r="LV1" s="40" t="s">
        <v>1028</v>
      </c>
      <c r="LW1" s="40" t="s">
        <v>1029</v>
      </c>
      <c r="LX1" s="40" t="s">
        <v>1030</v>
      </c>
      <c r="LY1" s="40" t="s">
        <v>1031</v>
      </c>
      <c r="LZ1" s="40" t="s">
        <v>1032</v>
      </c>
      <c r="MA1" s="40" t="s">
        <v>1033</v>
      </c>
      <c r="MB1" s="40" t="s">
        <v>1034</v>
      </c>
      <c r="MC1" s="40" t="s">
        <v>1035</v>
      </c>
      <c r="MD1" s="40" t="s">
        <v>1036</v>
      </c>
      <c r="ME1" s="40" t="s">
        <v>1037</v>
      </c>
      <c r="MF1" s="40" t="s">
        <v>1038</v>
      </c>
      <c r="MG1" s="40" t="s">
        <v>1039</v>
      </c>
      <c r="MH1" s="40" t="s">
        <v>1040</v>
      </c>
      <c r="MI1" s="40" t="s">
        <v>1041</v>
      </c>
      <c r="MJ1" s="40" t="s">
        <v>1042</v>
      </c>
      <c r="MK1" s="40" t="s">
        <v>1043</v>
      </c>
      <c r="ML1" s="40" t="s">
        <v>1044</v>
      </c>
      <c r="MM1" s="40" t="s">
        <v>1045</v>
      </c>
      <c r="MN1" s="40" t="s">
        <v>1046</v>
      </c>
      <c r="MO1" s="40" t="s">
        <v>1047</v>
      </c>
      <c r="MP1" s="40" t="s">
        <v>1048</v>
      </c>
      <c r="MQ1" s="40" t="s">
        <v>1049</v>
      </c>
      <c r="MR1" s="40" t="s">
        <v>1050</v>
      </c>
      <c r="MS1" s="40" t="s">
        <v>1051</v>
      </c>
      <c r="MT1" s="40" t="s">
        <v>1052</v>
      </c>
      <c r="MU1" s="40" t="s">
        <v>1053</v>
      </c>
      <c r="MV1" s="40" t="s">
        <v>1054</v>
      </c>
      <c r="MW1" s="40" t="s">
        <v>1055</v>
      </c>
      <c r="MX1" s="40" t="s">
        <v>1056</v>
      </c>
      <c r="MY1" s="40" t="s">
        <v>1057</v>
      </c>
      <c r="MZ1" s="40" t="s">
        <v>1058</v>
      </c>
      <c r="NA1" s="40" t="s">
        <v>1059</v>
      </c>
      <c r="NB1" s="40" t="s">
        <v>1060</v>
      </c>
      <c r="NC1" s="40" t="s">
        <v>1061</v>
      </c>
      <c r="ND1" s="40" t="s">
        <v>1062</v>
      </c>
      <c r="NE1" s="40" t="s">
        <v>1063</v>
      </c>
      <c r="NF1" s="40" t="s">
        <v>1064</v>
      </c>
      <c r="NG1" s="40" t="s">
        <v>1065</v>
      </c>
      <c r="NH1" s="40" t="s">
        <v>1066</v>
      </c>
      <c r="NI1" s="40" t="s">
        <v>1067</v>
      </c>
      <c r="NJ1" s="40" t="s">
        <v>1068</v>
      </c>
      <c r="NK1" s="40" t="s">
        <v>1069</v>
      </c>
      <c r="NL1" s="40" t="s">
        <v>1070</v>
      </c>
      <c r="NM1" s="40" t="s">
        <v>1071</v>
      </c>
      <c r="NN1" s="40" t="s">
        <v>1072</v>
      </c>
      <c r="NO1" s="40" t="s">
        <v>1073</v>
      </c>
      <c r="NP1" s="40" t="s">
        <v>1074</v>
      </c>
      <c r="NQ1" s="40" t="s">
        <v>1075</v>
      </c>
      <c r="NR1" s="40" t="s">
        <v>1076</v>
      </c>
      <c r="NS1" s="40" t="s">
        <v>1077</v>
      </c>
      <c r="NT1" s="40" t="s">
        <v>1078</v>
      </c>
      <c r="NU1" s="40" t="s">
        <v>1079</v>
      </c>
      <c r="NV1" s="40" t="s">
        <v>1080</v>
      </c>
      <c r="NW1" s="40" t="s">
        <v>1081</v>
      </c>
      <c r="NX1" s="40" t="s">
        <v>1082</v>
      </c>
      <c r="NY1" s="40" t="s">
        <v>1083</v>
      </c>
      <c r="NZ1" s="40" t="s">
        <v>1084</v>
      </c>
      <c r="OA1" s="40" t="s">
        <v>1085</v>
      </c>
      <c r="OB1" s="40" t="s">
        <v>1086</v>
      </c>
      <c r="OC1" s="40" t="s">
        <v>1087</v>
      </c>
      <c r="OD1" s="40" t="s">
        <v>1088</v>
      </c>
      <c r="OE1" s="40" t="s">
        <v>1089</v>
      </c>
      <c r="OF1" s="40" t="s">
        <v>1090</v>
      </c>
      <c r="OG1" s="40" t="s">
        <v>1091</v>
      </c>
      <c r="OH1" s="40" t="s">
        <v>1092</v>
      </c>
      <c r="OI1" s="40" t="s">
        <v>1093</v>
      </c>
      <c r="OJ1" s="40" t="s">
        <v>1094</v>
      </c>
      <c r="OK1" s="40" t="s">
        <v>1095</v>
      </c>
      <c r="OL1" s="40" t="s">
        <v>1096</v>
      </c>
      <c r="OM1" s="40" t="s">
        <v>1097</v>
      </c>
      <c r="ON1" s="40" t="s">
        <v>1098</v>
      </c>
      <c r="OO1" s="40" t="s">
        <v>1099</v>
      </c>
      <c r="OP1" s="40" t="s">
        <v>1100</v>
      </c>
      <c r="OQ1" s="40" t="s">
        <v>1101</v>
      </c>
      <c r="OR1" s="40" t="s">
        <v>1102</v>
      </c>
      <c r="OS1" s="40" t="s">
        <v>1103</v>
      </c>
      <c r="OT1" s="40" t="s">
        <v>1104</v>
      </c>
      <c r="OU1" s="40" t="s">
        <v>1105</v>
      </c>
      <c r="OV1" s="40" t="s">
        <v>1106</v>
      </c>
      <c r="OW1" s="40" t="s">
        <v>1107</v>
      </c>
      <c r="OX1" s="40" t="s">
        <v>1108</v>
      </c>
      <c r="OY1" s="40" t="s">
        <v>1109</v>
      </c>
      <c r="OZ1" s="40" t="s">
        <v>1110</v>
      </c>
      <c r="PA1" s="40" t="s">
        <v>1111</v>
      </c>
      <c r="PB1" s="40" t="s">
        <v>1112</v>
      </c>
      <c r="PC1" s="40" t="s">
        <v>1113</v>
      </c>
      <c r="PD1" s="40" t="s">
        <v>1114</v>
      </c>
      <c r="PE1" s="40" t="s">
        <v>1115</v>
      </c>
      <c r="PF1" s="40" t="s">
        <v>1116</v>
      </c>
      <c r="PG1" s="40" t="s">
        <v>1117</v>
      </c>
      <c r="PH1" s="40" t="s">
        <v>1118</v>
      </c>
      <c r="PI1" s="40" t="s">
        <v>1119</v>
      </c>
      <c r="PJ1" s="40" t="s">
        <v>1120</v>
      </c>
      <c r="PK1" s="40" t="s">
        <v>1121</v>
      </c>
      <c r="PL1" s="40" t="s">
        <v>1122</v>
      </c>
      <c r="PM1" s="40" t="s">
        <v>1123</v>
      </c>
      <c r="PN1" s="40" t="s">
        <v>1124</v>
      </c>
      <c r="PO1" s="40" t="s">
        <v>1125</v>
      </c>
      <c r="PP1" s="40" t="s">
        <v>1126</v>
      </c>
      <c r="PQ1" s="40" t="s">
        <v>1127</v>
      </c>
      <c r="PR1" s="40" t="s">
        <v>1128</v>
      </c>
      <c r="PS1" s="40" t="s">
        <v>1129</v>
      </c>
      <c r="PT1" s="40" t="s">
        <v>1130</v>
      </c>
      <c r="PU1" s="40" t="s">
        <v>1131</v>
      </c>
      <c r="PV1" s="40" t="s">
        <v>1132</v>
      </c>
      <c r="PW1" s="40" t="s">
        <v>1133</v>
      </c>
      <c r="PX1" s="40" t="s">
        <v>1134</v>
      </c>
      <c r="PY1" s="40" t="s">
        <v>1135</v>
      </c>
      <c r="PZ1" s="40" t="s">
        <v>1136</v>
      </c>
      <c r="QA1" s="40" t="s">
        <v>1137</v>
      </c>
      <c r="QB1" s="40" t="s">
        <v>1138</v>
      </c>
      <c r="QC1" s="40" t="s">
        <v>1139</v>
      </c>
      <c r="QD1" s="40" t="s">
        <v>1140</v>
      </c>
      <c r="QE1" s="40" t="s">
        <v>1141</v>
      </c>
      <c r="QF1" s="40" t="s">
        <v>1142</v>
      </c>
      <c r="QG1" s="40" t="s">
        <v>1143</v>
      </c>
      <c r="QH1" s="40" t="s">
        <v>1144</v>
      </c>
      <c r="QI1" s="40" t="s">
        <v>1145</v>
      </c>
      <c r="QJ1" s="40" t="s">
        <v>1146</v>
      </c>
      <c r="QK1" s="40" t="s">
        <v>1147</v>
      </c>
    </row>
    <row r="2" spans="1:453" x14ac:dyDescent="0.35">
      <c r="A2" s="41" t="s">
        <v>534</v>
      </c>
      <c r="B2" s="41" t="s">
        <v>535</v>
      </c>
      <c r="C2" s="41" t="s">
        <v>537</v>
      </c>
      <c r="D2" s="41" t="s">
        <v>536</v>
      </c>
      <c r="E2" s="41" t="s">
        <v>537</v>
      </c>
      <c r="F2" s="41" t="s">
        <v>1148</v>
      </c>
      <c r="G2" s="41" t="s">
        <v>538</v>
      </c>
      <c r="H2" s="42">
        <v>22.262271330000001</v>
      </c>
      <c r="I2" s="42">
        <v>99.540276539999994</v>
      </c>
      <c r="J2" s="42">
        <v>124.59091633</v>
      </c>
      <c r="K2" s="42">
        <v>99.540276539999994</v>
      </c>
      <c r="L2" s="42">
        <v>178.49341973</v>
      </c>
      <c r="M2" s="42">
        <v>99.540276539999994</v>
      </c>
      <c r="N2" s="42">
        <v>53.902503400000001</v>
      </c>
      <c r="O2" s="42">
        <v>99.540276539999994</v>
      </c>
      <c r="P2" s="42">
        <v>11.51629996</v>
      </c>
      <c r="Q2" s="42">
        <v>2.9126283700000002</v>
      </c>
      <c r="R2" s="42">
        <v>13.26248154</v>
      </c>
      <c r="S2" s="42">
        <v>4.5534410400000001</v>
      </c>
      <c r="T2" s="42">
        <v>11.42105016</v>
      </c>
      <c r="U2" s="42">
        <v>1.61855069</v>
      </c>
      <c r="V2" s="42">
        <v>3.5443456800000002</v>
      </c>
      <c r="W2" s="42">
        <v>91.559741270000004</v>
      </c>
      <c r="X2" s="42">
        <v>99.651031309999993</v>
      </c>
      <c r="Y2" s="42">
        <v>401.63503064000002</v>
      </c>
      <c r="Z2" s="42">
        <v>99.651031309999993</v>
      </c>
      <c r="AA2" s="42">
        <v>649.75138412000001</v>
      </c>
      <c r="AB2" s="42">
        <v>99.651031309999993</v>
      </c>
      <c r="AC2" s="42">
        <v>248.11620133</v>
      </c>
      <c r="AD2" s="42">
        <v>99.651031309999993</v>
      </c>
      <c r="AE2" s="42">
        <v>202.59174264999999</v>
      </c>
      <c r="AF2" s="42">
        <v>4.5337780000000001E-2</v>
      </c>
      <c r="AG2" s="42">
        <v>2006.2231175500001</v>
      </c>
      <c r="AH2" s="42">
        <v>5004.9451288399996</v>
      </c>
      <c r="AI2" s="42">
        <v>1467.4775387499999</v>
      </c>
      <c r="AJ2" s="42">
        <v>29.3610121</v>
      </c>
      <c r="AK2" s="42">
        <v>19.647896979999999</v>
      </c>
      <c r="AL2" s="41" t="s">
        <v>1149</v>
      </c>
      <c r="AM2" s="42">
        <v>99.540276539999994</v>
      </c>
      <c r="AN2" s="42">
        <v>30.349613659999999</v>
      </c>
      <c r="AO2" s="42">
        <v>20.183979709999999</v>
      </c>
      <c r="AP2" s="41">
        <v>3</v>
      </c>
      <c r="AQ2" s="42">
        <v>93.363195340000004</v>
      </c>
      <c r="AR2" s="42">
        <v>63.006747420000004</v>
      </c>
      <c r="AS2" s="42">
        <v>97.407070439999998</v>
      </c>
      <c r="AT2" s="42">
        <v>5.3719495400000001</v>
      </c>
      <c r="AU2" s="42">
        <v>58.404463489999998</v>
      </c>
      <c r="AV2" s="42">
        <v>99.651031309999993</v>
      </c>
      <c r="AW2" s="42">
        <v>0.83228747000000003</v>
      </c>
      <c r="AX2" s="42">
        <v>4.6116199</v>
      </c>
      <c r="AY2" s="42">
        <v>1.13481041</v>
      </c>
      <c r="AZ2" s="42">
        <v>0</v>
      </c>
      <c r="BA2" s="42">
        <v>22.154424349999999</v>
      </c>
      <c r="BB2" s="42">
        <v>25.719233190000001</v>
      </c>
      <c r="BC2" s="42">
        <v>1.3940016399999999</v>
      </c>
      <c r="BD2" s="42">
        <v>1.8498827499999999</v>
      </c>
      <c r="BE2" s="42">
        <v>1.18113735</v>
      </c>
      <c r="BF2" s="42">
        <v>1.9954151499999999</v>
      </c>
      <c r="BG2" s="42">
        <v>8.0313259999999997E-2</v>
      </c>
      <c r="BH2" s="42">
        <v>0.30221540000000002</v>
      </c>
      <c r="BI2" s="42">
        <v>2.4836799999999998E-3</v>
      </c>
      <c r="BJ2" s="42">
        <v>0</v>
      </c>
      <c r="BK2" s="42">
        <v>9.0483429500000003</v>
      </c>
      <c r="BL2" s="42">
        <v>9.6497009899999995</v>
      </c>
      <c r="BM2" s="42">
        <v>0.15104092</v>
      </c>
      <c r="BN2" s="42">
        <v>0.75797205000000001</v>
      </c>
      <c r="BO2" s="42">
        <v>0.11900751</v>
      </c>
      <c r="BP2" s="42">
        <v>7.2897859999999995E-2</v>
      </c>
      <c r="BQ2" s="42">
        <v>1.6612080000000001E-2</v>
      </c>
      <c r="BR2" s="42">
        <v>9.1041499999999997E-2</v>
      </c>
      <c r="BS2" s="42">
        <v>1.06743009</v>
      </c>
      <c r="BT2" s="42">
        <v>2.5378930000000001E-2</v>
      </c>
      <c r="BU2" s="42">
        <v>10.71694288</v>
      </c>
      <c r="BV2" s="42">
        <v>4.9824930000000003E-2</v>
      </c>
      <c r="BW2" s="42">
        <v>1.3642226399999999</v>
      </c>
      <c r="BX2" s="42">
        <v>1.7123995700000001</v>
      </c>
      <c r="BY2" s="42">
        <v>7.0243965800000003</v>
      </c>
      <c r="BZ2" s="42">
        <v>0.14846587</v>
      </c>
      <c r="CA2" s="42">
        <v>29.4423359</v>
      </c>
      <c r="CB2" s="42">
        <v>2.4576861399999999</v>
      </c>
      <c r="CC2" s="42">
        <v>0.1565869</v>
      </c>
      <c r="CD2" s="42">
        <v>3.0931609999999998E-2</v>
      </c>
      <c r="CE2" s="42">
        <v>5.4418260000000003E-2</v>
      </c>
      <c r="CF2" s="42"/>
      <c r="CG2" s="42">
        <v>60.15069261</v>
      </c>
      <c r="CH2" s="42">
        <v>9.3696569899999993</v>
      </c>
      <c r="CI2" s="42">
        <v>2.5271350199999998</v>
      </c>
      <c r="CJ2" s="42">
        <v>74.289303419999996</v>
      </c>
      <c r="CK2" s="42">
        <v>24.54935966</v>
      </c>
      <c r="CL2" s="42">
        <v>10.636608580000001</v>
      </c>
      <c r="CM2" s="42">
        <v>12.44920404</v>
      </c>
      <c r="CN2" s="42">
        <v>3.7570639199999998</v>
      </c>
      <c r="CO2" s="42">
        <v>24.452926300000001</v>
      </c>
      <c r="CP2" s="42">
        <v>17.510464840000001</v>
      </c>
      <c r="CQ2" s="42">
        <v>0</v>
      </c>
      <c r="CR2" s="42">
        <v>2.0753610299999998</v>
      </c>
      <c r="CS2" s="42">
        <v>18.299780219999999</v>
      </c>
      <c r="CT2" s="42">
        <v>79.139877900000002</v>
      </c>
      <c r="CU2" s="42">
        <v>13.252550340000001</v>
      </c>
      <c r="CV2" s="42">
        <v>10.339601480000001</v>
      </c>
      <c r="CW2" s="42">
        <v>2.4986800000000001E-3</v>
      </c>
      <c r="CX2" s="42">
        <v>96.321924910000007</v>
      </c>
      <c r="CY2" s="42">
        <v>37.110498640000003</v>
      </c>
      <c r="CZ2" s="42">
        <v>0.88565437000000002</v>
      </c>
      <c r="DA2" s="42">
        <v>74.972256380000005</v>
      </c>
      <c r="DB2" s="42">
        <v>67.955319739999993</v>
      </c>
      <c r="DC2" s="42">
        <v>14.389951999999999</v>
      </c>
      <c r="DD2" s="42">
        <v>17.215523220000001</v>
      </c>
      <c r="DE2" s="42">
        <v>59.133977690000002</v>
      </c>
      <c r="DF2" s="42">
        <v>99.567862469999994</v>
      </c>
      <c r="DG2" s="42">
        <v>6.0266269100000001</v>
      </c>
      <c r="DH2" s="42">
        <v>99.542502459999994</v>
      </c>
      <c r="DI2" s="42">
        <v>97.600178560000003</v>
      </c>
      <c r="DJ2" s="42">
        <v>2.0762127600000002</v>
      </c>
      <c r="DK2" s="42">
        <v>42.814633909999998</v>
      </c>
      <c r="DL2" s="42">
        <v>2.30790871</v>
      </c>
      <c r="DM2" s="42">
        <v>64.535321519999997</v>
      </c>
      <c r="DN2" s="42">
        <v>3.4020655099999999</v>
      </c>
      <c r="DO2" s="42">
        <v>12.587791770000001</v>
      </c>
      <c r="DP2" s="42">
        <v>16.70894998</v>
      </c>
      <c r="DQ2" s="42">
        <v>6.2655873499999997</v>
      </c>
      <c r="DR2" s="42">
        <v>99.542037480000005</v>
      </c>
      <c r="DS2" s="42">
        <v>41.847164829999997</v>
      </c>
      <c r="DT2" s="42">
        <v>8.7063543699999997</v>
      </c>
      <c r="DU2" s="42">
        <v>0</v>
      </c>
      <c r="DV2" s="42">
        <v>2.2246616700000001</v>
      </c>
      <c r="DW2" s="42">
        <v>17.5192263</v>
      </c>
      <c r="DX2" s="42">
        <v>59.76613657</v>
      </c>
      <c r="DY2" s="42">
        <v>18.349265339999999</v>
      </c>
      <c r="DZ2" s="42">
        <v>4.1973539999999998</v>
      </c>
      <c r="EA2" s="42">
        <v>54.630049059999997</v>
      </c>
      <c r="EB2" s="42">
        <v>9.0404000000000005E-4</v>
      </c>
      <c r="EC2" s="42">
        <v>3.34157715</v>
      </c>
      <c r="ED2" s="42">
        <v>6.0104202300000003</v>
      </c>
      <c r="EE2" s="42">
        <v>12.30046787</v>
      </c>
      <c r="EF2" s="42">
        <v>23.537996660000001</v>
      </c>
      <c r="EG2" s="42">
        <v>83.441485020000002</v>
      </c>
      <c r="EH2" s="42">
        <v>4.1759164799999997</v>
      </c>
      <c r="EI2" s="42">
        <v>17.341881570000002</v>
      </c>
      <c r="EJ2" s="42">
        <v>5.9723861400000002</v>
      </c>
      <c r="EK2" s="42">
        <v>57.23352921</v>
      </c>
      <c r="EL2" s="42">
        <v>36.086381680000002</v>
      </c>
      <c r="EM2" s="42">
        <v>5.01018601</v>
      </c>
      <c r="EN2" s="42">
        <v>1.43974417</v>
      </c>
      <c r="EO2" s="42">
        <v>14517.36677746</v>
      </c>
      <c r="EP2" s="42">
        <v>42.499425299999999</v>
      </c>
      <c r="EQ2" s="42">
        <v>11650.364056070001</v>
      </c>
      <c r="ER2" s="42">
        <v>79.714660760000001</v>
      </c>
      <c r="ES2" s="42">
        <v>41.393954690000001</v>
      </c>
      <c r="ET2" s="42">
        <v>22.03421075</v>
      </c>
      <c r="EU2" s="42">
        <v>3.8223222400000001</v>
      </c>
      <c r="EV2" s="42">
        <v>54.722223720000002</v>
      </c>
      <c r="EW2" s="42">
        <v>2.76169485</v>
      </c>
      <c r="EX2" s="42">
        <v>56.063876460000003</v>
      </c>
      <c r="EY2" s="42">
        <v>2.1322091599999999</v>
      </c>
      <c r="EZ2" s="42">
        <v>3.58978894</v>
      </c>
      <c r="FA2" s="42">
        <v>86.440979369999994</v>
      </c>
      <c r="FB2" s="42">
        <v>99.006649400000001</v>
      </c>
      <c r="FC2" s="42">
        <v>19.865093529999999</v>
      </c>
      <c r="FD2" s="42">
        <v>95.431218380000004</v>
      </c>
      <c r="FE2" s="41" t="s">
        <v>1150</v>
      </c>
      <c r="FF2" s="42">
        <v>4.5348936899999996</v>
      </c>
      <c r="FG2" s="42">
        <v>4.5348936899999996</v>
      </c>
      <c r="FH2" s="42">
        <v>22.379251700000001</v>
      </c>
      <c r="FI2" s="42">
        <v>22.366971070000002</v>
      </c>
      <c r="FJ2" s="42">
        <v>72.628357059999999</v>
      </c>
      <c r="FK2" s="42">
        <v>0</v>
      </c>
      <c r="FL2" s="42">
        <v>1.2280630000000001E-2</v>
      </c>
      <c r="FM2" s="41" t="s">
        <v>1151</v>
      </c>
      <c r="FN2" s="42">
        <v>0.74422635999999998</v>
      </c>
      <c r="FO2" s="42">
        <v>0.75550857000000005</v>
      </c>
      <c r="FP2" s="42">
        <v>0.70448902000000002</v>
      </c>
      <c r="FQ2" s="42">
        <v>0.70448902000000002</v>
      </c>
      <c r="FR2" s="42">
        <v>98.082504869999994</v>
      </c>
      <c r="FS2" s="42">
        <v>1.1282210000000001E-2</v>
      </c>
      <c r="FT2" s="42">
        <v>0</v>
      </c>
      <c r="FU2" s="41" t="s">
        <v>1150</v>
      </c>
      <c r="FV2" s="42">
        <v>7.00165843</v>
      </c>
      <c r="FW2" s="42">
        <v>7.00165843</v>
      </c>
      <c r="FX2" s="42">
        <v>8.2896598899999994</v>
      </c>
      <c r="FY2" s="42">
        <v>7.6555598700000003</v>
      </c>
      <c r="FZ2" s="42">
        <v>84.251184129999999</v>
      </c>
      <c r="GA2" s="42">
        <v>0</v>
      </c>
      <c r="GB2" s="42">
        <v>0.63410001999999999</v>
      </c>
      <c r="GC2" s="41" t="s">
        <v>1150</v>
      </c>
      <c r="GD2" s="42">
        <v>0</v>
      </c>
      <c r="GE2" s="42">
        <v>0</v>
      </c>
      <c r="GF2" s="42">
        <v>4.7488111200000001</v>
      </c>
      <c r="GG2" s="42">
        <v>4.7488111200000001</v>
      </c>
      <c r="GH2" s="42">
        <v>94.793691339999995</v>
      </c>
      <c r="GI2" s="42">
        <v>0</v>
      </c>
      <c r="GJ2" s="42">
        <v>0</v>
      </c>
      <c r="GK2" s="41" t="s">
        <v>1151</v>
      </c>
      <c r="GL2" s="42">
        <v>40.464801979999997</v>
      </c>
      <c r="GM2" s="42">
        <v>40.464801979999997</v>
      </c>
      <c r="GN2" s="42">
        <v>0</v>
      </c>
      <c r="GO2" s="42">
        <v>0</v>
      </c>
      <c r="GP2" s="42">
        <v>59.077700479999997</v>
      </c>
      <c r="GQ2" s="42">
        <v>0</v>
      </c>
      <c r="GR2" s="42">
        <v>0</v>
      </c>
      <c r="GS2" s="41" t="s">
        <v>1151</v>
      </c>
      <c r="GT2" s="42">
        <v>6.1748386599999998</v>
      </c>
      <c r="GU2" s="42">
        <v>6.3402777700000001</v>
      </c>
      <c r="GV2" s="42">
        <v>1.55055477</v>
      </c>
      <c r="GW2" s="42">
        <v>1.55055477</v>
      </c>
      <c r="GX2" s="42">
        <v>91.651669909999995</v>
      </c>
      <c r="GY2" s="42">
        <v>0.16543911</v>
      </c>
      <c r="GZ2" s="42">
        <v>0</v>
      </c>
      <c r="HA2" s="41" t="s">
        <v>1150</v>
      </c>
      <c r="HB2" s="42">
        <v>34.220229430000003</v>
      </c>
      <c r="HC2" s="42">
        <v>34.220229430000003</v>
      </c>
      <c r="HD2" s="42">
        <v>3.9003751599999998</v>
      </c>
      <c r="HE2" s="42">
        <v>0.20695611</v>
      </c>
      <c r="HF2" s="42">
        <v>61.421897870000002</v>
      </c>
      <c r="HG2" s="42">
        <v>0</v>
      </c>
      <c r="HH2" s="42">
        <v>3.6934190400000002</v>
      </c>
      <c r="HI2" s="41" t="s">
        <v>1150</v>
      </c>
      <c r="HJ2" s="42">
        <v>10.50543858</v>
      </c>
      <c r="HK2" s="42">
        <v>10.50543858</v>
      </c>
      <c r="HL2" s="42">
        <v>11.456133680000001</v>
      </c>
      <c r="HM2" s="42">
        <v>11.456133680000001</v>
      </c>
      <c r="HN2" s="42">
        <v>77.580930199999997</v>
      </c>
      <c r="HO2" s="42">
        <v>0</v>
      </c>
      <c r="HP2" s="42">
        <v>0</v>
      </c>
      <c r="HQ2" s="41" t="s">
        <v>1150</v>
      </c>
      <c r="HR2" s="42">
        <v>12.649945880000001</v>
      </c>
      <c r="HS2" s="42">
        <v>12.966646450000001</v>
      </c>
      <c r="HT2" s="42">
        <v>24.447246710000002</v>
      </c>
      <c r="HU2" s="42">
        <v>24.434966079999999</v>
      </c>
      <c r="HV2" s="42">
        <v>62.128609300000001</v>
      </c>
      <c r="HW2" s="42">
        <v>0.31670057000000001</v>
      </c>
      <c r="HX2" s="42">
        <v>1.2280630000000001E-2</v>
      </c>
      <c r="HY2" s="41" t="s">
        <v>1151</v>
      </c>
      <c r="HZ2" s="42">
        <v>14.155452800000001</v>
      </c>
      <c r="IA2" s="42">
        <v>14.155452800000001</v>
      </c>
      <c r="IB2" s="42">
        <v>12.45765428</v>
      </c>
      <c r="IC2" s="42">
        <v>12.45765428</v>
      </c>
      <c r="ID2" s="42">
        <v>72.929395380000003</v>
      </c>
      <c r="IE2" s="42">
        <v>0</v>
      </c>
      <c r="IF2" s="42">
        <v>0</v>
      </c>
      <c r="IG2" s="41" t="s">
        <v>1150</v>
      </c>
      <c r="IH2" s="42">
        <v>3.33613888</v>
      </c>
      <c r="II2" s="42">
        <v>3.33613888</v>
      </c>
      <c r="IJ2" s="42">
        <v>16.96887736</v>
      </c>
      <c r="IK2" s="42">
        <v>16.96887736</v>
      </c>
      <c r="IL2" s="42">
        <v>79.23748621</v>
      </c>
      <c r="IM2" s="42">
        <v>0</v>
      </c>
      <c r="IN2" s="42">
        <v>0</v>
      </c>
      <c r="IO2" s="41" t="s">
        <v>1150</v>
      </c>
      <c r="IP2" s="42">
        <v>19.2100963</v>
      </c>
      <c r="IQ2" s="42">
        <v>29.247866739999999</v>
      </c>
      <c r="IR2" s="42">
        <v>5.9704107200000003</v>
      </c>
      <c r="IS2" s="42">
        <v>2.2769916700000001</v>
      </c>
      <c r="IT2" s="42">
        <v>64.324224999999998</v>
      </c>
      <c r="IU2" s="42">
        <v>10.037770439999999</v>
      </c>
      <c r="IV2" s="42">
        <v>3.6934190400000002</v>
      </c>
      <c r="IW2" s="41" t="s">
        <v>1150</v>
      </c>
      <c r="IX2" s="42">
        <v>41.621682759999999</v>
      </c>
      <c r="IY2" s="42">
        <v>41.621682759999999</v>
      </c>
      <c r="IZ2" s="42">
        <v>3.9146701300000002</v>
      </c>
      <c r="JA2" s="42">
        <v>0.22125109000000001</v>
      </c>
      <c r="JB2" s="42">
        <v>54.006149559999997</v>
      </c>
      <c r="JC2" s="42">
        <v>0</v>
      </c>
      <c r="JD2" s="42">
        <v>3.6934190400000002</v>
      </c>
      <c r="JE2" s="41" t="s">
        <v>1150</v>
      </c>
      <c r="JF2" s="42">
        <v>4.343151E-2</v>
      </c>
      <c r="JG2" s="42">
        <v>4.343151E-2</v>
      </c>
      <c r="JH2" s="42">
        <v>5.8108689499999997</v>
      </c>
      <c r="JI2" s="42">
        <v>5.73029601</v>
      </c>
      <c r="JJ2" s="42">
        <v>93.688201989999996</v>
      </c>
      <c r="JK2" s="42">
        <v>0</v>
      </c>
      <c r="JL2" s="42">
        <v>8.0572939999999996E-2</v>
      </c>
      <c r="JM2" s="41" t="s">
        <v>1150</v>
      </c>
      <c r="JN2" s="42">
        <v>0</v>
      </c>
      <c r="JO2" s="42">
        <v>0</v>
      </c>
      <c r="JP2" s="42">
        <v>6.8104923900000003</v>
      </c>
      <c r="JQ2" s="42">
        <v>6.8104923900000003</v>
      </c>
      <c r="JR2" s="42">
        <v>92.732010070000001</v>
      </c>
      <c r="JS2" s="42">
        <v>0</v>
      </c>
      <c r="JT2" s="42">
        <v>0</v>
      </c>
      <c r="JU2" s="41" t="s">
        <v>1151</v>
      </c>
      <c r="JV2" s="42">
        <v>10.32258023</v>
      </c>
      <c r="JW2" s="42">
        <v>10.32258023</v>
      </c>
      <c r="JX2" s="42">
        <v>9.6991626100000001</v>
      </c>
      <c r="JY2" s="42">
        <v>9.6991626100000001</v>
      </c>
      <c r="JZ2" s="42">
        <v>79.520759620000007</v>
      </c>
      <c r="KA2" s="42">
        <v>0</v>
      </c>
      <c r="KB2" s="42">
        <v>0</v>
      </c>
      <c r="KC2" s="41" t="s">
        <v>1150</v>
      </c>
      <c r="KD2" s="42">
        <v>0.89998073000000001</v>
      </c>
      <c r="KE2" s="42">
        <v>0.89998073000000001</v>
      </c>
      <c r="KF2" s="42">
        <v>23.661159080000001</v>
      </c>
      <c r="KG2" s="42">
        <v>23.661159080000001</v>
      </c>
      <c r="KH2" s="42">
        <v>74.98136264</v>
      </c>
      <c r="KI2" s="42">
        <v>0</v>
      </c>
      <c r="KJ2" s="42">
        <v>0</v>
      </c>
      <c r="KK2" s="42">
        <v>99.542502459999994</v>
      </c>
      <c r="KL2" s="42">
        <v>0.17699741999999999</v>
      </c>
      <c r="KM2" s="42">
        <v>2.7240137400000002</v>
      </c>
      <c r="KN2" s="42">
        <v>6.0527457499999997</v>
      </c>
      <c r="KO2" s="41" t="s">
        <v>1152</v>
      </c>
      <c r="KP2" s="41" t="s">
        <v>1153</v>
      </c>
      <c r="KQ2" s="41" t="s">
        <v>1154</v>
      </c>
      <c r="KR2" s="42">
        <v>54.468620719999997</v>
      </c>
      <c r="KS2" s="42">
        <v>99.710181449999993</v>
      </c>
      <c r="KT2" s="42">
        <v>99.587840229999998</v>
      </c>
      <c r="KU2" s="42">
        <v>5.7830403563134603</v>
      </c>
      <c r="KV2" s="42">
        <v>5.6110777336162458</v>
      </c>
      <c r="KW2" s="42">
        <v>2.9448919099999999</v>
      </c>
      <c r="KX2" s="42">
        <v>42.174327609999999</v>
      </c>
      <c r="KY2" s="41"/>
      <c r="KZ2" s="42">
        <v>6.4976700100000002</v>
      </c>
      <c r="LA2" s="42">
        <v>48.106397156819192</v>
      </c>
      <c r="LB2" s="42">
        <v>6.5045185603905233</v>
      </c>
      <c r="LC2" s="42">
        <v>53.241343400156204</v>
      </c>
      <c r="LD2" s="41" t="s">
        <v>461</v>
      </c>
      <c r="LE2" s="42">
        <v>19.508834520000001</v>
      </c>
      <c r="LF2" s="42">
        <v>33.389758239999999</v>
      </c>
      <c r="LG2" s="42">
        <v>8.7845693699999998</v>
      </c>
      <c r="LH2" s="42">
        <v>2.9130421399999999</v>
      </c>
      <c r="LI2" s="42">
        <v>6.1195494899999998</v>
      </c>
      <c r="LJ2" s="42">
        <v>28.840236709999999</v>
      </c>
      <c r="LK2" s="42">
        <v>3.1849769999999999E-2</v>
      </c>
      <c r="LL2" s="42">
        <v>0.41215976999999998</v>
      </c>
      <c r="LM2" s="42">
        <v>4.7866754101405879</v>
      </c>
      <c r="LN2" s="42">
        <v>0.41215976999999998</v>
      </c>
      <c r="LO2" s="42">
        <v>11.72165139</v>
      </c>
      <c r="LP2" s="42">
        <v>81.813443090000007</v>
      </c>
      <c r="LQ2" s="42">
        <v>5.8175330000000001</v>
      </c>
      <c r="LR2" s="42">
        <v>19.249342939999998</v>
      </c>
      <c r="LS2" s="41" t="s">
        <v>1155</v>
      </c>
      <c r="LT2" s="42">
        <v>5.48374644</v>
      </c>
      <c r="LU2" s="42">
        <v>38.021966720000002</v>
      </c>
      <c r="LV2" s="43">
        <v>507</v>
      </c>
      <c r="LW2" s="43">
        <v>2</v>
      </c>
      <c r="LX2" s="43">
        <v>505</v>
      </c>
      <c r="LY2" s="41" t="s">
        <v>480</v>
      </c>
      <c r="LZ2" s="41" t="s">
        <v>1156</v>
      </c>
      <c r="MA2" s="44">
        <v>46203</v>
      </c>
      <c r="MB2" s="41" t="s">
        <v>1157</v>
      </c>
      <c r="MC2" s="43">
        <v>3841</v>
      </c>
      <c r="MD2" s="41" t="s">
        <v>1158</v>
      </c>
      <c r="ME2" s="41" t="s">
        <v>535</v>
      </c>
      <c r="MF2" s="42">
        <v>4.7459525899999999</v>
      </c>
      <c r="MG2" s="42">
        <v>42.316530579999998</v>
      </c>
      <c r="MH2" s="42">
        <v>888128937468</v>
      </c>
      <c r="MI2" s="42">
        <v>6.4976700100000002</v>
      </c>
      <c r="MJ2" s="42">
        <v>48.106397156819192</v>
      </c>
      <c r="MK2" s="42">
        <v>53.241343400156204</v>
      </c>
      <c r="ML2" s="42">
        <v>5.2347631899999998</v>
      </c>
      <c r="MM2" s="41" t="s">
        <v>480</v>
      </c>
      <c r="MN2" s="42">
        <v>4.6608215399999997</v>
      </c>
      <c r="MO2" s="42">
        <v>8.1571359999999996E-2</v>
      </c>
      <c r="MP2" s="42">
        <v>0</v>
      </c>
      <c r="MQ2" s="42">
        <v>0</v>
      </c>
      <c r="MR2" s="42">
        <v>10.73380489</v>
      </c>
      <c r="MS2" s="42">
        <v>4.4327096199999998</v>
      </c>
      <c r="MT2" s="42">
        <v>4.6526629999999999E-2</v>
      </c>
      <c r="MU2" s="42">
        <v>4.6526629999999999E-2</v>
      </c>
      <c r="MV2" s="42">
        <v>13.77475974</v>
      </c>
      <c r="MW2" s="42">
        <v>13.75079753</v>
      </c>
      <c r="MX2" s="42">
        <v>12.79999694</v>
      </c>
      <c r="MY2" s="42">
        <v>0</v>
      </c>
      <c r="MZ2" s="42">
        <v>0.18580698000000001</v>
      </c>
      <c r="NA2" s="42">
        <v>0</v>
      </c>
      <c r="NB2" s="42">
        <v>0</v>
      </c>
      <c r="NC2" s="42">
        <v>10.360527149999999</v>
      </c>
      <c r="ND2" s="42">
        <v>0</v>
      </c>
      <c r="NE2" s="42">
        <v>0</v>
      </c>
      <c r="NF2" s="42">
        <v>0.76778919999999995</v>
      </c>
      <c r="NG2" s="42">
        <v>0</v>
      </c>
      <c r="NH2" s="42">
        <v>0</v>
      </c>
      <c r="NI2" s="42">
        <v>0</v>
      </c>
      <c r="NJ2" s="42">
        <v>0</v>
      </c>
      <c r="NK2" s="42">
        <v>0</v>
      </c>
      <c r="NL2" s="42">
        <v>0.76778919999999995</v>
      </c>
      <c r="NM2" s="42">
        <v>0.42373178</v>
      </c>
      <c r="NN2" s="42">
        <v>0.42373178</v>
      </c>
      <c r="NO2" s="42">
        <v>0</v>
      </c>
      <c r="NP2" s="42">
        <v>0.56281245000000002</v>
      </c>
      <c r="NQ2" s="42">
        <v>0.51309086000000004</v>
      </c>
      <c r="NR2" s="42">
        <v>7.8845279899999996</v>
      </c>
      <c r="NS2" s="42">
        <v>3.91468843</v>
      </c>
      <c r="NT2" s="42">
        <v>1.1047578</v>
      </c>
      <c r="NU2" s="42">
        <v>1.1884258599999999</v>
      </c>
      <c r="NV2" s="42">
        <v>3.1093900000000001E-3</v>
      </c>
      <c r="NW2" s="42">
        <v>0</v>
      </c>
      <c r="NX2" s="42">
        <v>4.6880442100000002</v>
      </c>
      <c r="NY2" s="42">
        <v>1.91128589</v>
      </c>
      <c r="NZ2" s="42">
        <v>0.54803573999999999</v>
      </c>
      <c r="OA2" s="42">
        <v>4.8124100000000003E-2</v>
      </c>
      <c r="OB2" s="42">
        <v>9.2953400000000005E-2</v>
      </c>
      <c r="OC2" s="42">
        <v>0.27405030000000002</v>
      </c>
      <c r="OD2" s="42">
        <v>0.27405030000000002</v>
      </c>
      <c r="OE2" s="42">
        <v>8.7561910000000007E-2</v>
      </c>
      <c r="OF2" s="42">
        <v>8.7561910000000007E-2</v>
      </c>
      <c r="OG2" s="42">
        <v>0</v>
      </c>
      <c r="OH2" s="42">
        <v>18.314384449999999</v>
      </c>
      <c r="OI2" s="42">
        <v>13.009329839999999</v>
      </c>
      <c r="OJ2" s="42">
        <v>4.5482646400000002</v>
      </c>
      <c r="OK2" s="42">
        <v>0</v>
      </c>
      <c r="OL2" s="42">
        <v>10.298796060000001</v>
      </c>
      <c r="OM2" s="42">
        <v>67.853557710000004</v>
      </c>
      <c r="ON2" s="42">
        <v>0</v>
      </c>
      <c r="OO2" s="42">
        <v>5.7706043100000004</v>
      </c>
      <c r="OP2" s="42">
        <v>0</v>
      </c>
      <c r="OQ2" s="42">
        <v>0</v>
      </c>
      <c r="OR2" s="42">
        <v>0</v>
      </c>
      <c r="OS2" s="42">
        <v>2.1063155899999999</v>
      </c>
      <c r="OT2" s="42">
        <v>4.4648894200000004</v>
      </c>
      <c r="OU2" s="42">
        <v>2.9017544700000002</v>
      </c>
      <c r="OV2" s="42">
        <v>1.4830916999999999</v>
      </c>
      <c r="OW2" s="42">
        <v>1.4830916999999999</v>
      </c>
      <c r="OX2" s="42">
        <v>1.92137001</v>
      </c>
      <c r="OY2" s="42">
        <v>1.31842086</v>
      </c>
      <c r="OZ2" s="42">
        <v>1.0545370000000001</v>
      </c>
      <c r="PA2" s="42">
        <v>1.0545370000000001</v>
      </c>
      <c r="PB2" s="42">
        <v>7.9374829999999993E-2</v>
      </c>
      <c r="PC2" s="42">
        <v>2.2364729999999999E-2</v>
      </c>
      <c r="PD2" s="42">
        <v>0</v>
      </c>
      <c r="PE2" s="42">
        <v>22.2573905</v>
      </c>
      <c r="PF2" s="42">
        <v>1.2280630000000001E-2</v>
      </c>
      <c r="PG2" s="42">
        <v>1.2280630000000001E-2</v>
      </c>
      <c r="PH2" s="42">
        <v>0</v>
      </c>
      <c r="PI2" s="42">
        <v>0</v>
      </c>
      <c r="PJ2" s="42">
        <v>0</v>
      </c>
      <c r="PK2" s="42">
        <v>0</v>
      </c>
      <c r="PL2" s="42">
        <v>0</v>
      </c>
      <c r="PM2" s="42">
        <v>30.868915829999999</v>
      </c>
      <c r="PN2" s="42">
        <v>14.49773708</v>
      </c>
      <c r="PO2" s="42">
        <v>3.3491184399999998</v>
      </c>
      <c r="PP2" s="42">
        <v>8.65436111</v>
      </c>
      <c r="PQ2" s="42">
        <v>4.6159578999999997</v>
      </c>
      <c r="PR2" s="42">
        <v>5.7706043100000004</v>
      </c>
      <c r="PS2" s="42">
        <v>4.5249579999999998E-2</v>
      </c>
      <c r="PT2" s="42">
        <v>0.21778454999999999</v>
      </c>
      <c r="PU2" s="42">
        <v>0.82108312000000006</v>
      </c>
      <c r="PV2" s="42">
        <v>7.6011100000000003E-3</v>
      </c>
      <c r="PW2" s="42">
        <v>8.7929090000000001E-2</v>
      </c>
      <c r="PX2" s="42">
        <v>4.8172680000000002E-2</v>
      </c>
      <c r="PY2" s="42">
        <v>0.37316326999999999</v>
      </c>
      <c r="PZ2" s="42">
        <v>0.67112148000000005</v>
      </c>
      <c r="QA2" s="42">
        <v>11.681091929999999</v>
      </c>
      <c r="QB2" s="42">
        <v>2.0424000000000001E-4</v>
      </c>
      <c r="QC2" s="42">
        <v>0</v>
      </c>
      <c r="QD2" s="42">
        <v>0</v>
      </c>
      <c r="QE2" s="42">
        <v>0</v>
      </c>
      <c r="QF2" s="42">
        <v>1.8377065100000001</v>
      </c>
      <c r="QG2" s="42">
        <v>5.4285893099999996</v>
      </c>
      <c r="QH2" s="42">
        <v>0.66714790999999996</v>
      </c>
      <c r="QI2" s="42">
        <v>0.62181938999999997</v>
      </c>
      <c r="QJ2" s="42">
        <v>0.62181938999999997</v>
      </c>
      <c r="QK2" s="42">
        <v>7.8845279899999996</v>
      </c>
    </row>
    <row r="3" spans="1:453" x14ac:dyDescent="0.35">
      <c r="A3" s="41" t="s">
        <v>539</v>
      </c>
      <c r="B3" s="41" t="s">
        <v>540</v>
      </c>
      <c r="C3" s="41" t="s">
        <v>541</v>
      </c>
      <c r="D3" s="41" t="s">
        <v>536</v>
      </c>
      <c r="E3" s="41" t="s">
        <v>541</v>
      </c>
      <c r="F3" s="41" t="s">
        <v>1159</v>
      </c>
      <c r="G3" s="41" t="s">
        <v>542</v>
      </c>
      <c r="H3" s="42">
        <v>6.7813413599999999</v>
      </c>
      <c r="I3" s="42">
        <v>99.464998929999993</v>
      </c>
      <c r="J3" s="42">
        <v>10.787430110000001</v>
      </c>
      <c r="K3" s="42">
        <v>99.464998929999993</v>
      </c>
      <c r="L3" s="42">
        <v>40.114800199999998</v>
      </c>
      <c r="M3" s="42">
        <v>99.464998929999993</v>
      </c>
      <c r="N3" s="42">
        <v>29.327370089999999</v>
      </c>
      <c r="O3" s="42">
        <v>99.464998929999993</v>
      </c>
      <c r="P3" s="42">
        <v>2.39170478</v>
      </c>
      <c r="Q3" s="42">
        <v>2.2962650000000001E-2</v>
      </c>
      <c r="R3" s="42">
        <v>15.26225531</v>
      </c>
      <c r="S3" s="42">
        <v>664.65566081999998</v>
      </c>
      <c r="T3" s="42">
        <v>2.39170478</v>
      </c>
      <c r="U3" s="42">
        <v>0</v>
      </c>
      <c r="V3" s="42">
        <v>1.2757025500000001</v>
      </c>
      <c r="W3" s="42">
        <v>70.969562719999999</v>
      </c>
      <c r="X3" s="42">
        <v>99.464998929999993</v>
      </c>
      <c r="Y3" s="42">
        <v>26.37145198</v>
      </c>
      <c r="Z3" s="42">
        <v>99.464998929999993</v>
      </c>
      <c r="AA3" s="42">
        <v>255.32307877</v>
      </c>
      <c r="AB3" s="42">
        <v>99.464998929999993</v>
      </c>
      <c r="AC3" s="42">
        <v>228.95279581</v>
      </c>
      <c r="AD3" s="42">
        <v>99.464998929999993</v>
      </c>
      <c r="AE3" s="42">
        <v>202.59174264999999</v>
      </c>
      <c r="AF3" s="42">
        <v>5.4876710000000002E-2</v>
      </c>
      <c r="AG3" s="42">
        <v>249.27855835</v>
      </c>
      <c r="AH3" s="42">
        <v>622.06956377999995</v>
      </c>
      <c r="AI3" s="42">
        <v>239.61816456</v>
      </c>
      <c r="AJ3" s="42">
        <v>11.501023</v>
      </c>
      <c r="AK3" s="42">
        <v>23.33394667</v>
      </c>
      <c r="AL3" s="41" t="s">
        <v>1149</v>
      </c>
      <c r="AM3" s="42">
        <v>99.464998929999993</v>
      </c>
      <c r="AN3" s="42">
        <v>37.693075389999997</v>
      </c>
      <c r="AO3" s="42">
        <v>26.93695387</v>
      </c>
      <c r="AP3" s="41">
        <v>2.6</v>
      </c>
      <c r="AQ3" s="42">
        <v>52.444704899999998</v>
      </c>
      <c r="AR3" s="42">
        <v>69.04253808</v>
      </c>
      <c r="AS3" s="42">
        <v>96.161092330000002</v>
      </c>
      <c r="AT3" s="42">
        <v>0.87701819999999997</v>
      </c>
      <c r="AU3" s="42">
        <v>64.536829080000004</v>
      </c>
      <c r="AV3" s="42">
        <v>99.464998929999993</v>
      </c>
      <c r="AW3" s="42">
        <v>34.239168470000003</v>
      </c>
      <c r="AX3" s="42">
        <v>8.7238174500000003</v>
      </c>
      <c r="AY3" s="42">
        <v>3.8540077099999999</v>
      </c>
      <c r="AZ3" s="42">
        <v>0</v>
      </c>
      <c r="BA3" s="42">
        <v>28.297056600000001</v>
      </c>
      <c r="BB3" s="42">
        <v>75.293150569999995</v>
      </c>
      <c r="BC3" s="42">
        <v>65.610131199999998</v>
      </c>
      <c r="BD3" s="42">
        <v>0</v>
      </c>
      <c r="BE3" s="42">
        <v>0.18200036</v>
      </c>
      <c r="BF3" s="42">
        <v>0</v>
      </c>
      <c r="BG3" s="42">
        <v>4.2651555300000004</v>
      </c>
      <c r="BH3" s="42">
        <v>1.221334E-2</v>
      </c>
      <c r="BI3" s="42">
        <v>4.8945900000000001E-2</v>
      </c>
      <c r="BJ3" s="42">
        <v>0</v>
      </c>
      <c r="BK3" s="42">
        <v>6.5359205500000002</v>
      </c>
      <c r="BL3" s="42">
        <v>15.249324830000001</v>
      </c>
      <c r="BM3" s="42">
        <v>7.6640447700000003</v>
      </c>
      <c r="BN3" s="42">
        <v>0</v>
      </c>
      <c r="BO3" s="42">
        <v>1.092E-4</v>
      </c>
      <c r="BP3" s="42">
        <v>0</v>
      </c>
      <c r="BQ3" s="42">
        <v>0</v>
      </c>
      <c r="BR3" s="42">
        <v>0</v>
      </c>
      <c r="BS3" s="42">
        <v>4.3142106299999998</v>
      </c>
      <c r="BT3" s="42">
        <v>1.03714617</v>
      </c>
      <c r="BU3" s="42">
        <v>19.554550750000001</v>
      </c>
      <c r="BV3" s="42">
        <v>0</v>
      </c>
      <c r="BW3" s="42">
        <v>0</v>
      </c>
      <c r="BX3" s="42">
        <v>0</v>
      </c>
      <c r="BY3" s="42">
        <v>38.275176539999997</v>
      </c>
      <c r="BZ3" s="42">
        <v>1.2757025500000001</v>
      </c>
      <c r="CA3" s="42">
        <v>77.309954599999998</v>
      </c>
      <c r="CB3" s="42">
        <v>0</v>
      </c>
      <c r="CC3" s="42">
        <v>0</v>
      </c>
      <c r="CD3" s="42">
        <v>1.03714617</v>
      </c>
      <c r="CE3" s="42">
        <v>0</v>
      </c>
      <c r="CF3" s="42"/>
      <c r="CG3" s="42">
        <v>59.851619720000002</v>
      </c>
      <c r="CH3" s="42">
        <v>2.0614041200000002</v>
      </c>
      <c r="CI3" s="42">
        <v>2.3341046699999999</v>
      </c>
      <c r="CJ3" s="42">
        <v>80.124860249999998</v>
      </c>
      <c r="CK3" s="42">
        <v>33.855667699999998</v>
      </c>
      <c r="CL3" s="42">
        <v>0</v>
      </c>
      <c r="CM3" s="42">
        <v>3.4236068400000002</v>
      </c>
      <c r="CN3" s="42">
        <v>2.5391050800000001</v>
      </c>
      <c r="CO3" s="42">
        <v>21.453442920000001</v>
      </c>
      <c r="CP3" s="42">
        <v>3.4928069900000001</v>
      </c>
      <c r="CQ3" s="42">
        <v>0</v>
      </c>
      <c r="CR3" s="42">
        <v>0</v>
      </c>
      <c r="CS3" s="42">
        <v>13.165426330000001</v>
      </c>
      <c r="CT3" s="42">
        <v>86.299572600000005</v>
      </c>
      <c r="CU3" s="42">
        <v>2.02050405</v>
      </c>
      <c r="CV3" s="42">
        <v>1.6780033599999999</v>
      </c>
      <c r="CW3" s="42">
        <v>0</v>
      </c>
      <c r="CX3" s="42">
        <v>94.218688450000002</v>
      </c>
      <c r="CY3" s="42">
        <v>38.326876660000003</v>
      </c>
      <c r="CZ3" s="42">
        <v>5.6197112300000001</v>
      </c>
      <c r="DA3" s="42">
        <v>89.028978080000002</v>
      </c>
      <c r="DB3" s="42">
        <v>74.022148049999998</v>
      </c>
      <c r="DC3" s="42">
        <v>2.13690428</v>
      </c>
      <c r="DD3" s="42">
        <v>23.305946599999999</v>
      </c>
      <c r="DE3" s="42">
        <v>67.049134120000005</v>
      </c>
      <c r="DF3" s="42">
        <v>99.464998929999993</v>
      </c>
      <c r="DG3" s="42">
        <v>5.8858399400000003</v>
      </c>
      <c r="DH3" s="42">
        <v>99.464998929999993</v>
      </c>
      <c r="DI3" s="42">
        <v>99.464998929999993</v>
      </c>
      <c r="DJ3" s="42">
        <v>0</v>
      </c>
      <c r="DK3" s="42">
        <v>59.599919190000001</v>
      </c>
      <c r="DL3" s="42">
        <v>0</v>
      </c>
      <c r="DM3" s="42">
        <v>93.635987270000001</v>
      </c>
      <c r="DN3" s="42">
        <v>0</v>
      </c>
      <c r="DO3" s="42">
        <v>1.2757025500000001</v>
      </c>
      <c r="DP3" s="42">
        <v>4.5533091099999998</v>
      </c>
      <c r="DQ3" s="42">
        <v>6.3988803599999997</v>
      </c>
      <c r="DR3" s="42">
        <v>99.464998929999993</v>
      </c>
      <c r="DS3" s="42">
        <v>37.911975820000002</v>
      </c>
      <c r="DT3" s="42">
        <v>2.93420587</v>
      </c>
      <c r="DU3" s="42">
        <v>0</v>
      </c>
      <c r="DV3" s="42">
        <v>11.13222227</v>
      </c>
      <c r="DW3" s="42">
        <v>87.848175690000005</v>
      </c>
      <c r="DX3" s="42">
        <v>28.432456859999998</v>
      </c>
      <c r="DY3" s="42">
        <v>14.184328369999999</v>
      </c>
      <c r="DZ3" s="42">
        <v>0.85460170999999996</v>
      </c>
      <c r="EA3" s="42">
        <v>77.922255829999997</v>
      </c>
      <c r="EB3" s="42">
        <v>0</v>
      </c>
      <c r="EC3" s="42">
        <v>0</v>
      </c>
      <c r="ED3" s="42"/>
      <c r="EE3" s="42">
        <v>0</v>
      </c>
      <c r="EF3" s="42">
        <v>41.584483159999998</v>
      </c>
      <c r="EG3" s="42">
        <v>92.6934854</v>
      </c>
      <c r="EH3" s="42"/>
      <c r="EI3" s="42">
        <v>0</v>
      </c>
      <c r="EJ3" s="42">
        <v>1.2757025500000001</v>
      </c>
      <c r="EK3" s="42">
        <v>24.267648550000001</v>
      </c>
      <c r="EL3" s="42">
        <v>73.921647829999998</v>
      </c>
      <c r="EM3" s="42">
        <v>1.2757025500000001</v>
      </c>
      <c r="EN3" s="42">
        <v>0</v>
      </c>
      <c r="EO3" s="42">
        <v>1347.32107189</v>
      </c>
      <c r="EP3" s="42">
        <v>20.10614022</v>
      </c>
      <c r="EQ3" s="42">
        <v>33683.611877249998</v>
      </c>
      <c r="ER3" s="42">
        <v>77.312554629999994</v>
      </c>
      <c r="ES3" s="42">
        <v>10.267920520000001</v>
      </c>
      <c r="ET3" s="42">
        <v>27.38585479</v>
      </c>
      <c r="EU3" s="42">
        <v>0</v>
      </c>
      <c r="EV3" s="42">
        <v>70.255940510000002</v>
      </c>
      <c r="EW3" s="42">
        <v>0</v>
      </c>
      <c r="EX3" s="42">
        <v>45.870091760000001</v>
      </c>
      <c r="EY3" s="42">
        <v>0</v>
      </c>
      <c r="EZ3" s="42">
        <v>0</v>
      </c>
      <c r="FA3" s="42">
        <v>80.55686111</v>
      </c>
      <c r="FB3" s="42">
        <v>91.055482119999994</v>
      </c>
      <c r="FC3" s="42">
        <v>26.696353389999999</v>
      </c>
      <c r="FD3" s="42">
        <v>90.188780379999997</v>
      </c>
      <c r="FE3" s="41" t="s">
        <v>1151</v>
      </c>
      <c r="FF3" s="42">
        <v>18.285836570000001</v>
      </c>
      <c r="FG3" s="42">
        <v>18.285836570000001</v>
      </c>
      <c r="FH3" s="42">
        <v>0</v>
      </c>
      <c r="FI3" s="42">
        <v>0</v>
      </c>
      <c r="FJ3" s="42">
        <v>81.179162360000007</v>
      </c>
      <c r="FK3" s="42">
        <v>0</v>
      </c>
      <c r="FL3" s="42">
        <v>0</v>
      </c>
      <c r="FM3" s="41" t="s">
        <v>1151</v>
      </c>
      <c r="FN3" s="42">
        <v>1.2757025500000001</v>
      </c>
      <c r="FO3" s="42">
        <v>1.2757025500000001</v>
      </c>
      <c r="FP3" s="42">
        <v>0</v>
      </c>
      <c r="FQ3" s="42">
        <v>0</v>
      </c>
      <c r="FR3" s="42">
        <v>98.189296380000002</v>
      </c>
      <c r="FS3" s="42">
        <v>0</v>
      </c>
      <c r="FT3" s="42">
        <v>0</v>
      </c>
      <c r="FU3" s="41" t="s">
        <v>1150</v>
      </c>
      <c r="FV3" s="42">
        <v>0</v>
      </c>
      <c r="FW3" s="42">
        <v>0</v>
      </c>
      <c r="FX3" s="42">
        <v>0</v>
      </c>
      <c r="FY3" s="42">
        <v>0</v>
      </c>
      <c r="FZ3" s="42">
        <v>99.464998929999993</v>
      </c>
      <c r="GA3" s="42">
        <v>0</v>
      </c>
      <c r="GB3" s="42">
        <v>0</v>
      </c>
      <c r="GC3" s="41" t="s">
        <v>1150</v>
      </c>
      <c r="GD3" s="42">
        <v>0</v>
      </c>
      <c r="GE3" s="42">
        <v>0</v>
      </c>
      <c r="GF3" s="42">
        <v>0</v>
      </c>
      <c r="GG3" s="42">
        <v>0</v>
      </c>
      <c r="GH3" s="42">
        <v>99.464998929999993</v>
      </c>
      <c r="GI3" s="42">
        <v>0</v>
      </c>
      <c r="GJ3" s="42">
        <v>0</v>
      </c>
      <c r="GK3" s="41" t="s">
        <v>1151</v>
      </c>
      <c r="GL3" s="42">
        <v>48.202096410000003</v>
      </c>
      <c r="GM3" s="42">
        <v>48.202096410000003</v>
      </c>
      <c r="GN3" s="42">
        <v>0</v>
      </c>
      <c r="GO3" s="42">
        <v>0</v>
      </c>
      <c r="GP3" s="42">
        <v>51.262902519999997</v>
      </c>
      <c r="GQ3" s="42">
        <v>0</v>
      </c>
      <c r="GR3" s="42">
        <v>0</v>
      </c>
      <c r="GS3" s="41" t="s">
        <v>1151</v>
      </c>
      <c r="GT3" s="42">
        <v>1.2757025500000001</v>
      </c>
      <c r="GU3" s="42">
        <v>1.2757025500000001</v>
      </c>
      <c r="GV3" s="42">
        <v>0</v>
      </c>
      <c r="GW3" s="42">
        <v>0</v>
      </c>
      <c r="GX3" s="42">
        <v>98.189296380000002</v>
      </c>
      <c r="GY3" s="42">
        <v>0</v>
      </c>
      <c r="GZ3" s="42">
        <v>0</v>
      </c>
      <c r="HA3" s="41" t="s">
        <v>1151</v>
      </c>
      <c r="HB3" s="42">
        <v>26.901453799999999</v>
      </c>
      <c r="HC3" s="42">
        <v>26.901453799999999</v>
      </c>
      <c r="HD3" s="42">
        <v>0</v>
      </c>
      <c r="HE3" s="42">
        <v>0</v>
      </c>
      <c r="HF3" s="42">
        <v>72.563545129999994</v>
      </c>
      <c r="HG3" s="42">
        <v>0</v>
      </c>
      <c r="HH3" s="42">
        <v>0</v>
      </c>
      <c r="HI3" s="41" t="s">
        <v>1151</v>
      </c>
      <c r="HJ3" s="42">
        <v>22.191044389999998</v>
      </c>
      <c r="HK3" s="42">
        <v>22.191044389999998</v>
      </c>
      <c r="HL3" s="42">
        <v>0</v>
      </c>
      <c r="HM3" s="42">
        <v>0</v>
      </c>
      <c r="HN3" s="42">
        <v>77.273954540000005</v>
      </c>
      <c r="HO3" s="42">
        <v>0</v>
      </c>
      <c r="HP3" s="42">
        <v>0</v>
      </c>
      <c r="HQ3" s="41" t="s">
        <v>1151</v>
      </c>
      <c r="HR3" s="42">
        <v>17.61193523</v>
      </c>
      <c r="HS3" s="42">
        <v>17.61193523</v>
      </c>
      <c r="HT3" s="42">
        <v>0</v>
      </c>
      <c r="HU3" s="42">
        <v>0</v>
      </c>
      <c r="HV3" s="42">
        <v>81.853063700000007</v>
      </c>
      <c r="HW3" s="42">
        <v>0</v>
      </c>
      <c r="HX3" s="42">
        <v>0</v>
      </c>
      <c r="HY3" s="41" t="s">
        <v>1151</v>
      </c>
      <c r="HZ3" s="42">
        <v>38.624877249999997</v>
      </c>
      <c r="IA3" s="42">
        <v>38.624877249999997</v>
      </c>
      <c r="IB3" s="42">
        <v>0</v>
      </c>
      <c r="IC3" s="42">
        <v>0</v>
      </c>
      <c r="ID3" s="42">
        <v>60.840121680000003</v>
      </c>
      <c r="IE3" s="42">
        <v>0</v>
      </c>
      <c r="IF3" s="42">
        <v>0</v>
      </c>
      <c r="IG3" s="41" t="s">
        <v>1151</v>
      </c>
      <c r="IH3" s="42">
        <v>44.203788400000001</v>
      </c>
      <c r="II3" s="42">
        <v>44.203788400000001</v>
      </c>
      <c r="IJ3" s="42">
        <v>0</v>
      </c>
      <c r="IK3" s="42">
        <v>0</v>
      </c>
      <c r="IL3" s="42">
        <v>55.26121053</v>
      </c>
      <c r="IM3" s="42">
        <v>0</v>
      </c>
      <c r="IN3" s="42">
        <v>0</v>
      </c>
      <c r="IO3" s="41" t="s">
        <v>1151</v>
      </c>
      <c r="IP3" s="42">
        <v>53.960007910000002</v>
      </c>
      <c r="IQ3" s="42">
        <v>64.082828160000005</v>
      </c>
      <c r="IR3" s="42">
        <v>0</v>
      </c>
      <c r="IS3" s="42">
        <v>0</v>
      </c>
      <c r="IT3" s="42">
        <v>35.382170770000002</v>
      </c>
      <c r="IU3" s="42">
        <v>10.12282025</v>
      </c>
      <c r="IV3" s="42">
        <v>0</v>
      </c>
      <c r="IW3" s="41" t="s">
        <v>1151</v>
      </c>
      <c r="IX3" s="42">
        <v>9.9347198700000003</v>
      </c>
      <c r="IY3" s="42">
        <v>9.9347198700000003</v>
      </c>
      <c r="IZ3" s="42">
        <v>0</v>
      </c>
      <c r="JA3" s="42">
        <v>0</v>
      </c>
      <c r="JB3" s="42">
        <v>89.530279059999998</v>
      </c>
      <c r="JC3" s="42">
        <v>0</v>
      </c>
      <c r="JD3" s="42">
        <v>0</v>
      </c>
      <c r="JE3" s="41" t="s">
        <v>1150</v>
      </c>
      <c r="JF3" s="42">
        <v>0</v>
      </c>
      <c r="JG3" s="42">
        <v>0</v>
      </c>
      <c r="JH3" s="42">
        <v>0</v>
      </c>
      <c r="JI3" s="42">
        <v>0</v>
      </c>
      <c r="JJ3" s="42">
        <v>99.464998929999993</v>
      </c>
      <c r="JK3" s="42">
        <v>0</v>
      </c>
      <c r="JL3" s="42">
        <v>0</v>
      </c>
      <c r="JM3" s="41" t="s">
        <v>1150</v>
      </c>
      <c r="JN3" s="42">
        <v>0</v>
      </c>
      <c r="JO3" s="42">
        <v>0</v>
      </c>
      <c r="JP3" s="42">
        <v>0</v>
      </c>
      <c r="JQ3" s="42">
        <v>0</v>
      </c>
      <c r="JR3" s="42">
        <v>99.464998929999993</v>
      </c>
      <c r="JS3" s="42">
        <v>0</v>
      </c>
      <c r="JT3" s="42">
        <v>0</v>
      </c>
      <c r="JU3" s="41" t="s">
        <v>1151</v>
      </c>
      <c r="JV3" s="42">
        <v>18.927637860000001</v>
      </c>
      <c r="JW3" s="42">
        <v>18.927637860000001</v>
      </c>
      <c r="JX3" s="42">
        <v>0</v>
      </c>
      <c r="JY3" s="42">
        <v>0</v>
      </c>
      <c r="JZ3" s="42">
        <v>80.537361070000003</v>
      </c>
      <c r="KA3" s="42">
        <v>0</v>
      </c>
      <c r="KB3" s="42">
        <v>0</v>
      </c>
      <c r="KC3" s="41" t="s">
        <v>1150</v>
      </c>
      <c r="KD3" s="42">
        <v>0</v>
      </c>
      <c r="KE3" s="42">
        <v>0</v>
      </c>
      <c r="KF3" s="42">
        <v>0</v>
      </c>
      <c r="KG3" s="42">
        <v>0</v>
      </c>
      <c r="KH3" s="42">
        <v>99.464998929999993</v>
      </c>
      <c r="KI3" s="42">
        <v>0</v>
      </c>
      <c r="KJ3" s="42">
        <v>0</v>
      </c>
      <c r="KK3" s="42">
        <v>99.464998929999993</v>
      </c>
      <c r="KL3" s="42">
        <v>-0.87668177999999997</v>
      </c>
      <c r="KM3" s="42">
        <v>-13.559527149999999</v>
      </c>
      <c r="KN3" s="42">
        <v>20.922041849999999</v>
      </c>
      <c r="KO3" s="41" t="s">
        <v>1152</v>
      </c>
      <c r="KP3" s="41" t="s">
        <v>1153</v>
      </c>
      <c r="KQ3" s="41" t="s">
        <v>1154</v>
      </c>
      <c r="KR3" s="42">
        <v>56.037188659999998</v>
      </c>
      <c r="KS3" s="42">
        <v>99.626624960000001</v>
      </c>
      <c r="KT3" s="42">
        <v>99.519875639999995</v>
      </c>
      <c r="KU3" s="42">
        <v>5.5588909536309528</v>
      </c>
      <c r="KV3" s="42">
        <v>6.6866487983928584</v>
      </c>
      <c r="KW3" s="42">
        <v>4.0019080100000002</v>
      </c>
      <c r="KX3" s="42">
        <v>39.480778970000003</v>
      </c>
      <c r="KY3" s="41"/>
      <c r="KZ3" s="42">
        <v>6.4654303400000002</v>
      </c>
      <c r="LA3" s="42">
        <v>46.637605508662816</v>
      </c>
      <c r="LB3" s="42">
        <v>6.1489286448809528</v>
      </c>
      <c r="LC3" s="42">
        <v>67.857142857142861</v>
      </c>
      <c r="LD3" s="41" t="s">
        <v>461</v>
      </c>
      <c r="LE3" s="42">
        <v>18.85871431</v>
      </c>
      <c r="LF3" s="42">
        <v>18.886637759999999</v>
      </c>
      <c r="LG3" s="42">
        <v>20.59414121</v>
      </c>
      <c r="LH3" s="42">
        <v>3.27200655</v>
      </c>
      <c r="LI3" s="42">
        <v>13.01842604</v>
      </c>
      <c r="LJ3" s="42">
        <v>24.160048310000001</v>
      </c>
      <c r="LK3" s="42">
        <v>0.72990146</v>
      </c>
      <c r="LL3" s="42">
        <v>0.48012435999999997</v>
      </c>
      <c r="LM3" s="42">
        <v>4.6302256026785713</v>
      </c>
      <c r="LN3" s="42">
        <v>0.48012435999999997</v>
      </c>
      <c r="LO3" s="42">
        <v>11.364422709999999</v>
      </c>
      <c r="LP3" s="42">
        <v>67.233411079999996</v>
      </c>
      <c r="LQ3" s="42">
        <v>5.6982896600000004</v>
      </c>
      <c r="LR3" s="42">
        <v>26.040201230000001</v>
      </c>
      <c r="LS3" s="41" t="s">
        <v>1155</v>
      </c>
      <c r="LT3" s="42">
        <v>6.6936409599999998</v>
      </c>
      <c r="LU3" s="42">
        <v>44.456618210000002</v>
      </c>
      <c r="LV3" s="43">
        <v>64</v>
      </c>
      <c r="LW3" s="43">
        <v>1</v>
      </c>
      <c r="LX3" s="43">
        <v>62</v>
      </c>
      <c r="LY3" s="41" t="s">
        <v>480</v>
      </c>
      <c r="LZ3" s="41" t="s">
        <v>1160</v>
      </c>
      <c r="MA3" s="44">
        <v>46203</v>
      </c>
      <c r="MB3" s="41" t="s">
        <v>1161</v>
      </c>
      <c r="MC3" s="43">
        <v>168</v>
      </c>
      <c r="MD3" s="41" t="s">
        <v>1158</v>
      </c>
      <c r="ME3" s="41" t="s">
        <v>540</v>
      </c>
      <c r="MF3" s="42">
        <v>4.8140945899999998</v>
      </c>
      <c r="MG3" s="42">
        <v>29.023056199999999</v>
      </c>
      <c r="MH3" s="42">
        <v>4672414947</v>
      </c>
      <c r="MI3" s="42">
        <v>6.4654303400000002</v>
      </c>
      <c r="MJ3" s="42">
        <v>46.637605508662816</v>
      </c>
      <c r="MK3" s="42">
        <v>67.857142857142861</v>
      </c>
      <c r="ML3" s="42">
        <v>5.8850655100000004</v>
      </c>
      <c r="MM3" s="41" t="s">
        <v>480</v>
      </c>
      <c r="MN3" s="42">
        <v>0</v>
      </c>
      <c r="MO3" s="42">
        <v>0</v>
      </c>
      <c r="MP3" s="42">
        <v>0</v>
      </c>
      <c r="MQ3" s="42">
        <v>0</v>
      </c>
      <c r="MR3" s="42">
        <v>5.01351002</v>
      </c>
      <c r="MS3" s="42">
        <v>1.1160022300000001</v>
      </c>
      <c r="MT3" s="42">
        <v>0</v>
      </c>
      <c r="MU3" s="42">
        <v>0</v>
      </c>
      <c r="MV3" s="42">
        <v>0</v>
      </c>
      <c r="MW3" s="42">
        <v>0</v>
      </c>
      <c r="MX3" s="42">
        <v>0</v>
      </c>
      <c r="MY3" s="42">
        <v>0</v>
      </c>
      <c r="MZ3" s="42">
        <v>0</v>
      </c>
      <c r="NA3" s="42">
        <v>0</v>
      </c>
      <c r="NB3" s="42">
        <v>0</v>
      </c>
      <c r="NC3" s="42">
        <v>3.07620615</v>
      </c>
      <c r="ND3" s="42">
        <v>0</v>
      </c>
      <c r="NE3" s="42">
        <v>0</v>
      </c>
      <c r="NF3" s="42">
        <v>0</v>
      </c>
      <c r="NG3" s="42">
        <v>0</v>
      </c>
      <c r="NH3" s="42">
        <v>0</v>
      </c>
      <c r="NI3" s="42">
        <v>0</v>
      </c>
      <c r="NJ3" s="42">
        <v>0</v>
      </c>
      <c r="NK3" s="42">
        <v>0</v>
      </c>
      <c r="NL3" s="42">
        <v>0</v>
      </c>
      <c r="NM3" s="42">
        <v>0</v>
      </c>
      <c r="NN3" s="42">
        <v>0</v>
      </c>
      <c r="NO3" s="42">
        <v>0</v>
      </c>
      <c r="NP3" s="42">
        <v>0</v>
      </c>
      <c r="NQ3" s="42">
        <v>0</v>
      </c>
      <c r="NR3" s="42">
        <v>0</v>
      </c>
      <c r="NS3" s="42">
        <v>0</v>
      </c>
      <c r="NT3" s="42">
        <v>0</v>
      </c>
      <c r="NU3" s="42">
        <v>0</v>
      </c>
      <c r="NV3" s="42">
        <v>0</v>
      </c>
      <c r="NW3" s="42">
        <v>0</v>
      </c>
      <c r="NX3" s="42">
        <v>1.2757025500000001</v>
      </c>
      <c r="NY3" s="42">
        <v>3.07620615</v>
      </c>
      <c r="NZ3" s="42">
        <v>3.07620615</v>
      </c>
      <c r="OA3" s="42">
        <v>0</v>
      </c>
      <c r="OB3" s="42">
        <v>3.07620615</v>
      </c>
      <c r="OC3" s="42">
        <v>0</v>
      </c>
      <c r="OD3" s="42">
        <v>0</v>
      </c>
      <c r="OE3" s="42">
        <v>0</v>
      </c>
      <c r="OF3" s="42">
        <v>0</v>
      </c>
      <c r="OG3" s="42">
        <v>0</v>
      </c>
      <c r="OH3" s="42">
        <v>0</v>
      </c>
      <c r="OI3" s="42">
        <v>0</v>
      </c>
      <c r="OJ3" s="42">
        <v>1.2757025500000001</v>
      </c>
      <c r="OK3" s="42">
        <v>0</v>
      </c>
      <c r="OL3" s="42">
        <v>0</v>
      </c>
      <c r="OM3" s="42">
        <v>73.345846679999994</v>
      </c>
      <c r="ON3" s="42">
        <v>0</v>
      </c>
      <c r="OO3" s="42">
        <v>0</v>
      </c>
      <c r="OP3" s="42">
        <v>0</v>
      </c>
      <c r="OQ3" s="42">
        <v>0</v>
      </c>
      <c r="OR3" s="42">
        <v>0</v>
      </c>
      <c r="OS3" s="42">
        <v>1.2757025500000001</v>
      </c>
      <c r="OT3" s="42">
        <v>0</v>
      </c>
      <c r="OU3" s="42">
        <v>0</v>
      </c>
      <c r="OV3" s="42">
        <v>0</v>
      </c>
      <c r="OW3" s="42">
        <v>0</v>
      </c>
      <c r="OX3" s="42">
        <v>0</v>
      </c>
      <c r="OY3" s="42">
        <v>0</v>
      </c>
      <c r="OZ3" s="42">
        <v>0</v>
      </c>
      <c r="PA3" s="42">
        <v>0</v>
      </c>
      <c r="PB3" s="42">
        <v>0</v>
      </c>
      <c r="PC3" s="42">
        <v>0</v>
      </c>
      <c r="PD3" s="42">
        <v>0</v>
      </c>
      <c r="PE3" s="42">
        <v>0</v>
      </c>
      <c r="PF3" s="42">
        <v>0</v>
      </c>
      <c r="PG3" s="42">
        <v>0</v>
      </c>
      <c r="PH3" s="42">
        <v>0</v>
      </c>
      <c r="PI3" s="42">
        <v>0</v>
      </c>
      <c r="PJ3" s="42">
        <v>0</v>
      </c>
      <c r="PK3" s="42">
        <v>0</v>
      </c>
      <c r="PL3" s="42">
        <v>0</v>
      </c>
      <c r="PM3" s="42">
        <v>0</v>
      </c>
      <c r="PN3" s="42">
        <v>0</v>
      </c>
      <c r="PO3" s="42">
        <v>0</v>
      </c>
      <c r="PP3" s="42">
        <v>0</v>
      </c>
      <c r="PQ3" s="42">
        <v>0</v>
      </c>
      <c r="PR3" s="42">
        <v>0</v>
      </c>
      <c r="PS3" s="42">
        <v>0</v>
      </c>
      <c r="PT3" s="42">
        <v>8.521012E-2</v>
      </c>
      <c r="PU3" s="42">
        <v>0</v>
      </c>
      <c r="PV3" s="42">
        <v>0</v>
      </c>
      <c r="PW3" s="42">
        <v>2.1881977500000001</v>
      </c>
      <c r="PX3" s="42">
        <v>0</v>
      </c>
      <c r="PY3" s="42">
        <v>0</v>
      </c>
      <c r="PZ3" s="42">
        <v>2.1442E-4</v>
      </c>
      <c r="QA3" s="42">
        <v>3.07620615</v>
      </c>
      <c r="QB3" s="42">
        <v>0</v>
      </c>
      <c r="QC3" s="42">
        <v>0</v>
      </c>
      <c r="QD3" s="42">
        <v>0</v>
      </c>
      <c r="QE3" s="42">
        <v>0</v>
      </c>
      <c r="QF3" s="42">
        <v>1.2757025500000001</v>
      </c>
      <c r="QG3" s="42">
        <v>2.1442042899999998</v>
      </c>
      <c r="QH3" s="42">
        <v>0</v>
      </c>
      <c r="QI3" s="42">
        <v>0</v>
      </c>
      <c r="QJ3" s="42">
        <v>0</v>
      </c>
      <c r="QK3" s="42">
        <v>0</v>
      </c>
    </row>
    <row r="4" spans="1:453" x14ac:dyDescent="0.35">
      <c r="A4" s="41" t="s">
        <v>666</v>
      </c>
      <c r="B4" s="41" t="s">
        <v>656</v>
      </c>
      <c r="C4" s="41" t="s">
        <v>657</v>
      </c>
      <c r="D4" s="41" t="s">
        <v>536</v>
      </c>
      <c r="E4" s="41" t="s">
        <v>657</v>
      </c>
      <c r="F4" s="41" t="s">
        <v>1162</v>
      </c>
      <c r="G4" s="41" t="s">
        <v>653</v>
      </c>
      <c r="H4" s="42">
        <v>42.84817236</v>
      </c>
      <c r="I4" s="42">
        <v>99.64730351</v>
      </c>
      <c r="J4" s="42">
        <v>298.24568326000002</v>
      </c>
      <c r="K4" s="42">
        <v>99.64730351</v>
      </c>
      <c r="L4" s="42">
        <v>397.03326593999998</v>
      </c>
      <c r="M4" s="42">
        <v>99.64730351</v>
      </c>
      <c r="N4" s="42">
        <v>98.787582670000006</v>
      </c>
      <c r="O4" s="42">
        <v>99.64730351</v>
      </c>
      <c r="P4" s="42">
        <v>21.899381000000002</v>
      </c>
      <c r="Q4" s="42">
        <v>2.1173362999999998</v>
      </c>
      <c r="R4" s="42">
        <v>6.4311664200000003</v>
      </c>
      <c r="S4" s="42">
        <v>3.0373854300000001</v>
      </c>
      <c r="T4" s="42">
        <v>21.444885549999999</v>
      </c>
      <c r="U4" s="42">
        <v>1.3309691299999999</v>
      </c>
      <c r="V4" s="42">
        <v>5.22344776</v>
      </c>
      <c r="W4" s="42">
        <v>84.282305370000003</v>
      </c>
      <c r="X4" s="42">
        <v>99.766802319999996</v>
      </c>
      <c r="Y4" s="42">
        <v>683.14658852000002</v>
      </c>
      <c r="Z4" s="42">
        <v>99.675603229999993</v>
      </c>
      <c r="AA4" s="42">
        <v>942.54644833999998</v>
      </c>
      <c r="AB4" s="42">
        <v>99.675603229999993</v>
      </c>
      <c r="AC4" s="42">
        <v>259.39972906999998</v>
      </c>
      <c r="AD4" s="42">
        <v>99.675603229999993</v>
      </c>
      <c r="AE4" s="42">
        <v>202.59174264999999</v>
      </c>
      <c r="AF4" s="42">
        <v>1.331267E-2</v>
      </c>
      <c r="AG4" s="42">
        <v>2137.7545352500001</v>
      </c>
      <c r="AH4" s="42">
        <v>5333.3472164699997</v>
      </c>
      <c r="AI4" s="42">
        <v>3353.2954061099999</v>
      </c>
      <c r="AJ4" s="42">
        <v>41.664383350000001</v>
      </c>
      <c r="AK4" s="42">
        <v>27.647823540000001</v>
      </c>
      <c r="AL4" s="41" t="s">
        <v>1149</v>
      </c>
      <c r="AM4" s="42">
        <v>98.858811399999993</v>
      </c>
      <c r="AN4" s="42">
        <v>15.701742980000001</v>
      </c>
      <c r="AO4" s="42">
        <v>13.873161250000001</v>
      </c>
      <c r="AP4" s="41">
        <v>2.2000000000000002</v>
      </c>
      <c r="AQ4" s="42">
        <v>86.078239210000007</v>
      </c>
      <c r="AR4" s="42">
        <v>66.083939139999998</v>
      </c>
      <c r="AS4" s="42">
        <v>97.828921690000001</v>
      </c>
      <c r="AT4" s="42">
        <v>10.367572409999999</v>
      </c>
      <c r="AU4" s="42">
        <v>67.499924969999995</v>
      </c>
      <c r="AV4" s="42">
        <v>99.766802319999996</v>
      </c>
      <c r="AW4" s="42">
        <v>0.61169388000000002</v>
      </c>
      <c r="AX4" s="42">
        <v>10.85479144</v>
      </c>
      <c r="AY4" s="42">
        <v>0.64809351999999998</v>
      </c>
      <c r="AZ4" s="42">
        <v>0.18909811000000001</v>
      </c>
      <c r="BA4" s="42">
        <v>21.29038701</v>
      </c>
      <c r="BB4" s="42">
        <v>24.102958910000002</v>
      </c>
      <c r="BC4" s="42">
        <v>1.92048079</v>
      </c>
      <c r="BD4" s="42">
        <v>7.1670283399999999</v>
      </c>
      <c r="BE4" s="42">
        <v>0.79769201999999995</v>
      </c>
      <c r="BF4" s="42">
        <v>1.9847801700000001</v>
      </c>
      <c r="BG4" s="42">
        <v>0.22925807000000001</v>
      </c>
      <c r="BH4" s="42">
        <v>1.4127848199999999</v>
      </c>
      <c r="BI4" s="42">
        <v>2.519383E-2</v>
      </c>
      <c r="BJ4" s="42">
        <v>1.058949E-2</v>
      </c>
      <c r="BK4" s="42">
        <v>2.02600113</v>
      </c>
      <c r="BL4" s="42">
        <v>4.0458345700000002</v>
      </c>
      <c r="BM4" s="42">
        <v>0.4905564</v>
      </c>
      <c r="BN4" s="42">
        <v>1.46088672</v>
      </c>
      <c r="BO4" s="42">
        <v>9.1678670000000004E-2</v>
      </c>
      <c r="BP4" s="42">
        <v>4.7035390000000003E-2</v>
      </c>
      <c r="BQ4" s="42">
        <v>0.33077020000000001</v>
      </c>
      <c r="BR4" s="42">
        <v>8.3232559999999997E-2</v>
      </c>
      <c r="BS4" s="42">
        <v>2.23160954</v>
      </c>
      <c r="BT4" s="42">
        <v>5.543273E-2</v>
      </c>
      <c r="BU4" s="42">
        <v>6.2583726200000003</v>
      </c>
      <c r="BV4" s="42">
        <v>1.4024109999999999E-2</v>
      </c>
      <c r="BW4" s="42">
        <v>7.8395216000000003</v>
      </c>
      <c r="BX4" s="42">
        <v>2.5976740199999999</v>
      </c>
      <c r="BY4" s="42">
        <v>17.61182389</v>
      </c>
      <c r="BZ4" s="42">
        <v>0.18079819</v>
      </c>
      <c r="CA4" s="42">
        <v>37.223127720000001</v>
      </c>
      <c r="CB4" s="42">
        <v>1.5445845600000001</v>
      </c>
      <c r="CC4" s="42">
        <v>0.14295427999999999</v>
      </c>
      <c r="CD4" s="42">
        <v>6.2386810000000001E-2</v>
      </c>
      <c r="CE4" s="42">
        <v>0.11061227</v>
      </c>
      <c r="CF4" s="42"/>
      <c r="CG4" s="42">
        <v>74.758652389999995</v>
      </c>
      <c r="CH4" s="42">
        <v>22.8423716</v>
      </c>
      <c r="CI4" s="42">
        <v>0.15779841999999999</v>
      </c>
      <c r="CJ4" s="42">
        <v>66.550434460000005</v>
      </c>
      <c r="CK4" s="42">
        <v>15.97014031</v>
      </c>
      <c r="CL4" s="42">
        <v>5.0442495699999998</v>
      </c>
      <c r="CM4" s="42">
        <v>8.8802111999999997</v>
      </c>
      <c r="CN4" s="42">
        <v>2.91227087</v>
      </c>
      <c r="CO4" s="42">
        <v>0.52459475</v>
      </c>
      <c r="CP4" s="42">
        <v>11.164188360000001</v>
      </c>
      <c r="CQ4" s="42">
        <v>0.11819882</v>
      </c>
      <c r="CR4" s="42">
        <v>4.3640563700000001</v>
      </c>
      <c r="CS4" s="42">
        <v>48.280417129999996</v>
      </c>
      <c r="CT4" s="42">
        <v>47.004130000000004</v>
      </c>
      <c r="CU4" s="42">
        <v>20.384596169999998</v>
      </c>
      <c r="CV4" s="42">
        <v>11.009289920000001</v>
      </c>
      <c r="CW4" s="42">
        <v>0.57619423999999997</v>
      </c>
      <c r="CX4" s="42">
        <v>20.383196170000002</v>
      </c>
      <c r="CY4" s="42">
        <v>6.2904370900000002</v>
      </c>
      <c r="CZ4" s="42">
        <v>2.9945700500000001</v>
      </c>
      <c r="DA4" s="42">
        <v>95.464745410000006</v>
      </c>
      <c r="DB4" s="42">
        <v>36.213237849999999</v>
      </c>
      <c r="DC4" s="42">
        <v>5.6416435800000002</v>
      </c>
      <c r="DD4" s="42">
        <v>57.911920889999998</v>
      </c>
      <c r="DE4" s="42">
        <v>41.349386539999998</v>
      </c>
      <c r="DF4" s="42">
        <v>99.766802319999996</v>
      </c>
      <c r="DG4" s="42">
        <v>6.4506214100000001</v>
      </c>
      <c r="DH4" s="42">
        <v>99.64730351</v>
      </c>
      <c r="DI4" s="42">
        <v>97.103728939999996</v>
      </c>
      <c r="DJ4" s="42">
        <v>2.6630733800000002</v>
      </c>
      <c r="DK4" s="42">
        <v>8.1159188600000007</v>
      </c>
      <c r="DL4" s="42">
        <v>0.11499885</v>
      </c>
      <c r="DM4" s="42">
        <v>62.63687367</v>
      </c>
      <c r="DN4" s="42">
        <v>2.93807061</v>
      </c>
      <c r="DO4" s="42">
        <v>26.542734580000001</v>
      </c>
      <c r="DP4" s="42">
        <v>7.4146257999999996</v>
      </c>
      <c r="DQ4" s="42">
        <v>5.8332665300000004</v>
      </c>
      <c r="DR4" s="42">
        <v>99.64730351</v>
      </c>
      <c r="DS4" s="42">
        <v>30.072199220000002</v>
      </c>
      <c r="DT4" s="42">
        <v>92.219477769999997</v>
      </c>
      <c r="DU4" s="42">
        <v>0</v>
      </c>
      <c r="DV4" s="42">
        <v>0.69779303000000004</v>
      </c>
      <c r="DW4" s="42">
        <v>31.198188040000002</v>
      </c>
      <c r="DX4" s="42">
        <v>24.470355300000001</v>
      </c>
      <c r="DY4" s="42">
        <v>9.9726002699999992</v>
      </c>
      <c r="DZ4" s="42">
        <v>1.54838451</v>
      </c>
      <c r="EA4" s="42">
        <v>97.803721949999996</v>
      </c>
      <c r="EB4" s="42">
        <v>15.086249130000001</v>
      </c>
      <c r="EC4" s="42">
        <v>3.87226728</v>
      </c>
      <c r="ED4" s="42">
        <v>6.5032370200000003</v>
      </c>
      <c r="EE4" s="42">
        <v>13.62896372</v>
      </c>
      <c r="EF4" s="42">
        <v>38.87301119</v>
      </c>
      <c r="EG4" s="42">
        <v>97.596224019999994</v>
      </c>
      <c r="EH4" s="42">
        <v>5.4640200300000004</v>
      </c>
      <c r="EI4" s="42">
        <v>25.10934894</v>
      </c>
      <c r="EJ4" s="42">
        <v>9.1444085699999995</v>
      </c>
      <c r="EK4" s="42">
        <v>67.140928549999998</v>
      </c>
      <c r="EL4" s="42">
        <v>23.481465199999999</v>
      </c>
      <c r="EM4" s="42">
        <v>11.15648844</v>
      </c>
      <c r="EN4" s="42">
        <v>9.9711003100000006</v>
      </c>
      <c r="EO4" s="42">
        <v>4670.1918291000002</v>
      </c>
      <c r="EP4" s="42">
        <v>48.738412650000001</v>
      </c>
      <c r="EQ4" s="42">
        <v>6712.1554104799998</v>
      </c>
      <c r="ER4" s="42">
        <v>92.826471720000001</v>
      </c>
      <c r="ES4" s="42">
        <v>7.5725242699999997</v>
      </c>
      <c r="ET4" s="42">
        <v>69.34840647</v>
      </c>
      <c r="EU4" s="42">
        <v>5.8073419199999998</v>
      </c>
      <c r="EV4" s="42">
        <v>79.951300470000007</v>
      </c>
      <c r="EW4" s="42">
        <v>29.831801680000002</v>
      </c>
      <c r="EX4" s="42">
        <v>42.570474230000002</v>
      </c>
      <c r="EY4" s="42">
        <v>0.22989770000000001</v>
      </c>
      <c r="EZ4" s="42">
        <v>3.7113628799999998</v>
      </c>
      <c r="FA4" s="42">
        <v>99.344606540000001</v>
      </c>
      <c r="FB4" s="42">
        <v>99.592104059999997</v>
      </c>
      <c r="FC4" s="42">
        <v>83.376666189999995</v>
      </c>
      <c r="FD4" s="42">
        <v>98.49421504</v>
      </c>
      <c r="FE4" s="41" t="s">
        <v>1151</v>
      </c>
      <c r="FF4" s="42">
        <v>12.678273239999999</v>
      </c>
      <c r="FG4" s="42">
        <v>12.678273239999999</v>
      </c>
      <c r="FH4" s="42">
        <v>1.6879831199999999</v>
      </c>
      <c r="FI4" s="42">
        <v>1.6879831199999999</v>
      </c>
      <c r="FJ4" s="42">
        <v>85.309346869999999</v>
      </c>
      <c r="FK4" s="42">
        <v>0</v>
      </c>
      <c r="FL4" s="42">
        <v>0</v>
      </c>
      <c r="FM4" s="41" t="s">
        <v>1151</v>
      </c>
      <c r="FN4" s="42">
        <v>1.37648623</v>
      </c>
      <c r="FO4" s="42">
        <v>1.37648623</v>
      </c>
      <c r="FP4" s="42">
        <v>0.42659573000000001</v>
      </c>
      <c r="FQ4" s="42">
        <v>0.42659573000000001</v>
      </c>
      <c r="FR4" s="42">
        <v>97.872521269999993</v>
      </c>
      <c r="FS4" s="42">
        <v>0</v>
      </c>
      <c r="FT4" s="42">
        <v>0</v>
      </c>
      <c r="FU4" s="41" t="s">
        <v>1150</v>
      </c>
      <c r="FV4" s="42">
        <v>2.4747752699999999</v>
      </c>
      <c r="FW4" s="42">
        <v>2.4747752699999999</v>
      </c>
      <c r="FX4" s="42">
        <v>3.3828661699999998</v>
      </c>
      <c r="FY4" s="42">
        <v>3.3828661699999998</v>
      </c>
      <c r="FZ4" s="42">
        <v>93.817961789999998</v>
      </c>
      <c r="GA4" s="42">
        <v>0</v>
      </c>
      <c r="GB4" s="42">
        <v>0</v>
      </c>
      <c r="GC4" s="41" t="s">
        <v>1150</v>
      </c>
      <c r="GD4" s="42">
        <v>0</v>
      </c>
      <c r="GE4" s="42">
        <v>0</v>
      </c>
      <c r="GF4" s="42">
        <v>0</v>
      </c>
      <c r="GG4" s="42">
        <v>0</v>
      </c>
      <c r="GH4" s="42">
        <v>99.675603229999993</v>
      </c>
      <c r="GI4" s="42">
        <v>0</v>
      </c>
      <c r="GJ4" s="42">
        <v>0</v>
      </c>
      <c r="GK4" s="41" t="s">
        <v>1151</v>
      </c>
      <c r="GL4" s="42">
        <v>86.97283032</v>
      </c>
      <c r="GM4" s="42">
        <v>86.97283032</v>
      </c>
      <c r="GN4" s="42">
        <v>0</v>
      </c>
      <c r="GO4" s="42">
        <v>0</v>
      </c>
      <c r="GP4" s="42">
        <v>12.70277291</v>
      </c>
      <c r="GQ4" s="42">
        <v>0</v>
      </c>
      <c r="GR4" s="42">
        <v>0</v>
      </c>
      <c r="GS4" s="41" t="s">
        <v>1151</v>
      </c>
      <c r="GT4" s="42">
        <v>26.199738020000002</v>
      </c>
      <c r="GU4" s="42">
        <v>26.199738020000002</v>
      </c>
      <c r="GV4" s="42">
        <v>0.44979550000000001</v>
      </c>
      <c r="GW4" s="42">
        <v>0.44979550000000001</v>
      </c>
      <c r="GX4" s="42">
        <v>73.026069710000002</v>
      </c>
      <c r="GY4" s="42">
        <v>0</v>
      </c>
      <c r="GZ4" s="42">
        <v>0</v>
      </c>
      <c r="HA4" s="41" t="s">
        <v>1150</v>
      </c>
      <c r="HB4" s="42">
        <v>62.46027539</v>
      </c>
      <c r="HC4" s="42">
        <v>62.562474369999997</v>
      </c>
      <c r="HD4" s="42">
        <v>5.0415495899999998</v>
      </c>
      <c r="HE4" s="42">
        <v>0.61649383999999996</v>
      </c>
      <c r="HF4" s="42">
        <v>32.071579270000001</v>
      </c>
      <c r="HG4" s="42">
        <v>0.10219897999999999</v>
      </c>
      <c r="HH4" s="42">
        <v>4.4250557500000003</v>
      </c>
      <c r="HI4" s="41" t="s">
        <v>1151</v>
      </c>
      <c r="HJ4" s="42">
        <v>36.645933470000003</v>
      </c>
      <c r="HK4" s="42">
        <v>36.645933470000003</v>
      </c>
      <c r="HL4" s="42">
        <v>0</v>
      </c>
      <c r="HM4" s="42">
        <v>0</v>
      </c>
      <c r="HN4" s="42">
        <v>63.029669759999997</v>
      </c>
      <c r="HO4" s="42">
        <v>0</v>
      </c>
      <c r="HP4" s="42">
        <v>0</v>
      </c>
      <c r="HQ4" s="41" t="s">
        <v>1151</v>
      </c>
      <c r="HR4" s="42">
        <v>38.496415020000001</v>
      </c>
      <c r="HS4" s="42">
        <v>44.636653610000003</v>
      </c>
      <c r="HT4" s="42">
        <v>0.34839650999999999</v>
      </c>
      <c r="HU4" s="42">
        <v>0.34839650999999999</v>
      </c>
      <c r="HV4" s="42">
        <v>54.690553110000003</v>
      </c>
      <c r="HW4" s="42">
        <v>6.1402385900000001</v>
      </c>
      <c r="HX4" s="42">
        <v>0</v>
      </c>
      <c r="HY4" s="41" t="s">
        <v>1151</v>
      </c>
      <c r="HZ4" s="42">
        <v>79.2854071</v>
      </c>
      <c r="IA4" s="42">
        <v>79.2854071</v>
      </c>
      <c r="IB4" s="42">
        <v>0</v>
      </c>
      <c r="IC4" s="42">
        <v>0</v>
      </c>
      <c r="ID4" s="42">
        <v>20.39019613</v>
      </c>
      <c r="IE4" s="42">
        <v>0</v>
      </c>
      <c r="IF4" s="42">
        <v>0</v>
      </c>
      <c r="IG4" s="41" t="s">
        <v>1150</v>
      </c>
      <c r="IH4" s="42">
        <v>5.9913400899999996</v>
      </c>
      <c r="II4" s="42">
        <v>5.9913400899999996</v>
      </c>
      <c r="IJ4" s="42">
        <v>6.6022339800000003</v>
      </c>
      <c r="IK4" s="42">
        <v>6.6022339800000003</v>
      </c>
      <c r="IL4" s="42">
        <v>87.082029160000005</v>
      </c>
      <c r="IM4" s="42">
        <v>0</v>
      </c>
      <c r="IN4" s="42">
        <v>0</v>
      </c>
      <c r="IO4" s="41" t="s">
        <v>1150</v>
      </c>
      <c r="IP4" s="42">
        <v>38.06691927</v>
      </c>
      <c r="IQ4" s="42">
        <v>39.02680969</v>
      </c>
      <c r="IR4" s="42">
        <v>5.15924841</v>
      </c>
      <c r="IS4" s="42">
        <v>0.73419266000000005</v>
      </c>
      <c r="IT4" s="42">
        <v>55.489545130000003</v>
      </c>
      <c r="IU4" s="42">
        <v>0.95989042000000002</v>
      </c>
      <c r="IV4" s="42">
        <v>4.4250557500000003</v>
      </c>
      <c r="IW4" s="41" t="s">
        <v>1150</v>
      </c>
      <c r="IX4" s="42">
        <v>58.28871711</v>
      </c>
      <c r="IY4" s="42">
        <v>58.547114530000002</v>
      </c>
      <c r="IZ4" s="42">
        <v>4.4250557500000003</v>
      </c>
      <c r="JA4" s="42">
        <v>0</v>
      </c>
      <c r="JB4" s="42">
        <v>36.70343295</v>
      </c>
      <c r="JC4" s="42">
        <v>0.25839741999999999</v>
      </c>
      <c r="JD4" s="42">
        <v>4.4250557500000003</v>
      </c>
      <c r="JE4" s="41" t="s">
        <v>1150</v>
      </c>
      <c r="JF4" s="42">
        <v>0</v>
      </c>
      <c r="JG4" s="42">
        <v>0</v>
      </c>
      <c r="JH4" s="42">
        <v>3.5429645700000001</v>
      </c>
      <c r="JI4" s="42">
        <v>3.4751652499999999</v>
      </c>
      <c r="JJ4" s="42">
        <v>96.132638659999998</v>
      </c>
      <c r="JK4" s="42">
        <v>0</v>
      </c>
      <c r="JL4" s="42">
        <v>6.7799319999999996E-2</v>
      </c>
      <c r="JM4" s="41" t="s">
        <v>1150</v>
      </c>
      <c r="JN4" s="42">
        <v>0</v>
      </c>
      <c r="JO4" s="42">
        <v>0</v>
      </c>
      <c r="JP4" s="42">
        <v>4.5876541299999998</v>
      </c>
      <c r="JQ4" s="42">
        <v>4.5876541299999998</v>
      </c>
      <c r="JR4" s="42">
        <v>95.087949100000003</v>
      </c>
      <c r="JS4" s="42">
        <v>0</v>
      </c>
      <c r="JT4" s="42">
        <v>0</v>
      </c>
      <c r="JU4" s="41" t="s">
        <v>1151</v>
      </c>
      <c r="JV4" s="42">
        <v>12.135878699999999</v>
      </c>
      <c r="JW4" s="42">
        <v>12.135878699999999</v>
      </c>
      <c r="JX4" s="42">
        <v>0</v>
      </c>
      <c r="JY4" s="42">
        <v>0</v>
      </c>
      <c r="JZ4" s="42">
        <v>87.539724530000001</v>
      </c>
      <c r="KA4" s="42">
        <v>0</v>
      </c>
      <c r="KB4" s="42">
        <v>0</v>
      </c>
      <c r="KC4" s="41" t="s">
        <v>1151</v>
      </c>
      <c r="KD4" s="42">
        <v>1.8931810600000001</v>
      </c>
      <c r="KE4" s="42">
        <v>1.8931810600000001</v>
      </c>
      <c r="KF4" s="42">
        <v>0</v>
      </c>
      <c r="KG4" s="42">
        <v>0</v>
      </c>
      <c r="KH4" s="42">
        <v>97.782422170000004</v>
      </c>
      <c r="KI4" s="42">
        <v>0</v>
      </c>
      <c r="KJ4" s="42">
        <v>0</v>
      </c>
      <c r="KK4" s="42">
        <v>99.675603229999993</v>
      </c>
      <c r="KL4" s="42">
        <v>0.54264146000000002</v>
      </c>
      <c r="KM4" s="42">
        <v>6.7790322500000002</v>
      </c>
      <c r="KN4" s="42">
        <v>7.9404206000000004</v>
      </c>
      <c r="KO4" s="41" t="s">
        <v>1152</v>
      </c>
      <c r="KP4" s="41" t="s">
        <v>1153</v>
      </c>
      <c r="KQ4" s="41" t="s">
        <v>1154</v>
      </c>
      <c r="KR4" s="42">
        <v>24.03797243</v>
      </c>
      <c r="KS4" s="42">
        <v>99.866292150000007</v>
      </c>
      <c r="KT4" s="42">
        <v>99.688915899999998</v>
      </c>
      <c r="KU4" s="42">
        <v>6.393944934372624</v>
      </c>
      <c r="KV4" s="42">
        <v>6.8008484428060836</v>
      </c>
      <c r="KW4" s="42">
        <v>0.82619173000000001</v>
      </c>
      <c r="KX4" s="42">
        <v>74.824751739999996</v>
      </c>
      <c r="KY4" s="41"/>
      <c r="KZ4" s="42">
        <v>8.0047039699999996</v>
      </c>
      <c r="LA4" s="42">
        <v>95.147989782318959</v>
      </c>
      <c r="LB4" s="42">
        <v>7.97722851826616</v>
      </c>
      <c r="LC4" s="42">
        <v>46.99619771863118</v>
      </c>
      <c r="LD4" s="41" t="s">
        <v>1163</v>
      </c>
      <c r="LE4" s="42">
        <v>14.075572060000001</v>
      </c>
      <c r="LF4" s="42">
        <v>35.38384619</v>
      </c>
      <c r="LG4" s="42">
        <v>39.440905549999997</v>
      </c>
      <c r="LH4" s="42">
        <v>0.75959239999999995</v>
      </c>
      <c r="LI4" s="42">
        <v>2.2087779099999998</v>
      </c>
      <c r="LJ4" s="42">
        <v>7.7536224599999999</v>
      </c>
      <c r="LK4" s="42">
        <v>6.6599329999999998E-2</v>
      </c>
      <c r="LL4" s="42">
        <v>0.31108409999999997</v>
      </c>
      <c r="LM4" s="42">
        <v>5.2600117903346009</v>
      </c>
      <c r="LN4" s="42">
        <v>0.31108409999999997</v>
      </c>
      <c r="LO4" s="42">
        <v>15.545644579999999</v>
      </c>
      <c r="LP4" s="42">
        <v>76.202850720000001</v>
      </c>
      <c r="LQ4" s="42">
        <v>6.5050271799999999</v>
      </c>
      <c r="LR4" s="42">
        <v>22.07966541</v>
      </c>
      <c r="LS4" s="41" t="s">
        <v>1164</v>
      </c>
      <c r="LT4" s="42">
        <v>6.70274488</v>
      </c>
      <c r="LU4" s="42">
        <v>39.521177180000002</v>
      </c>
      <c r="LV4" s="43">
        <v>225</v>
      </c>
      <c r="LW4" s="43">
        <v>1</v>
      </c>
      <c r="LX4" s="43">
        <v>223</v>
      </c>
      <c r="LY4" s="41" t="s">
        <v>480</v>
      </c>
      <c r="LZ4" s="41" t="s">
        <v>1165</v>
      </c>
      <c r="MA4" s="44">
        <v>46203</v>
      </c>
      <c r="MB4" s="41" t="s">
        <v>1166</v>
      </c>
      <c r="MC4" s="43">
        <v>1315</v>
      </c>
      <c r="MD4" s="41" t="s">
        <v>1158</v>
      </c>
      <c r="ME4" s="41" t="s">
        <v>656</v>
      </c>
      <c r="MF4" s="42">
        <v>5.45179773</v>
      </c>
      <c r="MG4" s="42">
        <v>38.088073309999999</v>
      </c>
      <c r="MH4" s="42">
        <v>9595189883</v>
      </c>
      <c r="MI4" s="42">
        <v>8.0047039699999996</v>
      </c>
      <c r="MJ4" s="42">
        <v>95.147989782318959</v>
      </c>
      <c r="MK4" s="42">
        <v>46.99619771863118</v>
      </c>
      <c r="ML4" s="42">
        <v>6.1810047600000004</v>
      </c>
      <c r="MM4" s="41" t="s">
        <v>480</v>
      </c>
      <c r="MN4" s="42">
        <v>3.8285617099999998</v>
      </c>
      <c r="MO4" s="42">
        <v>0</v>
      </c>
      <c r="MP4" s="42">
        <v>0</v>
      </c>
      <c r="MQ4" s="42">
        <v>0</v>
      </c>
      <c r="MR4" s="42">
        <v>9.8743012500000003</v>
      </c>
      <c r="MS4" s="42">
        <v>4.2125578800000003</v>
      </c>
      <c r="MT4" s="42">
        <v>1.62278378</v>
      </c>
      <c r="MU4" s="42">
        <v>3.4025659799999999</v>
      </c>
      <c r="MV4" s="42">
        <v>17.317526829999998</v>
      </c>
      <c r="MW4" s="42">
        <v>16.990330109999999</v>
      </c>
      <c r="MX4" s="42">
        <v>15.44864553</v>
      </c>
      <c r="MY4" s="42">
        <v>0</v>
      </c>
      <c r="MZ4" s="42">
        <v>0.43069570000000001</v>
      </c>
      <c r="NA4" s="42">
        <v>0.43069570000000001</v>
      </c>
      <c r="NB4" s="42">
        <v>0</v>
      </c>
      <c r="NC4" s="42">
        <v>12.750672509999999</v>
      </c>
      <c r="ND4" s="42">
        <v>0</v>
      </c>
      <c r="NE4" s="42">
        <v>2.829972E-2</v>
      </c>
      <c r="NF4" s="42">
        <v>2.829972E-2</v>
      </c>
      <c r="NG4" s="42">
        <v>2.829972E-2</v>
      </c>
      <c r="NH4" s="42">
        <v>2.829972E-2</v>
      </c>
      <c r="NI4" s="42">
        <v>2.829972E-2</v>
      </c>
      <c r="NJ4" s="42">
        <v>2.829972E-2</v>
      </c>
      <c r="NK4" s="42">
        <v>0</v>
      </c>
      <c r="NL4" s="42">
        <v>0</v>
      </c>
      <c r="NM4" s="42">
        <v>0</v>
      </c>
      <c r="NN4" s="42">
        <v>0</v>
      </c>
      <c r="NO4" s="42">
        <v>0</v>
      </c>
      <c r="NP4" s="42">
        <v>0</v>
      </c>
      <c r="NQ4" s="42">
        <v>0.49199507999999997</v>
      </c>
      <c r="NR4" s="42">
        <v>9.5168048400000007</v>
      </c>
      <c r="NS4" s="42">
        <v>7.9021209800000003</v>
      </c>
      <c r="NT4" s="42">
        <v>0.78539214999999996</v>
      </c>
      <c r="NU4" s="42">
        <v>1.3739862599999999</v>
      </c>
      <c r="NV4" s="42">
        <v>3.2148678500000001</v>
      </c>
      <c r="NW4" s="42">
        <v>0</v>
      </c>
      <c r="NX4" s="42">
        <v>6.17193828</v>
      </c>
      <c r="NY4" s="42">
        <v>2.5006749799999999</v>
      </c>
      <c r="NZ4" s="42">
        <v>0.76409234999999998</v>
      </c>
      <c r="OA4" s="42">
        <v>0</v>
      </c>
      <c r="OB4" s="42">
        <v>0</v>
      </c>
      <c r="OC4" s="42">
        <v>1.3555864500000001</v>
      </c>
      <c r="OD4" s="42">
        <v>1.3185868199999999</v>
      </c>
      <c r="OE4" s="42">
        <v>0.70209297999999998</v>
      </c>
      <c r="OF4" s="42">
        <v>0.70209297999999998</v>
      </c>
      <c r="OG4" s="42">
        <v>0</v>
      </c>
      <c r="OH4" s="42">
        <v>11.63388368</v>
      </c>
      <c r="OI4" s="42">
        <v>1.49328507</v>
      </c>
      <c r="OJ4" s="42">
        <v>4.5107549000000002</v>
      </c>
      <c r="OK4" s="42">
        <v>0</v>
      </c>
      <c r="OL4" s="42">
        <v>7.8171218400000004</v>
      </c>
      <c r="OM4" s="42">
        <v>63.847361589999998</v>
      </c>
      <c r="ON4" s="42">
        <v>0</v>
      </c>
      <c r="OO4" s="42">
        <v>3.5962640499999998</v>
      </c>
      <c r="OP4" s="42">
        <v>0</v>
      </c>
      <c r="OQ4" s="42">
        <v>0</v>
      </c>
      <c r="OR4" s="42">
        <v>0</v>
      </c>
      <c r="OS4" s="42">
        <v>6.17193828</v>
      </c>
      <c r="OT4" s="42">
        <v>11.784682139999999</v>
      </c>
      <c r="OU4" s="42">
        <v>5.0355496400000002</v>
      </c>
      <c r="OV4" s="42">
        <v>4.1311586900000004</v>
      </c>
      <c r="OW4" s="42">
        <v>4.2989570099999996</v>
      </c>
      <c r="OX4" s="42">
        <v>5.0553494399999996</v>
      </c>
      <c r="OY4" s="42">
        <v>4.3708562799999999</v>
      </c>
      <c r="OZ4" s="42">
        <v>3.4685653099999998</v>
      </c>
      <c r="PA4" s="42">
        <v>3.4685653099999998</v>
      </c>
      <c r="PB4" s="42">
        <v>3.6999629999999999E-2</v>
      </c>
      <c r="PC4" s="42">
        <v>0</v>
      </c>
      <c r="PD4" s="42">
        <v>0</v>
      </c>
      <c r="PE4" s="42">
        <v>5.0496495000000001</v>
      </c>
      <c r="PF4" s="42">
        <v>0</v>
      </c>
      <c r="PG4" s="42">
        <v>0</v>
      </c>
      <c r="PH4" s="42">
        <v>0</v>
      </c>
      <c r="PI4" s="42">
        <v>0</v>
      </c>
      <c r="PJ4" s="42">
        <v>0</v>
      </c>
      <c r="PK4" s="42">
        <v>0</v>
      </c>
      <c r="PL4" s="42">
        <v>0</v>
      </c>
      <c r="PM4" s="42">
        <v>17.122928779999999</v>
      </c>
      <c r="PN4" s="42">
        <v>5.2160478299999999</v>
      </c>
      <c r="PO4" s="42">
        <v>2.68447316</v>
      </c>
      <c r="PP4" s="42">
        <v>2.1073789299999999</v>
      </c>
      <c r="PQ4" s="42">
        <v>6.5224347800000002</v>
      </c>
      <c r="PR4" s="42">
        <v>3.5962640499999998</v>
      </c>
      <c r="PS4" s="42">
        <v>1.894125E-2</v>
      </c>
      <c r="PT4" s="42">
        <v>1.72977238</v>
      </c>
      <c r="PU4" s="42">
        <v>1.37425563</v>
      </c>
      <c r="PV4" s="42">
        <v>4.2421300000000002E-3</v>
      </c>
      <c r="PW4" s="42">
        <v>2.3255270000000001E-2</v>
      </c>
      <c r="PX4" s="42">
        <v>0.15267826000000001</v>
      </c>
      <c r="PY4" s="42">
        <v>0.20001917999999999</v>
      </c>
      <c r="PZ4" s="42">
        <v>4.3846570000000001E-2</v>
      </c>
      <c r="QA4" s="42">
        <v>19.494305059999999</v>
      </c>
      <c r="QB4" s="42">
        <v>0.99229007000000002</v>
      </c>
      <c r="QC4" s="42">
        <v>0</v>
      </c>
      <c r="QD4" s="42">
        <v>0</v>
      </c>
      <c r="QE4" s="42">
        <v>0</v>
      </c>
      <c r="QF4" s="42">
        <v>1.48058519</v>
      </c>
      <c r="QG4" s="42">
        <v>4.7569524200000002</v>
      </c>
      <c r="QH4" s="42">
        <v>0</v>
      </c>
      <c r="QI4" s="42">
        <v>0</v>
      </c>
      <c r="QJ4" s="42">
        <v>0</v>
      </c>
      <c r="QK4" s="42">
        <v>10.21889782</v>
      </c>
    </row>
    <row r="5" spans="1:453" x14ac:dyDescent="0.35">
      <c r="A5" s="41" t="s">
        <v>543</v>
      </c>
      <c r="B5" s="41" t="s">
        <v>544</v>
      </c>
      <c r="C5" s="41" t="s">
        <v>545</v>
      </c>
      <c r="D5" s="41" t="s">
        <v>536</v>
      </c>
      <c r="E5" s="41" t="s">
        <v>545</v>
      </c>
      <c r="F5" s="41" t="s">
        <v>1167</v>
      </c>
      <c r="G5" s="41" t="s">
        <v>546</v>
      </c>
      <c r="H5" s="42">
        <v>111.51933579999999</v>
      </c>
      <c r="I5" s="42">
        <v>98.92800536</v>
      </c>
      <c r="J5" s="42">
        <v>635.90783245</v>
      </c>
      <c r="K5" s="42">
        <v>98.92800536</v>
      </c>
      <c r="L5" s="42">
        <v>747.51033371000005</v>
      </c>
      <c r="M5" s="42">
        <v>98.92800536</v>
      </c>
      <c r="N5" s="42">
        <v>111.60250127</v>
      </c>
      <c r="O5" s="42">
        <v>98.92800536</v>
      </c>
      <c r="P5" s="42">
        <v>33.393733040000001</v>
      </c>
      <c r="Q5" s="42">
        <v>9.6972177199999994</v>
      </c>
      <c r="R5" s="42">
        <v>1.64300355</v>
      </c>
      <c r="S5" s="42">
        <v>0.16943041</v>
      </c>
      <c r="T5" s="42">
        <v>33.393733040000001</v>
      </c>
      <c r="U5" s="42">
        <v>9.3261997300000008</v>
      </c>
      <c r="V5" s="42">
        <v>0</v>
      </c>
      <c r="W5" s="42">
        <v>222.02592494000001</v>
      </c>
      <c r="X5" s="42">
        <v>98.92800536</v>
      </c>
      <c r="Y5" s="42">
        <v>1639.36405902</v>
      </c>
      <c r="Z5" s="42">
        <v>98.92800536</v>
      </c>
      <c r="AA5" s="42">
        <v>1901.9426760399999</v>
      </c>
      <c r="AB5" s="42">
        <v>98.92800536</v>
      </c>
      <c r="AC5" s="42">
        <v>262.57918605999998</v>
      </c>
      <c r="AD5" s="42">
        <v>98.92800536</v>
      </c>
      <c r="AE5" s="42">
        <v>202.59174264999999</v>
      </c>
      <c r="AF5" s="42">
        <v>8.6145769999999997E-2</v>
      </c>
      <c r="AG5" s="42">
        <v>8101.2883893099997</v>
      </c>
      <c r="AH5" s="42">
        <v>20244.43976084</v>
      </c>
      <c r="AI5" s="42">
        <v>3403.8603520699999</v>
      </c>
      <c r="AJ5" s="42">
        <v>16.26551868</v>
      </c>
      <c r="AK5" s="42">
        <v>25.678971600000001</v>
      </c>
      <c r="AL5" s="41" t="s">
        <v>1168</v>
      </c>
      <c r="AM5" s="42">
        <v>98.179209099999994</v>
      </c>
      <c r="AN5" s="42">
        <v>26.476967609999999</v>
      </c>
      <c r="AO5" s="42">
        <v>29.757751209999999</v>
      </c>
      <c r="AP5" s="41">
        <v>4</v>
      </c>
      <c r="AQ5" s="42">
        <v>43.992780060000001</v>
      </c>
      <c r="AR5" s="42">
        <v>50.145949280000004</v>
      </c>
      <c r="AS5" s="42">
        <v>85.829670849999999</v>
      </c>
      <c r="AT5" s="42">
        <v>8.3554909800000008</v>
      </c>
      <c r="AU5" s="42">
        <v>24.494777540000001</v>
      </c>
      <c r="AV5" s="42">
        <v>98.92800536</v>
      </c>
      <c r="AW5" s="42">
        <v>0</v>
      </c>
      <c r="AX5" s="42">
        <v>1.6849915799999999</v>
      </c>
      <c r="AY5" s="42">
        <v>0</v>
      </c>
      <c r="AZ5" s="42">
        <v>0</v>
      </c>
      <c r="BA5" s="42">
        <v>7.2398638000000002</v>
      </c>
      <c r="BB5" s="42">
        <v>14.23222882</v>
      </c>
      <c r="BC5" s="42">
        <v>0.74879625999999999</v>
      </c>
      <c r="BD5" s="42">
        <v>0</v>
      </c>
      <c r="BE5" s="42">
        <v>8.95785521</v>
      </c>
      <c r="BF5" s="42">
        <v>3.7128814399999999</v>
      </c>
      <c r="BG5" s="42">
        <v>0</v>
      </c>
      <c r="BH5" s="42">
        <v>6.9084699999999999E-3</v>
      </c>
      <c r="BI5" s="42">
        <v>0</v>
      </c>
      <c r="BJ5" s="42">
        <v>0</v>
      </c>
      <c r="BK5" s="42">
        <v>0.16030580999999999</v>
      </c>
      <c r="BL5" s="42">
        <v>1.2972207</v>
      </c>
      <c r="BM5" s="42">
        <v>0.15552498000000001</v>
      </c>
      <c r="BN5" s="42">
        <v>0</v>
      </c>
      <c r="BO5" s="42">
        <v>0.59564748000000001</v>
      </c>
      <c r="BP5" s="42">
        <v>0.17360305000000001</v>
      </c>
      <c r="BQ5" s="42">
        <v>0.88784436</v>
      </c>
      <c r="BR5" s="42">
        <v>1.314095E-2</v>
      </c>
      <c r="BS5" s="42">
        <v>1.4966328</v>
      </c>
      <c r="BT5" s="42">
        <v>8.4622379999999997E-2</v>
      </c>
      <c r="BU5" s="42">
        <v>2.7938535</v>
      </c>
      <c r="BV5" s="42">
        <v>0.71625601000000005</v>
      </c>
      <c r="BW5" s="42">
        <v>23.041684799999999</v>
      </c>
      <c r="BX5" s="42">
        <v>6.9370653100000004</v>
      </c>
      <c r="BY5" s="42">
        <v>31.99954001</v>
      </c>
      <c r="BZ5" s="42">
        <v>0.36349818</v>
      </c>
      <c r="CA5" s="42">
        <v>43.606981959999999</v>
      </c>
      <c r="CB5" s="42">
        <v>2.1671891400000001</v>
      </c>
      <c r="CC5" s="42">
        <v>0.17551752000000001</v>
      </c>
      <c r="CD5" s="42">
        <v>8.4622379999999997E-2</v>
      </c>
      <c r="CE5" s="42">
        <v>0.72976523999999998</v>
      </c>
      <c r="CF5" s="42"/>
      <c r="CG5" s="42">
        <v>84.756276220000004</v>
      </c>
      <c r="CH5" s="42">
        <v>19.108604440000001</v>
      </c>
      <c r="CI5" s="42">
        <v>0</v>
      </c>
      <c r="CJ5" s="42">
        <v>53.738531309999999</v>
      </c>
      <c r="CK5" s="42">
        <v>13.348133260000001</v>
      </c>
      <c r="CL5" s="42">
        <v>14.963425190000001</v>
      </c>
      <c r="CM5" s="42">
        <v>0.82359587999999995</v>
      </c>
      <c r="CN5" s="42">
        <v>9.1533542400000005</v>
      </c>
      <c r="CO5" s="42">
        <v>0.60929694999999995</v>
      </c>
      <c r="CP5" s="42">
        <v>25.278573609999999</v>
      </c>
      <c r="CQ5" s="42">
        <v>1.6437917799999999</v>
      </c>
      <c r="CR5" s="42">
        <v>38.774106099999997</v>
      </c>
      <c r="CS5" s="42">
        <v>23.08808458</v>
      </c>
      <c r="CT5" s="42">
        <v>35.422022900000002</v>
      </c>
      <c r="CU5" s="42">
        <v>69.296853519999999</v>
      </c>
      <c r="CV5" s="42">
        <v>36.641316789999998</v>
      </c>
      <c r="CW5" s="42">
        <v>4.21847891</v>
      </c>
      <c r="CX5" s="42">
        <v>17.089014550000002</v>
      </c>
      <c r="CY5" s="42">
        <v>35.752621240000003</v>
      </c>
      <c r="CZ5" s="42">
        <v>96.611316939999995</v>
      </c>
      <c r="DA5" s="42">
        <v>21.689591549999999</v>
      </c>
      <c r="DB5" s="42">
        <v>59.502202490000002</v>
      </c>
      <c r="DC5" s="42">
        <v>39.425802869999998</v>
      </c>
      <c r="DD5" s="42">
        <v>0</v>
      </c>
      <c r="DE5" s="42">
        <v>41.231693829999998</v>
      </c>
      <c r="DF5" s="42">
        <v>98.92800536</v>
      </c>
      <c r="DG5" s="42">
        <v>4.8276059299999998</v>
      </c>
      <c r="DH5" s="42">
        <v>98.92800536</v>
      </c>
      <c r="DI5" s="42">
        <v>58.510107480000002</v>
      </c>
      <c r="DJ5" s="42">
        <v>40.417897879999998</v>
      </c>
      <c r="DK5" s="42">
        <v>2.3166884200000002</v>
      </c>
      <c r="DL5" s="42">
        <v>10.49554753</v>
      </c>
      <c r="DM5" s="42">
        <v>56.586817050000001</v>
      </c>
      <c r="DN5" s="42">
        <v>10.50854747</v>
      </c>
      <c r="DO5" s="42">
        <v>21.33709331</v>
      </c>
      <c r="DP5" s="42">
        <v>0</v>
      </c>
      <c r="DQ5" s="42">
        <v>5.0220343700000001</v>
      </c>
      <c r="DR5" s="42">
        <v>98.92800536</v>
      </c>
      <c r="DS5" s="42">
        <v>24.46697765</v>
      </c>
      <c r="DT5" s="42">
        <v>61.739591300000001</v>
      </c>
      <c r="DU5" s="42">
        <v>7.9416602999999997</v>
      </c>
      <c r="DV5" s="42">
        <v>0</v>
      </c>
      <c r="DW5" s="42">
        <v>68.985155070000005</v>
      </c>
      <c r="DX5" s="42">
        <v>18.467507659999999</v>
      </c>
      <c r="DY5" s="42">
        <v>33.79493102</v>
      </c>
      <c r="DZ5" s="42">
        <v>38.14900926</v>
      </c>
      <c r="EA5" s="42">
        <v>65.853170739999996</v>
      </c>
      <c r="EB5" s="42">
        <v>1.88249059</v>
      </c>
      <c r="EC5" s="42">
        <v>5.2422047899999997</v>
      </c>
      <c r="ED5" s="42">
        <v>5.5617252600000002</v>
      </c>
      <c r="EE5" s="42">
        <v>10.723946379999999</v>
      </c>
      <c r="EF5" s="42">
        <v>1.88249059</v>
      </c>
      <c r="EG5" s="42">
        <v>55.301423509999999</v>
      </c>
      <c r="EH5" s="42">
        <v>4.4562765300000002</v>
      </c>
      <c r="EI5" s="42">
        <v>37.222113909999997</v>
      </c>
      <c r="EJ5" s="42">
        <v>16.938815330000001</v>
      </c>
      <c r="EK5" s="42">
        <v>46.385968069999997</v>
      </c>
      <c r="EL5" s="42">
        <v>35.603221959999999</v>
      </c>
      <c r="EM5" s="42">
        <v>29.944150279999999</v>
      </c>
      <c r="EN5" s="42">
        <v>30.517947419999999</v>
      </c>
      <c r="EO5" s="42">
        <v>2250558.21847439</v>
      </c>
      <c r="EP5" s="42">
        <v>62.163289169999999</v>
      </c>
      <c r="EQ5" s="42">
        <v>1579847.37935074</v>
      </c>
      <c r="ER5" s="42">
        <v>88.790956039999998</v>
      </c>
      <c r="ES5" s="42">
        <v>13.79793102</v>
      </c>
      <c r="ET5" s="42">
        <v>41.55529224</v>
      </c>
      <c r="EU5" s="42">
        <v>31.384343099999999</v>
      </c>
      <c r="EV5" s="42">
        <v>72.003539979999999</v>
      </c>
      <c r="EW5" s="42">
        <v>24.758376219999999</v>
      </c>
      <c r="EX5" s="42">
        <v>26.380868100000001</v>
      </c>
      <c r="EY5" s="42">
        <v>0</v>
      </c>
      <c r="EZ5" s="42">
        <v>29.73835133</v>
      </c>
      <c r="FA5" s="42">
        <v>98.92800536</v>
      </c>
      <c r="FB5" s="42">
        <v>97.243013779999998</v>
      </c>
      <c r="FC5" s="42">
        <v>62.324088410000002</v>
      </c>
      <c r="FD5" s="42">
        <v>88.753656230000004</v>
      </c>
      <c r="FE5" s="41" t="s">
        <v>1151</v>
      </c>
      <c r="FF5" s="42">
        <v>17.178614110000002</v>
      </c>
      <c r="FG5" s="42">
        <v>17.178614110000002</v>
      </c>
      <c r="FH5" s="42">
        <v>1.88249059</v>
      </c>
      <c r="FI5" s="42">
        <v>1.88249059</v>
      </c>
      <c r="FJ5" s="42">
        <v>79.866900659999999</v>
      </c>
      <c r="FK5" s="42">
        <v>0</v>
      </c>
      <c r="FL5" s="42">
        <v>0</v>
      </c>
      <c r="FM5" s="41" t="s">
        <v>1150</v>
      </c>
      <c r="FN5" s="42">
        <v>1.0802946</v>
      </c>
      <c r="FO5" s="42">
        <v>1.0802946</v>
      </c>
      <c r="FP5" s="42">
        <v>8.4045579799999999</v>
      </c>
      <c r="FQ5" s="42">
        <v>8.4045579799999999</v>
      </c>
      <c r="FR5" s="42">
        <v>89.443152780000005</v>
      </c>
      <c r="FS5" s="42">
        <v>0</v>
      </c>
      <c r="FT5" s="42">
        <v>0</v>
      </c>
      <c r="FU5" s="41" t="s">
        <v>1150</v>
      </c>
      <c r="FV5" s="42">
        <v>0</v>
      </c>
      <c r="FW5" s="42">
        <v>0</v>
      </c>
      <c r="FX5" s="42">
        <v>8.4045579799999999</v>
      </c>
      <c r="FY5" s="42">
        <v>0</v>
      </c>
      <c r="FZ5" s="42">
        <v>90.523447379999993</v>
      </c>
      <c r="GA5" s="42">
        <v>0</v>
      </c>
      <c r="GB5" s="42">
        <v>8.4045579799999999</v>
      </c>
      <c r="GC5" s="41" t="s">
        <v>1150</v>
      </c>
      <c r="GD5" s="42">
        <v>0</v>
      </c>
      <c r="GE5" s="42">
        <v>0</v>
      </c>
      <c r="GF5" s="42">
        <v>0</v>
      </c>
      <c r="GG5" s="42">
        <v>0</v>
      </c>
      <c r="GH5" s="42">
        <v>98.92800536</v>
      </c>
      <c r="GI5" s="42">
        <v>0</v>
      </c>
      <c r="GJ5" s="42">
        <v>0</v>
      </c>
      <c r="GK5" s="41" t="s">
        <v>1151</v>
      </c>
      <c r="GL5" s="42">
        <v>46.848065779999999</v>
      </c>
      <c r="GM5" s="42">
        <v>46.848065779999999</v>
      </c>
      <c r="GN5" s="42">
        <v>0</v>
      </c>
      <c r="GO5" s="42">
        <v>0</v>
      </c>
      <c r="GP5" s="42">
        <v>52.079939580000001</v>
      </c>
      <c r="GQ5" s="42">
        <v>0</v>
      </c>
      <c r="GR5" s="42">
        <v>0</v>
      </c>
      <c r="GS5" s="41" t="s">
        <v>1150</v>
      </c>
      <c r="GT5" s="42">
        <v>9.0888545599999997</v>
      </c>
      <c r="GU5" s="42">
        <v>11.256043699999999</v>
      </c>
      <c r="GV5" s="42">
        <v>8.4045579799999999</v>
      </c>
      <c r="GW5" s="42">
        <v>0</v>
      </c>
      <c r="GX5" s="42">
        <v>79.267403680000001</v>
      </c>
      <c r="GY5" s="42">
        <v>2.1671891400000001</v>
      </c>
      <c r="GZ5" s="42">
        <v>8.4045579799999999</v>
      </c>
      <c r="HA5" s="41" t="s">
        <v>1150</v>
      </c>
      <c r="HB5" s="42">
        <v>39.43600283</v>
      </c>
      <c r="HC5" s="42">
        <v>41.318493420000003</v>
      </c>
      <c r="HD5" s="42">
        <v>10.85904571</v>
      </c>
      <c r="HE5" s="42">
        <v>0</v>
      </c>
      <c r="HF5" s="42">
        <v>46.750466230000001</v>
      </c>
      <c r="HG5" s="42">
        <v>1.88249059</v>
      </c>
      <c r="HH5" s="42">
        <v>10.85904571</v>
      </c>
      <c r="HI5" s="41" t="s">
        <v>1150</v>
      </c>
      <c r="HJ5" s="42">
        <v>24.838475819999999</v>
      </c>
      <c r="HK5" s="42">
        <v>24.838475819999999</v>
      </c>
      <c r="HL5" s="42">
        <v>8.4045579799999999</v>
      </c>
      <c r="HM5" s="42">
        <v>0</v>
      </c>
      <c r="HN5" s="42">
        <v>65.684971559999994</v>
      </c>
      <c r="HO5" s="42">
        <v>0</v>
      </c>
      <c r="HP5" s="42">
        <v>8.4045579799999999</v>
      </c>
      <c r="HQ5" s="41" t="s">
        <v>1151</v>
      </c>
      <c r="HR5" s="42">
        <v>36.628016879999997</v>
      </c>
      <c r="HS5" s="42">
        <v>36.628016879999997</v>
      </c>
      <c r="HT5" s="42">
        <v>8.4045579799999999</v>
      </c>
      <c r="HU5" s="42">
        <v>8.4045579799999999</v>
      </c>
      <c r="HV5" s="42">
        <v>53.895430500000003</v>
      </c>
      <c r="HW5" s="42">
        <v>0</v>
      </c>
      <c r="HX5" s="42">
        <v>0</v>
      </c>
      <c r="HY5" s="41" t="s">
        <v>1151</v>
      </c>
      <c r="HZ5" s="42">
        <v>68.068259639999994</v>
      </c>
      <c r="IA5" s="42">
        <v>68.068259639999994</v>
      </c>
      <c r="IB5" s="42">
        <v>0</v>
      </c>
      <c r="IC5" s="42">
        <v>0</v>
      </c>
      <c r="ID5" s="42">
        <v>30.859745719999999</v>
      </c>
      <c r="IE5" s="42">
        <v>0</v>
      </c>
      <c r="IF5" s="42">
        <v>0</v>
      </c>
      <c r="IG5" s="41" t="s">
        <v>1150</v>
      </c>
      <c r="IH5" s="42">
        <v>1.5650921799999999</v>
      </c>
      <c r="II5" s="42">
        <v>1.5650921799999999</v>
      </c>
      <c r="IJ5" s="42">
        <v>10.28704857</v>
      </c>
      <c r="IK5" s="42">
        <v>1.88249059</v>
      </c>
      <c r="IL5" s="42">
        <v>87.075864609999996</v>
      </c>
      <c r="IM5" s="42">
        <v>0</v>
      </c>
      <c r="IN5" s="42">
        <v>8.4045579799999999</v>
      </c>
      <c r="IO5" s="41" t="s">
        <v>1150</v>
      </c>
      <c r="IP5" s="42">
        <v>12.42583788</v>
      </c>
      <c r="IQ5" s="42">
        <v>14.593027019999999</v>
      </c>
      <c r="IR5" s="42">
        <v>19.26360369</v>
      </c>
      <c r="IS5" s="42">
        <v>0</v>
      </c>
      <c r="IT5" s="42">
        <v>65.071374649999996</v>
      </c>
      <c r="IU5" s="42">
        <v>2.1671891400000001</v>
      </c>
      <c r="IV5" s="42">
        <v>19.26360369</v>
      </c>
      <c r="IW5" s="41" t="s">
        <v>1150</v>
      </c>
      <c r="IX5" s="42">
        <v>39.67160166</v>
      </c>
      <c r="IY5" s="42">
        <v>41.554092249999997</v>
      </c>
      <c r="IZ5" s="42">
        <v>10.85904571</v>
      </c>
      <c r="JA5" s="42">
        <v>0</v>
      </c>
      <c r="JB5" s="42">
        <v>46.5148674</v>
      </c>
      <c r="JC5" s="42">
        <v>1.88249059</v>
      </c>
      <c r="JD5" s="42">
        <v>10.85904571</v>
      </c>
      <c r="JE5" s="41" t="s">
        <v>1150</v>
      </c>
      <c r="JF5" s="42">
        <v>2.1671891400000001</v>
      </c>
      <c r="JG5" s="42">
        <v>2.1671891400000001</v>
      </c>
      <c r="JH5" s="42">
        <v>8.9633551899999997</v>
      </c>
      <c r="JI5" s="42">
        <v>0.55879721000000004</v>
      </c>
      <c r="JJ5" s="42">
        <v>87.797461029999994</v>
      </c>
      <c r="JK5" s="42">
        <v>0</v>
      </c>
      <c r="JL5" s="42">
        <v>8.4045579799999999</v>
      </c>
      <c r="JM5" s="41" t="s">
        <v>1150</v>
      </c>
      <c r="JN5" s="42">
        <v>0</v>
      </c>
      <c r="JO5" s="42">
        <v>0</v>
      </c>
      <c r="JP5" s="42">
        <v>10.845845779999999</v>
      </c>
      <c r="JQ5" s="42">
        <v>2.4412878</v>
      </c>
      <c r="JR5" s="42">
        <v>88.082159579999995</v>
      </c>
      <c r="JS5" s="42">
        <v>0</v>
      </c>
      <c r="JT5" s="42">
        <v>8.4045579799999999</v>
      </c>
      <c r="JU5" s="41" t="s">
        <v>1151</v>
      </c>
      <c r="JV5" s="42">
        <v>15.98572008</v>
      </c>
      <c r="JW5" s="42">
        <v>15.98572008</v>
      </c>
      <c r="JX5" s="42">
        <v>0</v>
      </c>
      <c r="JY5" s="42">
        <v>0</v>
      </c>
      <c r="JZ5" s="42">
        <v>82.942285279999993</v>
      </c>
      <c r="KA5" s="42">
        <v>0</v>
      </c>
      <c r="KB5" s="42">
        <v>0</v>
      </c>
      <c r="KC5" s="41" t="s">
        <v>1151</v>
      </c>
      <c r="KD5" s="42">
        <v>13.043034799999999</v>
      </c>
      <c r="KE5" s="42">
        <v>13.043034799999999</v>
      </c>
      <c r="KF5" s="42">
        <v>0</v>
      </c>
      <c r="KG5" s="42">
        <v>0</v>
      </c>
      <c r="KH5" s="42">
        <v>85.884970559999999</v>
      </c>
      <c r="KI5" s="42">
        <v>0</v>
      </c>
      <c r="KJ5" s="42">
        <v>0</v>
      </c>
      <c r="KK5" s="42">
        <v>98.92800536</v>
      </c>
      <c r="KL5" s="42">
        <v>9.5229279999999999E-2</v>
      </c>
      <c r="KM5" s="42">
        <v>1.6211918999999999</v>
      </c>
      <c r="KN5" s="42">
        <v>13.752431250000001</v>
      </c>
      <c r="KO5" s="41" t="s">
        <v>1152</v>
      </c>
      <c r="KP5" s="41" t="s">
        <v>1153</v>
      </c>
      <c r="KQ5" s="41" t="s">
        <v>1154</v>
      </c>
      <c r="KR5" s="42">
        <v>74.818172110000006</v>
      </c>
      <c r="KS5" s="42">
        <v>99.406973550000004</v>
      </c>
      <c r="KT5" s="42">
        <v>99.014151130000002</v>
      </c>
      <c r="KU5" s="42">
        <v>5.4686988815714281</v>
      </c>
      <c r="KV5" s="42">
        <v>4.9980012567142857</v>
      </c>
      <c r="KW5" s="42">
        <v>2.77048614</v>
      </c>
      <c r="KX5" s="42">
        <v>21.42549288</v>
      </c>
      <c r="KY5" s="41"/>
      <c r="KZ5" s="42">
        <v>5.8740287899999997</v>
      </c>
      <c r="LA5" s="42">
        <v>30.522545535317636</v>
      </c>
      <c r="LB5" s="42">
        <v>5.8035851675714287</v>
      </c>
      <c r="LC5" s="42">
        <v>70</v>
      </c>
      <c r="LD5" s="41" t="s">
        <v>461</v>
      </c>
      <c r="LE5" s="42">
        <v>33.103680679999997</v>
      </c>
      <c r="LF5" s="42">
        <v>16.26551868</v>
      </c>
      <c r="LG5" s="42">
        <v>5.1599741999999997</v>
      </c>
      <c r="LH5" s="42">
        <v>2.12718936</v>
      </c>
      <c r="LI5" s="42">
        <v>15.51972239</v>
      </c>
      <c r="LJ5" s="42">
        <v>26.194769040000001</v>
      </c>
      <c r="LK5" s="42">
        <v>0.64329678000000001</v>
      </c>
      <c r="LL5" s="42">
        <v>0.98584886999999999</v>
      </c>
      <c r="LM5" s="42">
        <v>5.087872569</v>
      </c>
      <c r="LN5" s="42">
        <v>0.98584886999999999</v>
      </c>
      <c r="LO5" s="42">
        <v>18.144109289999999</v>
      </c>
      <c r="LP5" s="42">
        <v>67.117610589999998</v>
      </c>
      <c r="LQ5" s="42">
        <v>5.6611884100000003</v>
      </c>
      <c r="LR5" s="42">
        <v>24.28071615</v>
      </c>
      <c r="LS5" s="41" t="s">
        <v>1169</v>
      </c>
      <c r="LT5" s="42">
        <v>4.8199497300000003</v>
      </c>
      <c r="LU5" s="42">
        <v>34.758041310000003</v>
      </c>
      <c r="LV5" s="43">
        <v>44</v>
      </c>
      <c r="LW5" s="43">
        <v>1</v>
      </c>
      <c r="LX5" s="43">
        <v>42</v>
      </c>
      <c r="LY5" s="41" t="s">
        <v>480</v>
      </c>
      <c r="LZ5" s="41" t="s">
        <v>1170</v>
      </c>
      <c r="MA5" s="44">
        <v>46203</v>
      </c>
      <c r="MB5" s="41" t="s">
        <v>1171</v>
      </c>
      <c r="MC5" s="43">
        <v>70</v>
      </c>
      <c r="MD5" s="41" t="s">
        <v>1158</v>
      </c>
      <c r="ME5" s="41" t="s">
        <v>544</v>
      </c>
      <c r="MF5" s="42">
        <v>5.0512137199999998</v>
      </c>
      <c r="MG5" s="42">
        <v>39.975393680000003</v>
      </c>
      <c r="MH5" s="42">
        <v>3739343853</v>
      </c>
      <c r="MI5" s="42">
        <v>5.8740287899999997</v>
      </c>
      <c r="MJ5" s="42">
        <v>30.522545535317636</v>
      </c>
      <c r="MK5" s="42">
        <v>70</v>
      </c>
      <c r="ML5" s="42">
        <v>5.1196114100000001</v>
      </c>
      <c r="MM5" s="41" t="s">
        <v>480</v>
      </c>
      <c r="MN5" s="42">
        <v>9.3024534800000005</v>
      </c>
      <c r="MO5" s="42">
        <v>0</v>
      </c>
      <c r="MP5" s="42">
        <v>0</v>
      </c>
      <c r="MQ5" s="42">
        <v>0</v>
      </c>
      <c r="MR5" s="42">
        <v>13.96933014</v>
      </c>
      <c r="MS5" s="42">
        <v>4.3908780399999996</v>
      </c>
      <c r="MT5" s="42">
        <v>2.1295893499999998</v>
      </c>
      <c r="MU5" s="42">
        <v>2.1295893499999998</v>
      </c>
      <c r="MV5" s="42">
        <v>0</v>
      </c>
      <c r="MW5" s="42">
        <v>0</v>
      </c>
      <c r="MX5" s="42">
        <v>0</v>
      </c>
      <c r="MY5" s="42">
        <v>0</v>
      </c>
      <c r="MZ5" s="42">
        <v>0</v>
      </c>
      <c r="NA5" s="42">
        <v>0</v>
      </c>
      <c r="NB5" s="42">
        <v>0</v>
      </c>
      <c r="NC5" s="42">
        <v>13.702231490000001</v>
      </c>
      <c r="ND5" s="42">
        <v>0</v>
      </c>
      <c r="NE5" s="42">
        <v>0</v>
      </c>
      <c r="NF5" s="42">
        <v>0</v>
      </c>
      <c r="NG5" s="42">
        <v>0</v>
      </c>
      <c r="NH5" s="42">
        <v>0</v>
      </c>
      <c r="NI5" s="42">
        <v>0</v>
      </c>
      <c r="NJ5" s="42">
        <v>0</v>
      </c>
      <c r="NK5" s="42">
        <v>0</v>
      </c>
      <c r="NL5" s="42">
        <v>0</v>
      </c>
      <c r="NM5" s="42">
        <v>0</v>
      </c>
      <c r="NN5" s="42">
        <v>0</v>
      </c>
      <c r="NO5" s="42">
        <v>0</v>
      </c>
      <c r="NP5" s="42">
        <v>0</v>
      </c>
      <c r="NQ5" s="42">
        <v>8.4045579799999999</v>
      </c>
      <c r="NR5" s="42">
        <v>0</v>
      </c>
      <c r="NS5" s="42">
        <v>0</v>
      </c>
      <c r="NT5" s="42">
        <v>0</v>
      </c>
      <c r="NU5" s="42">
        <v>0</v>
      </c>
      <c r="NV5" s="42">
        <v>8.8028559899999994</v>
      </c>
      <c r="NW5" s="42">
        <v>0</v>
      </c>
      <c r="NX5" s="42">
        <v>11.13884431</v>
      </c>
      <c r="NY5" s="42">
        <v>0</v>
      </c>
      <c r="NZ5" s="42">
        <v>0</v>
      </c>
      <c r="OA5" s="42">
        <v>0</v>
      </c>
      <c r="OB5" s="42">
        <v>0</v>
      </c>
      <c r="OC5" s="42">
        <v>0</v>
      </c>
      <c r="OD5" s="42">
        <v>0</v>
      </c>
      <c r="OE5" s="42">
        <v>0</v>
      </c>
      <c r="OF5" s="42">
        <v>0</v>
      </c>
      <c r="OG5" s="42">
        <v>8.4045579799999999</v>
      </c>
      <c r="OH5" s="42">
        <v>28.724256400000002</v>
      </c>
      <c r="OI5" s="42">
        <v>0</v>
      </c>
      <c r="OJ5" s="42">
        <v>0.55879721000000004</v>
      </c>
      <c r="OK5" s="42">
        <v>8.4045579799999999</v>
      </c>
      <c r="OL5" s="42">
        <v>18.228708869999998</v>
      </c>
      <c r="OM5" s="42">
        <v>64.014879919999998</v>
      </c>
      <c r="ON5" s="42">
        <v>0</v>
      </c>
      <c r="OO5" s="42">
        <v>16.346218279999999</v>
      </c>
      <c r="OP5" s="42">
        <v>0</v>
      </c>
      <c r="OQ5" s="42">
        <v>0</v>
      </c>
      <c r="OR5" s="42">
        <v>0</v>
      </c>
      <c r="OS5" s="42">
        <v>11.13884431</v>
      </c>
      <c r="OT5" s="42">
        <v>1.88249059</v>
      </c>
      <c r="OU5" s="42">
        <v>1.88249059</v>
      </c>
      <c r="OV5" s="42">
        <v>0</v>
      </c>
      <c r="OW5" s="42">
        <v>1.88249059</v>
      </c>
      <c r="OX5" s="42">
        <v>0</v>
      </c>
      <c r="OY5" s="42">
        <v>0</v>
      </c>
      <c r="OZ5" s="42">
        <v>0</v>
      </c>
      <c r="PA5" s="42">
        <v>0</v>
      </c>
      <c r="PB5" s="42">
        <v>0</v>
      </c>
      <c r="PC5" s="42">
        <v>0</v>
      </c>
      <c r="PD5" s="42">
        <v>0</v>
      </c>
      <c r="PE5" s="42">
        <v>0</v>
      </c>
      <c r="PF5" s="42">
        <v>8.4045579799999999</v>
      </c>
      <c r="PG5" s="42">
        <v>0</v>
      </c>
      <c r="PH5" s="42">
        <v>0</v>
      </c>
      <c r="PI5" s="42">
        <v>0</v>
      </c>
      <c r="PJ5" s="42">
        <v>8.4045579799999999</v>
      </c>
      <c r="PK5" s="42">
        <v>0</v>
      </c>
      <c r="PL5" s="42">
        <v>0</v>
      </c>
      <c r="PM5" s="42">
        <v>28.724256400000002</v>
      </c>
      <c r="PN5" s="42">
        <v>0</v>
      </c>
      <c r="PO5" s="42">
        <v>10.845845779999999</v>
      </c>
      <c r="PP5" s="42">
        <v>9.9367503199999998</v>
      </c>
      <c r="PQ5" s="42">
        <v>10.28704857</v>
      </c>
      <c r="PR5" s="42">
        <v>16.346218279999999</v>
      </c>
      <c r="PS5" s="42">
        <v>2.3474519999999999E-2</v>
      </c>
      <c r="PT5" s="42">
        <v>1.82085652</v>
      </c>
      <c r="PU5" s="42">
        <v>0</v>
      </c>
      <c r="PV5" s="42">
        <v>0</v>
      </c>
      <c r="PW5" s="42">
        <v>0</v>
      </c>
      <c r="PX5" s="42">
        <v>0</v>
      </c>
      <c r="PY5" s="42">
        <v>0</v>
      </c>
      <c r="PZ5" s="42">
        <v>6.3273830000000003E-2</v>
      </c>
      <c r="QA5" s="42">
        <v>4.0120799399999996</v>
      </c>
      <c r="QB5" s="42">
        <v>0</v>
      </c>
      <c r="QC5" s="42">
        <v>0</v>
      </c>
      <c r="QD5" s="42">
        <v>0</v>
      </c>
      <c r="QE5" s="42">
        <v>0</v>
      </c>
      <c r="QF5" s="42">
        <v>0</v>
      </c>
      <c r="QG5" s="42">
        <v>7.12026439</v>
      </c>
      <c r="QH5" s="42">
        <v>0</v>
      </c>
      <c r="QI5" s="42">
        <v>0</v>
      </c>
      <c r="QJ5" s="42">
        <v>0</v>
      </c>
      <c r="QK5" s="42">
        <v>0</v>
      </c>
    </row>
    <row r="6" spans="1:453" x14ac:dyDescent="0.35">
      <c r="A6" s="41" t="s">
        <v>547</v>
      </c>
      <c r="B6" s="41" t="s">
        <v>436</v>
      </c>
      <c r="C6" s="41" t="s">
        <v>548</v>
      </c>
      <c r="D6" s="41" t="s">
        <v>536</v>
      </c>
      <c r="E6" s="41" t="s">
        <v>548</v>
      </c>
      <c r="F6" s="41" t="s">
        <v>1172</v>
      </c>
      <c r="G6" s="41" t="s">
        <v>549</v>
      </c>
      <c r="H6" s="42">
        <v>208.84838500999999</v>
      </c>
      <c r="I6" s="42">
        <v>99.443600559999993</v>
      </c>
      <c r="J6" s="42">
        <v>2033.18232951</v>
      </c>
      <c r="K6" s="42">
        <v>99.443600559999993</v>
      </c>
      <c r="L6" s="42">
        <v>2233.8708789399998</v>
      </c>
      <c r="M6" s="42">
        <v>99.443600559999993</v>
      </c>
      <c r="N6" s="42">
        <v>200.68854942999999</v>
      </c>
      <c r="O6" s="42">
        <v>99.443600559999993</v>
      </c>
      <c r="P6" s="42">
        <v>98.065701939999997</v>
      </c>
      <c r="Q6" s="42">
        <v>69.573511949999997</v>
      </c>
      <c r="R6" s="42">
        <v>3.7108797899999999</v>
      </c>
      <c r="S6" s="42">
        <v>5.3337540000000003E-2</v>
      </c>
      <c r="T6" s="42">
        <v>98.065701939999997</v>
      </c>
      <c r="U6" s="42">
        <v>46.209886509999997</v>
      </c>
      <c r="V6" s="42">
        <v>0</v>
      </c>
      <c r="W6" s="42">
        <v>445.76751991999998</v>
      </c>
      <c r="X6" s="42">
        <v>99.443600559999993</v>
      </c>
      <c r="Y6" s="42">
        <v>3575.0024622199999</v>
      </c>
      <c r="Z6" s="42">
        <v>99.443600559999993</v>
      </c>
      <c r="AA6" s="42">
        <v>3900.8495791599998</v>
      </c>
      <c r="AB6" s="42">
        <v>99.443600559999993</v>
      </c>
      <c r="AC6" s="42">
        <v>325.84808915000002</v>
      </c>
      <c r="AD6" s="42">
        <v>99.443600559999993</v>
      </c>
      <c r="AE6" s="42">
        <v>202.59174264999999</v>
      </c>
      <c r="AF6" s="42">
        <v>4.8645849999999997E-2</v>
      </c>
      <c r="AG6" s="42">
        <v>22332.72482675</v>
      </c>
      <c r="AH6" s="42">
        <v>55540.44449799</v>
      </c>
      <c r="AI6" s="42">
        <v>6533.8423550300004</v>
      </c>
      <c r="AJ6" s="42">
        <v>0.28469971999999999</v>
      </c>
      <c r="AK6" s="42">
        <v>10.82428917</v>
      </c>
      <c r="AL6" s="41" t="s">
        <v>1168</v>
      </c>
      <c r="AM6" s="42">
        <v>99.443600559999993</v>
      </c>
      <c r="AN6" s="42">
        <v>18.43388156</v>
      </c>
      <c r="AO6" s="42">
        <v>69.900730109999998</v>
      </c>
      <c r="AP6" s="41">
        <v>5</v>
      </c>
      <c r="AQ6" s="42">
        <v>89.958610039999996</v>
      </c>
      <c r="AR6" s="42">
        <v>47.909252090000003</v>
      </c>
      <c r="AS6" s="42">
        <v>98.96360104</v>
      </c>
      <c r="AT6" s="42">
        <v>16.44266777</v>
      </c>
      <c r="AU6" s="42">
        <v>0</v>
      </c>
      <c r="AV6" s="42">
        <v>99.443600559999993</v>
      </c>
      <c r="AW6" s="42">
        <v>0</v>
      </c>
      <c r="AX6" s="42">
        <v>14.76158524</v>
      </c>
      <c r="AY6" s="42">
        <v>0</v>
      </c>
      <c r="AZ6" s="42">
        <v>0</v>
      </c>
      <c r="BA6" s="42">
        <v>6.8135931899999997</v>
      </c>
      <c r="BB6" s="42">
        <v>14.76158524</v>
      </c>
      <c r="BC6" s="42">
        <v>0</v>
      </c>
      <c r="BD6" s="42">
        <v>0</v>
      </c>
      <c r="BE6" s="42">
        <v>0</v>
      </c>
      <c r="BF6" s="42">
        <v>2.8687971299999999</v>
      </c>
      <c r="BG6" s="42">
        <v>0</v>
      </c>
      <c r="BH6" s="42">
        <v>0.49549495999999998</v>
      </c>
      <c r="BI6" s="42">
        <v>0</v>
      </c>
      <c r="BJ6" s="42">
        <v>0</v>
      </c>
      <c r="BK6" s="42">
        <v>0.15623318</v>
      </c>
      <c r="BL6" s="42">
        <v>0.66822815999999996</v>
      </c>
      <c r="BM6" s="42">
        <v>0</v>
      </c>
      <c r="BN6" s="42">
        <v>0</v>
      </c>
      <c r="BO6" s="42">
        <v>0</v>
      </c>
      <c r="BP6" s="42">
        <v>7.0609699999999997E-3</v>
      </c>
      <c r="BQ6" s="42">
        <v>0</v>
      </c>
      <c r="BR6" s="42">
        <v>0</v>
      </c>
      <c r="BS6" s="42">
        <v>0</v>
      </c>
      <c r="BT6" s="42">
        <v>0</v>
      </c>
      <c r="BU6" s="42">
        <v>0.66822815999999996</v>
      </c>
      <c r="BV6" s="42">
        <v>9.4390499999999992E-3</v>
      </c>
      <c r="BW6" s="42">
        <v>0</v>
      </c>
      <c r="BX6" s="42">
        <v>0</v>
      </c>
      <c r="BY6" s="42">
        <v>0</v>
      </c>
      <c r="BZ6" s="42">
        <v>0</v>
      </c>
      <c r="CA6" s="42">
        <v>14.76158524</v>
      </c>
      <c r="CB6" s="42">
        <v>4.7441952499999998</v>
      </c>
      <c r="CC6" s="42">
        <v>9.6613389999999993E-2</v>
      </c>
      <c r="CD6" s="42">
        <v>0</v>
      </c>
      <c r="CE6" s="42">
        <v>1.656256E-2</v>
      </c>
      <c r="CF6" s="42"/>
      <c r="CG6" s="42">
        <v>83.516816480000003</v>
      </c>
      <c r="CH6" s="42">
        <v>57.378142629999999</v>
      </c>
      <c r="CI6" s="42">
        <v>0</v>
      </c>
      <c r="CJ6" s="42">
        <v>39.161860840000003</v>
      </c>
      <c r="CK6" s="42">
        <v>14.05898595</v>
      </c>
      <c r="CL6" s="42">
        <v>2.4403975600000001</v>
      </c>
      <c r="CM6" s="42">
        <v>1.8677981299999999</v>
      </c>
      <c r="CN6" s="42">
        <v>0</v>
      </c>
      <c r="CO6" s="42">
        <v>50.58214942</v>
      </c>
      <c r="CP6" s="42">
        <v>2.6464973700000001</v>
      </c>
      <c r="CQ6" s="42">
        <v>0</v>
      </c>
      <c r="CR6" s="42">
        <v>1.55239846</v>
      </c>
      <c r="CS6" s="42">
        <v>10.83618916</v>
      </c>
      <c r="CT6" s="42">
        <v>87.055012939999997</v>
      </c>
      <c r="CU6" s="42">
        <v>8.9674910499999996</v>
      </c>
      <c r="CV6" s="42">
        <v>2.1565978499999998</v>
      </c>
      <c r="CW6" s="42">
        <v>0.57469943000000001</v>
      </c>
      <c r="CX6" s="42">
        <v>72.104627890000003</v>
      </c>
      <c r="CY6" s="42">
        <v>10.893989120000001</v>
      </c>
      <c r="CZ6" s="42">
        <v>4.8379951700000001</v>
      </c>
      <c r="DA6" s="42">
        <v>83.502416490000002</v>
      </c>
      <c r="DB6" s="42">
        <v>58.735441250000001</v>
      </c>
      <c r="DC6" s="42">
        <v>1.5643984500000001</v>
      </c>
      <c r="DD6" s="42">
        <v>39.14376086</v>
      </c>
      <c r="DE6" s="42">
        <v>73.950626049999997</v>
      </c>
      <c r="DF6" s="42">
        <v>99.443600559999993</v>
      </c>
      <c r="DG6" s="42">
        <v>5.23803207</v>
      </c>
      <c r="DH6" s="42">
        <v>99.443600559999993</v>
      </c>
      <c r="DI6" s="42">
        <v>97.891202100000001</v>
      </c>
      <c r="DJ6" s="42">
        <v>1.55239846</v>
      </c>
      <c r="DK6" s="42">
        <v>39.760060230000001</v>
      </c>
      <c r="DL6" s="42">
        <v>57.104342889999998</v>
      </c>
      <c r="DM6" s="42">
        <v>0</v>
      </c>
      <c r="DN6" s="42">
        <v>0</v>
      </c>
      <c r="DO6" s="42">
        <v>42.339257670000002</v>
      </c>
      <c r="DP6" s="42">
        <v>0</v>
      </c>
      <c r="DQ6" s="42">
        <v>2.1348270600000001</v>
      </c>
      <c r="DR6" s="42">
        <v>99.443600559999993</v>
      </c>
      <c r="DS6" s="42">
        <v>14.76778524</v>
      </c>
      <c r="DT6" s="42">
        <v>19.591580400000002</v>
      </c>
      <c r="DU6" s="42">
        <v>0</v>
      </c>
      <c r="DV6" s="42">
        <v>0</v>
      </c>
      <c r="DW6" s="42">
        <v>14.619285380000001</v>
      </c>
      <c r="DX6" s="42">
        <v>50.700249300000003</v>
      </c>
      <c r="DY6" s="42">
        <v>7.6679923299999997</v>
      </c>
      <c r="DZ6" s="42">
        <v>0.28469971999999999</v>
      </c>
      <c r="EA6" s="42">
        <v>98.659201339999996</v>
      </c>
      <c r="EB6" s="42">
        <v>1.03939896</v>
      </c>
      <c r="EC6" s="42">
        <v>10.61033439</v>
      </c>
      <c r="ED6" s="42"/>
      <c r="EE6" s="42">
        <v>0</v>
      </c>
      <c r="EF6" s="42">
        <v>5.5925944100000002</v>
      </c>
      <c r="EG6" s="42">
        <v>90.568609429999995</v>
      </c>
      <c r="EH6" s="42">
        <v>3.73963505</v>
      </c>
      <c r="EI6" s="42">
        <v>83.762016239999994</v>
      </c>
      <c r="EJ6" s="42">
        <v>20.003879990000001</v>
      </c>
      <c r="EK6" s="42">
        <v>3.48679651</v>
      </c>
      <c r="EL6" s="42">
        <v>75.952924060000001</v>
      </c>
      <c r="EM6" s="42">
        <v>10.31308969</v>
      </c>
      <c r="EN6" s="42">
        <v>0</v>
      </c>
      <c r="EO6" s="42">
        <v>997.89783523999995</v>
      </c>
      <c r="EP6" s="42">
        <v>87.850312160000001</v>
      </c>
      <c r="EQ6" s="42">
        <v>3327.1811502800001</v>
      </c>
      <c r="ER6" s="42">
        <v>69.566730440000001</v>
      </c>
      <c r="ES6" s="42">
        <v>49.963650029999997</v>
      </c>
      <c r="ET6" s="42">
        <v>22.593077409999999</v>
      </c>
      <c r="EU6" s="42">
        <v>86.478713519999999</v>
      </c>
      <c r="EV6" s="42">
        <v>44.15475584</v>
      </c>
      <c r="EW6" s="42">
        <v>9.2290907700000009</v>
      </c>
      <c r="EX6" s="42">
        <v>29.744070239999999</v>
      </c>
      <c r="EY6" s="42">
        <v>0</v>
      </c>
      <c r="EZ6" s="42">
        <v>87.880412120000003</v>
      </c>
      <c r="FA6" s="42">
        <v>94.520405479999994</v>
      </c>
      <c r="FB6" s="42">
        <v>99.443600559999993</v>
      </c>
      <c r="FC6" s="42">
        <v>29.97937001</v>
      </c>
      <c r="FD6" s="42">
        <v>88.102611899999999</v>
      </c>
      <c r="FE6" s="41" t="s">
        <v>1150</v>
      </c>
      <c r="FF6" s="42">
        <v>0</v>
      </c>
      <c r="FG6" s="42">
        <v>0</v>
      </c>
      <c r="FH6" s="42">
        <v>5.1062949</v>
      </c>
      <c r="FI6" s="42">
        <v>5.1062949</v>
      </c>
      <c r="FJ6" s="42">
        <v>94.337305659999998</v>
      </c>
      <c r="FK6" s="42">
        <v>0</v>
      </c>
      <c r="FL6" s="42">
        <v>0</v>
      </c>
      <c r="FM6" s="41" t="s">
        <v>1150</v>
      </c>
      <c r="FN6" s="42">
        <v>0</v>
      </c>
      <c r="FO6" s="42">
        <v>0</v>
      </c>
      <c r="FP6" s="42">
        <v>0</v>
      </c>
      <c r="FQ6" s="42">
        <v>0</v>
      </c>
      <c r="FR6" s="42">
        <v>99.443600559999993</v>
      </c>
      <c r="FS6" s="42">
        <v>0</v>
      </c>
      <c r="FT6" s="42">
        <v>0</v>
      </c>
      <c r="FU6" s="41" t="s">
        <v>1150</v>
      </c>
      <c r="FV6" s="42">
        <v>0</v>
      </c>
      <c r="FW6" s="42">
        <v>0</v>
      </c>
      <c r="FX6" s="42">
        <v>28.78467122</v>
      </c>
      <c r="FY6" s="42">
        <v>28.78467122</v>
      </c>
      <c r="FZ6" s="42">
        <v>70.65892934</v>
      </c>
      <c r="GA6" s="42">
        <v>0</v>
      </c>
      <c r="GB6" s="42">
        <v>0</v>
      </c>
      <c r="GC6" s="41" t="s">
        <v>1150</v>
      </c>
      <c r="GD6" s="42">
        <v>0</v>
      </c>
      <c r="GE6" s="42">
        <v>0</v>
      </c>
      <c r="GF6" s="42">
        <v>0.7049993</v>
      </c>
      <c r="GG6" s="42">
        <v>0.7049993</v>
      </c>
      <c r="GH6" s="42">
        <v>98.738601259999996</v>
      </c>
      <c r="GI6" s="42">
        <v>0</v>
      </c>
      <c r="GJ6" s="42">
        <v>0</v>
      </c>
      <c r="GK6" s="41" t="s">
        <v>1151</v>
      </c>
      <c r="GL6" s="42">
        <v>61.870638130000003</v>
      </c>
      <c r="GM6" s="42">
        <v>61.870638130000003</v>
      </c>
      <c r="GN6" s="42">
        <v>0</v>
      </c>
      <c r="GO6" s="42">
        <v>0</v>
      </c>
      <c r="GP6" s="42">
        <v>37.572962429999997</v>
      </c>
      <c r="GQ6" s="42">
        <v>0</v>
      </c>
      <c r="GR6" s="42">
        <v>0</v>
      </c>
      <c r="GS6" s="41" t="s">
        <v>1151</v>
      </c>
      <c r="GT6" s="42">
        <v>2.2714977300000001</v>
      </c>
      <c r="GU6" s="42">
        <v>2.2714977300000001</v>
      </c>
      <c r="GV6" s="42">
        <v>0</v>
      </c>
      <c r="GW6" s="42">
        <v>0</v>
      </c>
      <c r="GX6" s="42">
        <v>97.17210283</v>
      </c>
      <c r="GY6" s="42">
        <v>0</v>
      </c>
      <c r="GZ6" s="42">
        <v>0</v>
      </c>
      <c r="HA6" s="41" t="s">
        <v>1150</v>
      </c>
      <c r="HB6" s="42">
        <v>0</v>
      </c>
      <c r="HC6" s="42">
        <v>0</v>
      </c>
      <c r="HD6" s="42">
        <v>98.065701939999997</v>
      </c>
      <c r="HE6" s="42">
        <v>0</v>
      </c>
      <c r="HF6" s="42">
        <v>1.3778986200000001</v>
      </c>
      <c r="HG6" s="42">
        <v>0</v>
      </c>
      <c r="HH6" s="42">
        <v>98.065701939999997</v>
      </c>
      <c r="HI6" s="41" t="s">
        <v>1151</v>
      </c>
      <c r="HJ6" s="42">
        <v>10.50478949</v>
      </c>
      <c r="HK6" s="42">
        <v>10.50478949</v>
      </c>
      <c r="HL6" s="42">
        <v>0</v>
      </c>
      <c r="HM6" s="42">
        <v>0</v>
      </c>
      <c r="HN6" s="42">
        <v>88.93881107</v>
      </c>
      <c r="HO6" s="42">
        <v>0</v>
      </c>
      <c r="HP6" s="42">
        <v>0</v>
      </c>
      <c r="HQ6" s="41" t="s">
        <v>1151</v>
      </c>
      <c r="HR6" s="42">
        <v>17.68888231</v>
      </c>
      <c r="HS6" s="42">
        <v>17.68888231</v>
      </c>
      <c r="HT6" s="42">
        <v>2.14029786</v>
      </c>
      <c r="HU6" s="42">
        <v>2.14029786</v>
      </c>
      <c r="HV6" s="42">
        <v>79.614420390000006</v>
      </c>
      <c r="HW6" s="42">
        <v>0</v>
      </c>
      <c r="HX6" s="42">
        <v>0</v>
      </c>
      <c r="HY6" s="41" t="s">
        <v>1151</v>
      </c>
      <c r="HZ6" s="42">
        <v>24.09437591</v>
      </c>
      <c r="IA6" s="42">
        <v>24.09437591</v>
      </c>
      <c r="IB6" s="42">
        <v>0</v>
      </c>
      <c r="IC6" s="42">
        <v>0</v>
      </c>
      <c r="ID6" s="42">
        <v>75.349224649999996</v>
      </c>
      <c r="IE6" s="42">
        <v>0</v>
      </c>
      <c r="IF6" s="42">
        <v>0</v>
      </c>
      <c r="IG6" s="41" t="s">
        <v>1150</v>
      </c>
      <c r="IH6" s="42">
        <v>0.62089938</v>
      </c>
      <c r="II6" s="42">
        <v>0.62089938</v>
      </c>
      <c r="IJ6" s="42">
        <v>47.676552319999999</v>
      </c>
      <c r="IK6" s="42">
        <v>47.676552319999999</v>
      </c>
      <c r="IL6" s="42">
        <v>51.146148859999997</v>
      </c>
      <c r="IM6" s="42">
        <v>0</v>
      </c>
      <c r="IN6" s="42">
        <v>0</v>
      </c>
      <c r="IO6" s="41" t="s">
        <v>1150</v>
      </c>
      <c r="IP6" s="42">
        <v>0</v>
      </c>
      <c r="IQ6" s="42">
        <v>0</v>
      </c>
      <c r="IR6" s="42">
        <v>98.065701939999997</v>
      </c>
      <c r="IS6" s="42">
        <v>0</v>
      </c>
      <c r="IT6" s="42">
        <v>1.3778986200000001</v>
      </c>
      <c r="IU6" s="42">
        <v>0</v>
      </c>
      <c r="IV6" s="42">
        <v>98.065701939999997</v>
      </c>
      <c r="IW6" s="41" t="s">
        <v>1150</v>
      </c>
      <c r="IX6" s="42">
        <v>0</v>
      </c>
      <c r="IY6" s="42">
        <v>0</v>
      </c>
      <c r="IZ6" s="42">
        <v>98.065701939999997</v>
      </c>
      <c r="JA6" s="42">
        <v>0</v>
      </c>
      <c r="JB6" s="42">
        <v>1.3778986200000001</v>
      </c>
      <c r="JC6" s="42">
        <v>0</v>
      </c>
      <c r="JD6" s="42">
        <v>98.065701939999997</v>
      </c>
      <c r="JE6" s="41" t="s">
        <v>1150</v>
      </c>
      <c r="JF6" s="42">
        <v>0</v>
      </c>
      <c r="JG6" s="42">
        <v>0</v>
      </c>
      <c r="JH6" s="42">
        <v>28.891771110000001</v>
      </c>
      <c r="JI6" s="42">
        <v>28.891771110000001</v>
      </c>
      <c r="JJ6" s="42">
        <v>70.55182945</v>
      </c>
      <c r="JK6" s="42">
        <v>0</v>
      </c>
      <c r="JL6" s="42">
        <v>0</v>
      </c>
      <c r="JM6" s="41" t="s">
        <v>1150</v>
      </c>
      <c r="JN6" s="42">
        <v>0</v>
      </c>
      <c r="JO6" s="42">
        <v>0</v>
      </c>
      <c r="JP6" s="42">
        <v>53.178546820000001</v>
      </c>
      <c r="JQ6" s="42">
        <v>53.178546820000001</v>
      </c>
      <c r="JR6" s="42">
        <v>46.265053739999999</v>
      </c>
      <c r="JS6" s="42">
        <v>0</v>
      </c>
      <c r="JT6" s="42">
        <v>0</v>
      </c>
      <c r="JU6" s="41" t="s">
        <v>1150</v>
      </c>
      <c r="JV6" s="42">
        <v>2.71479728</v>
      </c>
      <c r="JW6" s="42">
        <v>2.71479728</v>
      </c>
      <c r="JX6" s="42">
        <v>3.0035970000000001</v>
      </c>
      <c r="JY6" s="42">
        <v>3.0035970000000001</v>
      </c>
      <c r="JZ6" s="42">
        <v>93.725206279999995</v>
      </c>
      <c r="KA6" s="42">
        <v>0</v>
      </c>
      <c r="KB6" s="42">
        <v>0</v>
      </c>
      <c r="KC6" s="41" t="s">
        <v>1151</v>
      </c>
      <c r="KD6" s="42">
        <v>18.673181329999998</v>
      </c>
      <c r="KE6" s="42">
        <v>18.673181329999998</v>
      </c>
      <c r="KF6" s="42">
        <v>0</v>
      </c>
      <c r="KG6" s="42">
        <v>0</v>
      </c>
      <c r="KH6" s="42">
        <v>80.770419230000002</v>
      </c>
      <c r="KI6" s="42">
        <v>0</v>
      </c>
      <c r="KJ6" s="42">
        <v>0</v>
      </c>
      <c r="KK6" s="42">
        <v>99.443600559999993</v>
      </c>
      <c r="KL6" s="42">
        <v>1.3398146900000001</v>
      </c>
      <c r="KM6" s="42">
        <v>20.627079370000001</v>
      </c>
      <c r="KN6" s="42">
        <v>4.5196954800000002</v>
      </c>
      <c r="KO6" s="41" t="s">
        <v>1152</v>
      </c>
      <c r="KP6" s="41" t="s">
        <v>1153</v>
      </c>
      <c r="KQ6" s="41" t="s">
        <v>1154</v>
      </c>
      <c r="KR6" s="42">
        <v>65.904679999999999</v>
      </c>
      <c r="KS6" s="42">
        <v>99.810342160000005</v>
      </c>
      <c r="KT6" s="42">
        <v>99.492246410000007</v>
      </c>
      <c r="KU6" s="42">
        <v>4.5870462746919429</v>
      </c>
      <c r="KV6" s="42">
        <v>6.3277361219431283</v>
      </c>
      <c r="KW6" s="42">
        <v>0.28469971999999999</v>
      </c>
      <c r="KX6" s="42">
        <v>33.302866690000002</v>
      </c>
      <c r="KY6" s="41"/>
      <c r="KZ6" s="42">
        <v>6.4954163600000001</v>
      </c>
      <c r="LA6" s="42">
        <v>47.881497112394491</v>
      </c>
      <c r="LB6" s="42">
        <v>6.3905096689573462</v>
      </c>
      <c r="LC6" s="42">
        <v>41.706161137440759</v>
      </c>
      <c r="LD6" s="41" t="s">
        <v>461</v>
      </c>
      <c r="LE6" s="42">
        <v>34.327711579999999</v>
      </c>
      <c r="LF6" s="42">
        <v>20.747579229999999</v>
      </c>
      <c r="LG6" s="42">
        <v>12.555287460000001</v>
      </c>
      <c r="LH6" s="42">
        <v>0.28469971999999999</v>
      </c>
      <c r="LI6" s="42">
        <v>27.207072790000002</v>
      </c>
      <c r="LJ6" s="42">
        <v>4.3698956300000003</v>
      </c>
      <c r="LK6" s="42">
        <v>0</v>
      </c>
      <c r="LL6" s="42">
        <v>0.50775358999999998</v>
      </c>
      <c r="LM6" s="42">
        <v>6.0479823275829387</v>
      </c>
      <c r="LN6" s="42">
        <v>0.50775358999999998</v>
      </c>
      <c r="LO6" s="42">
        <v>25.431474569999999</v>
      </c>
      <c r="LP6" s="42">
        <v>69.541076360000005</v>
      </c>
      <c r="LQ6" s="42">
        <v>4.9902474799999998</v>
      </c>
      <c r="LR6" s="42">
        <v>40.924214550000002</v>
      </c>
      <c r="LS6" s="41" t="s">
        <v>1173</v>
      </c>
      <c r="LT6" s="42">
        <v>5.9110740499999999</v>
      </c>
      <c r="LU6" s="42">
        <v>33.08832486</v>
      </c>
      <c r="LV6" s="43">
        <v>53</v>
      </c>
      <c r="LW6" s="43">
        <v>1</v>
      </c>
      <c r="LX6" s="43">
        <v>51</v>
      </c>
      <c r="LY6" s="41" t="s">
        <v>480</v>
      </c>
      <c r="LZ6" s="41" t="s">
        <v>1174</v>
      </c>
      <c r="MA6" s="44">
        <v>46203</v>
      </c>
      <c r="MB6" s="41" t="s">
        <v>1175</v>
      </c>
      <c r="MC6" s="43">
        <v>211</v>
      </c>
      <c r="MD6" s="41" t="s">
        <v>1158</v>
      </c>
      <c r="ME6" s="41" t="s">
        <v>436</v>
      </c>
      <c r="MF6" s="42">
        <v>6.7210024700000002</v>
      </c>
      <c r="MG6" s="42">
        <v>25.479707000000001</v>
      </c>
      <c r="MH6" s="42">
        <v>1999341487</v>
      </c>
      <c r="MI6" s="42">
        <v>6.4954163600000001</v>
      </c>
      <c r="MJ6" s="42">
        <v>47.881497112394491</v>
      </c>
      <c r="MK6" s="42">
        <v>41.706161137440759</v>
      </c>
      <c r="ML6" s="42">
        <v>5.7397303900000001</v>
      </c>
      <c r="MM6" s="41" t="s">
        <v>480</v>
      </c>
      <c r="MN6" s="42">
        <v>0</v>
      </c>
      <c r="MO6" s="42">
        <v>0</v>
      </c>
      <c r="MP6" s="42">
        <v>0</v>
      </c>
      <c r="MQ6" s="42">
        <v>0</v>
      </c>
      <c r="MR6" s="42">
        <v>20.236679760000001</v>
      </c>
      <c r="MS6" s="42">
        <v>0</v>
      </c>
      <c r="MT6" s="42">
        <v>0</v>
      </c>
      <c r="MU6" s="42">
        <v>0</v>
      </c>
      <c r="MV6" s="42">
        <v>25.127074870000001</v>
      </c>
      <c r="MW6" s="42">
        <v>24.606175390000001</v>
      </c>
      <c r="MX6" s="42">
        <v>24.606175390000001</v>
      </c>
      <c r="MY6" s="42">
        <v>0</v>
      </c>
      <c r="MZ6" s="42">
        <v>0</v>
      </c>
      <c r="NA6" s="42">
        <v>0</v>
      </c>
      <c r="NB6" s="42">
        <v>0</v>
      </c>
      <c r="NC6" s="42">
        <v>0.22189977999999999</v>
      </c>
      <c r="ND6" s="42">
        <v>0</v>
      </c>
      <c r="NE6" s="42">
        <v>0</v>
      </c>
      <c r="NF6" s="42">
        <v>0</v>
      </c>
      <c r="NG6" s="42">
        <v>0</v>
      </c>
      <c r="NH6" s="42">
        <v>0</v>
      </c>
      <c r="NI6" s="42">
        <v>0</v>
      </c>
      <c r="NJ6" s="42">
        <v>0</v>
      </c>
      <c r="NK6" s="42">
        <v>0</v>
      </c>
      <c r="NL6" s="42">
        <v>0</v>
      </c>
      <c r="NM6" s="42">
        <v>0</v>
      </c>
      <c r="NN6" s="42">
        <v>0</v>
      </c>
      <c r="NO6" s="42">
        <v>0</v>
      </c>
      <c r="NP6" s="42">
        <v>0</v>
      </c>
      <c r="NQ6" s="42">
        <v>0</v>
      </c>
      <c r="NR6" s="42">
        <v>0</v>
      </c>
      <c r="NS6" s="42">
        <v>0</v>
      </c>
      <c r="NT6" s="42">
        <v>0</v>
      </c>
      <c r="NU6" s="42">
        <v>0</v>
      </c>
      <c r="NV6" s="42">
        <v>0</v>
      </c>
      <c r="NW6" s="42">
        <v>0</v>
      </c>
      <c r="NX6" s="42">
        <v>75.428724579999994</v>
      </c>
      <c r="NY6" s="42">
        <v>0</v>
      </c>
      <c r="NZ6" s="42">
        <v>0</v>
      </c>
      <c r="OA6" s="42">
        <v>0</v>
      </c>
      <c r="OB6" s="42">
        <v>0</v>
      </c>
      <c r="OC6" s="42">
        <v>0</v>
      </c>
      <c r="OD6" s="42">
        <v>0</v>
      </c>
      <c r="OE6" s="42">
        <v>0</v>
      </c>
      <c r="OF6" s="42">
        <v>0</v>
      </c>
      <c r="OG6" s="42">
        <v>0</v>
      </c>
      <c r="OH6" s="42">
        <v>57.165642830000003</v>
      </c>
      <c r="OI6" s="42">
        <v>3.7085963</v>
      </c>
      <c r="OJ6" s="42">
        <v>70.584629419999999</v>
      </c>
      <c r="OK6" s="42">
        <v>0</v>
      </c>
      <c r="OL6" s="42">
        <v>55.128844870000002</v>
      </c>
      <c r="OM6" s="42">
        <v>20.082179920000002</v>
      </c>
      <c r="ON6" s="42">
        <v>0</v>
      </c>
      <c r="OO6" s="42">
        <v>5.7310942699999998</v>
      </c>
      <c r="OP6" s="42">
        <v>0</v>
      </c>
      <c r="OQ6" s="42">
        <v>0</v>
      </c>
      <c r="OR6" s="42">
        <v>0</v>
      </c>
      <c r="OS6" s="42">
        <v>63.665436339999999</v>
      </c>
      <c r="OT6" s="42">
        <v>3.5181964799999998</v>
      </c>
      <c r="OU6" s="42">
        <v>3.5181964799999998</v>
      </c>
      <c r="OV6" s="42">
        <v>2.14029786</v>
      </c>
      <c r="OW6" s="42">
        <v>3.5181964799999998</v>
      </c>
      <c r="OX6" s="42">
        <v>0</v>
      </c>
      <c r="OY6" s="42">
        <v>0</v>
      </c>
      <c r="OZ6" s="42">
        <v>0</v>
      </c>
      <c r="PA6" s="42">
        <v>0</v>
      </c>
      <c r="PB6" s="42">
        <v>0</v>
      </c>
      <c r="PC6" s="42">
        <v>0</v>
      </c>
      <c r="PD6" s="42">
        <v>0</v>
      </c>
      <c r="PE6" s="42">
        <v>17.58018242</v>
      </c>
      <c r="PF6" s="42">
        <v>0</v>
      </c>
      <c r="PG6" s="42">
        <v>0</v>
      </c>
      <c r="PH6" s="42">
        <v>0</v>
      </c>
      <c r="PI6" s="42">
        <v>0</v>
      </c>
      <c r="PJ6" s="42">
        <v>0</v>
      </c>
      <c r="PK6" s="42">
        <v>0</v>
      </c>
      <c r="PL6" s="42">
        <v>0</v>
      </c>
      <c r="PM6" s="42">
        <v>57.165642830000003</v>
      </c>
      <c r="PN6" s="42">
        <v>0</v>
      </c>
      <c r="PO6" s="42">
        <v>24.434575559999999</v>
      </c>
      <c r="PP6" s="42">
        <v>4.9332950699999998</v>
      </c>
      <c r="PQ6" s="42">
        <v>54.423845569999997</v>
      </c>
      <c r="PR6" s="42">
        <v>5.7310942699999998</v>
      </c>
      <c r="PS6" s="42">
        <v>0</v>
      </c>
      <c r="PT6" s="42">
        <v>0.1059996</v>
      </c>
      <c r="PU6" s="42">
        <v>0</v>
      </c>
      <c r="PV6" s="42">
        <v>0</v>
      </c>
      <c r="PW6" s="42">
        <v>0</v>
      </c>
      <c r="PX6" s="42">
        <v>0</v>
      </c>
      <c r="PY6" s="42">
        <v>1.42091861</v>
      </c>
      <c r="PZ6" s="42">
        <v>0.10869933</v>
      </c>
      <c r="QA6" s="42">
        <v>3.5181964799999998</v>
      </c>
      <c r="QB6" s="42">
        <v>0</v>
      </c>
      <c r="QC6" s="42">
        <v>0</v>
      </c>
      <c r="QD6" s="42">
        <v>0</v>
      </c>
      <c r="QE6" s="42">
        <v>0</v>
      </c>
      <c r="QF6" s="42">
        <v>0</v>
      </c>
      <c r="QG6" s="42">
        <v>20.509379490000001</v>
      </c>
      <c r="QH6" s="42">
        <v>0</v>
      </c>
      <c r="QI6" s="42">
        <v>0</v>
      </c>
      <c r="QJ6" s="42">
        <v>0</v>
      </c>
      <c r="QK6" s="42">
        <v>0</v>
      </c>
    </row>
    <row r="7" spans="1:453" x14ac:dyDescent="0.35">
      <c r="A7" s="41" t="s">
        <v>550</v>
      </c>
      <c r="B7" s="41" t="s">
        <v>437</v>
      </c>
      <c r="C7" s="41" t="s">
        <v>551</v>
      </c>
      <c r="D7" s="41" t="s">
        <v>536</v>
      </c>
      <c r="E7" s="41" t="s">
        <v>551</v>
      </c>
      <c r="F7" s="41" t="s">
        <v>1176</v>
      </c>
      <c r="G7" s="41" t="s">
        <v>552</v>
      </c>
      <c r="H7" s="42">
        <v>3.5359830099999998</v>
      </c>
      <c r="I7" s="42">
        <v>99.136799999999994</v>
      </c>
      <c r="J7" s="42">
        <v>29.413815750000001</v>
      </c>
      <c r="K7" s="42">
        <v>99.136799999999994</v>
      </c>
      <c r="L7" s="42">
        <v>54.443366959999999</v>
      </c>
      <c r="M7" s="42">
        <v>99.136799999999994</v>
      </c>
      <c r="N7" s="42">
        <v>25.029551210000001</v>
      </c>
      <c r="O7" s="42">
        <v>99.136799999999994</v>
      </c>
      <c r="P7" s="42">
        <v>9.5390999999999995</v>
      </c>
      <c r="Q7" s="42">
        <v>0.16487489</v>
      </c>
      <c r="R7" s="42">
        <v>0.26574462999999998</v>
      </c>
      <c r="S7" s="42">
        <v>1.6117956499999999</v>
      </c>
      <c r="T7" s="42">
        <v>9.2497000000000007</v>
      </c>
      <c r="U7" s="42">
        <v>3.0749450000000001E-2</v>
      </c>
      <c r="V7" s="42">
        <v>6.9589999999999996</v>
      </c>
      <c r="W7" s="42">
        <v>12.75609848</v>
      </c>
      <c r="X7" s="42">
        <v>99.136799999999994</v>
      </c>
      <c r="Y7" s="42">
        <v>172.38631104000001</v>
      </c>
      <c r="Z7" s="42">
        <v>99.136799999999994</v>
      </c>
      <c r="AA7" s="42">
        <v>287.48871437000003</v>
      </c>
      <c r="AB7" s="42">
        <v>99.136799999999994</v>
      </c>
      <c r="AC7" s="42">
        <v>115.10252001000001</v>
      </c>
      <c r="AD7" s="42">
        <v>99.136799999999994</v>
      </c>
      <c r="AE7" s="42">
        <v>202.59174264999999</v>
      </c>
      <c r="AF7" s="42">
        <v>0.1053027</v>
      </c>
      <c r="AG7" s="42">
        <v>2877.8545991699998</v>
      </c>
      <c r="AH7" s="42">
        <v>7150.7431664200003</v>
      </c>
      <c r="AI7" s="42">
        <v>3888.43396067</v>
      </c>
      <c r="AJ7" s="42">
        <v>32.837299999999999</v>
      </c>
      <c r="AK7" s="42">
        <v>26.698599999999999</v>
      </c>
      <c r="AL7" s="41" t="s">
        <v>1149</v>
      </c>
      <c r="AM7" s="42">
        <v>99.136799999999994</v>
      </c>
      <c r="AN7" s="42">
        <v>31.631499999999999</v>
      </c>
      <c r="AO7" s="42">
        <v>7.9694000000000003</v>
      </c>
      <c r="AP7" s="41">
        <v>2.2999999999999998</v>
      </c>
      <c r="AQ7" s="42">
        <v>88.434600000000003</v>
      </c>
      <c r="AR7" s="42">
        <v>66.040099999999995</v>
      </c>
      <c r="AS7" s="42">
        <v>96.711200000000005</v>
      </c>
      <c r="AT7" s="42">
        <v>2.74238172</v>
      </c>
      <c r="AU7" s="42">
        <v>17.329499999999999</v>
      </c>
      <c r="AV7" s="42">
        <v>99.136799999999994</v>
      </c>
      <c r="AW7" s="42">
        <v>0.43359999999999999</v>
      </c>
      <c r="AX7" s="42">
        <v>0.85629999999999995</v>
      </c>
      <c r="AY7" s="42">
        <v>9.8699999999999996E-2</v>
      </c>
      <c r="AZ7" s="42">
        <v>0</v>
      </c>
      <c r="BA7" s="42">
        <v>0.51580000000000004</v>
      </c>
      <c r="BB7" s="42">
        <v>1.3599000000000001</v>
      </c>
      <c r="BC7" s="42">
        <v>0.79300000000000004</v>
      </c>
      <c r="BD7" s="42">
        <v>0</v>
      </c>
      <c r="BE7" s="42">
        <v>0</v>
      </c>
      <c r="BF7" s="42">
        <v>0.28939999999999999</v>
      </c>
      <c r="BG7" s="42">
        <v>4.7636E-4</v>
      </c>
      <c r="BH7" s="42">
        <v>2.5356670000000001E-2</v>
      </c>
      <c r="BI7" s="42">
        <v>1.8752999999999999E-4</v>
      </c>
      <c r="BJ7" s="42">
        <v>0</v>
      </c>
      <c r="BK7" s="42">
        <v>2.8408399999999999E-3</v>
      </c>
      <c r="BL7" s="42">
        <v>3.0329849999999998E-2</v>
      </c>
      <c r="BM7" s="42">
        <v>2.5124000000000001E-4</v>
      </c>
      <c r="BN7" s="42">
        <v>0</v>
      </c>
      <c r="BO7" s="42">
        <v>0</v>
      </c>
      <c r="BP7" s="42">
        <v>1.8810999999999999E-3</v>
      </c>
      <c r="BQ7" s="42">
        <v>0.65168380999999997</v>
      </c>
      <c r="BR7" s="42">
        <v>5.7160000000000002E-5</v>
      </c>
      <c r="BS7" s="42">
        <v>0.65240485999999998</v>
      </c>
      <c r="BT7" s="42">
        <v>0</v>
      </c>
      <c r="BU7" s="42">
        <v>0.68273470999999997</v>
      </c>
      <c r="BV7" s="42">
        <v>0</v>
      </c>
      <c r="BW7" s="42">
        <v>24.7225</v>
      </c>
      <c r="BX7" s="42">
        <v>0.2858</v>
      </c>
      <c r="BY7" s="42">
        <v>24.965399999999999</v>
      </c>
      <c r="BZ7" s="42">
        <v>0</v>
      </c>
      <c r="CA7" s="42">
        <v>26.035900000000002</v>
      </c>
      <c r="CB7" s="42">
        <v>0</v>
      </c>
      <c r="CC7" s="42">
        <v>3.065027E-2</v>
      </c>
      <c r="CD7" s="42">
        <v>0</v>
      </c>
      <c r="CE7" s="42">
        <v>0</v>
      </c>
      <c r="CF7" s="42"/>
      <c r="CG7" s="42">
        <v>73.144499999999994</v>
      </c>
      <c r="CH7" s="42">
        <v>5.8612000000000002</v>
      </c>
      <c r="CI7" s="42">
        <v>7.1078000000000001</v>
      </c>
      <c r="CJ7" s="42">
        <v>91.496200000000002</v>
      </c>
      <c r="CK7" s="42">
        <v>12.296200000000001</v>
      </c>
      <c r="CL7" s="42">
        <v>0.2258</v>
      </c>
      <c r="CM7" s="42">
        <v>6.5883000000000003</v>
      </c>
      <c r="CN7" s="42">
        <v>0.96050000000000002</v>
      </c>
      <c r="CO7" s="42">
        <v>22.122199999999999</v>
      </c>
      <c r="CP7" s="42">
        <v>10.764099999999999</v>
      </c>
      <c r="CQ7" s="42">
        <v>0.1201</v>
      </c>
      <c r="CR7" s="42">
        <v>4.3529999999999998</v>
      </c>
      <c r="CS7" s="42">
        <v>27.497299999999999</v>
      </c>
      <c r="CT7" s="42">
        <v>67.166399999999996</v>
      </c>
      <c r="CU7" s="42">
        <v>15.5787</v>
      </c>
      <c r="CV7" s="42">
        <v>12.4383</v>
      </c>
      <c r="CW7" s="42">
        <v>3.5497000000000001</v>
      </c>
      <c r="CX7" s="42">
        <v>62.090899999999998</v>
      </c>
      <c r="CY7" s="42">
        <v>25.090900000000001</v>
      </c>
      <c r="CZ7" s="42">
        <v>9.1769999999999996</v>
      </c>
      <c r="DA7" s="42">
        <v>81.061300000000003</v>
      </c>
      <c r="DB7" s="42">
        <v>47.81</v>
      </c>
      <c r="DC7" s="42">
        <v>10.2643</v>
      </c>
      <c r="DD7" s="42">
        <v>41.0625</v>
      </c>
      <c r="DE7" s="42">
        <v>51.87</v>
      </c>
      <c r="DF7" s="42">
        <v>99.136799999999994</v>
      </c>
      <c r="DG7" s="42">
        <v>6.16639523</v>
      </c>
      <c r="DH7" s="42">
        <v>99.136799999999994</v>
      </c>
      <c r="DI7" s="42">
        <v>96.690700000000007</v>
      </c>
      <c r="DJ7" s="42">
        <v>2.4460999999999999</v>
      </c>
      <c r="DK7" s="42">
        <v>21.0425</v>
      </c>
      <c r="DL7" s="42">
        <v>0</v>
      </c>
      <c r="DM7" s="42">
        <v>90.121200000000002</v>
      </c>
      <c r="DN7" s="42">
        <v>7.4899999999999994E-2</v>
      </c>
      <c r="DO7" s="42">
        <v>8.4248999999999992</v>
      </c>
      <c r="DP7" s="42">
        <v>0.51580000000000004</v>
      </c>
      <c r="DQ7" s="42">
        <v>6.27409236</v>
      </c>
      <c r="DR7" s="42">
        <v>99.136799999999994</v>
      </c>
      <c r="DS7" s="42">
        <v>32.112000000000002</v>
      </c>
      <c r="DT7" s="42">
        <v>25.449300000000001</v>
      </c>
      <c r="DU7" s="42">
        <v>0</v>
      </c>
      <c r="DV7" s="42">
        <v>0.9708</v>
      </c>
      <c r="DW7" s="42">
        <v>31.1374</v>
      </c>
      <c r="DX7" s="42">
        <v>55.465400000000002</v>
      </c>
      <c r="DY7" s="42">
        <v>14.1562</v>
      </c>
      <c r="DZ7" s="42">
        <v>0.71089999999999998</v>
      </c>
      <c r="EA7" s="42">
        <v>73.314599999999999</v>
      </c>
      <c r="EB7" s="42">
        <v>0.97260000000000002</v>
      </c>
      <c r="EC7" s="42">
        <v>0.85695399999999999</v>
      </c>
      <c r="ED7" s="42"/>
      <c r="EE7" s="42">
        <v>0</v>
      </c>
      <c r="EF7" s="42">
        <v>20.094999999999999</v>
      </c>
      <c r="EG7" s="42">
        <v>92.266099999999994</v>
      </c>
      <c r="EH7" s="42">
        <v>2.30938563</v>
      </c>
      <c r="EI7" s="42">
        <v>6.1211000000000002</v>
      </c>
      <c r="EJ7" s="42">
        <v>0</v>
      </c>
      <c r="EK7" s="42">
        <v>98.482100000000003</v>
      </c>
      <c r="EL7" s="42">
        <v>0.65469999999999995</v>
      </c>
      <c r="EM7" s="42">
        <v>0</v>
      </c>
      <c r="EN7" s="42">
        <v>3.7816000000000001</v>
      </c>
      <c r="EO7" s="42">
        <v>559.28922680000005</v>
      </c>
      <c r="EP7" s="42">
        <v>26.13</v>
      </c>
      <c r="EQ7" s="42">
        <v>238.26341269</v>
      </c>
      <c r="ER7" s="42">
        <v>73.576800000000006</v>
      </c>
      <c r="ES7" s="42">
        <v>30.494399999999999</v>
      </c>
      <c r="ET7" s="42">
        <v>41.489100000000001</v>
      </c>
      <c r="EU7" s="42">
        <v>0</v>
      </c>
      <c r="EV7" s="42">
        <v>71.649900000000002</v>
      </c>
      <c r="EW7" s="42">
        <v>4.2839999999999998</v>
      </c>
      <c r="EX7" s="42">
        <v>55.661799999999999</v>
      </c>
      <c r="EY7" s="42">
        <v>0.90380000000000005</v>
      </c>
      <c r="EZ7" s="42">
        <v>0</v>
      </c>
      <c r="FA7" s="42">
        <v>83.003699999999995</v>
      </c>
      <c r="FB7" s="42">
        <v>99.136799999999994</v>
      </c>
      <c r="FC7" s="42">
        <v>47.849600000000002</v>
      </c>
      <c r="FD7" s="42">
        <v>93.303799999999995</v>
      </c>
      <c r="FE7" s="41" t="s">
        <v>1151</v>
      </c>
      <c r="FF7" s="42">
        <v>4.7629000000000001</v>
      </c>
      <c r="FG7" s="42">
        <v>4.7629000000000001</v>
      </c>
      <c r="FH7" s="42">
        <v>0.97209999999999996</v>
      </c>
      <c r="FI7" s="42">
        <v>0.97209999999999996</v>
      </c>
      <c r="FJ7" s="42">
        <v>93.401799999999994</v>
      </c>
      <c r="FK7" s="42">
        <v>0</v>
      </c>
      <c r="FL7" s="42">
        <v>0</v>
      </c>
      <c r="FM7" s="41" t="s">
        <v>1150</v>
      </c>
      <c r="FN7" s="42">
        <v>0</v>
      </c>
      <c r="FO7" s="42">
        <v>0</v>
      </c>
      <c r="FP7" s="42">
        <v>0</v>
      </c>
      <c r="FQ7" s="42">
        <v>0</v>
      </c>
      <c r="FR7" s="42">
        <v>99.136799999999994</v>
      </c>
      <c r="FS7" s="42">
        <v>0</v>
      </c>
      <c r="FT7" s="42">
        <v>0</v>
      </c>
      <c r="FU7" s="41" t="s">
        <v>1150</v>
      </c>
      <c r="FV7" s="42">
        <v>0</v>
      </c>
      <c r="FW7" s="42">
        <v>0</v>
      </c>
      <c r="FX7" s="42">
        <v>6.1211000000000002</v>
      </c>
      <c r="FY7" s="42">
        <v>6.1211000000000002</v>
      </c>
      <c r="FZ7" s="42">
        <v>93.015699999999995</v>
      </c>
      <c r="GA7" s="42">
        <v>0</v>
      </c>
      <c r="GB7" s="42">
        <v>0</v>
      </c>
      <c r="GC7" s="41" t="s">
        <v>1150</v>
      </c>
      <c r="GD7" s="42">
        <v>0</v>
      </c>
      <c r="GE7" s="42">
        <v>0</v>
      </c>
      <c r="GF7" s="42">
        <v>0</v>
      </c>
      <c r="GG7" s="42">
        <v>0</v>
      </c>
      <c r="GH7" s="42">
        <v>99.136799999999994</v>
      </c>
      <c r="GI7" s="42">
        <v>0</v>
      </c>
      <c r="GJ7" s="42">
        <v>0</v>
      </c>
      <c r="GK7" s="41" t="s">
        <v>1151</v>
      </c>
      <c r="GL7" s="42">
        <v>58.602400000000003</v>
      </c>
      <c r="GM7" s="42">
        <v>58.602400000000003</v>
      </c>
      <c r="GN7" s="42">
        <v>0</v>
      </c>
      <c r="GO7" s="42">
        <v>0</v>
      </c>
      <c r="GP7" s="42">
        <v>40.534399999999998</v>
      </c>
      <c r="GQ7" s="42">
        <v>0</v>
      </c>
      <c r="GR7" s="42">
        <v>0</v>
      </c>
      <c r="GS7" s="41" t="s">
        <v>1150</v>
      </c>
      <c r="GT7" s="42">
        <v>0.94730000000000003</v>
      </c>
      <c r="GU7" s="42">
        <v>0.94730000000000003</v>
      </c>
      <c r="GV7" s="42">
        <v>6.1211000000000002</v>
      </c>
      <c r="GW7" s="42">
        <v>6.1211000000000002</v>
      </c>
      <c r="GX7" s="42">
        <v>92.068399999999997</v>
      </c>
      <c r="GY7" s="42">
        <v>0</v>
      </c>
      <c r="GZ7" s="42">
        <v>0</v>
      </c>
      <c r="HA7" s="41" t="s">
        <v>1151</v>
      </c>
      <c r="HB7" s="42">
        <v>64.685100000000006</v>
      </c>
      <c r="HC7" s="42">
        <v>64.685100000000006</v>
      </c>
      <c r="HD7" s="42">
        <v>0.2019</v>
      </c>
      <c r="HE7" s="42">
        <v>0.2019</v>
      </c>
      <c r="HF7" s="42">
        <v>34.2498</v>
      </c>
      <c r="HG7" s="42">
        <v>0</v>
      </c>
      <c r="HH7" s="42">
        <v>0</v>
      </c>
      <c r="HI7" s="41" t="s">
        <v>1151</v>
      </c>
      <c r="HJ7" s="42">
        <v>37.703800000000001</v>
      </c>
      <c r="HK7" s="42">
        <v>37.703800000000001</v>
      </c>
      <c r="HL7" s="42">
        <v>6.1211000000000002</v>
      </c>
      <c r="HM7" s="42">
        <v>6.1211000000000002</v>
      </c>
      <c r="HN7" s="42">
        <v>55.311900000000001</v>
      </c>
      <c r="HO7" s="42">
        <v>0</v>
      </c>
      <c r="HP7" s="42">
        <v>0</v>
      </c>
      <c r="HQ7" s="41" t="s">
        <v>1151</v>
      </c>
      <c r="HR7" s="42">
        <v>36.605899999999998</v>
      </c>
      <c r="HS7" s="42">
        <v>36.605899999999998</v>
      </c>
      <c r="HT7" s="42">
        <v>0.62509999999999999</v>
      </c>
      <c r="HU7" s="42">
        <v>0.62509999999999999</v>
      </c>
      <c r="HV7" s="42">
        <v>61.905799999999999</v>
      </c>
      <c r="HW7" s="42">
        <v>0</v>
      </c>
      <c r="HX7" s="42">
        <v>0</v>
      </c>
      <c r="HY7" s="41" t="s">
        <v>1151</v>
      </c>
      <c r="HZ7" s="42">
        <v>34.033200000000001</v>
      </c>
      <c r="IA7" s="42">
        <v>34.033200000000001</v>
      </c>
      <c r="IB7" s="42">
        <v>0.42370000000000002</v>
      </c>
      <c r="IC7" s="42">
        <v>0.42370000000000002</v>
      </c>
      <c r="ID7" s="42">
        <v>64.679900000000004</v>
      </c>
      <c r="IE7" s="42">
        <v>0</v>
      </c>
      <c r="IF7" s="42">
        <v>0</v>
      </c>
      <c r="IG7" s="41" t="s">
        <v>1150</v>
      </c>
      <c r="IH7" s="42">
        <v>0</v>
      </c>
      <c r="II7" s="42">
        <v>0</v>
      </c>
      <c r="IJ7" s="42">
        <v>6.6586999999999996</v>
      </c>
      <c r="IK7" s="42">
        <v>6.6586999999999996</v>
      </c>
      <c r="IL7" s="42">
        <v>92.478099999999998</v>
      </c>
      <c r="IM7" s="42">
        <v>0</v>
      </c>
      <c r="IN7" s="42">
        <v>0</v>
      </c>
      <c r="IO7" s="41" t="s">
        <v>1150</v>
      </c>
      <c r="IP7" s="42">
        <v>5.2872000000000003</v>
      </c>
      <c r="IQ7" s="42">
        <v>5.2872000000000003</v>
      </c>
      <c r="IR7" s="42">
        <v>6.3230000000000004</v>
      </c>
      <c r="IS7" s="42">
        <v>6.3230000000000004</v>
      </c>
      <c r="IT7" s="42">
        <v>87.526600000000002</v>
      </c>
      <c r="IU7" s="42">
        <v>0</v>
      </c>
      <c r="IV7" s="42">
        <v>0</v>
      </c>
      <c r="IW7" s="41" t="s">
        <v>1151</v>
      </c>
      <c r="IX7" s="42">
        <v>65.975099999999998</v>
      </c>
      <c r="IY7" s="42">
        <v>65.975099999999998</v>
      </c>
      <c r="IZ7" s="42">
        <v>0.2019</v>
      </c>
      <c r="JA7" s="42">
        <v>0.2019</v>
      </c>
      <c r="JB7" s="42">
        <v>32.959800000000001</v>
      </c>
      <c r="JC7" s="42">
        <v>0</v>
      </c>
      <c r="JD7" s="42">
        <v>0</v>
      </c>
      <c r="JE7" s="41" t="s">
        <v>1150</v>
      </c>
      <c r="JF7" s="42">
        <v>0</v>
      </c>
      <c r="JG7" s="42">
        <v>0</v>
      </c>
      <c r="JH7" s="42">
        <v>6.1211000000000002</v>
      </c>
      <c r="JI7" s="42">
        <v>6.1211000000000002</v>
      </c>
      <c r="JJ7" s="42">
        <v>93.015699999999995</v>
      </c>
      <c r="JK7" s="42">
        <v>0</v>
      </c>
      <c r="JL7" s="42">
        <v>0</v>
      </c>
      <c r="JM7" s="41" t="s">
        <v>1150</v>
      </c>
      <c r="JN7" s="42">
        <v>0</v>
      </c>
      <c r="JO7" s="42">
        <v>0</v>
      </c>
      <c r="JP7" s="42">
        <v>7.2675999999999998</v>
      </c>
      <c r="JQ7" s="42">
        <v>7.2675999999999998</v>
      </c>
      <c r="JR7" s="42">
        <v>91.869200000000006</v>
      </c>
      <c r="JS7" s="42">
        <v>0</v>
      </c>
      <c r="JT7" s="42">
        <v>0</v>
      </c>
      <c r="JU7" s="41" t="s">
        <v>1150</v>
      </c>
      <c r="JV7" s="42">
        <v>9.3699999999999992</v>
      </c>
      <c r="JW7" s="42">
        <v>9.3699999999999992</v>
      </c>
      <c r="JX7" s="42">
        <v>11.1218</v>
      </c>
      <c r="JY7" s="42">
        <v>11.1218</v>
      </c>
      <c r="JZ7" s="42">
        <v>78.644999999999996</v>
      </c>
      <c r="KA7" s="42">
        <v>0</v>
      </c>
      <c r="KB7" s="42">
        <v>0</v>
      </c>
      <c r="KC7" s="41" t="s">
        <v>1150</v>
      </c>
      <c r="KD7" s="42">
        <v>0</v>
      </c>
      <c r="KE7" s="42">
        <v>0</v>
      </c>
      <c r="KF7" s="42">
        <v>10.0419</v>
      </c>
      <c r="KG7" s="42">
        <v>10.0419</v>
      </c>
      <c r="KH7" s="42">
        <v>89.094899999999996</v>
      </c>
      <c r="KI7" s="42">
        <v>0</v>
      </c>
      <c r="KJ7" s="42">
        <v>0</v>
      </c>
      <c r="KK7" s="42">
        <v>99.136799999999994</v>
      </c>
      <c r="KL7" s="42">
        <v>0.58427719</v>
      </c>
      <c r="KM7" s="42">
        <v>7.8209999999999997</v>
      </c>
      <c r="KN7" s="42">
        <v>4.8920000000000003</v>
      </c>
      <c r="KO7" s="41" t="s">
        <v>1152</v>
      </c>
      <c r="KP7" s="41" t="s">
        <v>1153</v>
      </c>
      <c r="KQ7" s="41" t="s">
        <v>1154</v>
      </c>
      <c r="KR7" s="42">
        <v>37.440702700000003</v>
      </c>
      <c r="KS7" s="42">
        <v>99.607816779999993</v>
      </c>
      <c r="KT7" s="42">
        <v>99.242102700000004</v>
      </c>
      <c r="KU7" s="42">
        <v>6.3395815850773198</v>
      </c>
      <c r="KV7" s="42">
        <v>5.9114945110824744</v>
      </c>
      <c r="KW7" s="42">
        <v>0.31109999999999999</v>
      </c>
      <c r="KX7" s="42">
        <v>61.490299999999998</v>
      </c>
      <c r="KY7" s="41"/>
      <c r="KZ7" s="42">
        <v>7.4706200100000002</v>
      </c>
      <c r="LA7" s="42">
        <v>84.988616170590845</v>
      </c>
      <c r="LB7" s="42">
        <v>7.2419190708247418</v>
      </c>
      <c r="LC7" s="42">
        <v>54.123711340206185</v>
      </c>
      <c r="LD7" s="41" t="s">
        <v>1163</v>
      </c>
      <c r="LE7" s="42">
        <v>24.4954027</v>
      </c>
      <c r="LF7" s="42">
        <v>34.052500000000002</v>
      </c>
      <c r="LG7" s="42">
        <v>27.437799999999999</v>
      </c>
      <c r="LH7" s="42">
        <v>0.31109999999999999</v>
      </c>
      <c r="LI7" s="42">
        <v>7.5795000000000003</v>
      </c>
      <c r="LJ7" s="42">
        <v>5.3658000000000001</v>
      </c>
      <c r="LK7" s="42">
        <v>0</v>
      </c>
      <c r="LL7" s="42">
        <v>0.7578973</v>
      </c>
      <c r="LM7" s="42">
        <v>4.9516917640463918</v>
      </c>
      <c r="LN7" s="42">
        <v>0.7578973</v>
      </c>
      <c r="LO7" s="42">
        <v>13.024100000000001</v>
      </c>
      <c r="LP7" s="42">
        <v>81.326002700000004</v>
      </c>
      <c r="LQ7" s="42">
        <v>7.78152518</v>
      </c>
      <c r="LR7" s="42">
        <v>11.879263679999999</v>
      </c>
      <c r="LS7" s="41" t="s">
        <v>1173</v>
      </c>
      <c r="LT7" s="42">
        <v>5.9465110399999999</v>
      </c>
      <c r="LU7" s="42">
        <v>35.592623349999997</v>
      </c>
      <c r="LV7" s="43">
        <v>224</v>
      </c>
      <c r="LW7" s="43">
        <v>1</v>
      </c>
      <c r="LX7" s="43">
        <v>222</v>
      </c>
      <c r="LY7" s="41" t="s">
        <v>480</v>
      </c>
      <c r="LZ7" s="41" t="s">
        <v>1177</v>
      </c>
      <c r="MA7" s="44">
        <v>46203</v>
      </c>
      <c r="MB7" s="41" t="s">
        <v>1178</v>
      </c>
      <c r="MC7" s="43">
        <v>388</v>
      </c>
      <c r="MD7" s="41" t="s">
        <v>1158</v>
      </c>
      <c r="ME7" s="41" t="s">
        <v>437</v>
      </c>
      <c r="MF7" s="42">
        <v>4.8817047499999999</v>
      </c>
      <c r="MG7" s="42">
        <v>51.77021568</v>
      </c>
      <c r="MH7" s="42">
        <v>585764584</v>
      </c>
      <c r="MI7" s="42">
        <v>7.4706200100000002</v>
      </c>
      <c r="MJ7" s="42">
        <v>84.988616170590845</v>
      </c>
      <c r="MK7" s="42">
        <v>54.123711340206185</v>
      </c>
      <c r="ML7" s="42">
        <v>5.6106995900000003</v>
      </c>
      <c r="MM7" s="41" t="s">
        <v>480</v>
      </c>
      <c r="MN7" s="42">
        <v>0.41120000000000001</v>
      </c>
      <c r="MO7" s="42">
        <v>0</v>
      </c>
      <c r="MP7" s="42">
        <v>0</v>
      </c>
      <c r="MQ7" s="42">
        <v>0</v>
      </c>
      <c r="MR7" s="42">
        <v>9.4797999999999991</v>
      </c>
      <c r="MS7" s="42">
        <v>0.34050000000000002</v>
      </c>
      <c r="MT7" s="42">
        <v>0</v>
      </c>
      <c r="MU7" s="42">
        <v>0</v>
      </c>
      <c r="MV7" s="42">
        <v>6.9652000000000003</v>
      </c>
      <c r="MW7" s="42">
        <v>6.4615999999999998</v>
      </c>
      <c r="MX7" s="42">
        <v>6.1211000000000002</v>
      </c>
      <c r="MY7" s="42">
        <v>0</v>
      </c>
      <c r="MZ7" s="42">
        <v>0</v>
      </c>
      <c r="NA7" s="42">
        <v>0</v>
      </c>
      <c r="NB7" s="42">
        <v>0</v>
      </c>
      <c r="NC7" s="42">
        <v>0.96760000000000002</v>
      </c>
      <c r="ND7" s="42">
        <v>0</v>
      </c>
      <c r="NE7" s="42">
        <v>0</v>
      </c>
      <c r="NF7" s="42">
        <v>0</v>
      </c>
      <c r="NG7" s="42">
        <v>0</v>
      </c>
      <c r="NH7" s="42">
        <v>0</v>
      </c>
      <c r="NI7" s="42">
        <v>0</v>
      </c>
      <c r="NJ7" s="42">
        <v>0</v>
      </c>
      <c r="NK7" s="42">
        <v>0</v>
      </c>
      <c r="NL7" s="42">
        <v>0</v>
      </c>
      <c r="NM7" s="42">
        <v>0</v>
      </c>
      <c r="NN7" s="42">
        <v>0</v>
      </c>
      <c r="NO7" s="42">
        <v>0</v>
      </c>
      <c r="NP7" s="42">
        <v>0</v>
      </c>
      <c r="NQ7" s="42">
        <v>0</v>
      </c>
      <c r="NR7" s="42">
        <v>7.0373999999999999</v>
      </c>
      <c r="NS7" s="42">
        <v>0</v>
      </c>
      <c r="NT7" s="42">
        <v>0</v>
      </c>
      <c r="NU7" s="42">
        <v>0</v>
      </c>
      <c r="NV7" s="42">
        <v>3.7938000000000001</v>
      </c>
      <c r="NW7" s="42">
        <v>0</v>
      </c>
      <c r="NX7" s="42">
        <v>8.4167000000000005</v>
      </c>
      <c r="NY7" s="42">
        <v>2.5943999999999998</v>
      </c>
      <c r="NZ7" s="42">
        <v>0.90359999999999996</v>
      </c>
      <c r="OA7" s="42">
        <v>0</v>
      </c>
      <c r="OB7" s="42">
        <v>0</v>
      </c>
      <c r="OC7" s="42">
        <v>0</v>
      </c>
      <c r="OD7" s="42">
        <v>0</v>
      </c>
      <c r="OE7" s="42">
        <v>0</v>
      </c>
      <c r="OF7" s="42">
        <v>0</v>
      </c>
      <c r="OG7" s="42">
        <v>0</v>
      </c>
      <c r="OH7" s="42">
        <v>26.032499999999999</v>
      </c>
      <c r="OI7" s="42">
        <v>1.095</v>
      </c>
      <c r="OJ7" s="42">
        <v>7.9661999999999997</v>
      </c>
      <c r="OK7" s="42">
        <v>0</v>
      </c>
      <c r="OL7" s="42">
        <v>7.2675999999999998</v>
      </c>
      <c r="OM7" s="42">
        <v>98.614800000000002</v>
      </c>
      <c r="ON7" s="42">
        <v>0</v>
      </c>
      <c r="OO7" s="42">
        <v>0</v>
      </c>
      <c r="OP7" s="42">
        <v>0</v>
      </c>
      <c r="OQ7" s="42">
        <v>0</v>
      </c>
      <c r="OR7" s="42">
        <v>0</v>
      </c>
      <c r="OS7" s="42">
        <v>1.6117999999999999</v>
      </c>
      <c r="OT7" s="42">
        <v>6.73</v>
      </c>
      <c r="OU7" s="42">
        <v>6.1211000000000002</v>
      </c>
      <c r="OV7" s="42">
        <v>0</v>
      </c>
      <c r="OW7" s="42">
        <v>0</v>
      </c>
      <c r="OX7" s="42">
        <v>0</v>
      </c>
      <c r="OY7" s="42">
        <v>0</v>
      </c>
      <c r="OZ7" s="42">
        <v>0</v>
      </c>
      <c r="PA7" s="42">
        <v>0</v>
      </c>
      <c r="PB7" s="42">
        <v>0</v>
      </c>
      <c r="PC7" s="42">
        <v>0</v>
      </c>
      <c r="PD7" s="42">
        <v>0</v>
      </c>
      <c r="PE7" s="42">
        <v>3.0931999999999999</v>
      </c>
      <c r="PF7" s="42">
        <v>0</v>
      </c>
      <c r="PG7" s="42">
        <v>0</v>
      </c>
      <c r="PH7" s="42">
        <v>0</v>
      </c>
      <c r="PI7" s="42">
        <v>0</v>
      </c>
      <c r="PJ7" s="42">
        <v>0</v>
      </c>
      <c r="PK7" s="42">
        <v>0</v>
      </c>
      <c r="PL7" s="42">
        <v>0</v>
      </c>
      <c r="PM7" s="42">
        <v>26.689599999999999</v>
      </c>
      <c r="PN7" s="42">
        <v>8.7499999999999994E-2</v>
      </c>
      <c r="PO7" s="42">
        <v>0</v>
      </c>
      <c r="PP7" s="42">
        <v>19.334499999999998</v>
      </c>
      <c r="PQ7" s="42">
        <v>7.2675999999999998</v>
      </c>
      <c r="PR7" s="42">
        <v>0</v>
      </c>
      <c r="PS7" s="42">
        <v>0</v>
      </c>
      <c r="PT7" s="42">
        <v>6.4537090000000005E-2</v>
      </c>
      <c r="PU7" s="42">
        <v>6.0598890000000002E-2</v>
      </c>
      <c r="PV7" s="42">
        <v>0</v>
      </c>
      <c r="PW7" s="42">
        <v>9.7544299999999997E-3</v>
      </c>
      <c r="PX7" s="42">
        <v>0</v>
      </c>
      <c r="PY7" s="42">
        <v>3.6726599999999999E-3</v>
      </c>
      <c r="PZ7" s="42">
        <v>6.1885129999999997E-2</v>
      </c>
      <c r="QA7" s="42">
        <v>6.1211000000000002</v>
      </c>
      <c r="QB7" s="42">
        <v>7.4899999999999994E-2</v>
      </c>
      <c r="QC7" s="42">
        <v>7.4899999999999994E-2</v>
      </c>
      <c r="QD7" s="42">
        <v>0</v>
      </c>
      <c r="QE7" s="42">
        <v>0</v>
      </c>
      <c r="QF7" s="42">
        <v>6.6696</v>
      </c>
      <c r="QG7" s="42">
        <v>8.2087000000000003</v>
      </c>
      <c r="QH7" s="42">
        <v>0</v>
      </c>
      <c r="QI7" s="42">
        <v>0</v>
      </c>
      <c r="QJ7" s="42">
        <v>0</v>
      </c>
      <c r="QK7" s="42">
        <v>7.0373999999999999</v>
      </c>
    </row>
    <row r="8" spans="1:453" x14ac:dyDescent="0.35">
      <c r="A8" s="41" t="s">
        <v>553</v>
      </c>
      <c r="B8" s="41" t="s">
        <v>438</v>
      </c>
      <c r="C8" s="41" t="s">
        <v>554</v>
      </c>
      <c r="D8" s="41" t="s">
        <v>536</v>
      </c>
      <c r="E8" s="41" t="s">
        <v>554</v>
      </c>
      <c r="F8" s="41" t="s">
        <v>1179</v>
      </c>
      <c r="G8" s="41" t="s">
        <v>555</v>
      </c>
      <c r="H8" s="42">
        <v>2.75246871</v>
      </c>
      <c r="I8" s="42">
        <v>99.566601300000002</v>
      </c>
      <c r="J8" s="42">
        <v>32.037658030000003</v>
      </c>
      <c r="K8" s="42">
        <v>99.566601300000002</v>
      </c>
      <c r="L8" s="42">
        <v>93.832090280000003</v>
      </c>
      <c r="M8" s="42">
        <v>99.566601300000002</v>
      </c>
      <c r="N8" s="42">
        <v>61.79443225</v>
      </c>
      <c r="O8" s="42">
        <v>99.566601300000002</v>
      </c>
      <c r="P8" s="42">
        <v>4.1226876299999997</v>
      </c>
      <c r="Q8" s="42">
        <v>0</v>
      </c>
      <c r="R8" s="42">
        <v>5.223829E-2</v>
      </c>
      <c r="S8" s="42"/>
      <c r="T8" s="42">
        <v>4.1226876299999997</v>
      </c>
      <c r="U8" s="42">
        <v>0</v>
      </c>
      <c r="V8" s="42">
        <v>0</v>
      </c>
      <c r="W8" s="42">
        <v>11.40710054</v>
      </c>
      <c r="X8" s="42">
        <v>99.566601300000002</v>
      </c>
      <c r="Y8" s="42">
        <v>159.55641433</v>
      </c>
      <c r="Z8" s="42">
        <v>99.566601300000002</v>
      </c>
      <c r="AA8" s="42">
        <v>333.82494329000002</v>
      </c>
      <c r="AB8" s="42">
        <v>99.566601300000002</v>
      </c>
      <c r="AC8" s="42">
        <v>174.26841035000001</v>
      </c>
      <c r="AD8" s="42">
        <v>99.566601300000002</v>
      </c>
      <c r="AE8" s="42">
        <v>202.59174264999999</v>
      </c>
      <c r="AF8" s="42">
        <v>8.0805360000000007E-2</v>
      </c>
      <c r="AG8" s="42">
        <v>112.42189251000001</v>
      </c>
      <c r="AH8" s="42">
        <v>277.55902659999998</v>
      </c>
      <c r="AI8" s="42">
        <v>1584.6464977099999</v>
      </c>
      <c r="AJ8" s="42">
        <v>67.032898889999998</v>
      </c>
      <c r="AK8" s="42">
        <v>12.400462790000001</v>
      </c>
      <c r="AL8" s="41" t="s">
        <v>1180</v>
      </c>
      <c r="AM8" s="42">
        <v>99.566601300000002</v>
      </c>
      <c r="AN8" s="42">
        <v>9.76417073</v>
      </c>
      <c r="AO8" s="42">
        <v>10.369068889999999</v>
      </c>
      <c r="AP8" s="41">
        <v>1.7</v>
      </c>
      <c r="AQ8" s="42">
        <v>93.869118380000003</v>
      </c>
      <c r="AR8" s="42">
        <v>84.609346149999993</v>
      </c>
      <c r="AS8" s="42">
        <v>92.52742241</v>
      </c>
      <c r="AT8" s="42">
        <v>2.5147763699999999</v>
      </c>
      <c r="AU8" s="42">
        <v>70.661087980000005</v>
      </c>
      <c r="AV8" s="42">
        <v>99.566601300000002</v>
      </c>
      <c r="AW8" s="42">
        <v>0</v>
      </c>
      <c r="AX8" s="42">
        <v>0</v>
      </c>
      <c r="AY8" s="42">
        <v>0</v>
      </c>
      <c r="AZ8" s="42">
        <v>0</v>
      </c>
      <c r="BA8" s="42">
        <v>3.9714880799999999</v>
      </c>
      <c r="BB8" s="42">
        <v>3.9714880799999999</v>
      </c>
      <c r="BC8" s="42">
        <v>0</v>
      </c>
      <c r="BD8" s="42">
        <v>24.00192801</v>
      </c>
      <c r="BE8" s="42">
        <v>0.44489867</v>
      </c>
      <c r="BF8" s="42">
        <v>0</v>
      </c>
      <c r="BG8" s="42">
        <v>0</v>
      </c>
      <c r="BH8" s="42">
        <v>0</v>
      </c>
      <c r="BI8" s="42">
        <v>0</v>
      </c>
      <c r="BJ8" s="42">
        <v>0</v>
      </c>
      <c r="BK8" s="42">
        <v>5.04748E-2</v>
      </c>
      <c r="BL8" s="42">
        <v>5.04748E-2</v>
      </c>
      <c r="BM8" s="42">
        <v>0</v>
      </c>
      <c r="BN8" s="42">
        <v>11.28361817</v>
      </c>
      <c r="BO8" s="42">
        <v>2.9808199999999999E-3</v>
      </c>
      <c r="BP8" s="42">
        <v>0</v>
      </c>
      <c r="BQ8" s="42">
        <v>0</v>
      </c>
      <c r="BR8" s="42">
        <v>9.407857E-2</v>
      </c>
      <c r="BS8" s="42">
        <v>11.380677560000001</v>
      </c>
      <c r="BT8" s="42">
        <v>0</v>
      </c>
      <c r="BU8" s="42">
        <v>11.43115235</v>
      </c>
      <c r="BV8" s="42">
        <v>0</v>
      </c>
      <c r="BW8" s="42">
        <v>0</v>
      </c>
      <c r="BX8" s="42">
        <v>2.1728934799999999</v>
      </c>
      <c r="BY8" s="42">
        <v>24.62192615</v>
      </c>
      <c r="BZ8" s="42">
        <v>0</v>
      </c>
      <c r="CA8" s="42">
        <v>24.62192615</v>
      </c>
      <c r="CB8" s="42">
        <v>0</v>
      </c>
      <c r="CC8" s="42">
        <v>0</v>
      </c>
      <c r="CD8" s="42">
        <v>0</v>
      </c>
      <c r="CE8" s="42">
        <v>1.7634899999999999E-3</v>
      </c>
      <c r="CF8" s="42"/>
      <c r="CG8" s="42">
        <v>71.973684050000003</v>
      </c>
      <c r="CH8" s="42">
        <v>27.26771819</v>
      </c>
      <c r="CI8" s="42">
        <v>0.1013997</v>
      </c>
      <c r="CJ8" s="42">
        <v>59.849520470000002</v>
      </c>
      <c r="CK8" s="42">
        <v>20.951537160000001</v>
      </c>
      <c r="CL8" s="42">
        <v>7.1303785900000003</v>
      </c>
      <c r="CM8" s="42">
        <v>6.5399803900000002</v>
      </c>
      <c r="CN8" s="42">
        <v>4.8013855999999997</v>
      </c>
      <c r="CO8" s="42">
        <v>27.56801729</v>
      </c>
      <c r="CP8" s="42">
        <v>2.5184924500000001</v>
      </c>
      <c r="CQ8" s="42">
        <v>0.19319942000000001</v>
      </c>
      <c r="CR8" s="42">
        <v>4.1672874899999997</v>
      </c>
      <c r="CS8" s="42">
        <v>31.861104409999999</v>
      </c>
      <c r="CT8" s="42">
        <v>63.34500998</v>
      </c>
      <c r="CU8" s="42">
        <v>10.14716956</v>
      </c>
      <c r="CV8" s="42">
        <v>7.11007868</v>
      </c>
      <c r="CW8" s="42">
        <v>0.93019721</v>
      </c>
      <c r="CX8" s="42">
        <v>69.681590970000002</v>
      </c>
      <c r="CY8" s="42">
        <v>10.96776711</v>
      </c>
      <c r="CZ8" s="42">
        <v>2.91419125</v>
      </c>
      <c r="DA8" s="42">
        <v>79.440061679999999</v>
      </c>
      <c r="DB8" s="42">
        <v>67.007698959999999</v>
      </c>
      <c r="DC8" s="42">
        <v>3.0086909799999999</v>
      </c>
      <c r="DD8" s="42">
        <v>29.550211359999999</v>
      </c>
      <c r="DE8" s="42">
        <v>67.402497800000006</v>
      </c>
      <c r="DF8" s="42">
        <v>99.566601300000002</v>
      </c>
      <c r="DG8" s="42">
        <v>7.0077171199999997</v>
      </c>
      <c r="DH8" s="42">
        <v>99.566601300000002</v>
      </c>
      <c r="DI8" s="42">
        <v>97.902306300000006</v>
      </c>
      <c r="DJ8" s="42">
        <v>1.6642950000000001</v>
      </c>
      <c r="DK8" s="42">
        <v>36.476290579999997</v>
      </c>
      <c r="DL8" s="42">
        <v>0</v>
      </c>
      <c r="DM8" s="42">
        <v>91.853624440000004</v>
      </c>
      <c r="DN8" s="42">
        <v>0</v>
      </c>
      <c r="DO8" s="42">
        <v>7.7129768600000004</v>
      </c>
      <c r="DP8" s="42">
        <v>0</v>
      </c>
      <c r="DQ8" s="42">
        <v>6.2653087300000001</v>
      </c>
      <c r="DR8" s="42">
        <v>99.566601300000002</v>
      </c>
      <c r="DS8" s="42">
        <v>35.631793109999997</v>
      </c>
      <c r="DT8" s="42">
        <v>25.270124169999999</v>
      </c>
      <c r="DU8" s="42">
        <v>0</v>
      </c>
      <c r="DV8" s="42">
        <v>6.3623809199999997</v>
      </c>
      <c r="DW8" s="42">
        <v>16.720349840000001</v>
      </c>
      <c r="DX8" s="42">
        <v>45.4744636</v>
      </c>
      <c r="DY8" s="42">
        <v>23.356029929999998</v>
      </c>
      <c r="DZ8" s="42">
        <v>0.94829715000000003</v>
      </c>
      <c r="EA8" s="42">
        <v>87.607837169999996</v>
      </c>
      <c r="EB8" s="42">
        <v>0.37919886000000003</v>
      </c>
      <c r="EC8" s="42">
        <v>5.9193702400000001</v>
      </c>
      <c r="ED8" s="42">
        <v>2.9828038299999999</v>
      </c>
      <c r="EE8" s="42">
        <v>2.9555911400000001</v>
      </c>
      <c r="EF8" s="42">
        <v>25.877822380000001</v>
      </c>
      <c r="EG8" s="42">
        <v>86.075441780000006</v>
      </c>
      <c r="EH8" s="42">
        <v>5.3022656799999996</v>
      </c>
      <c r="EI8" s="42">
        <v>63.086510740000001</v>
      </c>
      <c r="EJ8" s="42">
        <v>0</v>
      </c>
      <c r="EK8" s="42">
        <v>15.68005295</v>
      </c>
      <c r="EL8" s="42">
        <v>81.786654650000003</v>
      </c>
      <c r="EM8" s="42">
        <v>0</v>
      </c>
      <c r="EN8" s="42">
        <v>0</v>
      </c>
      <c r="EO8" s="42">
        <v>436.34744388000001</v>
      </c>
      <c r="EP8" s="42">
        <v>56.534930369999998</v>
      </c>
      <c r="EQ8" s="42">
        <v>342.51161816000001</v>
      </c>
      <c r="ER8" s="42">
        <v>90.894527299999993</v>
      </c>
      <c r="ES8" s="42">
        <v>57.56512729</v>
      </c>
      <c r="ET8" s="42">
        <v>28.003715969999998</v>
      </c>
      <c r="EU8" s="42">
        <v>2.7571917199999998</v>
      </c>
      <c r="EV8" s="42">
        <v>79.588461229999993</v>
      </c>
      <c r="EW8" s="42">
        <v>11.30306609</v>
      </c>
      <c r="EX8" s="42">
        <v>62.844711449999998</v>
      </c>
      <c r="EY8" s="42">
        <v>3.7590887199999998</v>
      </c>
      <c r="EZ8" s="42">
        <v>0</v>
      </c>
      <c r="FA8" s="42">
        <v>99.4652016</v>
      </c>
      <c r="FB8" s="42">
        <v>99.566601300000002</v>
      </c>
      <c r="FC8" s="42">
        <v>43.21217034</v>
      </c>
      <c r="FD8" s="42">
        <v>97.486007529999995</v>
      </c>
      <c r="FE8" s="41" t="s">
        <v>1150</v>
      </c>
      <c r="FF8" s="42">
        <v>38.641484069999997</v>
      </c>
      <c r="FG8" s="42">
        <v>38.641484069999997</v>
      </c>
      <c r="FH8" s="42">
        <v>6.3920808300000003</v>
      </c>
      <c r="FI8" s="42">
        <v>6.2906811300000003</v>
      </c>
      <c r="FJ8" s="42">
        <v>54.5330364</v>
      </c>
      <c r="FK8" s="42">
        <v>0</v>
      </c>
      <c r="FL8" s="42">
        <v>0.1013997</v>
      </c>
      <c r="FM8" s="41" t="s">
        <v>1150</v>
      </c>
      <c r="FN8" s="42">
        <v>0</v>
      </c>
      <c r="FO8" s="42">
        <v>0</v>
      </c>
      <c r="FP8" s="42">
        <v>0</v>
      </c>
      <c r="FQ8" s="42">
        <v>0</v>
      </c>
      <c r="FR8" s="42">
        <v>99.566601300000002</v>
      </c>
      <c r="FS8" s="42">
        <v>0</v>
      </c>
      <c r="FT8" s="42">
        <v>0</v>
      </c>
      <c r="FU8" s="41" t="s">
        <v>1150</v>
      </c>
      <c r="FV8" s="42">
        <v>66.012201959999999</v>
      </c>
      <c r="FW8" s="42">
        <v>66.012201959999999</v>
      </c>
      <c r="FX8" s="42">
        <v>5.6251831299999999</v>
      </c>
      <c r="FY8" s="42">
        <v>5.5237834299999999</v>
      </c>
      <c r="FZ8" s="42">
        <v>27.92921621</v>
      </c>
      <c r="GA8" s="42">
        <v>0</v>
      </c>
      <c r="GB8" s="42">
        <v>0.1013997</v>
      </c>
      <c r="GC8" s="41" t="s">
        <v>1150</v>
      </c>
      <c r="GD8" s="42">
        <v>0</v>
      </c>
      <c r="GE8" s="42">
        <v>0</v>
      </c>
      <c r="GF8" s="42">
        <v>0</v>
      </c>
      <c r="GG8" s="42">
        <v>0</v>
      </c>
      <c r="GH8" s="42">
        <v>99.566601300000002</v>
      </c>
      <c r="GI8" s="42">
        <v>0</v>
      </c>
      <c r="GJ8" s="42">
        <v>0</v>
      </c>
      <c r="GK8" s="41" t="s">
        <v>1151</v>
      </c>
      <c r="GL8" s="42">
        <v>49.508251459999997</v>
      </c>
      <c r="GM8" s="42">
        <v>49.508251459999997</v>
      </c>
      <c r="GN8" s="42">
        <v>0</v>
      </c>
      <c r="GO8" s="42">
        <v>0</v>
      </c>
      <c r="GP8" s="42">
        <v>50.058349839999998</v>
      </c>
      <c r="GQ8" s="42">
        <v>0</v>
      </c>
      <c r="GR8" s="42">
        <v>0</v>
      </c>
      <c r="GS8" s="41" t="s">
        <v>1151</v>
      </c>
      <c r="GT8" s="42">
        <v>17.885246339999998</v>
      </c>
      <c r="GU8" s="42">
        <v>17.885246339999998</v>
      </c>
      <c r="GV8" s="42">
        <v>0</v>
      </c>
      <c r="GW8" s="42">
        <v>0</v>
      </c>
      <c r="GX8" s="42">
        <v>81.681354959999993</v>
      </c>
      <c r="GY8" s="42">
        <v>0</v>
      </c>
      <c r="GZ8" s="42">
        <v>0</v>
      </c>
      <c r="HA8" s="41" t="s">
        <v>1151</v>
      </c>
      <c r="HB8" s="42">
        <v>48.74515375</v>
      </c>
      <c r="HC8" s="42">
        <v>48.74515375</v>
      </c>
      <c r="HD8" s="42">
        <v>0</v>
      </c>
      <c r="HE8" s="42">
        <v>0</v>
      </c>
      <c r="HF8" s="42">
        <v>50.821447550000002</v>
      </c>
      <c r="HG8" s="42">
        <v>0</v>
      </c>
      <c r="HH8" s="42">
        <v>0</v>
      </c>
      <c r="HI8" s="41" t="s">
        <v>1151</v>
      </c>
      <c r="HJ8" s="42">
        <v>31.496605500000001</v>
      </c>
      <c r="HK8" s="42">
        <v>31.496605500000001</v>
      </c>
      <c r="HL8" s="42">
        <v>0</v>
      </c>
      <c r="HM8" s="42">
        <v>0</v>
      </c>
      <c r="HN8" s="42">
        <v>68.069995800000001</v>
      </c>
      <c r="HO8" s="42">
        <v>0</v>
      </c>
      <c r="HP8" s="42">
        <v>0</v>
      </c>
      <c r="HQ8" s="41" t="s">
        <v>1150</v>
      </c>
      <c r="HR8" s="42">
        <v>2.4865925299999998</v>
      </c>
      <c r="HS8" s="42">
        <v>2.4865925299999998</v>
      </c>
      <c r="HT8" s="42">
        <v>12.61706214</v>
      </c>
      <c r="HU8" s="42">
        <v>12.51566244</v>
      </c>
      <c r="HV8" s="42">
        <v>84.462946630000005</v>
      </c>
      <c r="HW8" s="42">
        <v>0</v>
      </c>
      <c r="HX8" s="42">
        <v>0.1013997</v>
      </c>
      <c r="HY8" s="41" t="s">
        <v>1151</v>
      </c>
      <c r="HZ8" s="42">
        <v>38.974083069999999</v>
      </c>
      <c r="IA8" s="42">
        <v>38.974083069999999</v>
      </c>
      <c r="IB8" s="42">
        <v>4.3954868100000004</v>
      </c>
      <c r="IC8" s="42">
        <v>4.3954868100000004</v>
      </c>
      <c r="ID8" s="42">
        <v>56.197031420000002</v>
      </c>
      <c r="IE8" s="42">
        <v>0</v>
      </c>
      <c r="IF8" s="42">
        <v>0</v>
      </c>
      <c r="IG8" s="41" t="s">
        <v>1150</v>
      </c>
      <c r="IH8" s="42">
        <v>0</v>
      </c>
      <c r="II8" s="42">
        <v>0</v>
      </c>
      <c r="IJ8" s="42">
        <v>1.2439962600000001</v>
      </c>
      <c r="IK8" s="42">
        <v>1.2439962600000001</v>
      </c>
      <c r="IL8" s="42">
        <v>98.322605039999999</v>
      </c>
      <c r="IM8" s="42">
        <v>0</v>
      </c>
      <c r="IN8" s="42">
        <v>0</v>
      </c>
      <c r="IO8" s="41" t="s">
        <v>1151</v>
      </c>
      <c r="IP8" s="42">
        <v>42.417272740000001</v>
      </c>
      <c r="IQ8" s="42">
        <v>42.417272740000001</v>
      </c>
      <c r="IR8" s="42">
        <v>0</v>
      </c>
      <c r="IS8" s="42">
        <v>0</v>
      </c>
      <c r="IT8" s="42">
        <v>57.149328560000001</v>
      </c>
      <c r="IU8" s="42">
        <v>0</v>
      </c>
      <c r="IV8" s="42">
        <v>0</v>
      </c>
      <c r="IW8" s="41" t="s">
        <v>1151</v>
      </c>
      <c r="IX8" s="42">
        <v>59.676520930000002</v>
      </c>
      <c r="IY8" s="42">
        <v>59.676520930000002</v>
      </c>
      <c r="IZ8" s="42">
        <v>0</v>
      </c>
      <c r="JA8" s="42">
        <v>0</v>
      </c>
      <c r="JB8" s="42">
        <v>39.89008037</v>
      </c>
      <c r="JC8" s="42">
        <v>0</v>
      </c>
      <c r="JD8" s="42">
        <v>0</v>
      </c>
      <c r="JE8" s="41" t="s">
        <v>1150</v>
      </c>
      <c r="JF8" s="42">
        <v>0</v>
      </c>
      <c r="JG8" s="42">
        <v>0</v>
      </c>
      <c r="JH8" s="42">
        <v>1.2439962600000001</v>
      </c>
      <c r="JI8" s="42">
        <v>1.2439962600000001</v>
      </c>
      <c r="JJ8" s="42">
        <v>98.322605039999999</v>
      </c>
      <c r="JK8" s="42">
        <v>0</v>
      </c>
      <c r="JL8" s="42">
        <v>0</v>
      </c>
      <c r="JM8" s="41" t="s">
        <v>1150</v>
      </c>
      <c r="JN8" s="42">
        <v>0</v>
      </c>
      <c r="JO8" s="42">
        <v>0</v>
      </c>
      <c r="JP8" s="42">
        <v>1.2439962600000001</v>
      </c>
      <c r="JQ8" s="42">
        <v>1.2439962600000001</v>
      </c>
      <c r="JR8" s="42">
        <v>98.322605039999999</v>
      </c>
      <c r="JS8" s="42">
        <v>0</v>
      </c>
      <c r="JT8" s="42">
        <v>0</v>
      </c>
      <c r="JU8" s="41" t="s">
        <v>1151</v>
      </c>
      <c r="JV8" s="42">
        <v>13.4956595</v>
      </c>
      <c r="JW8" s="42">
        <v>13.4956595</v>
      </c>
      <c r="JX8" s="42">
        <v>4.3954868100000004</v>
      </c>
      <c r="JY8" s="42">
        <v>4.3954868100000004</v>
      </c>
      <c r="JZ8" s="42">
        <v>81.675454990000006</v>
      </c>
      <c r="KA8" s="42">
        <v>0</v>
      </c>
      <c r="KB8" s="42">
        <v>0</v>
      </c>
      <c r="KC8" s="41" t="s">
        <v>1151</v>
      </c>
      <c r="KD8" s="42">
        <v>0.70539788000000003</v>
      </c>
      <c r="KE8" s="42">
        <v>0.70539788000000003</v>
      </c>
      <c r="KF8" s="42">
        <v>0</v>
      </c>
      <c r="KG8" s="42">
        <v>0</v>
      </c>
      <c r="KH8" s="42">
        <v>98.861203419999995</v>
      </c>
      <c r="KI8" s="42">
        <v>0</v>
      </c>
      <c r="KJ8" s="42">
        <v>0</v>
      </c>
      <c r="KK8" s="42">
        <v>99.566601300000002</v>
      </c>
      <c r="KL8" s="42">
        <v>-0.19050522</v>
      </c>
      <c r="KM8" s="42">
        <v>-2.7621917300000001</v>
      </c>
      <c r="KN8" s="42">
        <v>8.49207453</v>
      </c>
      <c r="KO8" s="41" t="s">
        <v>1152</v>
      </c>
      <c r="KP8" s="41" t="s">
        <v>1153</v>
      </c>
      <c r="KQ8" s="41" t="s">
        <v>1154</v>
      </c>
      <c r="KR8" s="42">
        <v>58.140031180000001</v>
      </c>
      <c r="KS8" s="42">
        <v>99.843193979999995</v>
      </c>
      <c r="KT8" s="42">
        <v>99.647406660000001</v>
      </c>
      <c r="KU8" s="42">
        <v>6.6899117323728809</v>
      </c>
      <c r="KV8" s="42">
        <v>5.9569073184557437</v>
      </c>
      <c r="KW8" s="42">
        <v>0.43469869999999999</v>
      </c>
      <c r="KX8" s="42">
        <v>41.072676780000002</v>
      </c>
      <c r="KY8" s="41"/>
      <c r="KZ8" s="42">
        <v>6.8968860799999998</v>
      </c>
      <c r="LA8" s="42">
        <v>65.219624611283876</v>
      </c>
      <c r="LB8" s="42">
        <v>6.2934038907156307</v>
      </c>
      <c r="LC8" s="42">
        <v>73.44632768361582</v>
      </c>
      <c r="LD8" s="41" t="s">
        <v>461</v>
      </c>
      <c r="LE8" s="42">
        <v>32.925606850000001</v>
      </c>
      <c r="LF8" s="42">
        <v>27.894316310000001</v>
      </c>
      <c r="LG8" s="42">
        <v>13.178360469999999</v>
      </c>
      <c r="LH8" s="42">
        <v>0.33329900000000001</v>
      </c>
      <c r="LI8" s="42">
        <v>1.9042942899999999</v>
      </c>
      <c r="LJ8" s="42">
        <v>23.310130040000001</v>
      </c>
      <c r="LK8" s="42">
        <v>0.1013997</v>
      </c>
      <c r="LL8" s="42">
        <v>0.35259333999999998</v>
      </c>
      <c r="LM8" s="42">
        <v>4.5464041231638417</v>
      </c>
      <c r="LN8" s="42">
        <v>0.35259333999999998</v>
      </c>
      <c r="LO8" s="42">
        <v>6.1645814999999997</v>
      </c>
      <c r="LP8" s="42">
        <v>84.990750629999994</v>
      </c>
      <c r="LQ8" s="42">
        <v>7.4088518600000004</v>
      </c>
      <c r="LR8" s="42">
        <v>7.8826097500000003</v>
      </c>
      <c r="LS8" s="41" t="s">
        <v>1173</v>
      </c>
      <c r="LT8" s="42">
        <v>6.0559641800000001</v>
      </c>
      <c r="LU8" s="42">
        <v>36.362009710000002</v>
      </c>
      <c r="LV8" s="43">
        <v>112</v>
      </c>
      <c r="LW8" s="43">
        <v>1</v>
      </c>
      <c r="LX8" s="43">
        <v>110</v>
      </c>
      <c r="LY8" s="41" t="s">
        <v>480</v>
      </c>
      <c r="LZ8" s="41" t="s">
        <v>1181</v>
      </c>
      <c r="MA8" s="44">
        <v>46203</v>
      </c>
      <c r="MB8" s="41" t="s">
        <v>1182</v>
      </c>
      <c r="MC8" s="43">
        <v>531</v>
      </c>
      <c r="MD8" s="41" t="s">
        <v>1158</v>
      </c>
      <c r="ME8" s="41" t="s">
        <v>438</v>
      </c>
      <c r="MF8" s="42">
        <v>4.6421698100000004</v>
      </c>
      <c r="MG8" s="42">
        <v>55.402787189999998</v>
      </c>
      <c r="MH8" s="42">
        <v>3844812651</v>
      </c>
      <c r="MI8" s="42">
        <v>6.8968860799999998</v>
      </c>
      <c r="MJ8" s="42">
        <v>65.219624611283876</v>
      </c>
      <c r="MK8" s="42">
        <v>73.44632768361582</v>
      </c>
      <c r="ML8" s="42">
        <v>5.3769313299999997</v>
      </c>
      <c r="MM8" s="41" t="s">
        <v>480</v>
      </c>
      <c r="MN8" s="42">
        <v>0</v>
      </c>
      <c r="MO8" s="42">
        <v>0</v>
      </c>
      <c r="MP8" s="42">
        <v>0</v>
      </c>
      <c r="MQ8" s="42">
        <v>0</v>
      </c>
      <c r="MR8" s="42">
        <v>2.2470932600000002</v>
      </c>
      <c r="MS8" s="42">
        <v>0.44489867</v>
      </c>
      <c r="MT8" s="42">
        <v>0</v>
      </c>
      <c r="MU8" s="42">
        <v>0</v>
      </c>
      <c r="MV8" s="42">
        <v>84.235247290000004</v>
      </c>
      <c r="MW8" s="42">
        <v>84.235247290000004</v>
      </c>
      <c r="MX8" s="42">
        <v>84.235247290000004</v>
      </c>
      <c r="MY8" s="42">
        <v>0</v>
      </c>
      <c r="MZ8" s="42">
        <v>0</v>
      </c>
      <c r="NA8" s="42">
        <v>0</v>
      </c>
      <c r="NB8" s="42">
        <v>0</v>
      </c>
      <c r="NC8" s="42">
        <v>76.743769749999998</v>
      </c>
      <c r="ND8" s="42">
        <v>0</v>
      </c>
      <c r="NE8" s="42">
        <v>0</v>
      </c>
      <c r="NF8" s="42">
        <v>0</v>
      </c>
      <c r="NG8" s="42">
        <v>0</v>
      </c>
      <c r="NH8" s="42">
        <v>0</v>
      </c>
      <c r="NI8" s="42">
        <v>0</v>
      </c>
      <c r="NJ8" s="42">
        <v>0</v>
      </c>
      <c r="NK8" s="42">
        <v>0</v>
      </c>
      <c r="NL8" s="42">
        <v>0</v>
      </c>
      <c r="NM8" s="42">
        <v>0</v>
      </c>
      <c r="NN8" s="42">
        <v>0</v>
      </c>
      <c r="NO8" s="42">
        <v>0</v>
      </c>
      <c r="NP8" s="42">
        <v>0</v>
      </c>
      <c r="NQ8" s="42">
        <v>0</v>
      </c>
      <c r="NR8" s="42">
        <v>0</v>
      </c>
      <c r="NS8" s="42">
        <v>0</v>
      </c>
      <c r="NT8" s="42">
        <v>0</v>
      </c>
      <c r="NU8" s="42">
        <v>0</v>
      </c>
      <c r="NV8" s="42">
        <v>0</v>
      </c>
      <c r="NW8" s="42">
        <v>0</v>
      </c>
      <c r="NX8" s="42">
        <v>0</v>
      </c>
      <c r="NY8" s="42">
        <v>0</v>
      </c>
      <c r="NZ8" s="42">
        <v>0</v>
      </c>
      <c r="OA8" s="42">
        <v>0</v>
      </c>
      <c r="OB8" s="42">
        <v>0</v>
      </c>
      <c r="OC8" s="42">
        <v>0.70539788000000003</v>
      </c>
      <c r="OD8" s="42">
        <v>0.70539788000000003</v>
      </c>
      <c r="OE8" s="42">
        <v>0.70539788000000003</v>
      </c>
      <c r="OF8" s="42">
        <v>0.70539788000000003</v>
      </c>
      <c r="OG8" s="42">
        <v>0</v>
      </c>
      <c r="OH8" s="42">
        <v>23.373329869999999</v>
      </c>
      <c r="OI8" s="42">
        <v>5.5794832599999999</v>
      </c>
      <c r="OJ8" s="42">
        <v>0</v>
      </c>
      <c r="OK8" s="42">
        <v>0</v>
      </c>
      <c r="OL8" s="42">
        <v>6.3337809900000002</v>
      </c>
      <c r="OM8" s="42">
        <v>60.60281818</v>
      </c>
      <c r="ON8" s="42">
        <v>0</v>
      </c>
      <c r="OO8" s="42">
        <v>1.18399645</v>
      </c>
      <c r="OP8" s="42">
        <v>0</v>
      </c>
      <c r="OQ8" s="42">
        <v>0</v>
      </c>
      <c r="OR8" s="42">
        <v>0</v>
      </c>
      <c r="OS8" s="42">
        <v>0</v>
      </c>
      <c r="OT8" s="42">
        <v>0</v>
      </c>
      <c r="OU8" s="42">
        <v>0</v>
      </c>
      <c r="OV8" s="42">
        <v>0</v>
      </c>
      <c r="OW8" s="42">
        <v>0</v>
      </c>
      <c r="OX8" s="42">
        <v>0</v>
      </c>
      <c r="OY8" s="42">
        <v>0</v>
      </c>
      <c r="OZ8" s="42">
        <v>0</v>
      </c>
      <c r="PA8" s="42">
        <v>0</v>
      </c>
      <c r="PB8" s="42">
        <v>0</v>
      </c>
      <c r="PC8" s="42">
        <v>0</v>
      </c>
      <c r="PD8" s="42">
        <v>0</v>
      </c>
      <c r="PE8" s="42">
        <v>43.021570920000002</v>
      </c>
      <c r="PF8" s="42">
        <v>0.1013997</v>
      </c>
      <c r="PG8" s="42">
        <v>0.1013997</v>
      </c>
      <c r="PH8" s="42">
        <v>0</v>
      </c>
      <c r="PI8" s="42">
        <v>0</v>
      </c>
      <c r="PJ8" s="42">
        <v>0</v>
      </c>
      <c r="PK8" s="42">
        <v>0</v>
      </c>
      <c r="PL8" s="42">
        <v>0</v>
      </c>
      <c r="PM8" s="42">
        <v>45.594663199999999</v>
      </c>
      <c r="PN8" s="42">
        <v>41.453075630000001</v>
      </c>
      <c r="PO8" s="42">
        <v>0.70539788000000003</v>
      </c>
      <c r="PP8" s="42">
        <v>19.57664127</v>
      </c>
      <c r="PQ8" s="42">
        <v>1.2439962600000001</v>
      </c>
      <c r="PR8" s="42">
        <v>1.18399645</v>
      </c>
      <c r="PS8" s="42">
        <v>0</v>
      </c>
      <c r="PT8" s="42">
        <v>2.5773580000000001E-2</v>
      </c>
      <c r="PU8" s="42">
        <v>0</v>
      </c>
      <c r="PV8" s="42">
        <v>0</v>
      </c>
      <c r="PW8" s="42">
        <v>0</v>
      </c>
      <c r="PX8" s="42">
        <v>0.14100904</v>
      </c>
      <c r="PY8" s="42">
        <v>0</v>
      </c>
      <c r="PZ8" s="42">
        <v>0</v>
      </c>
      <c r="QA8" s="42">
        <v>0.70539788000000003</v>
      </c>
      <c r="QB8" s="42">
        <v>0</v>
      </c>
      <c r="QC8" s="42">
        <v>0</v>
      </c>
      <c r="QD8" s="42">
        <v>0</v>
      </c>
      <c r="QE8" s="42">
        <v>0</v>
      </c>
      <c r="QF8" s="42">
        <v>0</v>
      </c>
      <c r="QG8" s="42">
        <v>0</v>
      </c>
      <c r="QH8" s="42">
        <v>0</v>
      </c>
      <c r="QI8" s="42">
        <v>0</v>
      </c>
      <c r="QJ8" s="42">
        <v>0</v>
      </c>
      <c r="QK8" s="42">
        <v>0.70539788000000003</v>
      </c>
    </row>
    <row r="9" spans="1:453" x14ac:dyDescent="0.35">
      <c r="A9" s="41" t="s">
        <v>556</v>
      </c>
      <c r="B9" s="41" t="s">
        <v>557</v>
      </c>
      <c r="C9" s="41" t="s">
        <v>558</v>
      </c>
      <c r="D9" s="41" t="s">
        <v>536</v>
      </c>
      <c r="E9" s="41" t="s">
        <v>558</v>
      </c>
      <c r="F9" s="41" t="s">
        <v>1183</v>
      </c>
      <c r="G9" s="41" t="s">
        <v>559</v>
      </c>
      <c r="H9" s="42">
        <v>8.1021449899999993</v>
      </c>
      <c r="I9" s="42">
        <v>99.599778439999994</v>
      </c>
      <c r="J9" s="42">
        <v>24.751832499999999</v>
      </c>
      <c r="K9" s="42">
        <v>99.599778439999994</v>
      </c>
      <c r="L9" s="42">
        <v>71.622675240000007</v>
      </c>
      <c r="M9" s="42">
        <v>99.599778439999994</v>
      </c>
      <c r="N9" s="42">
        <v>46.870842740000001</v>
      </c>
      <c r="O9" s="42">
        <v>99.599778439999994</v>
      </c>
      <c r="P9" s="42">
        <v>0.78894536999999998</v>
      </c>
      <c r="Q9" s="42">
        <v>0</v>
      </c>
      <c r="R9" s="42">
        <v>18.405570260000001</v>
      </c>
      <c r="S9" s="42"/>
      <c r="T9" s="42">
        <v>0.78894536999999998</v>
      </c>
      <c r="U9" s="42">
        <v>0</v>
      </c>
      <c r="V9" s="42">
        <v>0</v>
      </c>
      <c r="W9" s="42">
        <v>46.523624839999997</v>
      </c>
      <c r="X9" s="42">
        <v>99.599778439999994</v>
      </c>
      <c r="Y9" s="42">
        <v>146.79851373</v>
      </c>
      <c r="Z9" s="42">
        <v>99.599778439999994</v>
      </c>
      <c r="AA9" s="42">
        <v>449.62744493000002</v>
      </c>
      <c r="AB9" s="42">
        <v>99.599778439999994</v>
      </c>
      <c r="AC9" s="42">
        <v>302.82827021999998</v>
      </c>
      <c r="AD9" s="42">
        <v>99.599778439999994</v>
      </c>
      <c r="AE9" s="42">
        <v>202.59174264999999</v>
      </c>
      <c r="AF9" s="42">
        <v>0.10899654</v>
      </c>
      <c r="AG9" s="42">
        <v>348.56693977999998</v>
      </c>
      <c r="AH9" s="42">
        <v>871.71183083000005</v>
      </c>
      <c r="AI9" s="42">
        <v>578.90204114999995</v>
      </c>
      <c r="AJ9" s="42">
        <v>23.204551940000002</v>
      </c>
      <c r="AK9" s="42">
        <v>19.280021120000001</v>
      </c>
      <c r="AL9" s="41" t="s">
        <v>1149</v>
      </c>
      <c r="AM9" s="42">
        <v>99.599778439999994</v>
      </c>
      <c r="AN9" s="42">
        <v>43.355402290000001</v>
      </c>
      <c r="AO9" s="42">
        <v>13.75980309</v>
      </c>
      <c r="AP9" s="41">
        <v>2.2000000000000002</v>
      </c>
      <c r="AQ9" s="42">
        <v>97.568676530000005</v>
      </c>
      <c r="AR9" s="42">
        <v>54.621194199999998</v>
      </c>
      <c r="AS9" s="42">
        <v>98.122867909999997</v>
      </c>
      <c r="AT9" s="42">
        <v>4.8233162700000003</v>
      </c>
      <c r="AU9" s="42">
        <v>65.934976700000007</v>
      </c>
      <c r="AV9" s="42">
        <v>99.599778439999994</v>
      </c>
      <c r="AW9" s="42">
        <v>0</v>
      </c>
      <c r="AX9" s="42">
        <v>3.5389062999999998</v>
      </c>
      <c r="AY9" s="42">
        <v>2.3387416000000001</v>
      </c>
      <c r="AZ9" s="42">
        <v>0</v>
      </c>
      <c r="BA9" s="42">
        <v>44.3697035</v>
      </c>
      <c r="BB9" s="42">
        <v>45.730336809999997</v>
      </c>
      <c r="BC9" s="42">
        <v>0</v>
      </c>
      <c r="BD9" s="42">
        <v>0.78484609999999999</v>
      </c>
      <c r="BE9" s="42">
        <v>0</v>
      </c>
      <c r="BF9" s="42">
        <v>0.86173109999999997</v>
      </c>
      <c r="BG9" s="42">
        <v>0</v>
      </c>
      <c r="BH9" s="42">
        <v>0.16569766999999999</v>
      </c>
      <c r="BI9" s="42">
        <v>2.2712600000000002E-3</v>
      </c>
      <c r="BJ9" s="42">
        <v>0</v>
      </c>
      <c r="BK9" s="42">
        <v>16.376264129999999</v>
      </c>
      <c r="BL9" s="42">
        <v>16.602906560000001</v>
      </c>
      <c r="BM9" s="42">
        <v>0</v>
      </c>
      <c r="BN9" s="42">
        <v>1.406254E-2</v>
      </c>
      <c r="BO9" s="42">
        <v>0</v>
      </c>
      <c r="BP9" s="42">
        <v>5.1818400000000001E-2</v>
      </c>
      <c r="BQ9" s="42">
        <v>0</v>
      </c>
      <c r="BR9" s="42">
        <v>2.7034999999999998E-4</v>
      </c>
      <c r="BS9" s="42">
        <v>1.6604150000000002E-2</v>
      </c>
      <c r="BT9" s="42">
        <v>0</v>
      </c>
      <c r="BU9" s="42">
        <v>16.619510720000001</v>
      </c>
      <c r="BV9" s="42">
        <v>9.12636E-3</v>
      </c>
      <c r="BW9" s="42">
        <v>0</v>
      </c>
      <c r="BX9" s="42">
        <v>0.16896688000000001</v>
      </c>
      <c r="BY9" s="42">
        <v>3.29255458</v>
      </c>
      <c r="BZ9" s="42">
        <v>0</v>
      </c>
      <c r="CA9" s="42">
        <v>45.730336809999997</v>
      </c>
      <c r="CB9" s="42">
        <v>1.6677731200000001</v>
      </c>
      <c r="CC9" s="42">
        <v>5.1818400000000001E-2</v>
      </c>
      <c r="CD9" s="42">
        <v>0</v>
      </c>
      <c r="CE9" s="42">
        <v>9.12636E-3</v>
      </c>
      <c r="CF9" s="42"/>
      <c r="CG9" s="42">
        <v>44.517274569999998</v>
      </c>
      <c r="CH9" s="42">
        <v>3.7135721500000001</v>
      </c>
      <c r="CI9" s="42">
        <v>1.27634984</v>
      </c>
      <c r="CJ9" s="42">
        <v>58.479138040000002</v>
      </c>
      <c r="CK9" s="42">
        <v>41.79170886</v>
      </c>
      <c r="CL9" s="42">
        <v>22.619966489999999</v>
      </c>
      <c r="CM9" s="42">
        <v>12.01444517</v>
      </c>
      <c r="CN9" s="42">
        <v>12.27779357</v>
      </c>
      <c r="CO9" s="42">
        <v>13.70851307</v>
      </c>
      <c r="CP9" s="42">
        <v>8.2094909499999993</v>
      </c>
      <c r="CQ9" s="42">
        <v>0</v>
      </c>
      <c r="CR9" s="42">
        <v>2.5140072500000001</v>
      </c>
      <c r="CS9" s="42">
        <v>18.63374782</v>
      </c>
      <c r="CT9" s="42">
        <v>78.452023370000006</v>
      </c>
      <c r="CU9" s="42">
        <v>4.0035153000000001</v>
      </c>
      <c r="CV9" s="42">
        <v>2.8638386800000002</v>
      </c>
      <c r="CW9" s="42">
        <v>1.3773300500000001</v>
      </c>
      <c r="CX9" s="42">
        <v>76.295745980000007</v>
      </c>
      <c r="CY9" s="42">
        <v>29.982623400000001</v>
      </c>
      <c r="CZ9" s="42">
        <v>3.3408452099999999</v>
      </c>
      <c r="DA9" s="42">
        <v>68.226327589999997</v>
      </c>
      <c r="DB9" s="42">
        <v>75.222556330000003</v>
      </c>
      <c r="DC9" s="42">
        <v>3.3022527699999999</v>
      </c>
      <c r="DD9" s="42">
        <v>21.074969339999999</v>
      </c>
      <c r="DE9" s="42">
        <v>42.692032410000003</v>
      </c>
      <c r="DF9" s="42">
        <v>99.599778439999994</v>
      </c>
      <c r="DG9" s="42">
        <v>6.4251226900000002</v>
      </c>
      <c r="DH9" s="42">
        <v>99.599778439999994</v>
      </c>
      <c r="DI9" s="42">
        <v>97.085771190000003</v>
      </c>
      <c r="DJ9" s="42">
        <v>2.5140072500000001</v>
      </c>
      <c r="DK9" s="42">
        <v>29.919735679999999</v>
      </c>
      <c r="DL9" s="42">
        <v>0</v>
      </c>
      <c r="DM9" s="42">
        <v>63.931269469999997</v>
      </c>
      <c r="DN9" s="42">
        <v>0</v>
      </c>
      <c r="DO9" s="42">
        <v>8.6980951700000002</v>
      </c>
      <c r="DP9" s="42">
        <v>26.970413799999999</v>
      </c>
      <c r="DQ9" s="42">
        <v>6.5778953800000002</v>
      </c>
      <c r="DR9" s="42">
        <v>99.599778439999994</v>
      </c>
      <c r="DS9" s="42">
        <v>35.991245759999998</v>
      </c>
      <c r="DT9" s="42">
        <v>23.511191839999999</v>
      </c>
      <c r="DU9" s="42">
        <v>0</v>
      </c>
      <c r="DV9" s="42">
        <v>0.42791613000000001</v>
      </c>
      <c r="DW9" s="42">
        <v>8.5525237000000001</v>
      </c>
      <c r="DX9" s="42">
        <v>48.62856884</v>
      </c>
      <c r="DY9" s="42">
        <v>5.2303748399999996</v>
      </c>
      <c r="DZ9" s="42">
        <v>7.7964718900000003</v>
      </c>
      <c r="EA9" s="42">
        <v>49.903918859999997</v>
      </c>
      <c r="EB9" s="42">
        <v>3.02790654</v>
      </c>
      <c r="EC9" s="42">
        <v>1.6585519200000001</v>
      </c>
      <c r="ED9" s="42"/>
      <c r="EE9" s="42">
        <v>0</v>
      </c>
      <c r="EF9" s="42">
        <v>15.23591369</v>
      </c>
      <c r="EG9" s="42">
        <v>76.158572879999994</v>
      </c>
      <c r="EH9" s="42">
        <v>3.8304737100000001</v>
      </c>
      <c r="EI9" s="42">
        <v>0.71136056999999997</v>
      </c>
      <c r="EJ9" s="42">
        <v>3.1169890699999998</v>
      </c>
      <c r="EK9" s="42">
        <v>49.915016690000002</v>
      </c>
      <c r="EL9" s="42">
        <v>46.567772679999997</v>
      </c>
      <c r="EM9" s="42">
        <v>0.77134882000000005</v>
      </c>
      <c r="EN9" s="42">
        <v>2.3456402500000002</v>
      </c>
      <c r="EO9" s="42">
        <v>617.26759816000003</v>
      </c>
      <c r="EP9" s="42">
        <v>52.546700800000004</v>
      </c>
      <c r="EQ9" s="42">
        <v>463.32642363000002</v>
      </c>
      <c r="ER9" s="42">
        <v>92.558658480000005</v>
      </c>
      <c r="ES9" s="42">
        <v>36.773092419999998</v>
      </c>
      <c r="ET9" s="42">
        <v>30.066107089999999</v>
      </c>
      <c r="EU9" s="42">
        <v>0</v>
      </c>
      <c r="EV9" s="42">
        <v>73.894116819999994</v>
      </c>
      <c r="EW9" s="42">
        <v>5.3173578099999999</v>
      </c>
      <c r="EX9" s="42">
        <v>42.296409939999997</v>
      </c>
      <c r="EY9" s="42">
        <v>0.48620469999999999</v>
      </c>
      <c r="EZ9" s="42">
        <v>0</v>
      </c>
      <c r="FA9" s="42">
        <v>95.808021609999997</v>
      </c>
      <c r="FB9" s="42">
        <v>98.402513099999993</v>
      </c>
      <c r="FC9" s="42">
        <v>36.68241029</v>
      </c>
      <c r="FD9" s="42">
        <v>96.411803280000001</v>
      </c>
      <c r="FE9" s="41" t="s">
        <v>1150</v>
      </c>
      <c r="FF9" s="42">
        <v>0</v>
      </c>
      <c r="FG9" s="42">
        <v>0</v>
      </c>
      <c r="FH9" s="42">
        <v>18.766021859999999</v>
      </c>
      <c r="FI9" s="42">
        <v>18.766021859999999</v>
      </c>
      <c r="FJ9" s="42">
        <v>80.833756579999999</v>
      </c>
      <c r="FK9" s="42">
        <v>0</v>
      </c>
      <c r="FL9" s="42">
        <v>0</v>
      </c>
      <c r="FM9" s="41" t="s">
        <v>1150</v>
      </c>
      <c r="FN9" s="42">
        <v>0</v>
      </c>
      <c r="FO9" s="42">
        <v>0</v>
      </c>
      <c r="FP9" s="42">
        <v>0</v>
      </c>
      <c r="FQ9" s="42">
        <v>0</v>
      </c>
      <c r="FR9" s="42">
        <v>99.599778439999994</v>
      </c>
      <c r="FS9" s="42">
        <v>0</v>
      </c>
      <c r="FT9" s="42">
        <v>0</v>
      </c>
      <c r="FU9" s="41" t="s">
        <v>1150</v>
      </c>
      <c r="FV9" s="42">
        <v>0</v>
      </c>
      <c r="FW9" s="42">
        <v>0</v>
      </c>
      <c r="FX9" s="42">
        <v>0</v>
      </c>
      <c r="FY9" s="42">
        <v>0</v>
      </c>
      <c r="FZ9" s="42">
        <v>99.599778439999994</v>
      </c>
      <c r="GA9" s="42">
        <v>0</v>
      </c>
      <c r="GB9" s="42">
        <v>0</v>
      </c>
      <c r="GC9" s="41" t="s">
        <v>1150</v>
      </c>
      <c r="GD9" s="42">
        <v>0</v>
      </c>
      <c r="GE9" s="42">
        <v>0</v>
      </c>
      <c r="GF9" s="42">
        <v>0</v>
      </c>
      <c r="GG9" s="42">
        <v>0</v>
      </c>
      <c r="GH9" s="42">
        <v>99.599778439999994</v>
      </c>
      <c r="GI9" s="42">
        <v>0</v>
      </c>
      <c r="GJ9" s="42">
        <v>0</v>
      </c>
      <c r="GK9" s="41" t="s">
        <v>1151</v>
      </c>
      <c r="GL9" s="42">
        <v>45.34161297</v>
      </c>
      <c r="GM9" s="42">
        <v>45.34161297</v>
      </c>
      <c r="GN9" s="42">
        <v>0</v>
      </c>
      <c r="GO9" s="42">
        <v>0</v>
      </c>
      <c r="GP9" s="42">
        <v>54.258165470000002</v>
      </c>
      <c r="GQ9" s="42">
        <v>0</v>
      </c>
      <c r="GR9" s="42">
        <v>0</v>
      </c>
      <c r="GS9" s="41" t="s">
        <v>1151</v>
      </c>
      <c r="GT9" s="42">
        <v>7.3004691199999998</v>
      </c>
      <c r="GU9" s="42">
        <v>7.3004691199999998</v>
      </c>
      <c r="GV9" s="42">
        <v>0</v>
      </c>
      <c r="GW9" s="42">
        <v>0</v>
      </c>
      <c r="GX9" s="42">
        <v>92.299309320000006</v>
      </c>
      <c r="GY9" s="42">
        <v>0</v>
      </c>
      <c r="GZ9" s="42">
        <v>0</v>
      </c>
      <c r="HA9" s="41" t="s">
        <v>1151</v>
      </c>
      <c r="HB9" s="42">
        <v>31.297465630000001</v>
      </c>
      <c r="HC9" s="42">
        <v>31.297465630000001</v>
      </c>
      <c r="HD9" s="42">
        <v>0</v>
      </c>
      <c r="HE9" s="42">
        <v>0</v>
      </c>
      <c r="HF9" s="42">
        <v>68.302312810000004</v>
      </c>
      <c r="HG9" s="42">
        <v>0</v>
      </c>
      <c r="HH9" s="42">
        <v>0</v>
      </c>
      <c r="HI9" s="41" t="s">
        <v>1151</v>
      </c>
      <c r="HJ9" s="42">
        <v>9.4768425500000006</v>
      </c>
      <c r="HK9" s="42">
        <v>9.4768425500000006</v>
      </c>
      <c r="HL9" s="42">
        <v>0</v>
      </c>
      <c r="HM9" s="42">
        <v>0</v>
      </c>
      <c r="HN9" s="42">
        <v>90.122935889999994</v>
      </c>
      <c r="HO9" s="42">
        <v>0</v>
      </c>
      <c r="HP9" s="42">
        <v>0</v>
      </c>
      <c r="HQ9" s="41" t="s">
        <v>1150</v>
      </c>
      <c r="HR9" s="42">
        <v>9.7620865800000001</v>
      </c>
      <c r="HS9" s="42">
        <v>9.7620865800000001</v>
      </c>
      <c r="HT9" s="42">
        <v>18.766021859999999</v>
      </c>
      <c r="HU9" s="42">
        <v>18.766021859999999</v>
      </c>
      <c r="HV9" s="42">
        <v>71.071669999999997</v>
      </c>
      <c r="HW9" s="42">
        <v>0</v>
      </c>
      <c r="HX9" s="42">
        <v>0</v>
      </c>
      <c r="HY9" s="41" t="s">
        <v>1151</v>
      </c>
      <c r="HZ9" s="42">
        <v>25.791644869999999</v>
      </c>
      <c r="IA9" s="42">
        <v>25.791644869999999</v>
      </c>
      <c r="IB9" s="42">
        <v>0</v>
      </c>
      <c r="IC9" s="42">
        <v>0</v>
      </c>
      <c r="ID9" s="42">
        <v>73.808133569999995</v>
      </c>
      <c r="IE9" s="42">
        <v>0</v>
      </c>
      <c r="IF9" s="42">
        <v>0</v>
      </c>
      <c r="IG9" s="41" t="s">
        <v>1150</v>
      </c>
      <c r="IH9" s="42">
        <v>0.27164675999999999</v>
      </c>
      <c r="II9" s="42">
        <v>0.27164675999999999</v>
      </c>
      <c r="IJ9" s="42">
        <v>7.4064483399999999</v>
      </c>
      <c r="IK9" s="42">
        <v>7.4064483399999999</v>
      </c>
      <c r="IL9" s="42">
        <v>91.921683340000001</v>
      </c>
      <c r="IM9" s="42">
        <v>0</v>
      </c>
      <c r="IN9" s="42">
        <v>0</v>
      </c>
      <c r="IO9" s="41" t="s">
        <v>1151</v>
      </c>
      <c r="IP9" s="42">
        <v>26.826341970000001</v>
      </c>
      <c r="IQ9" s="42">
        <v>40.73471593</v>
      </c>
      <c r="IR9" s="42">
        <v>0</v>
      </c>
      <c r="IS9" s="42">
        <v>0</v>
      </c>
      <c r="IT9" s="42">
        <v>58.865062510000001</v>
      </c>
      <c r="IU9" s="42">
        <v>13.90837396</v>
      </c>
      <c r="IV9" s="42">
        <v>0</v>
      </c>
      <c r="IW9" s="41" t="s">
        <v>1151</v>
      </c>
      <c r="IX9" s="42">
        <v>41.985970690000002</v>
      </c>
      <c r="IY9" s="42">
        <v>41.985970690000002</v>
      </c>
      <c r="IZ9" s="42">
        <v>0</v>
      </c>
      <c r="JA9" s="42">
        <v>0</v>
      </c>
      <c r="JB9" s="42">
        <v>57.613807749999999</v>
      </c>
      <c r="JC9" s="42">
        <v>0</v>
      </c>
      <c r="JD9" s="42">
        <v>0</v>
      </c>
      <c r="JE9" s="41" t="s">
        <v>1150</v>
      </c>
      <c r="JF9" s="42">
        <v>0</v>
      </c>
      <c r="JG9" s="42">
        <v>0</v>
      </c>
      <c r="JH9" s="42">
        <v>0</v>
      </c>
      <c r="JI9" s="42">
        <v>0</v>
      </c>
      <c r="JJ9" s="42">
        <v>99.599778439999994</v>
      </c>
      <c r="JK9" s="42">
        <v>0</v>
      </c>
      <c r="JL9" s="42">
        <v>0</v>
      </c>
      <c r="JM9" s="41" t="s">
        <v>1150</v>
      </c>
      <c r="JN9" s="42">
        <v>0</v>
      </c>
      <c r="JO9" s="42">
        <v>0</v>
      </c>
      <c r="JP9" s="42">
        <v>0</v>
      </c>
      <c r="JQ9" s="42">
        <v>0</v>
      </c>
      <c r="JR9" s="42">
        <v>99.599778439999994</v>
      </c>
      <c r="JS9" s="42">
        <v>0</v>
      </c>
      <c r="JT9" s="42">
        <v>0</v>
      </c>
      <c r="JU9" s="41" t="s">
        <v>1151</v>
      </c>
      <c r="JV9" s="42">
        <v>16.153633899999999</v>
      </c>
      <c r="JW9" s="42">
        <v>16.153633899999999</v>
      </c>
      <c r="JX9" s="42">
        <v>0</v>
      </c>
      <c r="JY9" s="42">
        <v>0</v>
      </c>
      <c r="JZ9" s="42">
        <v>83.446144540000006</v>
      </c>
      <c r="KA9" s="42">
        <v>0</v>
      </c>
      <c r="KB9" s="42">
        <v>0</v>
      </c>
      <c r="KC9" s="41" t="s">
        <v>1150</v>
      </c>
      <c r="KD9" s="42">
        <v>0</v>
      </c>
      <c r="KE9" s="42">
        <v>0</v>
      </c>
      <c r="KF9" s="42">
        <v>18.766021859999999</v>
      </c>
      <c r="KG9" s="42">
        <v>18.766021859999999</v>
      </c>
      <c r="KH9" s="42">
        <v>80.833756579999999</v>
      </c>
      <c r="KI9" s="42">
        <v>0</v>
      </c>
      <c r="KJ9" s="42">
        <v>0</v>
      </c>
      <c r="KK9" s="42">
        <v>99.599778439999994</v>
      </c>
      <c r="KL9" s="42">
        <v>0.44449285999999999</v>
      </c>
      <c r="KM9" s="42">
        <v>6.0228196000000001</v>
      </c>
      <c r="KN9" s="42">
        <v>5.0073185000000002</v>
      </c>
      <c r="KO9" s="41" t="s">
        <v>1152</v>
      </c>
      <c r="KP9" s="41" t="s">
        <v>1153</v>
      </c>
      <c r="KQ9" s="41" t="s">
        <v>1154</v>
      </c>
      <c r="KR9" s="42">
        <v>29.311272930000001</v>
      </c>
      <c r="KS9" s="42">
        <v>99.980884689999996</v>
      </c>
      <c r="KT9" s="42">
        <v>99.708774980000001</v>
      </c>
      <c r="KU9" s="42">
        <v>5.2932532095602838</v>
      </c>
      <c r="KV9" s="42">
        <v>5.5384420083404251</v>
      </c>
      <c r="KW9" s="42">
        <v>1.01120181</v>
      </c>
      <c r="KX9" s="42">
        <v>69.386300239999997</v>
      </c>
      <c r="KY9" s="41"/>
      <c r="KZ9" s="42">
        <v>7.3801457499999996</v>
      </c>
      <c r="LA9" s="42">
        <v>82.610506441581521</v>
      </c>
      <c r="LB9" s="42">
        <v>6.020714720234043</v>
      </c>
      <c r="LC9" s="42">
        <v>89.645390070921977</v>
      </c>
      <c r="LD9" s="41" t="s">
        <v>1163</v>
      </c>
      <c r="LE9" s="42">
        <v>13.08895249</v>
      </c>
      <c r="LF9" s="42">
        <v>54.036008879999997</v>
      </c>
      <c r="LG9" s="42">
        <v>15.35029136</v>
      </c>
      <c r="LH9" s="42">
        <v>1.01120181</v>
      </c>
      <c r="LI9" s="42">
        <v>2.2305628199999998</v>
      </c>
      <c r="LJ9" s="42">
        <v>13.99175762</v>
      </c>
      <c r="LK9" s="42">
        <v>0</v>
      </c>
      <c r="LL9" s="42">
        <v>0.29122502</v>
      </c>
      <c r="LM9" s="42">
        <v>4.8454222087659584</v>
      </c>
      <c r="LN9" s="42">
        <v>0.29122502</v>
      </c>
      <c r="LO9" s="42">
        <v>12.04133991</v>
      </c>
      <c r="LP9" s="42">
        <v>82.66011657</v>
      </c>
      <c r="LQ9" s="42">
        <v>5.3029548100000001</v>
      </c>
      <c r="LR9" s="42">
        <v>20.93494621</v>
      </c>
      <c r="LS9" s="41" t="s">
        <v>1173</v>
      </c>
      <c r="LT9" s="42">
        <v>6.12232106</v>
      </c>
      <c r="LU9" s="42">
        <v>39.478125239999997</v>
      </c>
      <c r="LV9" s="43">
        <v>129</v>
      </c>
      <c r="LW9" s="43">
        <v>1</v>
      </c>
      <c r="LX9" s="43">
        <v>128</v>
      </c>
      <c r="LY9" s="41" t="s">
        <v>480</v>
      </c>
      <c r="LZ9" s="41" t="s">
        <v>1184</v>
      </c>
      <c r="MA9" s="44">
        <v>46203</v>
      </c>
      <c r="MB9" s="41" t="s">
        <v>1185</v>
      </c>
      <c r="MC9" s="43">
        <v>1410</v>
      </c>
      <c r="MD9" s="41" t="s">
        <v>1158</v>
      </c>
      <c r="ME9" s="41" t="s">
        <v>557</v>
      </c>
      <c r="MF9" s="42">
        <v>5.67175853</v>
      </c>
      <c r="MG9" s="42">
        <v>39.295703520000004</v>
      </c>
      <c r="MH9" s="42">
        <v>9455798439</v>
      </c>
      <c r="MI9" s="42">
        <v>7.3801457499999996</v>
      </c>
      <c r="MJ9" s="42">
        <v>82.610506441581521</v>
      </c>
      <c r="MK9" s="42">
        <v>89.645390070921977</v>
      </c>
      <c r="ML9" s="42">
        <v>5.7727173199999999</v>
      </c>
      <c r="MM9" s="41" t="s">
        <v>480</v>
      </c>
      <c r="MN9" s="42">
        <v>0</v>
      </c>
      <c r="MO9" s="42">
        <v>0</v>
      </c>
      <c r="MP9" s="42">
        <v>0</v>
      </c>
      <c r="MQ9" s="42">
        <v>0</v>
      </c>
      <c r="MR9" s="42">
        <v>0.11067831</v>
      </c>
      <c r="MS9" s="42">
        <v>0</v>
      </c>
      <c r="MT9" s="42">
        <v>0</v>
      </c>
      <c r="MU9" s="42">
        <v>0</v>
      </c>
      <c r="MV9" s="42">
        <v>1.03479718</v>
      </c>
      <c r="MW9" s="42">
        <v>1.03479718</v>
      </c>
      <c r="MX9" s="42">
        <v>1.03479718</v>
      </c>
      <c r="MY9" s="42">
        <v>0</v>
      </c>
      <c r="MZ9" s="42">
        <v>0</v>
      </c>
      <c r="NA9" s="42">
        <v>0</v>
      </c>
      <c r="NB9" s="42">
        <v>0</v>
      </c>
      <c r="NC9" s="42">
        <v>0.71136056999999997</v>
      </c>
      <c r="ND9" s="42">
        <v>0</v>
      </c>
      <c r="NE9" s="42">
        <v>0</v>
      </c>
      <c r="NF9" s="42">
        <v>0</v>
      </c>
      <c r="NG9" s="42">
        <v>0</v>
      </c>
      <c r="NH9" s="42">
        <v>0</v>
      </c>
      <c r="NI9" s="42">
        <v>0</v>
      </c>
      <c r="NJ9" s="42">
        <v>0</v>
      </c>
      <c r="NK9" s="42">
        <v>0</v>
      </c>
      <c r="NL9" s="42">
        <v>0</v>
      </c>
      <c r="NM9" s="42">
        <v>0</v>
      </c>
      <c r="NN9" s="42">
        <v>0</v>
      </c>
      <c r="NO9" s="42">
        <v>0</v>
      </c>
      <c r="NP9" s="42">
        <v>0</v>
      </c>
      <c r="NQ9" s="42">
        <v>0</v>
      </c>
      <c r="NR9" s="42">
        <v>6.8651543400000001</v>
      </c>
      <c r="NS9" s="42">
        <v>0.81683981999999999</v>
      </c>
      <c r="NT9" s="42">
        <v>0</v>
      </c>
      <c r="NU9" s="42">
        <v>0</v>
      </c>
      <c r="NV9" s="42">
        <v>0</v>
      </c>
      <c r="NW9" s="42">
        <v>0</v>
      </c>
      <c r="NX9" s="42">
        <v>0</v>
      </c>
      <c r="NY9" s="42">
        <v>2.1526780699999999</v>
      </c>
      <c r="NZ9" s="42">
        <v>0</v>
      </c>
      <c r="OA9" s="42">
        <v>0</v>
      </c>
      <c r="OB9" s="42">
        <v>0</v>
      </c>
      <c r="OC9" s="42">
        <v>0</v>
      </c>
      <c r="OD9" s="42">
        <v>0</v>
      </c>
      <c r="OE9" s="42">
        <v>0</v>
      </c>
      <c r="OF9" s="42">
        <v>0</v>
      </c>
      <c r="OG9" s="42">
        <v>0</v>
      </c>
      <c r="OH9" s="42">
        <v>0.34563226000000002</v>
      </c>
      <c r="OI9" s="42">
        <v>0.34563226000000002</v>
      </c>
      <c r="OJ9" s="42">
        <v>0</v>
      </c>
      <c r="OK9" s="42">
        <v>0</v>
      </c>
      <c r="OL9" s="42">
        <v>0.34563226000000002</v>
      </c>
      <c r="OM9" s="42">
        <v>43.720830749999998</v>
      </c>
      <c r="ON9" s="42">
        <v>0</v>
      </c>
      <c r="OO9" s="42">
        <v>0.34563226000000002</v>
      </c>
      <c r="OP9" s="42">
        <v>0</v>
      </c>
      <c r="OQ9" s="42">
        <v>0</v>
      </c>
      <c r="OR9" s="42">
        <v>0</v>
      </c>
      <c r="OS9" s="42">
        <v>0</v>
      </c>
      <c r="OT9" s="42">
        <v>0</v>
      </c>
      <c r="OU9" s="42">
        <v>0</v>
      </c>
      <c r="OV9" s="42">
        <v>0</v>
      </c>
      <c r="OW9" s="42">
        <v>0</v>
      </c>
      <c r="OX9" s="42">
        <v>0</v>
      </c>
      <c r="OY9" s="42">
        <v>0</v>
      </c>
      <c r="OZ9" s="42">
        <v>0</v>
      </c>
      <c r="PA9" s="42">
        <v>0</v>
      </c>
      <c r="PB9" s="42">
        <v>0</v>
      </c>
      <c r="PC9" s="42">
        <v>0</v>
      </c>
      <c r="PD9" s="42">
        <v>0</v>
      </c>
      <c r="PE9" s="42">
        <v>8.2199888899999998</v>
      </c>
      <c r="PF9" s="42">
        <v>0</v>
      </c>
      <c r="PG9" s="42">
        <v>0</v>
      </c>
      <c r="PH9" s="42">
        <v>0</v>
      </c>
      <c r="PI9" s="42">
        <v>0</v>
      </c>
      <c r="PJ9" s="42">
        <v>0</v>
      </c>
      <c r="PK9" s="42">
        <v>0</v>
      </c>
      <c r="PL9" s="42">
        <v>0</v>
      </c>
      <c r="PM9" s="42">
        <v>4.6395906499999997</v>
      </c>
      <c r="PN9" s="42">
        <v>0</v>
      </c>
      <c r="PO9" s="42">
        <v>0</v>
      </c>
      <c r="PP9" s="42">
        <v>4.2939583900000002</v>
      </c>
      <c r="PQ9" s="42">
        <v>0</v>
      </c>
      <c r="PR9" s="42">
        <v>0.34563226000000002</v>
      </c>
      <c r="PS9" s="42">
        <v>0</v>
      </c>
      <c r="PT9" s="42">
        <v>1.1070000000000001E-5</v>
      </c>
      <c r="PU9" s="42">
        <v>0.13395710999999999</v>
      </c>
      <c r="PV9" s="42">
        <v>0</v>
      </c>
      <c r="PW9" s="42">
        <v>9.6287200000000003E-3</v>
      </c>
      <c r="PX9" s="42">
        <v>0</v>
      </c>
      <c r="PY9" s="42">
        <v>0</v>
      </c>
      <c r="PZ9" s="42">
        <v>0</v>
      </c>
      <c r="QA9" s="42">
        <v>2.9553207499999998</v>
      </c>
      <c r="QB9" s="42">
        <v>0</v>
      </c>
      <c r="QC9" s="42">
        <v>0</v>
      </c>
      <c r="QD9" s="42">
        <v>0</v>
      </c>
      <c r="QE9" s="42">
        <v>0</v>
      </c>
      <c r="QF9" s="42">
        <v>0</v>
      </c>
      <c r="QG9" s="42">
        <v>0</v>
      </c>
      <c r="QH9" s="42">
        <v>0</v>
      </c>
      <c r="QI9" s="42">
        <v>0</v>
      </c>
      <c r="QJ9" s="42">
        <v>0</v>
      </c>
      <c r="QK9" s="42">
        <v>6.8651543400000001</v>
      </c>
    </row>
    <row r="10" spans="1:453" x14ac:dyDescent="0.35">
      <c r="A10" s="41" t="s">
        <v>560</v>
      </c>
      <c r="B10" s="41" t="s">
        <v>561</v>
      </c>
      <c r="C10" s="41" t="s">
        <v>562</v>
      </c>
      <c r="D10" s="41" t="s">
        <v>536</v>
      </c>
      <c r="E10" s="41" t="s">
        <v>562</v>
      </c>
      <c r="F10" s="41" t="s">
        <v>1186</v>
      </c>
      <c r="G10" s="41" t="s">
        <v>563</v>
      </c>
      <c r="H10" s="42">
        <v>3.9577318099999999</v>
      </c>
      <c r="I10" s="42">
        <v>99.70020031</v>
      </c>
      <c r="J10" s="42">
        <v>5.8405768800000004</v>
      </c>
      <c r="K10" s="42">
        <v>99.70020031</v>
      </c>
      <c r="L10" s="42">
        <v>35.91538886</v>
      </c>
      <c r="M10" s="42">
        <v>99.70020031</v>
      </c>
      <c r="N10" s="42">
        <v>30.074811969999999</v>
      </c>
      <c r="O10" s="42">
        <v>99.70020031</v>
      </c>
      <c r="P10" s="42">
        <v>0</v>
      </c>
      <c r="Q10" s="42">
        <v>0</v>
      </c>
      <c r="R10" s="42">
        <v>1.8407464600000001</v>
      </c>
      <c r="S10" s="42"/>
      <c r="T10" s="42">
        <v>0</v>
      </c>
      <c r="U10" s="42">
        <v>0</v>
      </c>
      <c r="V10" s="42">
        <v>0</v>
      </c>
      <c r="W10" s="42">
        <v>14.31304257</v>
      </c>
      <c r="X10" s="42">
        <v>99.70020031</v>
      </c>
      <c r="Y10" s="42">
        <v>32.060595569999997</v>
      </c>
      <c r="Z10" s="42">
        <v>99.70020031</v>
      </c>
      <c r="AA10" s="42">
        <v>158.14789682</v>
      </c>
      <c r="AB10" s="42">
        <v>99.70020031</v>
      </c>
      <c r="AC10" s="42">
        <v>126.08807304</v>
      </c>
      <c r="AD10" s="42">
        <v>99.70020031</v>
      </c>
      <c r="AE10" s="42">
        <v>202.59174264999999</v>
      </c>
      <c r="AF10" s="42">
        <v>6.079764E-2</v>
      </c>
      <c r="AG10" s="42">
        <v>30.87135112</v>
      </c>
      <c r="AH10" s="42">
        <v>76.73035591</v>
      </c>
      <c r="AI10" s="42">
        <v>542.50680047000003</v>
      </c>
      <c r="AJ10" s="42">
        <v>65.646634340000006</v>
      </c>
      <c r="AK10" s="42">
        <v>18.252981760000001</v>
      </c>
      <c r="AL10" s="41" t="s">
        <v>1180</v>
      </c>
      <c r="AM10" s="42">
        <v>99.70020031</v>
      </c>
      <c r="AN10" s="42">
        <v>15.2057848</v>
      </c>
      <c r="AO10" s="42">
        <v>0.59479941000000003</v>
      </c>
      <c r="AP10" s="41">
        <v>1.7</v>
      </c>
      <c r="AQ10" s="42">
        <v>90.415909589999998</v>
      </c>
      <c r="AR10" s="42">
        <v>84.652415379999994</v>
      </c>
      <c r="AS10" s="42">
        <v>98.770401239999998</v>
      </c>
      <c r="AT10" s="42">
        <v>2.3286055600000002</v>
      </c>
      <c r="AU10" s="42">
        <v>85.323314659999994</v>
      </c>
      <c r="AV10" s="42">
        <v>99.70020031</v>
      </c>
      <c r="AW10" s="42">
        <v>1.2686987300000001</v>
      </c>
      <c r="AX10" s="42">
        <v>6.2872937200000001</v>
      </c>
      <c r="AY10" s="42">
        <v>2.2211977799999998</v>
      </c>
      <c r="AZ10" s="42">
        <v>0.41329958999999999</v>
      </c>
      <c r="BA10" s="42">
        <v>26.048773959999998</v>
      </c>
      <c r="BB10" s="42">
        <v>26.048773959999998</v>
      </c>
      <c r="BC10" s="42">
        <v>0</v>
      </c>
      <c r="BD10" s="42">
        <v>0</v>
      </c>
      <c r="BE10" s="42">
        <v>0.31459968999999999</v>
      </c>
      <c r="BF10" s="42">
        <v>0</v>
      </c>
      <c r="BG10" s="42">
        <v>6.3435E-4</v>
      </c>
      <c r="BH10" s="42">
        <v>4.8043000000000002E-2</v>
      </c>
      <c r="BI10" s="42">
        <v>0.14715760999999999</v>
      </c>
      <c r="BJ10" s="42">
        <v>2.843501E-2</v>
      </c>
      <c r="BK10" s="42">
        <v>0.84633263999999997</v>
      </c>
      <c r="BL10" s="42">
        <v>0.89437564999999997</v>
      </c>
      <c r="BM10" s="42">
        <v>0</v>
      </c>
      <c r="BN10" s="42">
        <v>0</v>
      </c>
      <c r="BO10" s="42">
        <v>9.1233999999999998E-4</v>
      </c>
      <c r="BP10" s="42">
        <v>0</v>
      </c>
      <c r="BQ10" s="42">
        <v>0</v>
      </c>
      <c r="BR10" s="42">
        <v>0</v>
      </c>
      <c r="BS10" s="42">
        <v>0.17713930999999999</v>
      </c>
      <c r="BT10" s="42">
        <v>0</v>
      </c>
      <c r="BU10" s="42">
        <v>1.07151496</v>
      </c>
      <c r="BV10" s="42">
        <v>0</v>
      </c>
      <c r="BW10" s="42">
        <v>0</v>
      </c>
      <c r="BX10" s="42">
        <v>0</v>
      </c>
      <c r="BY10" s="42">
        <v>4.2177957900000003</v>
      </c>
      <c r="BZ10" s="42">
        <v>0</v>
      </c>
      <c r="CA10" s="42">
        <v>26.776673240000001</v>
      </c>
      <c r="CB10" s="42">
        <v>0</v>
      </c>
      <c r="CC10" s="42">
        <v>0</v>
      </c>
      <c r="CD10" s="42">
        <v>0</v>
      </c>
      <c r="CE10" s="42">
        <v>0</v>
      </c>
      <c r="CF10" s="42"/>
      <c r="CG10" s="42">
        <v>40.01296001</v>
      </c>
      <c r="CH10" s="42">
        <v>3.5778964200000001</v>
      </c>
      <c r="CI10" s="42">
        <v>2.03139797</v>
      </c>
      <c r="CJ10" s="42">
        <v>83.399216620000004</v>
      </c>
      <c r="CK10" s="42">
        <v>22.830477170000002</v>
      </c>
      <c r="CL10" s="42">
        <v>6.3280936700000003</v>
      </c>
      <c r="CM10" s="42">
        <v>34.825365159999997</v>
      </c>
      <c r="CN10" s="42">
        <v>5.2325947599999996</v>
      </c>
      <c r="CO10" s="42">
        <v>9.8935901099999999</v>
      </c>
      <c r="CP10" s="42">
        <v>52.65534736</v>
      </c>
      <c r="CQ10" s="42">
        <v>0</v>
      </c>
      <c r="CR10" s="42">
        <v>7.7593922500000003</v>
      </c>
      <c r="CS10" s="42">
        <v>43.041456969999999</v>
      </c>
      <c r="CT10" s="42">
        <v>48.899351090000003</v>
      </c>
      <c r="CU10" s="42">
        <v>58.67484134</v>
      </c>
      <c r="CV10" s="42">
        <v>27.07267293</v>
      </c>
      <c r="CW10" s="42">
        <v>2.5951974</v>
      </c>
      <c r="CX10" s="42">
        <v>71.48612851</v>
      </c>
      <c r="CY10" s="42">
        <v>41.783258230000001</v>
      </c>
      <c r="CZ10" s="42">
        <v>5.9271940900000004</v>
      </c>
      <c r="DA10" s="42">
        <v>38.695361300000002</v>
      </c>
      <c r="DB10" s="42">
        <v>35.471464560000001</v>
      </c>
      <c r="DC10" s="42">
        <v>47.97055203</v>
      </c>
      <c r="DD10" s="42">
        <v>16.258183720000002</v>
      </c>
      <c r="DE10" s="42">
        <v>53.534946429999998</v>
      </c>
      <c r="DF10" s="42">
        <v>99.70020031</v>
      </c>
      <c r="DG10" s="42">
        <v>5.8626658799999998</v>
      </c>
      <c r="DH10" s="42">
        <v>99.70020031</v>
      </c>
      <c r="DI10" s="42">
        <v>91.940808059999995</v>
      </c>
      <c r="DJ10" s="42">
        <v>7.7593922500000003</v>
      </c>
      <c r="DK10" s="42">
        <v>14.95238505</v>
      </c>
      <c r="DL10" s="42">
        <v>0</v>
      </c>
      <c r="DM10" s="42">
        <v>99.70020031</v>
      </c>
      <c r="DN10" s="42">
        <v>0</v>
      </c>
      <c r="DO10" s="42">
        <v>0</v>
      </c>
      <c r="DP10" s="42">
        <v>0</v>
      </c>
      <c r="DQ10" s="42">
        <v>6.5323311000000004</v>
      </c>
      <c r="DR10" s="42">
        <v>99.70020031</v>
      </c>
      <c r="DS10" s="42">
        <v>62.789837230000003</v>
      </c>
      <c r="DT10" s="42">
        <v>16.288783729999999</v>
      </c>
      <c r="DU10" s="42">
        <v>0</v>
      </c>
      <c r="DV10" s="42">
        <v>5.9647940300000002</v>
      </c>
      <c r="DW10" s="42">
        <v>56.724843270000001</v>
      </c>
      <c r="DX10" s="42">
        <v>65.670134340000004</v>
      </c>
      <c r="DY10" s="42">
        <v>47.537852460000003</v>
      </c>
      <c r="DZ10" s="42">
        <v>6.1805938300000003</v>
      </c>
      <c r="EA10" s="42">
        <v>60.669339309999998</v>
      </c>
      <c r="EB10" s="42">
        <v>0.96189904000000004</v>
      </c>
      <c r="EC10" s="42">
        <v>0</v>
      </c>
      <c r="ED10" s="42">
        <v>0.1875</v>
      </c>
      <c r="EE10" s="42">
        <v>4.0681959299999999</v>
      </c>
      <c r="EF10" s="42">
        <v>47.782552219999999</v>
      </c>
      <c r="EG10" s="42">
        <v>43.858056140000002</v>
      </c>
      <c r="EH10" s="42"/>
      <c r="EI10" s="42">
        <v>0</v>
      </c>
      <c r="EJ10" s="42">
        <v>0</v>
      </c>
      <c r="EK10" s="42">
        <v>95.632004379999998</v>
      </c>
      <c r="EL10" s="42">
        <v>4.0681959299999999</v>
      </c>
      <c r="EM10" s="42">
        <v>0</v>
      </c>
      <c r="EN10" s="42">
        <v>0.45859954000000003</v>
      </c>
      <c r="EO10" s="42">
        <v>103.82752236</v>
      </c>
      <c r="EP10" s="42">
        <v>18.05228194</v>
      </c>
      <c r="EQ10" s="42">
        <v>88.010913819999999</v>
      </c>
      <c r="ER10" s="42">
        <v>81.13431885</v>
      </c>
      <c r="ES10" s="42">
        <v>40.331459680000002</v>
      </c>
      <c r="ET10" s="42">
        <v>12.33258768</v>
      </c>
      <c r="EU10" s="42">
        <v>0.56369944000000005</v>
      </c>
      <c r="EV10" s="42">
        <v>41.83705818</v>
      </c>
      <c r="EW10" s="42">
        <v>3.80189617</v>
      </c>
      <c r="EX10" s="42">
        <v>75.073824920000007</v>
      </c>
      <c r="EY10" s="42">
        <v>2.8600971400000001</v>
      </c>
      <c r="EZ10" s="42">
        <v>4.5390954600000004</v>
      </c>
      <c r="FA10" s="42">
        <v>72.143927860000005</v>
      </c>
      <c r="FB10" s="42">
        <v>99.70020031</v>
      </c>
      <c r="FC10" s="42">
        <v>25.28957471</v>
      </c>
      <c r="FD10" s="42">
        <v>98.628701379999995</v>
      </c>
      <c r="FE10" s="41" t="s">
        <v>1150</v>
      </c>
      <c r="FF10" s="42">
        <v>2.8793971300000001</v>
      </c>
      <c r="FG10" s="42">
        <v>2.8793971300000001</v>
      </c>
      <c r="FH10" s="42">
        <v>41.980958020000003</v>
      </c>
      <c r="FI10" s="42">
        <v>41.980958020000003</v>
      </c>
      <c r="FJ10" s="42">
        <v>54.839845160000003</v>
      </c>
      <c r="FK10" s="42">
        <v>0</v>
      </c>
      <c r="FL10" s="42">
        <v>0</v>
      </c>
      <c r="FM10" s="41" t="s">
        <v>1150</v>
      </c>
      <c r="FN10" s="42">
        <v>0</v>
      </c>
      <c r="FO10" s="42">
        <v>0</v>
      </c>
      <c r="FP10" s="42">
        <v>0</v>
      </c>
      <c r="FQ10" s="42">
        <v>0</v>
      </c>
      <c r="FR10" s="42">
        <v>99.70020031</v>
      </c>
      <c r="FS10" s="42">
        <v>0</v>
      </c>
      <c r="FT10" s="42">
        <v>0</v>
      </c>
      <c r="FU10" s="41" t="s">
        <v>1150</v>
      </c>
      <c r="FV10" s="42">
        <v>0</v>
      </c>
      <c r="FW10" s="42">
        <v>0</v>
      </c>
      <c r="FX10" s="42">
        <v>0</v>
      </c>
      <c r="FY10" s="42">
        <v>0</v>
      </c>
      <c r="FZ10" s="42">
        <v>99.70020031</v>
      </c>
      <c r="GA10" s="42">
        <v>0</v>
      </c>
      <c r="GB10" s="42">
        <v>0</v>
      </c>
      <c r="GC10" s="41" t="s">
        <v>1150</v>
      </c>
      <c r="GD10" s="42">
        <v>0</v>
      </c>
      <c r="GE10" s="42">
        <v>0</v>
      </c>
      <c r="GF10" s="42">
        <v>0</v>
      </c>
      <c r="GG10" s="42">
        <v>0</v>
      </c>
      <c r="GH10" s="42">
        <v>99.70020031</v>
      </c>
      <c r="GI10" s="42">
        <v>0</v>
      </c>
      <c r="GJ10" s="42">
        <v>0</v>
      </c>
      <c r="GK10" s="41" t="s">
        <v>1151</v>
      </c>
      <c r="GL10" s="42">
        <v>26.197473800000001</v>
      </c>
      <c r="GM10" s="42">
        <v>26.197473800000001</v>
      </c>
      <c r="GN10" s="42">
        <v>0</v>
      </c>
      <c r="GO10" s="42">
        <v>0</v>
      </c>
      <c r="GP10" s="42">
        <v>73.502726510000002</v>
      </c>
      <c r="GQ10" s="42">
        <v>0</v>
      </c>
      <c r="GR10" s="42">
        <v>0</v>
      </c>
      <c r="GS10" s="41" t="s">
        <v>1151</v>
      </c>
      <c r="GT10" s="42">
        <v>0.99819899999999995</v>
      </c>
      <c r="GU10" s="42">
        <v>0.99819899999999995</v>
      </c>
      <c r="GV10" s="42">
        <v>0</v>
      </c>
      <c r="GW10" s="42">
        <v>0</v>
      </c>
      <c r="GX10" s="42">
        <v>98.70200131</v>
      </c>
      <c r="GY10" s="42">
        <v>0</v>
      </c>
      <c r="GZ10" s="42">
        <v>0</v>
      </c>
      <c r="HA10" s="41" t="s">
        <v>1151</v>
      </c>
      <c r="HB10" s="42">
        <v>10.85618914</v>
      </c>
      <c r="HC10" s="42">
        <v>10.85618914</v>
      </c>
      <c r="HD10" s="42">
        <v>0</v>
      </c>
      <c r="HE10" s="42">
        <v>0</v>
      </c>
      <c r="HF10" s="42">
        <v>88.844011170000002</v>
      </c>
      <c r="HG10" s="42">
        <v>0</v>
      </c>
      <c r="HH10" s="42">
        <v>0</v>
      </c>
      <c r="HI10" s="41" t="s">
        <v>1150</v>
      </c>
      <c r="HJ10" s="42">
        <v>15.66248433</v>
      </c>
      <c r="HK10" s="42">
        <v>15.66248433</v>
      </c>
      <c r="HL10" s="42">
        <v>24.92307508</v>
      </c>
      <c r="HM10" s="42">
        <v>24.92307508</v>
      </c>
      <c r="HN10" s="42">
        <v>59.114640899999998</v>
      </c>
      <c r="HO10" s="42">
        <v>0</v>
      </c>
      <c r="HP10" s="42">
        <v>0</v>
      </c>
      <c r="HQ10" s="41" t="s">
        <v>1150</v>
      </c>
      <c r="HR10" s="42">
        <v>3.6578963500000001</v>
      </c>
      <c r="HS10" s="42">
        <v>3.6578963500000001</v>
      </c>
      <c r="HT10" s="42">
        <v>45.316854679999999</v>
      </c>
      <c r="HU10" s="42">
        <v>45.316854679999999</v>
      </c>
      <c r="HV10" s="42">
        <v>50.725449279999999</v>
      </c>
      <c r="HW10" s="42">
        <v>0</v>
      </c>
      <c r="HX10" s="42">
        <v>0</v>
      </c>
      <c r="HY10" s="41" t="s">
        <v>1150</v>
      </c>
      <c r="HZ10" s="42">
        <v>21.78317826</v>
      </c>
      <c r="IA10" s="42">
        <v>21.78317826</v>
      </c>
      <c r="IB10" s="42">
        <v>40.662659339999998</v>
      </c>
      <c r="IC10" s="42">
        <v>40.662659339999998</v>
      </c>
      <c r="ID10" s="42">
        <v>37.254362710000002</v>
      </c>
      <c r="IE10" s="42">
        <v>0</v>
      </c>
      <c r="IF10" s="42">
        <v>0</v>
      </c>
      <c r="IG10" s="41" t="s">
        <v>1150</v>
      </c>
      <c r="IH10" s="42">
        <v>0</v>
      </c>
      <c r="II10" s="42">
        <v>0</v>
      </c>
      <c r="IJ10" s="42">
        <v>39.995260000000002</v>
      </c>
      <c r="IK10" s="42">
        <v>39.995260000000002</v>
      </c>
      <c r="IL10" s="42">
        <v>59.704940309999998</v>
      </c>
      <c r="IM10" s="42">
        <v>0</v>
      </c>
      <c r="IN10" s="42">
        <v>0</v>
      </c>
      <c r="IO10" s="41" t="s">
        <v>1151</v>
      </c>
      <c r="IP10" s="42">
        <v>8.08619193</v>
      </c>
      <c r="IQ10" s="42">
        <v>8.08619193</v>
      </c>
      <c r="IR10" s="42">
        <v>0</v>
      </c>
      <c r="IS10" s="42">
        <v>0</v>
      </c>
      <c r="IT10" s="42">
        <v>91.614008380000001</v>
      </c>
      <c r="IU10" s="42">
        <v>0</v>
      </c>
      <c r="IV10" s="42">
        <v>0</v>
      </c>
      <c r="IW10" s="41" t="s">
        <v>1151</v>
      </c>
      <c r="IX10" s="42">
        <v>13.44828656</v>
      </c>
      <c r="IY10" s="42">
        <v>13.44828656</v>
      </c>
      <c r="IZ10" s="42">
        <v>0</v>
      </c>
      <c r="JA10" s="42">
        <v>0</v>
      </c>
      <c r="JB10" s="42">
        <v>86.25191375</v>
      </c>
      <c r="JC10" s="42">
        <v>0</v>
      </c>
      <c r="JD10" s="42">
        <v>0</v>
      </c>
      <c r="JE10" s="41" t="s">
        <v>1150</v>
      </c>
      <c r="JF10" s="42">
        <v>0</v>
      </c>
      <c r="JG10" s="42">
        <v>0</v>
      </c>
      <c r="JH10" s="42">
        <v>0</v>
      </c>
      <c r="JI10" s="42">
        <v>0</v>
      </c>
      <c r="JJ10" s="42">
        <v>99.70020031</v>
      </c>
      <c r="JK10" s="42">
        <v>0</v>
      </c>
      <c r="JL10" s="42">
        <v>0</v>
      </c>
      <c r="JM10" s="41" t="s">
        <v>1150</v>
      </c>
      <c r="JN10" s="42">
        <v>0</v>
      </c>
      <c r="JO10" s="42">
        <v>0</v>
      </c>
      <c r="JP10" s="42">
        <v>0</v>
      </c>
      <c r="JQ10" s="42">
        <v>0</v>
      </c>
      <c r="JR10" s="42">
        <v>99.70020031</v>
      </c>
      <c r="JS10" s="42">
        <v>0</v>
      </c>
      <c r="JT10" s="42">
        <v>0</v>
      </c>
      <c r="JU10" s="41" t="s">
        <v>1150</v>
      </c>
      <c r="JV10" s="42">
        <v>6.9912930199999996</v>
      </c>
      <c r="JW10" s="42">
        <v>6.9912930199999996</v>
      </c>
      <c r="JX10" s="42">
        <v>23.741276259999999</v>
      </c>
      <c r="JY10" s="42">
        <v>23.741276259999999</v>
      </c>
      <c r="JZ10" s="42">
        <v>68.967631030000007</v>
      </c>
      <c r="KA10" s="42">
        <v>0</v>
      </c>
      <c r="KB10" s="42">
        <v>0</v>
      </c>
      <c r="KC10" s="41" t="s">
        <v>1150</v>
      </c>
      <c r="KD10" s="42">
        <v>0</v>
      </c>
      <c r="KE10" s="42">
        <v>0</v>
      </c>
      <c r="KF10" s="42">
        <v>39.995260000000002</v>
      </c>
      <c r="KG10" s="42">
        <v>39.995260000000002</v>
      </c>
      <c r="KH10" s="42">
        <v>59.704940309999998</v>
      </c>
      <c r="KI10" s="42">
        <v>0</v>
      </c>
      <c r="KJ10" s="42">
        <v>0</v>
      </c>
      <c r="KK10" s="42">
        <v>99.70020031</v>
      </c>
      <c r="KL10" s="42">
        <v>-0.59035183000000002</v>
      </c>
      <c r="KM10" s="42">
        <v>-10.8827891</v>
      </c>
      <c r="KN10" s="42">
        <v>4.1022958799999998</v>
      </c>
      <c r="KO10" s="41" t="s">
        <v>1152</v>
      </c>
      <c r="KP10" s="41" t="s">
        <v>1153</v>
      </c>
      <c r="KQ10" s="41" t="s">
        <v>1154</v>
      </c>
      <c r="KR10" s="42">
        <v>60.298837380000002</v>
      </c>
      <c r="KS10" s="42">
        <v>99.962460519999993</v>
      </c>
      <c r="KT10" s="42">
        <v>99.760997950000004</v>
      </c>
      <c r="KU10" s="42">
        <v>7.0239202474390243</v>
      </c>
      <c r="KV10" s="42">
        <v>4.9643115499999997</v>
      </c>
      <c r="KW10" s="42">
        <v>19.273680729999999</v>
      </c>
      <c r="KX10" s="42">
        <v>20.188479839999999</v>
      </c>
      <c r="KY10" s="41"/>
      <c r="KZ10" s="42">
        <v>5.4246372000000003</v>
      </c>
      <c r="LA10" s="42">
        <v>22.283151932474457</v>
      </c>
      <c r="LB10" s="42">
        <v>5.6885135531707318</v>
      </c>
      <c r="LC10" s="42">
        <v>43.902439024390247</v>
      </c>
      <c r="LD10" s="41" t="s">
        <v>1187</v>
      </c>
      <c r="LE10" s="42">
        <v>16.43028125</v>
      </c>
      <c r="LF10" s="42">
        <v>13.581886430000001</v>
      </c>
      <c r="LG10" s="42">
        <v>6.6065934100000003</v>
      </c>
      <c r="LH10" s="42">
        <v>18.929281069999998</v>
      </c>
      <c r="LI10" s="42">
        <v>6.9749930200000003</v>
      </c>
      <c r="LJ10" s="42">
        <v>36.893563110000002</v>
      </c>
      <c r="LK10" s="42">
        <v>0.34439966</v>
      </c>
      <c r="LL10" s="42">
        <v>0.23900204999999999</v>
      </c>
      <c r="LM10" s="42">
        <v>4.4711039104878054</v>
      </c>
      <c r="LN10" s="42">
        <v>0.23900204999999999</v>
      </c>
      <c r="LO10" s="42">
        <v>12.49318751</v>
      </c>
      <c r="LP10" s="42">
        <v>83.165514560000005</v>
      </c>
      <c r="LQ10" s="42">
        <v>8.2151487599999999</v>
      </c>
      <c r="LR10" s="42">
        <v>7.5738658499999998</v>
      </c>
      <c r="LS10" s="41" t="s">
        <v>1173</v>
      </c>
      <c r="LT10" s="42">
        <v>4.1502960399999997</v>
      </c>
      <c r="LU10" s="42">
        <v>40.898764960000001</v>
      </c>
      <c r="LV10" s="43">
        <v>67</v>
      </c>
      <c r="LW10" s="43">
        <v>1</v>
      </c>
      <c r="LX10" s="43">
        <v>65</v>
      </c>
      <c r="LY10" s="41" t="s">
        <v>480</v>
      </c>
      <c r="LZ10" s="41" t="s">
        <v>1188</v>
      </c>
      <c r="MA10" s="44">
        <v>46203</v>
      </c>
      <c r="MB10" s="41" t="s">
        <v>1189</v>
      </c>
      <c r="MC10" s="43">
        <v>82</v>
      </c>
      <c r="MD10" s="41" t="s">
        <v>1158</v>
      </c>
      <c r="ME10" s="41" t="s">
        <v>561</v>
      </c>
      <c r="MF10" s="42">
        <v>4.1612026799999997</v>
      </c>
      <c r="MG10" s="42">
        <v>51.288367139999998</v>
      </c>
      <c r="MH10" s="42">
        <v>518793862</v>
      </c>
      <c r="MI10" s="42">
        <v>5.4246372000000003</v>
      </c>
      <c r="MJ10" s="42">
        <v>22.283151932474457</v>
      </c>
      <c r="MK10" s="42">
        <v>43.902439024390247</v>
      </c>
      <c r="ML10" s="42">
        <v>4.4645073399999999</v>
      </c>
      <c r="MM10" s="41" t="s">
        <v>480</v>
      </c>
      <c r="MN10" s="42">
        <v>17.064882919999999</v>
      </c>
      <c r="MO10" s="42">
        <v>1.18179882</v>
      </c>
      <c r="MP10" s="42">
        <v>0</v>
      </c>
      <c r="MQ10" s="42">
        <v>0</v>
      </c>
      <c r="MR10" s="42">
        <v>13.537886459999999</v>
      </c>
      <c r="MS10" s="42">
        <v>0</v>
      </c>
      <c r="MT10" s="42">
        <v>0</v>
      </c>
      <c r="MU10" s="42">
        <v>0</v>
      </c>
      <c r="MV10" s="42">
        <v>4.5390954600000004</v>
      </c>
      <c r="MW10" s="42">
        <v>4.5390954600000004</v>
      </c>
      <c r="MX10" s="42">
        <v>0</v>
      </c>
      <c r="MY10" s="42">
        <v>0</v>
      </c>
      <c r="MZ10" s="42">
        <v>0</v>
      </c>
      <c r="NA10" s="42">
        <v>0</v>
      </c>
      <c r="NB10" s="42">
        <v>0</v>
      </c>
      <c r="NC10" s="42">
        <v>0</v>
      </c>
      <c r="ND10" s="42">
        <v>0</v>
      </c>
      <c r="NE10" s="42">
        <v>0</v>
      </c>
      <c r="NF10" s="42">
        <v>0</v>
      </c>
      <c r="NG10" s="42">
        <v>0</v>
      </c>
      <c r="NH10" s="42">
        <v>0</v>
      </c>
      <c r="NI10" s="42">
        <v>0</v>
      </c>
      <c r="NJ10" s="42">
        <v>0</v>
      </c>
      <c r="NK10" s="42">
        <v>0</v>
      </c>
      <c r="NL10" s="42">
        <v>0</v>
      </c>
      <c r="NM10" s="42">
        <v>0</v>
      </c>
      <c r="NN10" s="42">
        <v>0</v>
      </c>
      <c r="NO10" s="42">
        <v>0</v>
      </c>
      <c r="NP10" s="42">
        <v>0</v>
      </c>
      <c r="NQ10" s="42">
        <v>0</v>
      </c>
      <c r="NR10" s="42">
        <v>0.37569962000000001</v>
      </c>
      <c r="NS10" s="42">
        <v>0</v>
      </c>
      <c r="NT10" s="42">
        <v>0</v>
      </c>
      <c r="NU10" s="42">
        <v>0</v>
      </c>
      <c r="NV10" s="42">
        <v>0</v>
      </c>
      <c r="NW10" s="42">
        <v>0</v>
      </c>
      <c r="NX10" s="42">
        <v>0</v>
      </c>
      <c r="NY10" s="42">
        <v>10.854589150000001</v>
      </c>
      <c r="NZ10" s="42">
        <v>5.5070945</v>
      </c>
      <c r="OA10" s="42">
        <v>0</v>
      </c>
      <c r="OB10" s="42">
        <v>0</v>
      </c>
      <c r="OC10" s="42">
        <v>0</v>
      </c>
      <c r="OD10" s="42">
        <v>0</v>
      </c>
      <c r="OE10" s="42">
        <v>0</v>
      </c>
      <c r="OF10" s="42">
        <v>0</v>
      </c>
      <c r="OG10" s="42">
        <v>0</v>
      </c>
      <c r="OH10" s="42">
        <v>1.5261984799999999</v>
      </c>
      <c r="OI10" s="42">
        <v>29.564870429999999</v>
      </c>
      <c r="OJ10" s="42">
        <v>0</v>
      </c>
      <c r="OK10" s="42">
        <v>0</v>
      </c>
      <c r="OL10" s="42">
        <v>1.5261984799999999</v>
      </c>
      <c r="OM10" s="42">
        <v>97.714802289999994</v>
      </c>
      <c r="ON10" s="42">
        <v>0</v>
      </c>
      <c r="OO10" s="42">
        <v>1.5261984799999999</v>
      </c>
      <c r="OP10" s="42">
        <v>0</v>
      </c>
      <c r="OQ10" s="42">
        <v>0</v>
      </c>
      <c r="OR10" s="42">
        <v>0</v>
      </c>
      <c r="OS10" s="42">
        <v>0</v>
      </c>
      <c r="OT10" s="42">
        <v>0</v>
      </c>
      <c r="OU10" s="42">
        <v>0</v>
      </c>
      <c r="OV10" s="42">
        <v>0</v>
      </c>
      <c r="OW10" s="42">
        <v>0</v>
      </c>
      <c r="OX10" s="42">
        <v>0</v>
      </c>
      <c r="OY10" s="42">
        <v>0</v>
      </c>
      <c r="OZ10" s="42">
        <v>0</v>
      </c>
      <c r="PA10" s="42">
        <v>0</v>
      </c>
      <c r="PB10" s="42">
        <v>0</v>
      </c>
      <c r="PC10" s="42">
        <v>0</v>
      </c>
      <c r="PD10" s="42">
        <v>0</v>
      </c>
      <c r="PE10" s="42">
        <v>41.241758750000002</v>
      </c>
      <c r="PF10" s="42">
        <v>0</v>
      </c>
      <c r="PG10" s="42">
        <v>0</v>
      </c>
      <c r="PH10" s="42">
        <v>0</v>
      </c>
      <c r="PI10" s="42">
        <v>0</v>
      </c>
      <c r="PJ10" s="42">
        <v>0</v>
      </c>
      <c r="PK10" s="42">
        <v>0</v>
      </c>
      <c r="PL10" s="42">
        <v>0</v>
      </c>
      <c r="PM10" s="42">
        <v>45.616054370000001</v>
      </c>
      <c r="PN10" s="42">
        <v>42.295457679999998</v>
      </c>
      <c r="PO10" s="42">
        <v>0</v>
      </c>
      <c r="PP10" s="42">
        <v>18.39278161</v>
      </c>
      <c r="PQ10" s="42">
        <v>0</v>
      </c>
      <c r="PR10" s="42">
        <v>1.5261984799999999</v>
      </c>
      <c r="PS10" s="42">
        <v>0.10017007999999999</v>
      </c>
      <c r="PT10" s="42">
        <v>0.13985318999999999</v>
      </c>
      <c r="PU10" s="42">
        <v>1.8747409999999999E-2</v>
      </c>
      <c r="PV10" s="42">
        <v>0</v>
      </c>
      <c r="PW10" s="42">
        <v>0.21167638999999999</v>
      </c>
      <c r="PX10" s="42">
        <v>0</v>
      </c>
      <c r="PY10" s="42">
        <v>0</v>
      </c>
      <c r="PZ10" s="42">
        <v>1.432543E-2</v>
      </c>
      <c r="QA10" s="42">
        <v>3.2038967999999999</v>
      </c>
      <c r="QB10" s="42">
        <v>0</v>
      </c>
      <c r="QC10" s="42">
        <v>0</v>
      </c>
      <c r="QD10" s="42">
        <v>0</v>
      </c>
      <c r="QE10" s="42">
        <v>0</v>
      </c>
      <c r="QF10" s="42">
        <v>0</v>
      </c>
      <c r="QG10" s="42">
        <v>9.3731906200000008</v>
      </c>
      <c r="QH10" s="42">
        <v>0</v>
      </c>
      <c r="QI10" s="42">
        <v>0</v>
      </c>
      <c r="QJ10" s="42">
        <v>0</v>
      </c>
      <c r="QK10" s="42">
        <v>0.37569962000000001</v>
      </c>
    </row>
    <row r="11" spans="1:453" x14ac:dyDescent="0.35">
      <c r="A11" s="41" t="s">
        <v>564</v>
      </c>
      <c r="B11" s="41" t="s">
        <v>565</v>
      </c>
      <c r="C11" s="41" t="s">
        <v>566</v>
      </c>
      <c r="D11" s="41" t="s">
        <v>536</v>
      </c>
      <c r="E11" s="41" t="s">
        <v>566</v>
      </c>
      <c r="F11" s="41" t="s">
        <v>1190</v>
      </c>
      <c r="G11" s="41" t="s">
        <v>567</v>
      </c>
      <c r="H11" s="42">
        <v>11.69139653</v>
      </c>
      <c r="I11" s="42">
        <v>99.628101490000006</v>
      </c>
      <c r="J11" s="42">
        <v>190.93992971</v>
      </c>
      <c r="K11" s="42">
        <v>99.628101490000006</v>
      </c>
      <c r="L11" s="42">
        <v>304.96491721000001</v>
      </c>
      <c r="M11" s="42">
        <v>99.628101490000006</v>
      </c>
      <c r="N11" s="42">
        <v>114.02498749999999</v>
      </c>
      <c r="O11" s="42">
        <v>99.628101490000006</v>
      </c>
      <c r="P11" s="42">
        <v>4.7034811799999998</v>
      </c>
      <c r="Q11" s="42">
        <v>0</v>
      </c>
      <c r="R11" s="42">
        <v>11.869232330000001</v>
      </c>
      <c r="S11" s="42"/>
      <c r="T11" s="42">
        <v>4.7034811799999998</v>
      </c>
      <c r="U11" s="42">
        <v>0</v>
      </c>
      <c r="V11" s="42">
        <v>3.1206875200000002</v>
      </c>
      <c r="W11" s="42">
        <v>45.131705660000002</v>
      </c>
      <c r="X11" s="42">
        <v>99.628101490000006</v>
      </c>
      <c r="Y11" s="42">
        <v>294.60078424</v>
      </c>
      <c r="Z11" s="42">
        <v>99.628101490000006</v>
      </c>
      <c r="AA11" s="42">
        <v>560.65307809000001</v>
      </c>
      <c r="AB11" s="42">
        <v>99.628101490000006</v>
      </c>
      <c r="AC11" s="42">
        <v>266.05213393999998</v>
      </c>
      <c r="AD11" s="42">
        <v>99.628101490000006</v>
      </c>
      <c r="AE11" s="42">
        <v>202.59174264999999</v>
      </c>
      <c r="AF11" s="42">
        <v>6.3816040000000004E-2</v>
      </c>
      <c r="AG11" s="42">
        <v>1579.5281514999999</v>
      </c>
      <c r="AH11" s="42">
        <v>3944.3192429199999</v>
      </c>
      <c r="AI11" s="42">
        <v>2387.9104194500001</v>
      </c>
      <c r="AJ11" s="42">
        <v>7.4484702</v>
      </c>
      <c r="AK11" s="42">
        <v>28.767584930000002</v>
      </c>
      <c r="AL11" s="41" t="s">
        <v>1149</v>
      </c>
      <c r="AM11" s="42">
        <v>99.628101490000006</v>
      </c>
      <c r="AN11" s="42">
        <v>22.151311400000001</v>
      </c>
      <c r="AO11" s="42">
        <v>41.260734960000001</v>
      </c>
      <c r="AP11" s="41">
        <v>2.2999999999999998</v>
      </c>
      <c r="AQ11" s="42">
        <v>84.112563559999998</v>
      </c>
      <c r="AR11" s="42">
        <v>66.445534199999997</v>
      </c>
      <c r="AS11" s="42">
        <v>98.0512078</v>
      </c>
      <c r="AT11" s="42">
        <v>6.2713903999999996</v>
      </c>
      <c r="AU11" s="42">
        <v>49.812800750000001</v>
      </c>
      <c r="AV11" s="42">
        <v>99.628101490000006</v>
      </c>
      <c r="AW11" s="42">
        <v>1.8710925199999999</v>
      </c>
      <c r="AX11" s="42">
        <v>1.40449439</v>
      </c>
      <c r="AY11" s="42">
        <v>0</v>
      </c>
      <c r="AZ11" s="42">
        <v>0.1507994</v>
      </c>
      <c r="BA11" s="42">
        <v>4.5668817199999996</v>
      </c>
      <c r="BB11" s="42">
        <v>6.25847496</v>
      </c>
      <c r="BC11" s="42">
        <v>1.6569933800000001</v>
      </c>
      <c r="BD11" s="42">
        <v>0</v>
      </c>
      <c r="BE11" s="42">
        <v>0.97899608000000005</v>
      </c>
      <c r="BF11" s="42">
        <v>0.55729777000000003</v>
      </c>
      <c r="BG11" s="42">
        <v>3.6114880000000002E-2</v>
      </c>
      <c r="BH11" s="42">
        <v>2.2266399999999999E-2</v>
      </c>
      <c r="BI11" s="42">
        <v>0</v>
      </c>
      <c r="BJ11" s="42">
        <v>0.13891640999999999</v>
      </c>
      <c r="BK11" s="42">
        <v>0.59880188000000001</v>
      </c>
      <c r="BL11" s="42">
        <v>0.98970570000000002</v>
      </c>
      <c r="BM11" s="42">
        <v>0.34928446000000002</v>
      </c>
      <c r="BN11" s="42">
        <v>0</v>
      </c>
      <c r="BO11" s="42">
        <v>4.0821639999999999E-2</v>
      </c>
      <c r="BP11" s="42">
        <v>3.9811600000000001E-3</v>
      </c>
      <c r="BQ11" s="42">
        <v>0</v>
      </c>
      <c r="BR11" s="42">
        <v>2.997023E-2</v>
      </c>
      <c r="BS11" s="42">
        <v>0.24582314999999999</v>
      </c>
      <c r="BT11" s="42">
        <v>8.0548500000000006E-3</v>
      </c>
      <c r="BU11" s="42">
        <v>1.2355288499999999</v>
      </c>
      <c r="BV11" s="42">
        <v>7.31695E-3</v>
      </c>
      <c r="BW11" s="42">
        <v>0</v>
      </c>
      <c r="BX11" s="42">
        <v>2.8726885000000002</v>
      </c>
      <c r="BY11" s="42">
        <v>5.04267983</v>
      </c>
      <c r="BZ11" s="42">
        <v>3.4599860000000003E-2</v>
      </c>
      <c r="CA11" s="42">
        <v>8.9733640999999995</v>
      </c>
      <c r="CB11" s="42">
        <v>0.92619629999999997</v>
      </c>
      <c r="CC11" s="42">
        <v>3.9811600000000001E-3</v>
      </c>
      <c r="CD11" s="42">
        <v>8.0548500000000006E-3</v>
      </c>
      <c r="CE11" s="42">
        <v>7.31695E-3</v>
      </c>
      <c r="CF11" s="42"/>
      <c r="CG11" s="42">
        <v>73.034507860000005</v>
      </c>
      <c r="CH11" s="42">
        <v>4.2625829399999997</v>
      </c>
      <c r="CI11" s="42">
        <v>1.02939588</v>
      </c>
      <c r="CJ11" s="42">
        <v>88.594245639999997</v>
      </c>
      <c r="CK11" s="42">
        <v>18.669625320000002</v>
      </c>
      <c r="CL11" s="42">
        <v>3.09268762</v>
      </c>
      <c r="CM11" s="42">
        <v>6.8945724300000002</v>
      </c>
      <c r="CN11" s="42">
        <v>2.31569073</v>
      </c>
      <c r="CO11" s="42">
        <v>12.92324833</v>
      </c>
      <c r="CP11" s="42">
        <v>33.589165639999997</v>
      </c>
      <c r="CQ11" s="42">
        <v>0.11459954</v>
      </c>
      <c r="CR11" s="42">
        <v>17.60362958</v>
      </c>
      <c r="CS11" s="42">
        <v>31.416174340000001</v>
      </c>
      <c r="CT11" s="42">
        <v>50.493698029999997</v>
      </c>
      <c r="CU11" s="42">
        <v>23.480406070000001</v>
      </c>
      <c r="CV11" s="42">
        <v>20.860016559999998</v>
      </c>
      <c r="CW11" s="42">
        <v>7.1035715799999997</v>
      </c>
      <c r="CX11" s="42">
        <v>60.582557710000003</v>
      </c>
      <c r="CY11" s="42">
        <v>33.15666736</v>
      </c>
      <c r="CZ11" s="42">
        <v>10.82875668</v>
      </c>
      <c r="DA11" s="42">
        <v>75.458198179999997</v>
      </c>
      <c r="DB11" s="42">
        <v>60.479058070000001</v>
      </c>
      <c r="DC11" s="42">
        <v>21.750012999999999</v>
      </c>
      <c r="DD11" s="42">
        <v>17.399030419999999</v>
      </c>
      <c r="DE11" s="42">
        <v>67.342930670000001</v>
      </c>
      <c r="DF11" s="42">
        <v>99.628101490000006</v>
      </c>
      <c r="DG11" s="42">
        <v>5.4523849000000002</v>
      </c>
      <c r="DH11" s="42">
        <v>99.628101490000006</v>
      </c>
      <c r="DI11" s="42">
        <v>82.444570220000003</v>
      </c>
      <c r="DJ11" s="42">
        <v>17.18353127</v>
      </c>
      <c r="DK11" s="42">
        <v>37.503649969999998</v>
      </c>
      <c r="DL11" s="42">
        <v>0</v>
      </c>
      <c r="DM11" s="42">
        <v>73.879904490000001</v>
      </c>
      <c r="DN11" s="42">
        <v>5.0482798100000004</v>
      </c>
      <c r="DO11" s="42">
        <v>12.946348199999999</v>
      </c>
      <c r="DP11" s="42">
        <v>7.7535689899999998</v>
      </c>
      <c r="DQ11" s="42">
        <v>6.2336927400000004</v>
      </c>
      <c r="DR11" s="42">
        <v>99.628101490000006</v>
      </c>
      <c r="DS11" s="42">
        <v>44.969720100000004</v>
      </c>
      <c r="DT11" s="42">
        <v>28.645585400000002</v>
      </c>
      <c r="DU11" s="42">
        <v>0</v>
      </c>
      <c r="DV11" s="42">
        <v>0.67009732</v>
      </c>
      <c r="DW11" s="42">
        <v>21.77761289</v>
      </c>
      <c r="DX11" s="42">
        <v>45.176319290000002</v>
      </c>
      <c r="DY11" s="42">
        <v>21.001415990000002</v>
      </c>
      <c r="DZ11" s="42">
        <v>1.42249431</v>
      </c>
      <c r="EA11" s="42">
        <v>43.160827339999997</v>
      </c>
      <c r="EB11" s="42">
        <v>1.0620957499999999</v>
      </c>
      <c r="EC11" s="42">
        <v>1.76955292</v>
      </c>
      <c r="ED11" s="42">
        <v>5.8929138300000004</v>
      </c>
      <c r="EE11" s="42">
        <v>74.868700529999998</v>
      </c>
      <c r="EF11" s="42">
        <v>22.673409299999999</v>
      </c>
      <c r="EG11" s="42">
        <v>78.479186089999999</v>
      </c>
      <c r="EH11" s="42">
        <v>4.4565563099999999</v>
      </c>
      <c r="EI11" s="42">
        <v>3.64008544</v>
      </c>
      <c r="EJ11" s="42">
        <v>3.85748457</v>
      </c>
      <c r="EK11" s="42">
        <v>64.26634292</v>
      </c>
      <c r="EL11" s="42">
        <v>31.504273999999999</v>
      </c>
      <c r="EM11" s="42">
        <v>7.2916708300000002</v>
      </c>
      <c r="EN11" s="42">
        <v>0.82869667999999996</v>
      </c>
      <c r="EO11" s="42">
        <v>1178.8154255899999</v>
      </c>
      <c r="EP11" s="42">
        <v>31.69757319</v>
      </c>
      <c r="EQ11" s="42">
        <v>2624.0700493200002</v>
      </c>
      <c r="ER11" s="42">
        <v>53.558685750000002</v>
      </c>
      <c r="ES11" s="42">
        <v>26.797092809999999</v>
      </c>
      <c r="ET11" s="42">
        <v>24.144803400000001</v>
      </c>
      <c r="EU11" s="42">
        <v>0.91039636000000002</v>
      </c>
      <c r="EV11" s="42">
        <v>44.226323120000004</v>
      </c>
      <c r="EW11" s="42">
        <v>13.62254551</v>
      </c>
      <c r="EX11" s="42">
        <v>55.00318</v>
      </c>
      <c r="EY11" s="42">
        <v>7.7535689899999998</v>
      </c>
      <c r="EZ11" s="42">
        <v>0</v>
      </c>
      <c r="FA11" s="42">
        <v>89.975940089999995</v>
      </c>
      <c r="FB11" s="42">
        <v>99.254602980000001</v>
      </c>
      <c r="FC11" s="42">
        <v>30.11427952</v>
      </c>
      <c r="FD11" s="42">
        <v>96.420214319999999</v>
      </c>
      <c r="FE11" s="41" t="s">
        <v>1150</v>
      </c>
      <c r="FF11" s="42">
        <v>2.6704893200000002</v>
      </c>
      <c r="FG11" s="42">
        <v>2.6704893200000002</v>
      </c>
      <c r="FH11" s="42">
        <v>14.743641029999999</v>
      </c>
      <c r="FI11" s="42">
        <v>14.743641029999999</v>
      </c>
      <c r="FJ11" s="42">
        <v>82.213971139999998</v>
      </c>
      <c r="FK11" s="42">
        <v>0</v>
      </c>
      <c r="FL11" s="42">
        <v>0</v>
      </c>
      <c r="FM11" s="41" t="s">
        <v>1150</v>
      </c>
      <c r="FN11" s="42">
        <v>0.24909899999999999</v>
      </c>
      <c r="FO11" s="42">
        <v>0.24909899999999999</v>
      </c>
      <c r="FP11" s="42">
        <v>5.8014767899999997</v>
      </c>
      <c r="FQ11" s="42">
        <v>5.8014767899999997</v>
      </c>
      <c r="FR11" s="42">
        <v>93.577525699999995</v>
      </c>
      <c r="FS11" s="42">
        <v>0</v>
      </c>
      <c r="FT11" s="42">
        <v>0</v>
      </c>
      <c r="FU11" s="41" t="s">
        <v>1150</v>
      </c>
      <c r="FV11" s="42">
        <v>0</v>
      </c>
      <c r="FW11" s="42">
        <v>0</v>
      </c>
      <c r="FX11" s="42">
        <v>15.27703889</v>
      </c>
      <c r="FY11" s="42">
        <v>15.27703889</v>
      </c>
      <c r="FZ11" s="42">
        <v>84.351062600000006</v>
      </c>
      <c r="GA11" s="42">
        <v>0</v>
      </c>
      <c r="GB11" s="42">
        <v>0</v>
      </c>
      <c r="GC11" s="41" t="s">
        <v>1150</v>
      </c>
      <c r="GD11" s="42">
        <v>0.1507994</v>
      </c>
      <c r="GE11" s="42">
        <v>0.1507994</v>
      </c>
      <c r="GF11" s="42">
        <v>19.956720180000001</v>
      </c>
      <c r="GG11" s="42">
        <v>19.956720180000001</v>
      </c>
      <c r="GH11" s="42">
        <v>79.520581910000004</v>
      </c>
      <c r="GI11" s="42">
        <v>0</v>
      </c>
      <c r="GJ11" s="42">
        <v>0</v>
      </c>
      <c r="GK11" s="41" t="s">
        <v>1151</v>
      </c>
      <c r="GL11" s="42">
        <v>33.320866709999997</v>
      </c>
      <c r="GM11" s="42">
        <v>33.320866709999997</v>
      </c>
      <c r="GN11" s="42">
        <v>0</v>
      </c>
      <c r="GO11" s="42">
        <v>0</v>
      </c>
      <c r="GP11" s="42">
        <v>66.307234780000002</v>
      </c>
      <c r="GQ11" s="42">
        <v>0</v>
      </c>
      <c r="GR11" s="42">
        <v>0</v>
      </c>
      <c r="GS11" s="41" t="s">
        <v>1151</v>
      </c>
      <c r="GT11" s="42">
        <v>3.6462854</v>
      </c>
      <c r="GU11" s="42">
        <v>3.6462854</v>
      </c>
      <c r="GV11" s="42">
        <v>0.14219942999999999</v>
      </c>
      <c r="GW11" s="42">
        <v>0.14219942999999999</v>
      </c>
      <c r="GX11" s="42">
        <v>95.839616660000004</v>
      </c>
      <c r="GY11" s="42">
        <v>0</v>
      </c>
      <c r="GZ11" s="42">
        <v>0</v>
      </c>
      <c r="HA11" s="41" t="s">
        <v>1150</v>
      </c>
      <c r="HB11" s="42">
        <v>37.314250739999999</v>
      </c>
      <c r="HC11" s="42">
        <v>37.314250739999999</v>
      </c>
      <c r="HD11" s="42">
        <v>3.4599860000000003E-2</v>
      </c>
      <c r="HE11" s="42">
        <v>0</v>
      </c>
      <c r="HF11" s="42">
        <v>62.27925089</v>
      </c>
      <c r="HG11" s="42">
        <v>0</v>
      </c>
      <c r="HH11" s="42">
        <v>3.4599860000000003E-2</v>
      </c>
      <c r="HI11" s="41" t="s">
        <v>1150</v>
      </c>
      <c r="HJ11" s="42">
        <v>3.4555861800000001</v>
      </c>
      <c r="HK11" s="42">
        <v>3.60638558</v>
      </c>
      <c r="HL11" s="42">
        <v>18.74772501</v>
      </c>
      <c r="HM11" s="42">
        <v>18.74772501</v>
      </c>
      <c r="HN11" s="42">
        <v>77.273990900000001</v>
      </c>
      <c r="HO11" s="42">
        <v>0.1507994</v>
      </c>
      <c r="HP11" s="42">
        <v>0</v>
      </c>
      <c r="HQ11" s="41" t="s">
        <v>1150</v>
      </c>
      <c r="HR11" s="42">
        <v>6.9812720800000001</v>
      </c>
      <c r="HS11" s="42">
        <v>6.9812720800000001</v>
      </c>
      <c r="HT11" s="42">
        <v>18.904124379999999</v>
      </c>
      <c r="HU11" s="42">
        <v>18.904124379999999</v>
      </c>
      <c r="HV11" s="42">
        <v>73.742705029999996</v>
      </c>
      <c r="HW11" s="42">
        <v>0</v>
      </c>
      <c r="HX11" s="42">
        <v>0</v>
      </c>
      <c r="HY11" s="41" t="s">
        <v>1150</v>
      </c>
      <c r="HZ11" s="42">
        <v>17.170331300000001</v>
      </c>
      <c r="IA11" s="42">
        <v>17.170331300000001</v>
      </c>
      <c r="IB11" s="42">
        <v>18.551625789999999</v>
      </c>
      <c r="IC11" s="42">
        <v>18.551625789999999</v>
      </c>
      <c r="ID11" s="42">
        <v>63.906144400000002</v>
      </c>
      <c r="IE11" s="42">
        <v>0</v>
      </c>
      <c r="IF11" s="42">
        <v>0</v>
      </c>
      <c r="IG11" s="41" t="s">
        <v>1151</v>
      </c>
      <c r="IH11" s="42">
        <v>9.7683609400000009</v>
      </c>
      <c r="II11" s="42">
        <v>9.7683609400000009</v>
      </c>
      <c r="IJ11" s="42">
        <v>3.6184855300000001</v>
      </c>
      <c r="IK11" s="42">
        <v>3.6184855300000001</v>
      </c>
      <c r="IL11" s="42">
        <v>86.241255019999997</v>
      </c>
      <c r="IM11" s="42">
        <v>0</v>
      </c>
      <c r="IN11" s="42">
        <v>0</v>
      </c>
      <c r="IO11" s="41" t="s">
        <v>1150</v>
      </c>
      <c r="IP11" s="42">
        <v>22.998907979999998</v>
      </c>
      <c r="IQ11" s="42">
        <v>31.360974540000001</v>
      </c>
      <c r="IR11" s="42">
        <v>0.28159887</v>
      </c>
      <c r="IS11" s="42">
        <v>0.24699900999999999</v>
      </c>
      <c r="IT11" s="42">
        <v>67.985528079999995</v>
      </c>
      <c r="IU11" s="42">
        <v>8.3620665600000006</v>
      </c>
      <c r="IV11" s="42">
        <v>3.4599860000000003E-2</v>
      </c>
      <c r="IW11" s="41" t="s">
        <v>1150</v>
      </c>
      <c r="IX11" s="42">
        <v>50.735397040000002</v>
      </c>
      <c r="IY11" s="42">
        <v>50.735397040000002</v>
      </c>
      <c r="IZ11" s="42">
        <v>3.4599860000000003E-2</v>
      </c>
      <c r="JA11" s="42">
        <v>0</v>
      </c>
      <c r="JB11" s="42">
        <v>48.858104590000003</v>
      </c>
      <c r="JC11" s="42">
        <v>0</v>
      </c>
      <c r="JD11" s="42">
        <v>3.4599860000000003E-2</v>
      </c>
      <c r="JE11" s="41" t="s">
        <v>1150</v>
      </c>
      <c r="JF11" s="42">
        <v>0</v>
      </c>
      <c r="JG11" s="42">
        <v>0</v>
      </c>
      <c r="JH11" s="42">
        <v>0.94949620000000001</v>
      </c>
      <c r="JI11" s="42">
        <v>0.94949620000000001</v>
      </c>
      <c r="JJ11" s="42">
        <v>98.678605289999993</v>
      </c>
      <c r="JK11" s="42">
        <v>0</v>
      </c>
      <c r="JL11" s="42">
        <v>0</v>
      </c>
      <c r="JM11" s="41" t="s">
        <v>1150</v>
      </c>
      <c r="JN11" s="42">
        <v>0</v>
      </c>
      <c r="JO11" s="42">
        <v>0</v>
      </c>
      <c r="JP11" s="42">
        <v>3.1546873799999999</v>
      </c>
      <c r="JQ11" s="42">
        <v>3.1546873799999999</v>
      </c>
      <c r="JR11" s="42">
        <v>96.473414109999993</v>
      </c>
      <c r="JS11" s="42">
        <v>0</v>
      </c>
      <c r="JT11" s="42">
        <v>0</v>
      </c>
      <c r="JU11" s="41" t="s">
        <v>1150</v>
      </c>
      <c r="JV11" s="42">
        <v>3.7653849300000002</v>
      </c>
      <c r="JW11" s="42">
        <v>3.7653849300000002</v>
      </c>
      <c r="JX11" s="42">
        <v>5.1967792099999999</v>
      </c>
      <c r="JY11" s="42">
        <v>5.1967792099999999</v>
      </c>
      <c r="JZ11" s="42">
        <v>90.665937349999993</v>
      </c>
      <c r="KA11" s="42">
        <v>0</v>
      </c>
      <c r="KB11" s="42">
        <v>0</v>
      </c>
      <c r="KC11" s="41" t="s">
        <v>1150</v>
      </c>
      <c r="KD11" s="42">
        <v>0</v>
      </c>
      <c r="KE11" s="42">
        <v>0</v>
      </c>
      <c r="KF11" s="42">
        <v>15.621837510000001</v>
      </c>
      <c r="KG11" s="42">
        <v>15.621837510000001</v>
      </c>
      <c r="KH11" s="42">
        <v>84.00626398</v>
      </c>
      <c r="KI11" s="42">
        <v>0</v>
      </c>
      <c r="KJ11" s="42">
        <v>0</v>
      </c>
      <c r="KK11" s="42">
        <v>99.628101490000006</v>
      </c>
      <c r="KL11" s="42">
        <v>-0.14303191000000001</v>
      </c>
      <c r="KM11" s="42">
        <v>-2.2901908299999998</v>
      </c>
      <c r="KN11" s="42">
        <v>10.894356399999999</v>
      </c>
      <c r="KO11" s="41" t="s">
        <v>1152</v>
      </c>
      <c r="KP11" s="41" t="s">
        <v>1153</v>
      </c>
      <c r="KQ11" s="41" t="s">
        <v>1154</v>
      </c>
      <c r="KR11" s="42">
        <v>62.846964880000002</v>
      </c>
      <c r="KS11" s="42">
        <v>99.894993170000006</v>
      </c>
      <c r="KT11" s="42">
        <v>99.691917529999998</v>
      </c>
      <c r="KU11" s="42">
        <v>6.1224397399999999</v>
      </c>
      <c r="KV11" s="42">
        <v>5.3933208324999997</v>
      </c>
      <c r="KW11" s="42">
        <v>2.6270894899999999</v>
      </c>
      <c r="KX11" s="42">
        <v>34.21786316</v>
      </c>
      <c r="KY11" s="41"/>
      <c r="KZ11" s="42">
        <v>6.2454145499999996</v>
      </c>
      <c r="LA11" s="42">
        <v>38.80081075077743</v>
      </c>
      <c r="LB11" s="42">
        <v>6.0552895819270844</v>
      </c>
      <c r="LC11" s="42">
        <v>55.729166666666664</v>
      </c>
      <c r="LD11" s="41" t="s">
        <v>461</v>
      </c>
      <c r="LE11" s="42">
        <v>16.65884964</v>
      </c>
      <c r="LF11" s="42">
        <v>24.583601680000001</v>
      </c>
      <c r="LG11" s="42">
        <v>9.6342614799999993</v>
      </c>
      <c r="LH11" s="42">
        <v>2.2832908700000001</v>
      </c>
      <c r="LI11" s="42">
        <v>6.1046755700000004</v>
      </c>
      <c r="LJ11" s="42">
        <v>40.083439669999997</v>
      </c>
      <c r="LK11" s="42">
        <v>0.34379862</v>
      </c>
      <c r="LL11" s="42">
        <v>0.30808247</v>
      </c>
      <c r="LM11" s="42">
        <v>4.104253985677083</v>
      </c>
      <c r="LN11" s="42">
        <v>0.30808247</v>
      </c>
      <c r="LO11" s="42">
        <v>11.231255060000001</v>
      </c>
      <c r="LP11" s="42">
        <v>77.566306069999996</v>
      </c>
      <c r="LQ11" s="42">
        <v>6.4280521799999999</v>
      </c>
      <c r="LR11" s="42">
        <v>19.797160890000001</v>
      </c>
      <c r="LS11" s="41" t="s">
        <v>1173</v>
      </c>
      <c r="LT11" s="42">
        <v>5.4303665199999998</v>
      </c>
      <c r="LU11" s="42">
        <v>34.60993371</v>
      </c>
      <c r="LV11" s="43">
        <v>135</v>
      </c>
      <c r="LW11" s="43">
        <v>1</v>
      </c>
      <c r="LX11" s="43">
        <v>133</v>
      </c>
      <c r="LY11" s="41" t="s">
        <v>480</v>
      </c>
      <c r="LZ11" s="41" t="s">
        <v>1191</v>
      </c>
      <c r="MA11" s="44">
        <v>46203</v>
      </c>
      <c r="MB11" s="41" t="s">
        <v>1192</v>
      </c>
      <c r="MC11" s="43">
        <v>192</v>
      </c>
      <c r="MD11" s="41" t="s">
        <v>1158</v>
      </c>
      <c r="ME11" s="41" t="s">
        <v>565</v>
      </c>
      <c r="MF11" s="42">
        <v>3.9870591100000001</v>
      </c>
      <c r="MG11" s="42">
        <v>45.284822939999998</v>
      </c>
      <c r="MH11" s="42">
        <v>251662158</v>
      </c>
      <c r="MI11" s="42">
        <v>6.2454145499999996</v>
      </c>
      <c r="MJ11" s="42">
        <v>38.80081075077743</v>
      </c>
      <c r="MK11" s="42">
        <v>55.729166666666664</v>
      </c>
      <c r="ML11" s="42">
        <v>4.9728712899999996</v>
      </c>
      <c r="MM11" s="41" t="s">
        <v>480</v>
      </c>
      <c r="MN11" s="42">
        <v>15.76373695</v>
      </c>
      <c r="MO11" s="42">
        <v>0.14219942999999999</v>
      </c>
      <c r="MP11" s="42">
        <v>0</v>
      </c>
      <c r="MQ11" s="42">
        <v>0</v>
      </c>
      <c r="MR11" s="42">
        <v>44.363622550000002</v>
      </c>
      <c r="MS11" s="42">
        <v>18.831924669999999</v>
      </c>
      <c r="MT11" s="42">
        <v>0</v>
      </c>
      <c r="MU11" s="42">
        <v>2.2076911699999999</v>
      </c>
      <c r="MV11" s="42">
        <v>4.9373802500000004</v>
      </c>
      <c r="MW11" s="42">
        <v>2.4307902800000001</v>
      </c>
      <c r="MX11" s="42">
        <v>2.2885908499999998</v>
      </c>
      <c r="MY11" s="42">
        <v>0</v>
      </c>
      <c r="MZ11" s="42">
        <v>0</v>
      </c>
      <c r="NA11" s="42">
        <v>0</v>
      </c>
      <c r="NB11" s="42">
        <v>0</v>
      </c>
      <c r="NC11" s="42">
        <v>6.4220743000000002</v>
      </c>
      <c r="ND11" s="42">
        <v>0</v>
      </c>
      <c r="NE11" s="42">
        <v>0</v>
      </c>
      <c r="NF11" s="42">
        <v>2.0562917700000001</v>
      </c>
      <c r="NG11" s="42">
        <v>1.95149219</v>
      </c>
      <c r="NH11" s="42">
        <v>0</v>
      </c>
      <c r="NI11" s="42">
        <v>1.95149219</v>
      </c>
      <c r="NJ11" s="42">
        <v>0</v>
      </c>
      <c r="NK11" s="42">
        <v>0</v>
      </c>
      <c r="NL11" s="42">
        <v>0.10479958</v>
      </c>
      <c r="NM11" s="42">
        <v>0</v>
      </c>
      <c r="NN11" s="42">
        <v>0</v>
      </c>
      <c r="NO11" s="42">
        <v>0</v>
      </c>
      <c r="NP11" s="42">
        <v>0</v>
      </c>
      <c r="NQ11" s="42">
        <v>0</v>
      </c>
      <c r="NR11" s="42">
        <v>2.2320910600000001</v>
      </c>
      <c r="NS11" s="42">
        <v>0.77249690000000004</v>
      </c>
      <c r="NT11" s="42">
        <v>0</v>
      </c>
      <c r="NU11" s="42">
        <v>0</v>
      </c>
      <c r="NV11" s="42">
        <v>0</v>
      </c>
      <c r="NW11" s="42">
        <v>0</v>
      </c>
      <c r="NX11" s="42">
        <v>0</v>
      </c>
      <c r="NY11" s="42">
        <v>10.540057839999999</v>
      </c>
      <c r="NZ11" s="42">
        <v>6.5116739499999996</v>
      </c>
      <c r="OA11" s="42">
        <v>0.69489721000000004</v>
      </c>
      <c r="OB11" s="42">
        <v>1.3498945899999999</v>
      </c>
      <c r="OC11" s="42">
        <v>0</v>
      </c>
      <c r="OD11" s="42">
        <v>0</v>
      </c>
      <c r="OE11" s="42">
        <v>0</v>
      </c>
      <c r="OF11" s="42">
        <v>0</v>
      </c>
      <c r="OG11" s="42">
        <v>0</v>
      </c>
      <c r="OH11" s="42">
        <v>29.868780529999999</v>
      </c>
      <c r="OI11" s="42">
        <v>22.168211320000001</v>
      </c>
      <c r="OJ11" s="42">
        <v>0</v>
      </c>
      <c r="OK11" s="42">
        <v>0</v>
      </c>
      <c r="OL11" s="42">
        <v>27.739589049999999</v>
      </c>
      <c r="OM11" s="42">
        <v>86.744953010000003</v>
      </c>
      <c r="ON11" s="42">
        <v>0</v>
      </c>
      <c r="OO11" s="42">
        <v>23.028107890000001</v>
      </c>
      <c r="OP11" s="42">
        <v>0</v>
      </c>
      <c r="OQ11" s="42">
        <v>0</v>
      </c>
      <c r="OR11" s="42">
        <v>0</v>
      </c>
      <c r="OS11" s="42">
        <v>0</v>
      </c>
      <c r="OT11" s="42">
        <v>0.81559674000000004</v>
      </c>
      <c r="OU11" s="42">
        <v>0</v>
      </c>
      <c r="OV11" s="42">
        <v>0</v>
      </c>
      <c r="OW11" s="42">
        <v>0</v>
      </c>
      <c r="OX11" s="42">
        <v>0</v>
      </c>
      <c r="OY11" s="42">
        <v>0</v>
      </c>
      <c r="OZ11" s="42">
        <v>0</v>
      </c>
      <c r="PA11" s="42">
        <v>0</v>
      </c>
      <c r="PB11" s="42">
        <v>0</v>
      </c>
      <c r="PC11" s="42">
        <v>0</v>
      </c>
      <c r="PD11" s="42">
        <v>0</v>
      </c>
      <c r="PE11" s="42">
        <v>10.627157499999999</v>
      </c>
      <c r="PF11" s="42">
        <v>0</v>
      </c>
      <c r="PG11" s="42">
        <v>0</v>
      </c>
      <c r="PH11" s="42">
        <v>0</v>
      </c>
      <c r="PI11" s="42">
        <v>0</v>
      </c>
      <c r="PJ11" s="42">
        <v>0</v>
      </c>
      <c r="PK11" s="42">
        <v>0</v>
      </c>
      <c r="PL11" s="42">
        <v>0</v>
      </c>
      <c r="PM11" s="42">
        <v>39.484842069999999</v>
      </c>
      <c r="PN11" s="42">
        <v>8.3059667800000003</v>
      </c>
      <c r="PO11" s="42">
        <v>2.06169175</v>
      </c>
      <c r="PP11" s="42">
        <v>1.3775944899999999</v>
      </c>
      <c r="PQ11" s="42">
        <v>4.7114811599999999</v>
      </c>
      <c r="PR11" s="42">
        <v>23.028107890000001</v>
      </c>
      <c r="PS11" s="42">
        <v>0.15353933</v>
      </c>
      <c r="PT11" s="42">
        <v>0.67289913000000001</v>
      </c>
      <c r="PU11" s="42">
        <v>8.9535199999999995E-3</v>
      </c>
      <c r="PV11" s="42">
        <v>2.5987100000000002E-3</v>
      </c>
      <c r="PW11" s="42">
        <v>1.19766309</v>
      </c>
      <c r="PX11" s="42">
        <v>0</v>
      </c>
      <c r="PY11" s="42">
        <v>0</v>
      </c>
      <c r="PZ11" s="42">
        <v>8.1575620000000001E-2</v>
      </c>
      <c r="QA11" s="42">
        <v>23.41080633</v>
      </c>
      <c r="QB11" s="42">
        <v>0</v>
      </c>
      <c r="QC11" s="42">
        <v>0</v>
      </c>
      <c r="QD11" s="42">
        <v>0</v>
      </c>
      <c r="QE11" s="42">
        <v>0</v>
      </c>
      <c r="QF11" s="42">
        <v>0</v>
      </c>
      <c r="QG11" s="42">
        <v>14.472642110000001</v>
      </c>
      <c r="QH11" s="42">
        <v>0</v>
      </c>
      <c r="QI11" s="42">
        <v>0</v>
      </c>
      <c r="QJ11" s="42">
        <v>0</v>
      </c>
      <c r="QK11" s="42">
        <v>2.2320910600000001</v>
      </c>
    </row>
    <row r="12" spans="1:453" x14ac:dyDescent="0.35">
      <c r="A12" s="41" t="s">
        <v>568</v>
      </c>
      <c r="B12" s="41" t="s">
        <v>435</v>
      </c>
      <c r="C12" s="41" t="s">
        <v>569</v>
      </c>
      <c r="D12" s="41" t="s">
        <v>536</v>
      </c>
      <c r="E12" s="41" t="s">
        <v>569</v>
      </c>
      <c r="F12" s="41" t="s">
        <v>1193</v>
      </c>
      <c r="G12" s="41" t="s">
        <v>570</v>
      </c>
      <c r="H12" s="42">
        <v>20.55382518</v>
      </c>
      <c r="I12" s="42">
        <v>99.418299410000003</v>
      </c>
      <c r="J12" s="42">
        <v>87.101723199999995</v>
      </c>
      <c r="K12" s="42">
        <v>99.418299410000003</v>
      </c>
      <c r="L12" s="42">
        <v>280.69175416000002</v>
      </c>
      <c r="M12" s="42">
        <v>99.418299410000003</v>
      </c>
      <c r="N12" s="42">
        <v>193.59003096000001</v>
      </c>
      <c r="O12" s="42">
        <v>99.418299410000003</v>
      </c>
      <c r="P12" s="42">
        <v>23.87392389</v>
      </c>
      <c r="Q12" s="42">
        <v>0</v>
      </c>
      <c r="R12" s="42">
        <v>0.25703714999999999</v>
      </c>
      <c r="S12" s="42"/>
      <c r="T12" s="42">
        <v>22.888722900000001</v>
      </c>
      <c r="U12" s="42">
        <v>0</v>
      </c>
      <c r="V12" s="42">
        <v>0.98520099000000005</v>
      </c>
      <c r="W12" s="42">
        <v>32.59377087</v>
      </c>
      <c r="X12" s="42">
        <v>99.418299410000003</v>
      </c>
      <c r="Y12" s="42">
        <v>116.28672727999999</v>
      </c>
      <c r="Z12" s="42">
        <v>99.418299410000003</v>
      </c>
      <c r="AA12" s="42">
        <v>517.65184533000001</v>
      </c>
      <c r="AB12" s="42">
        <v>99.418299410000003</v>
      </c>
      <c r="AC12" s="42">
        <v>401.36522231999999</v>
      </c>
      <c r="AD12" s="42">
        <v>99.418299410000003</v>
      </c>
      <c r="AE12" s="42">
        <v>202.59174264999999</v>
      </c>
      <c r="AF12" s="42">
        <v>7.581338E-2</v>
      </c>
      <c r="AG12" s="42">
        <v>1767.9621595000001</v>
      </c>
      <c r="AH12" s="42">
        <v>4416.1834027100003</v>
      </c>
      <c r="AI12" s="42">
        <v>1841.93893067</v>
      </c>
      <c r="AJ12" s="42">
        <v>26.775526760000002</v>
      </c>
      <c r="AK12" s="42">
        <v>21.443121430000001</v>
      </c>
      <c r="AL12" s="41" t="s">
        <v>1149</v>
      </c>
      <c r="AM12" s="42">
        <v>99.418299410000003</v>
      </c>
      <c r="AN12" s="42">
        <v>34.81263482</v>
      </c>
      <c r="AO12" s="42">
        <v>16.3870164</v>
      </c>
      <c r="AP12" s="41">
        <v>2.6</v>
      </c>
      <c r="AQ12" s="42">
        <v>92.426392419999999</v>
      </c>
      <c r="AR12" s="42">
        <v>59.977459969999998</v>
      </c>
      <c r="AS12" s="42">
        <v>99.418299410000003</v>
      </c>
      <c r="AT12" s="42">
        <v>2.6020672600000001</v>
      </c>
      <c r="AU12" s="42">
        <v>81.806881770000004</v>
      </c>
      <c r="AV12" s="42">
        <v>99.418299410000003</v>
      </c>
      <c r="AW12" s="42">
        <v>0</v>
      </c>
      <c r="AX12" s="42">
        <v>0</v>
      </c>
      <c r="AY12" s="42">
        <v>0</v>
      </c>
      <c r="AZ12" s="42">
        <v>0</v>
      </c>
      <c r="BA12" s="42">
        <v>2.4227024199999998</v>
      </c>
      <c r="BB12" s="42">
        <v>5.1978051900000004</v>
      </c>
      <c r="BC12" s="42">
        <v>0.90920091000000003</v>
      </c>
      <c r="BD12" s="42">
        <v>0.16420016000000001</v>
      </c>
      <c r="BE12" s="42">
        <v>25.36392536</v>
      </c>
      <c r="BF12" s="42">
        <v>0.56320055999999996</v>
      </c>
      <c r="BG12" s="42">
        <v>0</v>
      </c>
      <c r="BH12" s="42">
        <v>0</v>
      </c>
      <c r="BI12" s="42">
        <v>0</v>
      </c>
      <c r="BJ12" s="42">
        <v>0</v>
      </c>
      <c r="BK12" s="42">
        <v>5.68748E-3</v>
      </c>
      <c r="BL12" s="42">
        <v>0.23824619999999999</v>
      </c>
      <c r="BM12" s="42">
        <v>8.8545299999999993E-3</v>
      </c>
      <c r="BN12" s="42">
        <v>1.121487E-2</v>
      </c>
      <c r="BO12" s="42">
        <v>3.17455563</v>
      </c>
      <c r="BP12" s="42">
        <v>1.9148800000000001E-3</v>
      </c>
      <c r="BQ12" s="42">
        <v>0</v>
      </c>
      <c r="BR12" s="42">
        <v>1.8835073099999999</v>
      </c>
      <c r="BS12" s="42">
        <v>5.0692778199999999</v>
      </c>
      <c r="BT12" s="42">
        <v>0.22178930999999999</v>
      </c>
      <c r="BU12" s="42">
        <v>5.1220376200000004</v>
      </c>
      <c r="BV12" s="42">
        <v>0</v>
      </c>
      <c r="BW12" s="42">
        <v>0</v>
      </c>
      <c r="BX12" s="42">
        <v>22.27412228</v>
      </c>
      <c r="BY12" s="42">
        <v>29.53922953</v>
      </c>
      <c r="BZ12" s="42">
        <v>1.9161019100000001</v>
      </c>
      <c r="CA12" s="42">
        <v>29.53922953</v>
      </c>
      <c r="CB12" s="42">
        <v>0</v>
      </c>
      <c r="CC12" s="42">
        <v>1.9148800000000001E-3</v>
      </c>
      <c r="CD12" s="42">
        <v>0.22846701999999999</v>
      </c>
      <c r="CE12" s="42">
        <v>0</v>
      </c>
      <c r="CF12" s="42"/>
      <c r="CG12" s="42">
        <v>70.810070809999999</v>
      </c>
      <c r="CH12" s="42">
        <v>28.6113286</v>
      </c>
      <c r="CI12" s="42">
        <v>0</v>
      </c>
      <c r="CJ12" s="42">
        <v>57.148357160000003</v>
      </c>
      <c r="CK12" s="42">
        <v>26.012826010000001</v>
      </c>
      <c r="CL12" s="42">
        <v>12.64631264</v>
      </c>
      <c r="CM12" s="42">
        <v>2.59540259</v>
      </c>
      <c r="CN12" s="42">
        <v>0</v>
      </c>
      <c r="CO12" s="42">
        <v>34.556834549999998</v>
      </c>
      <c r="CP12" s="42">
        <v>2.8261028399999999</v>
      </c>
      <c r="CQ12" s="42">
        <v>0.30580031000000002</v>
      </c>
      <c r="CR12" s="42">
        <v>3.36830337</v>
      </c>
      <c r="CS12" s="42">
        <v>35.114635120000003</v>
      </c>
      <c r="CT12" s="42">
        <v>60.629560609999999</v>
      </c>
      <c r="CU12" s="42">
        <v>22.07032208</v>
      </c>
      <c r="CV12" s="42">
        <v>17.895017889999998</v>
      </c>
      <c r="CW12" s="42">
        <v>1.3747013699999999</v>
      </c>
      <c r="CX12" s="42">
        <v>62.009762010000003</v>
      </c>
      <c r="CY12" s="42">
        <v>19.498219500000001</v>
      </c>
      <c r="CZ12" s="42">
        <v>9.6280096499999992</v>
      </c>
      <c r="DA12" s="42">
        <v>83.227683229999997</v>
      </c>
      <c r="DB12" s="42">
        <v>58.790158769999998</v>
      </c>
      <c r="DC12" s="42">
        <v>4.0710040799999998</v>
      </c>
      <c r="DD12" s="42">
        <v>36.557136559999996</v>
      </c>
      <c r="DE12" s="42">
        <v>85.348785309999997</v>
      </c>
      <c r="DF12" s="42">
        <v>99.418299410000003</v>
      </c>
      <c r="DG12" s="42">
        <v>5.6663392200000002</v>
      </c>
      <c r="DH12" s="42">
        <v>99.418299410000003</v>
      </c>
      <c r="DI12" s="42">
        <v>95.949295939999999</v>
      </c>
      <c r="DJ12" s="42">
        <v>3.4690034700000001</v>
      </c>
      <c r="DK12" s="42">
        <v>40.129640119999998</v>
      </c>
      <c r="DL12" s="42">
        <v>0</v>
      </c>
      <c r="DM12" s="42">
        <v>77.181077169999995</v>
      </c>
      <c r="DN12" s="42">
        <v>3.8536038499999998</v>
      </c>
      <c r="DO12" s="42">
        <v>18.383618389999999</v>
      </c>
      <c r="DP12" s="42">
        <v>0</v>
      </c>
      <c r="DQ12" s="42">
        <v>5.8590508100000003</v>
      </c>
      <c r="DR12" s="42">
        <v>99.418299410000003</v>
      </c>
      <c r="DS12" s="42">
        <v>18.568318569999999</v>
      </c>
      <c r="DT12" s="42">
        <v>11.731911739999999</v>
      </c>
      <c r="DU12" s="42">
        <v>0</v>
      </c>
      <c r="DV12" s="42">
        <v>5.6519056499999998</v>
      </c>
      <c r="DW12" s="42">
        <v>14.227114220000001</v>
      </c>
      <c r="DX12" s="42">
        <v>49.288549279999998</v>
      </c>
      <c r="DY12" s="42">
        <v>17.257517249999999</v>
      </c>
      <c r="DZ12" s="42">
        <v>1.66360167</v>
      </c>
      <c r="EA12" s="42">
        <v>87.687187690000002</v>
      </c>
      <c r="EB12" s="42">
        <v>1.88990189</v>
      </c>
      <c r="EC12" s="42">
        <v>9.6744676700000003</v>
      </c>
      <c r="ED12" s="42">
        <v>6.9663266500000001</v>
      </c>
      <c r="EE12" s="42">
        <v>85.294185279999994</v>
      </c>
      <c r="EF12" s="42">
        <v>20.94352095</v>
      </c>
      <c r="EG12" s="42">
        <v>96.196396190000002</v>
      </c>
      <c r="EH12" s="42"/>
      <c r="EI12" s="42">
        <v>0</v>
      </c>
      <c r="EJ12" s="42">
        <v>43.573743569999998</v>
      </c>
      <c r="EK12" s="42">
        <v>31.592631579999999</v>
      </c>
      <c r="EL12" s="42">
        <v>24.251924259999999</v>
      </c>
      <c r="EM12" s="42">
        <v>46.872046859999998</v>
      </c>
      <c r="EN12" s="42">
        <v>1.53940155</v>
      </c>
      <c r="EO12" s="42">
        <v>1216.8042053199999</v>
      </c>
      <c r="EP12" s="42">
        <v>46.2042462</v>
      </c>
      <c r="EQ12" s="42">
        <v>1777.67243579</v>
      </c>
      <c r="ER12" s="42">
        <v>95.351795350000003</v>
      </c>
      <c r="ES12" s="42">
        <v>15.059815070000001</v>
      </c>
      <c r="ET12" s="42">
        <v>23.623123629999998</v>
      </c>
      <c r="EU12" s="42">
        <v>1.37150138</v>
      </c>
      <c r="EV12" s="42">
        <v>61.439961420000003</v>
      </c>
      <c r="EW12" s="42">
        <v>30.344930349999998</v>
      </c>
      <c r="EX12" s="42">
        <v>46.702946689999997</v>
      </c>
      <c r="EY12" s="42">
        <v>0</v>
      </c>
      <c r="EZ12" s="42">
        <v>0.38630038999999999</v>
      </c>
      <c r="FA12" s="42">
        <v>95.637295629999997</v>
      </c>
      <c r="FB12" s="42">
        <v>99.418299410000003</v>
      </c>
      <c r="FC12" s="42">
        <v>58.424058410000001</v>
      </c>
      <c r="FD12" s="42">
        <v>91.358191349999998</v>
      </c>
      <c r="FE12" s="41" t="s">
        <v>1151</v>
      </c>
      <c r="FF12" s="42">
        <v>34.508934519999997</v>
      </c>
      <c r="FG12" s="42">
        <v>34.508934519999997</v>
      </c>
      <c r="FH12" s="42">
        <v>3.2608032599999999</v>
      </c>
      <c r="FI12" s="42">
        <v>3.2608032599999999</v>
      </c>
      <c r="FJ12" s="42">
        <v>61.648561630000003</v>
      </c>
      <c r="FK12" s="42">
        <v>0</v>
      </c>
      <c r="FL12" s="42">
        <v>0</v>
      </c>
      <c r="FM12" s="41" t="s">
        <v>1151</v>
      </c>
      <c r="FN12" s="42">
        <v>21.14112115</v>
      </c>
      <c r="FO12" s="42">
        <v>21.742221749999999</v>
      </c>
      <c r="FP12" s="42">
        <v>0</v>
      </c>
      <c r="FQ12" s="42">
        <v>0</v>
      </c>
      <c r="FR12" s="42">
        <v>77.676077660000004</v>
      </c>
      <c r="FS12" s="42">
        <v>0.60110059999999998</v>
      </c>
      <c r="FT12" s="42">
        <v>0</v>
      </c>
      <c r="FU12" s="41" t="s">
        <v>1150</v>
      </c>
      <c r="FV12" s="42">
        <v>16.296916289999999</v>
      </c>
      <c r="FW12" s="42">
        <v>16.296916289999999</v>
      </c>
      <c r="FX12" s="42">
        <v>15.43831544</v>
      </c>
      <c r="FY12" s="42">
        <v>2.6857026899999998</v>
      </c>
      <c r="FZ12" s="42">
        <v>67.683067679999994</v>
      </c>
      <c r="GA12" s="42">
        <v>0</v>
      </c>
      <c r="GB12" s="42">
        <v>12.752612750000001</v>
      </c>
      <c r="GC12" s="41" t="s">
        <v>1150</v>
      </c>
      <c r="GD12" s="42">
        <v>0</v>
      </c>
      <c r="GE12" s="42">
        <v>0</v>
      </c>
      <c r="GF12" s="42">
        <v>9.81320981</v>
      </c>
      <c r="GG12" s="42">
        <v>9.81320981</v>
      </c>
      <c r="GH12" s="42">
        <v>89.605089599999999</v>
      </c>
      <c r="GI12" s="42">
        <v>0</v>
      </c>
      <c r="GJ12" s="42">
        <v>0</v>
      </c>
      <c r="GK12" s="41" t="s">
        <v>1151</v>
      </c>
      <c r="GL12" s="42">
        <v>42.602642590000002</v>
      </c>
      <c r="GM12" s="42">
        <v>42.602642590000002</v>
      </c>
      <c r="GN12" s="42">
        <v>0</v>
      </c>
      <c r="GO12" s="42">
        <v>0</v>
      </c>
      <c r="GP12" s="42">
        <v>56.815656820000001</v>
      </c>
      <c r="GQ12" s="42">
        <v>0</v>
      </c>
      <c r="GR12" s="42">
        <v>0</v>
      </c>
      <c r="GS12" s="41" t="s">
        <v>1151</v>
      </c>
      <c r="GT12" s="42">
        <v>30.848930849999999</v>
      </c>
      <c r="GU12" s="42">
        <v>32.695232689999997</v>
      </c>
      <c r="GV12" s="42">
        <v>0</v>
      </c>
      <c r="GW12" s="42">
        <v>0</v>
      </c>
      <c r="GX12" s="42">
        <v>66.723066720000006</v>
      </c>
      <c r="GY12" s="42">
        <v>1.84630184</v>
      </c>
      <c r="GZ12" s="42">
        <v>0</v>
      </c>
      <c r="HA12" s="41" t="s">
        <v>1150</v>
      </c>
      <c r="HB12" s="42">
        <v>34.329234339999999</v>
      </c>
      <c r="HC12" s="42">
        <v>34.329234339999999</v>
      </c>
      <c r="HD12" s="42">
        <v>2.8157028199999998</v>
      </c>
      <c r="HE12" s="42">
        <v>0</v>
      </c>
      <c r="HF12" s="42">
        <v>62.273362249999998</v>
      </c>
      <c r="HG12" s="42">
        <v>0</v>
      </c>
      <c r="HH12" s="42">
        <v>2.8157028199999998</v>
      </c>
      <c r="HI12" s="41" t="s">
        <v>1151</v>
      </c>
      <c r="HJ12" s="42">
        <v>2.9360029399999998</v>
      </c>
      <c r="HK12" s="42">
        <v>2.9360029399999998</v>
      </c>
      <c r="HL12" s="42">
        <v>0</v>
      </c>
      <c r="HM12" s="42">
        <v>0</v>
      </c>
      <c r="HN12" s="42">
        <v>96.482296469999994</v>
      </c>
      <c r="HO12" s="42">
        <v>0</v>
      </c>
      <c r="HP12" s="42">
        <v>0</v>
      </c>
      <c r="HQ12" s="41" t="s">
        <v>1151</v>
      </c>
      <c r="HR12" s="42">
        <v>9.0067090200000006</v>
      </c>
      <c r="HS12" s="42">
        <v>9.0067090200000006</v>
      </c>
      <c r="HT12" s="42">
        <v>2.6108026099999999</v>
      </c>
      <c r="HU12" s="42">
        <v>2.6108026099999999</v>
      </c>
      <c r="HV12" s="42">
        <v>87.800787779999993</v>
      </c>
      <c r="HW12" s="42">
        <v>0</v>
      </c>
      <c r="HX12" s="42">
        <v>0</v>
      </c>
      <c r="HY12" s="41" t="s">
        <v>1151</v>
      </c>
      <c r="HZ12" s="42">
        <v>26.772826760000001</v>
      </c>
      <c r="IA12" s="42">
        <v>26.772826760000001</v>
      </c>
      <c r="IB12" s="42">
        <v>0</v>
      </c>
      <c r="IC12" s="42">
        <v>0</v>
      </c>
      <c r="ID12" s="42">
        <v>72.645472650000002</v>
      </c>
      <c r="IE12" s="42">
        <v>0</v>
      </c>
      <c r="IF12" s="42">
        <v>0</v>
      </c>
      <c r="IG12" s="41" t="s">
        <v>1150</v>
      </c>
      <c r="IH12" s="42">
        <v>0</v>
      </c>
      <c r="II12" s="42">
        <v>0</v>
      </c>
      <c r="IJ12" s="42">
        <v>0</v>
      </c>
      <c r="IK12" s="42">
        <v>0</v>
      </c>
      <c r="IL12" s="42">
        <v>99.418299410000003</v>
      </c>
      <c r="IM12" s="42">
        <v>0</v>
      </c>
      <c r="IN12" s="42">
        <v>0</v>
      </c>
      <c r="IO12" s="41" t="s">
        <v>1150</v>
      </c>
      <c r="IP12" s="42">
        <v>8.7581087400000008</v>
      </c>
      <c r="IQ12" s="42">
        <v>8.9800089599999993</v>
      </c>
      <c r="IR12" s="42">
        <v>11.78511179</v>
      </c>
      <c r="IS12" s="42">
        <v>8.9694089699999999</v>
      </c>
      <c r="IT12" s="42">
        <v>78.653178659999995</v>
      </c>
      <c r="IU12" s="42">
        <v>0.22190022000000001</v>
      </c>
      <c r="IV12" s="42">
        <v>2.8157028199999998</v>
      </c>
      <c r="IW12" s="41" t="s">
        <v>1150</v>
      </c>
      <c r="IX12" s="42">
        <v>40.905640890000001</v>
      </c>
      <c r="IY12" s="42">
        <v>40.905640890000001</v>
      </c>
      <c r="IZ12" s="42">
        <v>2.8157028199999998</v>
      </c>
      <c r="JA12" s="42">
        <v>0</v>
      </c>
      <c r="JB12" s="42">
        <v>55.696955699999997</v>
      </c>
      <c r="JC12" s="42">
        <v>0</v>
      </c>
      <c r="JD12" s="42">
        <v>2.8157028199999998</v>
      </c>
      <c r="JE12" s="41" t="s">
        <v>1150</v>
      </c>
      <c r="JF12" s="42">
        <v>0</v>
      </c>
      <c r="JG12" s="42">
        <v>0</v>
      </c>
      <c r="JH12" s="42">
        <v>39.330539330000001</v>
      </c>
      <c r="JI12" s="42">
        <v>39.330539330000001</v>
      </c>
      <c r="JJ12" s="42">
        <v>60.087760080000002</v>
      </c>
      <c r="JK12" s="42">
        <v>0</v>
      </c>
      <c r="JL12" s="42">
        <v>0</v>
      </c>
      <c r="JM12" s="41" t="s">
        <v>1150</v>
      </c>
      <c r="JN12" s="42">
        <v>0</v>
      </c>
      <c r="JO12" s="42">
        <v>0</v>
      </c>
      <c r="JP12" s="42">
        <v>40.395740400000001</v>
      </c>
      <c r="JQ12" s="42">
        <v>40.395740400000001</v>
      </c>
      <c r="JR12" s="42">
        <v>59.022559010000002</v>
      </c>
      <c r="JS12" s="42">
        <v>0</v>
      </c>
      <c r="JT12" s="42">
        <v>0</v>
      </c>
      <c r="JU12" s="41" t="s">
        <v>1150</v>
      </c>
      <c r="JV12" s="42">
        <v>7.4432074300000002</v>
      </c>
      <c r="JW12" s="42">
        <v>7.4432074300000002</v>
      </c>
      <c r="JX12" s="42">
        <v>9.6723096700000006</v>
      </c>
      <c r="JY12" s="42">
        <v>9.6723096700000006</v>
      </c>
      <c r="JZ12" s="42">
        <v>82.302782309999998</v>
      </c>
      <c r="KA12" s="42">
        <v>0</v>
      </c>
      <c r="KB12" s="42">
        <v>0</v>
      </c>
      <c r="KC12" s="41" t="s">
        <v>1151</v>
      </c>
      <c r="KD12" s="42">
        <v>0.38630038999999999</v>
      </c>
      <c r="KE12" s="42">
        <v>0.38630038999999999</v>
      </c>
      <c r="KF12" s="42">
        <v>0.19070018999999999</v>
      </c>
      <c r="KG12" s="42">
        <v>0.19070018999999999</v>
      </c>
      <c r="KH12" s="42">
        <v>98.841298829999999</v>
      </c>
      <c r="KI12" s="42">
        <v>0</v>
      </c>
      <c r="KJ12" s="42">
        <v>0</v>
      </c>
      <c r="KK12" s="42">
        <v>99.418299410000003</v>
      </c>
      <c r="KL12" s="42">
        <v>0.60221210000000003</v>
      </c>
      <c r="KM12" s="42">
        <v>8.4188084300000003</v>
      </c>
      <c r="KN12" s="42">
        <v>7.1641071600000004</v>
      </c>
      <c r="KO12" s="41" t="s">
        <v>1152</v>
      </c>
      <c r="KP12" s="41" t="s">
        <v>1153</v>
      </c>
      <c r="KQ12" s="41" t="s">
        <v>1154</v>
      </c>
      <c r="KR12" s="42">
        <v>48.635361940000003</v>
      </c>
      <c r="KS12" s="42">
        <v>99.770240389999998</v>
      </c>
      <c r="KT12" s="42">
        <v>99.494112790000003</v>
      </c>
      <c r="KU12" s="42">
        <v>4.8345536039175254</v>
      </c>
      <c r="KV12" s="42">
        <v>5.7163083641237113</v>
      </c>
      <c r="KW12" s="42">
        <v>0</v>
      </c>
      <c r="KX12" s="42">
        <v>50.85875085</v>
      </c>
      <c r="KY12" s="41"/>
      <c r="KZ12" s="42">
        <v>7.1531749800000002</v>
      </c>
      <c r="LA12" s="42">
        <v>75.583074189249217</v>
      </c>
      <c r="LB12" s="42">
        <v>6.08951258443299</v>
      </c>
      <c r="LC12" s="42">
        <v>84.536082474226802</v>
      </c>
      <c r="LD12" s="41" t="s">
        <v>1163</v>
      </c>
      <c r="LE12" s="42">
        <v>21.330934630000002</v>
      </c>
      <c r="LF12" s="42">
        <v>36.039136050000003</v>
      </c>
      <c r="LG12" s="42">
        <v>14.8196148</v>
      </c>
      <c r="LH12" s="42">
        <v>0</v>
      </c>
      <c r="LI12" s="42">
        <v>2.26260226</v>
      </c>
      <c r="LJ12" s="42">
        <v>25.04182505</v>
      </c>
      <c r="LK12" s="42">
        <v>0</v>
      </c>
      <c r="LL12" s="42">
        <v>0.50588721000000003</v>
      </c>
      <c r="LM12" s="42">
        <v>4.7266460674226813</v>
      </c>
      <c r="LN12" s="42">
        <v>0.50588721000000003</v>
      </c>
      <c r="LO12" s="42">
        <v>15.582915590000001</v>
      </c>
      <c r="LP12" s="42">
        <v>76.747090040000003</v>
      </c>
      <c r="LQ12" s="42">
        <v>5.1147653799999997</v>
      </c>
      <c r="LR12" s="42">
        <v>28.5728069</v>
      </c>
      <c r="LS12" s="41" t="s">
        <v>1173</v>
      </c>
      <c r="LT12" s="42">
        <v>6.3545147899999996</v>
      </c>
      <c r="LU12" s="42">
        <v>33.428012080000002</v>
      </c>
      <c r="LV12" s="43">
        <v>96</v>
      </c>
      <c r="LW12" s="43">
        <v>1</v>
      </c>
      <c r="LX12" s="43">
        <v>93</v>
      </c>
      <c r="LY12" s="41" t="s">
        <v>480</v>
      </c>
      <c r="LZ12" s="41" t="s">
        <v>1194</v>
      </c>
      <c r="MA12" s="44">
        <v>46203</v>
      </c>
      <c r="MB12" s="41" t="s">
        <v>1195</v>
      </c>
      <c r="MC12" s="43">
        <v>97</v>
      </c>
      <c r="MD12" s="41" t="s">
        <v>1158</v>
      </c>
      <c r="ME12" s="41" t="s">
        <v>435</v>
      </c>
      <c r="MF12" s="42">
        <v>4.5179797199999996</v>
      </c>
      <c r="MG12" s="42">
        <v>37.493293809999997</v>
      </c>
      <c r="MH12" s="42">
        <v>1010230361</v>
      </c>
      <c r="MI12" s="42">
        <v>7.1531749800000002</v>
      </c>
      <c r="MJ12" s="42">
        <v>75.583074189249217</v>
      </c>
      <c r="MK12" s="42">
        <v>84.536082474226802</v>
      </c>
      <c r="ML12" s="42">
        <v>5.3064038399999998</v>
      </c>
      <c r="MM12" s="41" t="s">
        <v>480</v>
      </c>
      <c r="MN12" s="42">
        <v>10.86671087</v>
      </c>
      <c r="MO12" s="42">
        <v>0</v>
      </c>
      <c r="MP12" s="42">
        <v>0</v>
      </c>
      <c r="MQ12" s="42">
        <v>0</v>
      </c>
      <c r="MR12" s="42">
        <v>50.242250249999998</v>
      </c>
      <c r="MS12" s="42">
        <v>17.545717549999999</v>
      </c>
      <c r="MT12" s="42">
        <v>6.8469068499999999</v>
      </c>
      <c r="MU12" s="42">
        <v>6.8469068499999999</v>
      </c>
      <c r="MV12" s="42">
        <v>64.432364419999999</v>
      </c>
      <c r="MW12" s="42">
        <v>64.432364419999999</v>
      </c>
      <c r="MX12" s="42">
        <v>54.312354310000003</v>
      </c>
      <c r="MY12" s="42">
        <v>0</v>
      </c>
      <c r="MZ12" s="42">
        <v>7.31590732</v>
      </c>
      <c r="NA12" s="42">
        <v>0.84790085000000004</v>
      </c>
      <c r="NB12" s="42">
        <v>0</v>
      </c>
      <c r="NC12" s="42">
        <v>23.885723890000001</v>
      </c>
      <c r="ND12" s="42">
        <v>0</v>
      </c>
      <c r="NE12" s="42">
        <v>0</v>
      </c>
      <c r="NF12" s="42">
        <v>8.5822085799999996</v>
      </c>
      <c r="NG12" s="42">
        <v>0</v>
      </c>
      <c r="NH12" s="42">
        <v>0</v>
      </c>
      <c r="NI12" s="42">
        <v>0</v>
      </c>
      <c r="NJ12" s="42">
        <v>0</v>
      </c>
      <c r="NK12" s="42">
        <v>0</v>
      </c>
      <c r="NL12" s="42">
        <v>8.5822085799999996</v>
      </c>
      <c r="NM12" s="42">
        <v>0</v>
      </c>
      <c r="NN12" s="42">
        <v>0</v>
      </c>
      <c r="NO12" s="42">
        <v>0</v>
      </c>
      <c r="NP12" s="42">
        <v>0</v>
      </c>
      <c r="NQ12" s="42">
        <v>0.42990043</v>
      </c>
      <c r="NR12" s="42">
        <v>0</v>
      </c>
      <c r="NS12" s="42">
        <v>0</v>
      </c>
      <c r="NT12" s="42">
        <v>0</v>
      </c>
      <c r="NU12" s="42">
        <v>0</v>
      </c>
      <c r="NV12" s="42">
        <v>0</v>
      </c>
      <c r="NW12" s="42">
        <v>0</v>
      </c>
      <c r="NX12" s="42">
        <v>0</v>
      </c>
      <c r="NY12" s="42">
        <v>0.60280060000000002</v>
      </c>
      <c r="NZ12" s="42">
        <v>0.60280060000000002</v>
      </c>
      <c r="OA12" s="42">
        <v>0</v>
      </c>
      <c r="OB12" s="42">
        <v>0</v>
      </c>
      <c r="OC12" s="42">
        <v>7.5495075500000004</v>
      </c>
      <c r="OD12" s="42">
        <v>7.5495075500000004</v>
      </c>
      <c r="OE12" s="42">
        <v>0</v>
      </c>
      <c r="OF12" s="42">
        <v>0</v>
      </c>
      <c r="OG12" s="42">
        <v>0</v>
      </c>
      <c r="OH12" s="42">
        <v>51.4070514</v>
      </c>
      <c r="OI12" s="42">
        <v>8.3354083299999999</v>
      </c>
      <c r="OJ12" s="42">
        <v>0</v>
      </c>
      <c r="OK12" s="42">
        <v>0</v>
      </c>
      <c r="OL12" s="42">
        <v>11.39761139</v>
      </c>
      <c r="OM12" s="42">
        <v>79.058379040000005</v>
      </c>
      <c r="ON12" s="42">
        <v>0</v>
      </c>
      <c r="OO12" s="42">
        <v>11.39761139</v>
      </c>
      <c r="OP12" s="42">
        <v>0</v>
      </c>
      <c r="OQ12" s="42">
        <v>0</v>
      </c>
      <c r="OR12" s="42">
        <v>0</v>
      </c>
      <c r="OS12" s="42">
        <v>0</v>
      </c>
      <c r="OT12" s="42">
        <v>0</v>
      </c>
      <c r="OU12" s="42">
        <v>0</v>
      </c>
      <c r="OV12" s="42">
        <v>0</v>
      </c>
      <c r="OW12" s="42">
        <v>0</v>
      </c>
      <c r="OX12" s="42">
        <v>0</v>
      </c>
      <c r="OY12" s="42">
        <v>0</v>
      </c>
      <c r="OZ12" s="42">
        <v>0</v>
      </c>
      <c r="PA12" s="42">
        <v>0</v>
      </c>
      <c r="PB12" s="42">
        <v>1.37150138</v>
      </c>
      <c r="PC12" s="42">
        <v>0.38630038999999999</v>
      </c>
      <c r="PD12" s="42">
        <v>0</v>
      </c>
      <c r="PE12" s="42">
        <v>1.56550156</v>
      </c>
      <c r="PF12" s="42">
        <v>0</v>
      </c>
      <c r="PG12" s="42">
        <v>0</v>
      </c>
      <c r="PH12" s="42">
        <v>0</v>
      </c>
      <c r="PI12" s="42">
        <v>0</v>
      </c>
      <c r="PJ12" s="42">
        <v>0</v>
      </c>
      <c r="PK12" s="42">
        <v>0</v>
      </c>
      <c r="PL12" s="42">
        <v>0</v>
      </c>
      <c r="PM12" s="42">
        <v>55.201355200000002</v>
      </c>
      <c r="PN12" s="42">
        <v>3.7943037999999998</v>
      </c>
      <c r="PO12" s="42">
        <v>40.009440009999999</v>
      </c>
      <c r="PP12" s="42">
        <v>7.7456077399999996</v>
      </c>
      <c r="PQ12" s="42">
        <v>0</v>
      </c>
      <c r="PR12" s="42">
        <v>11.39761139</v>
      </c>
      <c r="PS12" s="42">
        <v>8.5230639999999996E-2</v>
      </c>
      <c r="PT12" s="42">
        <v>7.63744595</v>
      </c>
      <c r="PU12" s="42">
        <v>0</v>
      </c>
      <c r="PV12" s="42">
        <v>8.4963860000000002E-2</v>
      </c>
      <c r="PW12" s="42">
        <v>0</v>
      </c>
      <c r="PX12" s="42">
        <v>3.2281949999999997E-2</v>
      </c>
      <c r="PY12" s="42">
        <v>0</v>
      </c>
      <c r="PZ12" s="42">
        <v>13.12379415</v>
      </c>
      <c r="QA12" s="42">
        <v>19.599519600000001</v>
      </c>
      <c r="QB12" s="42">
        <v>0</v>
      </c>
      <c r="QC12" s="42">
        <v>0</v>
      </c>
      <c r="QD12" s="42">
        <v>0</v>
      </c>
      <c r="QE12" s="42">
        <v>0</v>
      </c>
      <c r="QF12" s="42">
        <v>0</v>
      </c>
      <c r="QG12" s="42">
        <v>43.476143479999998</v>
      </c>
      <c r="QH12" s="42">
        <v>15.568315569999999</v>
      </c>
      <c r="QI12" s="42">
        <v>12.752612750000001</v>
      </c>
      <c r="QJ12" s="42">
        <v>12.752612750000001</v>
      </c>
      <c r="QK12" s="42">
        <v>0</v>
      </c>
    </row>
    <row r="13" spans="1:453" x14ac:dyDescent="0.35">
      <c r="A13" s="41" t="s">
        <v>571</v>
      </c>
      <c r="B13" s="41" t="s">
        <v>439</v>
      </c>
      <c r="C13" s="41" t="s">
        <v>572</v>
      </c>
      <c r="D13" s="41" t="s">
        <v>536</v>
      </c>
      <c r="E13" s="41" t="s">
        <v>572</v>
      </c>
      <c r="F13" s="41" t="s">
        <v>1196</v>
      </c>
      <c r="G13" s="41" t="s">
        <v>573</v>
      </c>
      <c r="H13" s="42">
        <v>29.001318260000001</v>
      </c>
      <c r="I13" s="42">
        <v>98.753193769999996</v>
      </c>
      <c r="J13" s="42">
        <v>463.55173460999998</v>
      </c>
      <c r="K13" s="42">
        <v>98.753193769999996</v>
      </c>
      <c r="L13" s="42">
        <v>559.00543282000001</v>
      </c>
      <c r="M13" s="42">
        <v>98.753193769999996</v>
      </c>
      <c r="N13" s="42">
        <v>95.453698209999999</v>
      </c>
      <c r="O13" s="42">
        <v>98.753193769999996</v>
      </c>
      <c r="P13" s="42">
        <v>30.216951040000001</v>
      </c>
      <c r="Q13" s="42">
        <v>0.31869328000000002</v>
      </c>
      <c r="R13" s="42">
        <v>6.8396593599999997</v>
      </c>
      <c r="S13" s="42">
        <v>21.46157384</v>
      </c>
      <c r="T13" s="42">
        <v>29.913249520000001</v>
      </c>
      <c r="U13" s="42">
        <v>4.7563620000000001E-2</v>
      </c>
      <c r="V13" s="42">
        <v>8.9129445700000005</v>
      </c>
      <c r="W13" s="42">
        <v>70.189471449999999</v>
      </c>
      <c r="X13" s="42">
        <v>99.437897190000001</v>
      </c>
      <c r="Y13" s="42">
        <v>1619.03430865</v>
      </c>
      <c r="Z13" s="42">
        <v>99.437897190000001</v>
      </c>
      <c r="AA13" s="42">
        <v>1903.24668333</v>
      </c>
      <c r="AB13" s="42">
        <v>99.437897190000001</v>
      </c>
      <c r="AC13" s="42">
        <v>284.21301978000002</v>
      </c>
      <c r="AD13" s="42">
        <v>99.437897190000001</v>
      </c>
      <c r="AE13" s="42">
        <v>202.59174264999999</v>
      </c>
      <c r="AF13" s="42">
        <v>7.3414270000000004E-2</v>
      </c>
      <c r="AG13" s="42">
        <v>3963.98035024</v>
      </c>
      <c r="AH13" s="42">
        <v>9896.7917432499999</v>
      </c>
      <c r="AI13" s="42">
        <v>2090.7296678299999</v>
      </c>
      <c r="AJ13" s="42">
        <v>14.84257423</v>
      </c>
      <c r="AK13" s="42">
        <v>14.056070269999999</v>
      </c>
      <c r="AL13" s="41" t="s">
        <v>1168</v>
      </c>
      <c r="AM13" s="42">
        <v>98.753193769999996</v>
      </c>
      <c r="AN13" s="42">
        <v>23.919619619999999</v>
      </c>
      <c r="AO13" s="42">
        <v>45.934929650000001</v>
      </c>
      <c r="AP13" s="41">
        <v>3.5</v>
      </c>
      <c r="AQ13" s="42">
        <v>88.683643439999997</v>
      </c>
      <c r="AR13" s="42">
        <v>46.541932660000001</v>
      </c>
      <c r="AS13" s="42">
        <v>98.190490960000005</v>
      </c>
      <c r="AT13" s="42">
        <v>12.87906853</v>
      </c>
      <c r="AU13" s="42">
        <v>52.290561519999997</v>
      </c>
      <c r="AV13" s="42">
        <v>99.437897190000001</v>
      </c>
      <c r="AW13" s="42">
        <v>0.29600148999999998</v>
      </c>
      <c r="AX13" s="42">
        <v>17.83958921</v>
      </c>
      <c r="AY13" s="42">
        <v>0</v>
      </c>
      <c r="AZ13" s="42">
        <v>0.22530112999999999</v>
      </c>
      <c r="BA13" s="42">
        <v>29.365346859999999</v>
      </c>
      <c r="BB13" s="42">
        <v>34.30267156</v>
      </c>
      <c r="BC13" s="42">
        <v>2.4699123699999999</v>
      </c>
      <c r="BD13" s="42">
        <v>2.4243121200000002</v>
      </c>
      <c r="BE13" s="42">
        <v>2.1051105200000002</v>
      </c>
      <c r="BF13" s="42">
        <v>10.598553000000001</v>
      </c>
      <c r="BG13" s="42">
        <v>8.7149000000000005E-4</v>
      </c>
      <c r="BH13" s="42">
        <v>0.76048499000000003</v>
      </c>
      <c r="BI13" s="42">
        <v>0</v>
      </c>
      <c r="BJ13" s="42">
        <v>9.1747400000000007E-3</v>
      </c>
      <c r="BK13" s="42">
        <v>2.2765895700000001</v>
      </c>
      <c r="BL13" s="42">
        <v>3.7435283300000002</v>
      </c>
      <c r="BM13" s="42">
        <v>0.12841474</v>
      </c>
      <c r="BN13" s="42">
        <v>0.22195740999999999</v>
      </c>
      <c r="BO13" s="42">
        <v>0.17972589999999999</v>
      </c>
      <c r="BP13" s="42">
        <v>0.33383793</v>
      </c>
      <c r="BQ13" s="42">
        <v>3.077E-4</v>
      </c>
      <c r="BR13" s="42">
        <v>0.12251338000000001</v>
      </c>
      <c r="BS13" s="42">
        <v>0.53536837000000004</v>
      </c>
      <c r="BT13" s="42">
        <v>1.8489999999999999E-3</v>
      </c>
      <c r="BU13" s="42">
        <v>4.2788966999999998</v>
      </c>
      <c r="BV13" s="42">
        <v>0.24235209999999999</v>
      </c>
      <c r="BW13" s="42">
        <v>0.61540307999999999</v>
      </c>
      <c r="BX13" s="42">
        <v>3.2991165100000002</v>
      </c>
      <c r="BY13" s="42">
        <v>8.1028405400000008</v>
      </c>
      <c r="BZ13" s="42">
        <v>0.47410237</v>
      </c>
      <c r="CA13" s="42">
        <v>34.935274730000003</v>
      </c>
      <c r="CB13" s="42">
        <v>13.82966916</v>
      </c>
      <c r="CC13" s="42">
        <v>0.51408511000000001</v>
      </c>
      <c r="CD13" s="42">
        <v>1.8489999999999999E-3</v>
      </c>
      <c r="CE13" s="42">
        <v>0.3019675</v>
      </c>
      <c r="CF13" s="42"/>
      <c r="CG13" s="42">
        <v>70.650153230000001</v>
      </c>
      <c r="CH13" s="42">
        <v>22.348011710000002</v>
      </c>
      <c r="CI13" s="42">
        <v>2.2228110999999999</v>
      </c>
      <c r="CJ13" s="42">
        <v>67.014435090000006</v>
      </c>
      <c r="CK13" s="42">
        <v>22.285511459999999</v>
      </c>
      <c r="CL13" s="42">
        <v>5.7794289000000001</v>
      </c>
      <c r="CM13" s="42">
        <v>4.4383221900000001</v>
      </c>
      <c r="CN13" s="42">
        <v>1.89250947</v>
      </c>
      <c r="CO13" s="42">
        <v>28.776243839999999</v>
      </c>
      <c r="CP13" s="42">
        <v>9.2251461199999998</v>
      </c>
      <c r="CQ13" s="42">
        <v>0</v>
      </c>
      <c r="CR13" s="42">
        <v>8.5739428899999997</v>
      </c>
      <c r="CS13" s="42">
        <v>21.470307340000002</v>
      </c>
      <c r="CT13" s="42">
        <v>68.867844329999997</v>
      </c>
      <c r="CU13" s="42">
        <v>5.2637263000000001</v>
      </c>
      <c r="CV13" s="42">
        <v>3.4906174399999998</v>
      </c>
      <c r="CW13" s="42">
        <v>3.8496192699999998</v>
      </c>
      <c r="CX13" s="42">
        <v>56.013880010000001</v>
      </c>
      <c r="CY13" s="42">
        <v>12.55856277</v>
      </c>
      <c r="CZ13" s="42">
        <v>7.4649373499999996</v>
      </c>
      <c r="DA13" s="42">
        <v>74.686073429999993</v>
      </c>
      <c r="DB13" s="42">
        <v>58.422192109999997</v>
      </c>
      <c r="DC13" s="42">
        <v>5.3383266899999997</v>
      </c>
      <c r="DD13" s="42">
        <v>35.15157576</v>
      </c>
      <c r="DE13" s="42">
        <v>71.000754990000004</v>
      </c>
      <c r="DF13" s="42">
        <v>98.91209456</v>
      </c>
      <c r="DG13" s="42">
        <v>5.6086859599999999</v>
      </c>
      <c r="DH13" s="42">
        <v>98.753193769999996</v>
      </c>
      <c r="DI13" s="42">
        <v>91.354656750000004</v>
      </c>
      <c r="DJ13" s="42">
        <v>8.2421412299999997</v>
      </c>
      <c r="DK13" s="42">
        <v>39.116795600000003</v>
      </c>
      <c r="DL13" s="42">
        <v>0</v>
      </c>
      <c r="DM13" s="42">
        <v>36.65908331</v>
      </c>
      <c r="DN13" s="42">
        <v>6.5180326099999997</v>
      </c>
      <c r="DO13" s="42">
        <v>51.656858249999999</v>
      </c>
      <c r="DP13" s="42">
        <v>3.9192195999999999</v>
      </c>
      <c r="DQ13" s="42">
        <v>5.1981335700000004</v>
      </c>
      <c r="DR13" s="42">
        <v>98.753193769999996</v>
      </c>
      <c r="DS13" s="42">
        <v>25.69012845</v>
      </c>
      <c r="DT13" s="42">
        <v>23.760218800000001</v>
      </c>
      <c r="DU13" s="42">
        <v>0</v>
      </c>
      <c r="DV13" s="42">
        <v>2.0840104400000001</v>
      </c>
      <c r="DW13" s="42">
        <v>14.730673680000001</v>
      </c>
      <c r="DX13" s="42">
        <v>42.41061208</v>
      </c>
      <c r="DY13" s="42">
        <v>13.079965380000001</v>
      </c>
      <c r="DZ13" s="42">
        <v>2.7218135999999999</v>
      </c>
      <c r="EA13" s="42">
        <v>80.6786034</v>
      </c>
      <c r="EB13" s="42">
        <v>0.32910165000000002</v>
      </c>
      <c r="EC13" s="42">
        <v>5.9516597600000001</v>
      </c>
      <c r="ED13" s="42"/>
      <c r="EE13" s="42">
        <v>0</v>
      </c>
      <c r="EF13" s="42">
        <v>18.69859349</v>
      </c>
      <c r="EG13" s="42">
        <v>84.236021170000001</v>
      </c>
      <c r="EH13" s="42">
        <v>4.8529391300000002</v>
      </c>
      <c r="EI13" s="42">
        <v>44.276421360000001</v>
      </c>
      <c r="EJ13" s="42">
        <v>2.4416121999999998</v>
      </c>
      <c r="EK13" s="42">
        <v>45.59512797</v>
      </c>
      <c r="EL13" s="42">
        <v>50.716453600000001</v>
      </c>
      <c r="EM13" s="42">
        <v>2.76671383</v>
      </c>
      <c r="EN13" s="42">
        <v>0.56520281999999999</v>
      </c>
      <c r="EO13" s="42">
        <v>296.60469609</v>
      </c>
      <c r="EP13" s="42">
        <v>48.000839990000003</v>
      </c>
      <c r="EQ13" s="42">
        <v>477.08157048999999</v>
      </c>
      <c r="ER13" s="42">
        <v>89.182545899999994</v>
      </c>
      <c r="ES13" s="42">
        <v>29.76714879</v>
      </c>
      <c r="ET13" s="42">
        <v>32.282861420000003</v>
      </c>
      <c r="EU13" s="42">
        <v>6.2192311</v>
      </c>
      <c r="EV13" s="42">
        <v>58.35329179</v>
      </c>
      <c r="EW13" s="42">
        <v>7.3611368199999996</v>
      </c>
      <c r="EX13" s="42">
        <v>38.449192230000001</v>
      </c>
      <c r="EY13" s="42">
        <v>0</v>
      </c>
      <c r="EZ13" s="42">
        <v>5.0266251400000002</v>
      </c>
      <c r="FA13" s="42">
        <v>97.473687380000001</v>
      </c>
      <c r="FB13" s="42">
        <v>98.445492220000006</v>
      </c>
      <c r="FC13" s="42">
        <v>51.856659319999999</v>
      </c>
      <c r="FD13" s="42">
        <v>95.030275160000002</v>
      </c>
      <c r="FE13" s="41" t="s">
        <v>1151</v>
      </c>
      <c r="FF13" s="42">
        <v>5.9836299200000003</v>
      </c>
      <c r="FG13" s="42">
        <v>5.9836299200000003</v>
      </c>
      <c r="FH13" s="42">
        <v>1.33710668</v>
      </c>
      <c r="FI13" s="42">
        <v>1.33710668</v>
      </c>
      <c r="FJ13" s="42">
        <v>91.432457170000006</v>
      </c>
      <c r="FK13" s="42">
        <v>0</v>
      </c>
      <c r="FL13" s="42">
        <v>0</v>
      </c>
      <c r="FM13" s="41" t="s">
        <v>1151</v>
      </c>
      <c r="FN13" s="42">
        <v>0.78470392</v>
      </c>
      <c r="FO13" s="42">
        <v>0.78470392</v>
      </c>
      <c r="FP13" s="42">
        <v>0</v>
      </c>
      <c r="FQ13" s="42">
        <v>0</v>
      </c>
      <c r="FR13" s="42">
        <v>97.968489849999997</v>
      </c>
      <c r="FS13" s="42">
        <v>0</v>
      </c>
      <c r="FT13" s="42">
        <v>0</v>
      </c>
      <c r="FU13" s="41" t="s">
        <v>1150</v>
      </c>
      <c r="FV13" s="42">
        <v>0.51350256999999999</v>
      </c>
      <c r="FW13" s="42">
        <v>0.51350256999999999</v>
      </c>
      <c r="FX13" s="42">
        <v>6.2798314</v>
      </c>
      <c r="FY13" s="42">
        <v>6.2798314</v>
      </c>
      <c r="FZ13" s="42">
        <v>91.959859800000004</v>
      </c>
      <c r="GA13" s="42">
        <v>0</v>
      </c>
      <c r="GB13" s="42">
        <v>0</v>
      </c>
      <c r="GC13" s="41" t="s">
        <v>1150</v>
      </c>
      <c r="GD13" s="42">
        <v>0</v>
      </c>
      <c r="GE13" s="42">
        <v>0</v>
      </c>
      <c r="GF13" s="42">
        <v>0</v>
      </c>
      <c r="GG13" s="42">
        <v>0</v>
      </c>
      <c r="GH13" s="42">
        <v>98.753193769999996</v>
      </c>
      <c r="GI13" s="42">
        <v>0</v>
      </c>
      <c r="GJ13" s="42">
        <v>0</v>
      </c>
      <c r="GK13" s="41" t="s">
        <v>1151</v>
      </c>
      <c r="GL13" s="42">
        <v>51.777158870000001</v>
      </c>
      <c r="GM13" s="42">
        <v>51.777158870000001</v>
      </c>
      <c r="GN13" s="42">
        <v>0</v>
      </c>
      <c r="GO13" s="42">
        <v>0</v>
      </c>
      <c r="GP13" s="42">
        <v>46.976034900000002</v>
      </c>
      <c r="GQ13" s="42">
        <v>0</v>
      </c>
      <c r="GR13" s="42">
        <v>0</v>
      </c>
      <c r="GS13" s="41" t="s">
        <v>1151</v>
      </c>
      <c r="GT13" s="42">
        <v>16.527982590000001</v>
      </c>
      <c r="GU13" s="42">
        <v>16.527982590000001</v>
      </c>
      <c r="GV13" s="42">
        <v>0</v>
      </c>
      <c r="GW13" s="42">
        <v>0</v>
      </c>
      <c r="GX13" s="42">
        <v>82.225211180000002</v>
      </c>
      <c r="GY13" s="42">
        <v>0</v>
      </c>
      <c r="GZ13" s="42">
        <v>0</v>
      </c>
      <c r="HA13" s="41" t="s">
        <v>1151</v>
      </c>
      <c r="HB13" s="42">
        <v>44.855424290000002</v>
      </c>
      <c r="HC13" s="42">
        <v>45.132425679999997</v>
      </c>
      <c r="HD13" s="42">
        <v>0.58910295000000001</v>
      </c>
      <c r="HE13" s="42">
        <v>0.58910295000000001</v>
      </c>
      <c r="HF13" s="42">
        <v>53.031665140000001</v>
      </c>
      <c r="HG13" s="42">
        <v>0.27700139000000001</v>
      </c>
      <c r="HH13" s="42">
        <v>0</v>
      </c>
      <c r="HI13" s="41" t="s">
        <v>1151</v>
      </c>
      <c r="HJ13" s="42">
        <v>18.261591299999999</v>
      </c>
      <c r="HK13" s="42">
        <v>18.261591299999999</v>
      </c>
      <c r="HL13" s="42">
        <v>1.1017055</v>
      </c>
      <c r="HM13" s="42">
        <v>1.1017055</v>
      </c>
      <c r="HN13" s="42">
        <v>79.389896969999995</v>
      </c>
      <c r="HO13" s="42">
        <v>0</v>
      </c>
      <c r="HP13" s="42">
        <v>0</v>
      </c>
      <c r="HQ13" s="41" t="s">
        <v>1151</v>
      </c>
      <c r="HR13" s="42">
        <v>40.383101879999998</v>
      </c>
      <c r="HS13" s="42">
        <v>48.019540069999998</v>
      </c>
      <c r="HT13" s="42">
        <v>2.69301346</v>
      </c>
      <c r="HU13" s="42">
        <v>2.69301346</v>
      </c>
      <c r="HV13" s="42">
        <v>48.040640240000002</v>
      </c>
      <c r="HW13" s="42">
        <v>7.6364381899999998</v>
      </c>
      <c r="HX13" s="42">
        <v>0</v>
      </c>
      <c r="HY13" s="41" t="s">
        <v>1151</v>
      </c>
      <c r="HZ13" s="42">
        <v>41.56240786</v>
      </c>
      <c r="IA13" s="42">
        <v>41.56240786</v>
      </c>
      <c r="IB13" s="42">
        <v>0.67280335999999996</v>
      </c>
      <c r="IC13" s="42">
        <v>0.67280335999999996</v>
      </c>
      <c r="ID13" s="42">
        <v>56.517982549999999</v>
      </c>
      <c r="IE13" s="42">
        <v>0</v>
      </c>
      <c r="IF13" s="42">
        <v>0</v>
      </c>
      <c r="IG13" s="41" t="s">
        <v>1150</v>
      </c>
      <c r="IH13" s="42">
        <v>7.2705363600000004</v>
      </c>
      <c r="II13" s="42">
        <v>7.2705363600000004</v>
      </c>
      <c r="IJ13" s="42">
        <v>10.115550580000001</v>
      </c>
      <c r="IK13" s="42">
        <v>10.115550580000001</v>
      </c>
      <c r="IL13" s="42">
        <v>81.367106829999997</v>
      </c>
      <c r="IM13" s="42">
        <v>0</v>
      </c>
      <c r="IN13" s="42">
        <v>0</v>
      </c>
      <c r="IO13" s="41" t="s">
        <v>1151</v>
      </c>
      <c r="IP13" s="42">
        <v>26.573432879999999</v>
      </c>
      <c r="IQ13" s="42">
        <v>29.186945949999998</v>
      </c>
      <c r="IR13" s="42">
        <v>1.3485067500000001</v>
      </c>
      <c r="IS13" s="42">
        <v>1.3485067500000001</v>
      </c>
      <c r="IT13" s="42">
        <v>68.217741070000002</v>
      </c>
      <c r="IU13" s="42">
        <v>2.6135130700000002</v>
      </c>
      <c r="IV13" s="42">
        <v>0</v>
      </c>
      <c r="IW13" s="41" t="s">
        <v>1151</v>
      </c>
      <c r="IX13" s="42">
        <v>46.639333200000003</v>
      </c>
      <c r="IY13" s="42">
        <v>46.916334589999998</v>
      </c>
      <c r="IZ13" s="42">
        <v>1.3485067500000001</v>
      </c>
      <c r="JA13" s="42">
        <v>1.3485067500000001</v>
      </c>
      <c r="JB13" s="42">
        <v>50.488352429999999</v>
      </c>
      <c r="JC13" s="42">
        <v>0.27700139000000001</v>
      </c>
      <c r="JD13" s="42">
        <v>0</v>
      </c>
      <c r="JE13" s="41" t="s">
        <v>1150</v>
      </c>
      <c r="JF13" s="42">
        <v>0.27970139999999999</v>
      </c>
      <c r="JG13" s="42">
        <v>0.27970139999999999</v>
      </c>
      <c r="JH13" s="42">
        <v>5.3116265599999997</v>
      </c>
      <c r="JI13" s="42">
        <v>5.3116265599999997</v>
      </c>
      <c r="JJ13" s="42">
        <v>93.161865809999995</v>
      </c>
      <c r="JK13" s="42">
        <v>0</v>
      </c>
      <c r="JL13" s="42">
        <v>0</v>
      </c>
      <c r="JM13" s="41" t="s">
        <v>1150</v>
      </c>
      <c r="JN13" s="42">
        <v>0</v>
      </c>
      <c r="JO13" s="42">
        <v>0</v>
      </c>
      <c r="JP13" s="42">
        <v>4.32622163</v>
      </c>
      <c r="JQ13" s="42">
        <v>4.32622163</v>
      </c>
      <c r="JR13" s="42">
        <v>94.426972140000004</v>
      </c>
      <c r="JS13" s="42">
        <v>0</v>
      </c>
      <c r="JT13" s="42">
        <v>0</v>
      </c>
      <c r="JU13" s="41" t="s">
        <v>1151</v>
      </c>
      <c r="JV13" s="42">
        <v>15.240176200000001</v>
      </c>
      <c r="JW13" s="42">
        <v>15.240176200000001</v>
      </c>
      <c r="JX13" s="42">
        <v>1.09070545</v>
      </c>
      <c r="JY13" s="42">
        <v>1.09070545</v>
      </c>
      <c r="JZ13" s="42">
        <v>82.422312120000001</v>
      </c>
      <c r="KA13" s="42">
        <v>0</v>
      </c>
      <c r="KB13" s="42">
        <v>0</v>
      </c>
      <c r="KC13" s="41" t="s">
        <v>1151</v>
      </c>
      <c r="KD13" s="42">
        <v>2.3330116599999999</v>
      </c>
      <c r="KE13" s="42">
        <v>2.3330116599999999</v>
      </c>
      <c r="KF13" s="42">
        <v>0</v>
      </c>
      <c r="KG13" s="42">
        <v>0</v>
      </c>
      <c r="KH13" s="42">
        <v>96.420182109999999</v>
      </c>
      <c r="KI13" s="42">
        <v>0</v>
      </c>
      <c r="KJ13" s="42">
        <v>0</v>
      </c>
      <c r="KK13" s="42">
        <v>98.753193769999996</v>
      </c>
      <c r="KL13" s="42">
        <v>-0.26805370000000001</v>
      </c>
      <c r="KM13" s="42">
        <v>-3.8374191899999999</v>
      </c>
      <c r="KN13" s="42">
        <v>12.825264130000001</v>
      </c>
      <c r="KO13" s="41" t="s">
        <v>1152</v>
      </c>
      <c r="KP13" s="41" t="s">
        <v>1153</v>
      </c>
      <c r="KQ13" s="41" t="s">
        <v>1154</v>
      </c>
      <c r="KR13" s="42">
        <v>50.761067730000001</v>
      </c>
      <c r="KS13" s="42">
        <v>99.10155718</v>
      </c>
      <c r="KT13" s="42">
        <v>98.826608039999996</v>
      </c>
      <c r="KU13" s="42">
        <v>4.8992251757674419</v>
      </c>
      <c r="KV13" s="42">
        <v>5.88493261344186</v>
      </c>
      <c r="KW13" s="42">
        <v>1.64900823</v>
      </c>
      <c r="KX13" s="42">
        <v>46.416532080000003</v>
      </c>
      <c r="KY13" s="41"/>
      <c r="KZ13" s="42">
        <v>6.9852597599999999</v>
      </c>
      <c r="LA13" s="42">
        <v>69.087350066637057</v>
      </c>
      <c r="LB13" s="42">
        <v>6.0332308659069769</v>
      </c>
      <c r="LC13" s="42">
        <v>86.04651162790698</v>
      </c>
      <c r="LD13" s="41" t="s">
        <v>461</v>
      </c>
      <c r="LE13" s="42">
        <v>29.48946136</v>
      </c>
      <c r="LF13" s="42">
        <v>26.045630209999999</v>
      </c>
      <c r="LG13" s="42">
        <v>20.370901870000001</v>
      </c>
      <c r="LH13" s="42">
        <v>1.61060804</v>
      </c>
      <c r="LI13" s="42">
        <v>5.0950254900000003</v>
      </c>
      <c r="LJ13" s="42">
        <v>16.176580879999999</v>
      </c>
      <c r="LK13" s="42">
        <v>3.8400190000000001E-2</v>
      </c>
      <c r="LL13" s="42">
        <v>1.17339196</v>
      </c>
      <c r="LM13" s="42">
        <v>4.8044443452093022</v>
      </c>
      <c r="LN13" s="42">
        <v>1.17339196</v>
      </c>
      <c r="LO13" s="42">
        <v>10.63685317</v>
      </c>
      <c r="LP13" s="42">
        <v>75.364490739999994</v>
      </c>
      <c r="LQ13" s="42">
        <v>5.6271314300000004</v>
      </c>
      <c r="LR13" s="42">
        <v>22.588710420000002</v>
      </c>
      <c r="LS13" s="41" t="s">
        <v>1173</v>
      </c>
      <c r="LT13" s="42">
        <v>6.5924076899999999</v>
      </c>
      <c r="LU13" s="42">
        <v>43.029385099999999</v>
      </c>
      <c r="LV13" s="43">
        <v>219</v>
      </c>
      <c r="LW13" s="43">
        <v>1</v>
      </c>
      <c r="LX13" s="43">
        <v>217</v>
      </c>
      <c r="LY13" s="41" t="s">
        <v>480</v>
      </c>
      <c r="LZ13" s="41" t="s">
        <v>1197</v>
      </c>
      <c r="MA13" s="44">
        <v>46203</v>
      </c>
      <c r="MB13" s="41" t="s">
        <v>1198</v>
      </c>
      <c r="MC13" s="43">
        <v>215</v>
      </c>
      <c r="MD13" s="41" t="s">
        <v>1158</v>
      </c>
      <c r="ME13" s="41" t="s">
        <v>439</v>
      </c>
      <c r="MF13" s="42">
        <v>4.9504769599999996</v>
      </c>
      <c r="MG13" s="42">
        <v>33.208512519999999</v>
      </c>
      <c r="MH13" s="42">
        <v>1435181442</v>
      </c>
      <c r="MI13" s="42">
        <v>6.9852597599999999</v>
      </c>
      <c r="MJ13" s="42">
        <v>69.087350066637057</v>
      </c>
      <c r="MK13" s="42">
        <v>86.04651162790698</v>
      </c>
      <c r="ML13" s="42">
        <v>5.8200405599999998</v>
      </c>
      <c r="MM13" s="41" t="s">
        <v>480</v>
      </c>
      <c r="MN13" s="42">
        <v>2.33201166</v>
      </c>
      <c r="MO13" s="42">
        <v>0</v>
      </c>
      <c r="MP13" s="42">
        <v>0</v>
      </c>
      <c r="MQ13" s="42">
        <v>0</v>
      </c>
      <c r="MR13" s="42">
        <v>9.3366466799999994</v>
      </c>
      <c r="MS13" s="42">
        <v>1.35290676</v>
      </c>
      <c r="MT13" s="42">
        <v>0</v>
      </c>
      <c r="MU13" s="42">
        <v>0</v>
      </c>
      <c r="MV13" s="42">
        <v>8.7603437999999993</v>
      </c>
      <c r="MW13" s="42">
        <v>8.5374426900000007</v>
      </c>
      <c r="MX13" s="42">
        <v>6.49573249</v>
      </c>
      <c r="MY13" s="42">
        <v>0</v>
      </c>
      <c r="MZ13" s="42">
        <v>0</v>
      </c>
      <c r="NA13" s="42">
        <v>0</v>
      </c>
      <c r="NB13" s="42">
        <v>0</v>
      </c>
      <c r="NC13" s="42">
        <v>24.632023140000001</v>
      </c>
      <c r="ND13" s="42">
        <v>0</v>
      </c>
      <c r="NE13" s="42">
        <v>0</v>
      </c>
      <c r="NF13" s="42">
        <v>0</v>
      </c>
      <c r="NG13" s="42">
        <v>0</v>
      </c>
      <c r="NH13" s="42">
        <v>0</v>
      </c>
      <c r="NI13" s="42">
        <v>0</v>
      </c>
      <c r="NJ13" s="42">
        <v>0</v>
      </c>
      <c r="NK13" s="42">
        <v>0</v>
      </c>
      <c r="NL13" s="42">
        <v>0</v>
      </c>
      <c r="NM13" s="42">
        <v>2.6771133800000002</v>
      </c>
      <c r="NN13" s="42">
        <v>2.6771133800000002</v>
      </c>
      <c r="NO13" s="42">
        <v>0</v>
      </c>
      <c r="NP13" s="42">
        <v>3.7633188099999999</v>
      </c>
      <c r="NQ13" s="42">
        <v>3.1927159600000001</v>
      </c>
      <c r="NR13" s="42">
        <v>36.300981450000002</v>
      </c>
      <c r="NS13" s="42">
        <v>33.898769440000002</v>
      </c>
      <c r="NT13" s="42">
        <v>8.7133435499999994</v>
      </c>
      <c r="NU13" s="42">
        <v>11.41335705</v>
      </c>
      <c r="NV13" s="42">
        <v>0</v>
      </c>
      <c r="NW13" s="42">
        <v>0</v>
      </c>
      <c r="NX13" s="42">
        <v>5.1304256400000003</v>
      </c>
      <c r="NY13" s="42">
        <v>0.54470271999999997</v>
      </c>
      <c r="NZ13" s="42">
        <v>0.16150080999999999</v>
      </c>
      <c r="OA13" s="42">
        <v>0</v>
      </c>
      <c r="OB13" s="42">
        <v>0</v>
      </c>
      <c r="OC13" s="42">
        <v>0</v>
      </c>
      <c r="OD13" s="42">
        <v>0</v>
      </c>
      <c r="OE13" s="42">
        <v>0</v>
      </c>
      <c r="OF13" s="42">
        <v>0</v>
      </c>
      <c r="OG13" s="42">
        <v>0</v>
      </c>
      <c r="OH13" s="42">
        <v>11.22615613</v>
      </c>
      <c r="OI13" s="42">
        <v>8.6424432099999997</v>
      </c>
      <c r="OJ13" s="42">
        <v>4.3795218900000004</v>
      </c>
      <c r="OK13" s="42">
        <v>0</v>
      </c>
      <c r="OL13" s="42">
        <v>11.22615613</v>
      </c>
      <c r="OM13" s="42">
        <v>70.242151190000001</v>
      </c>
      <c r="ON13" s="42">
        <v>0</v>
      </c>
      <c r="OO13" s="42">
        <v>4.0100200499999996</v>
      </c>
      <c r="OP13" s="42">
        <v>0.20960105000000001</v>
      </c>
      <c r="OQ13" s="42">
        <v>0.20960105000000001</v>
      </c>
      <c r="OR13" s="42">
        <v>0.20960105000000001</v>
      </c>
      <c r="OS13" s="42">
        <v>5.1304256400000003</v>
      </c>
      <c r="OT13" s="42">
        <v>24.563422769999999</v>
      </c>
      <c r="OU13" s="42">
        <v>0.75030375000000005</v>
      </c>
      <c r="OV13" s="42">
        <v>0</v>
      </c>
      <c r="OW13" s="42">
        <v>0</v>
      </c>
      <c r="OX13" s="42">
        <v>18.436192160000001</v>
      </c>
      <c r="OY13" s="42">
        <v>13.88846942</v>
      </c>
      <c r="OZ13" s="42">
        <v>9.3046465099999995</v>
      </c>
      <c r="PA13" s="42">
        <v>10.02135009</v>
      </c>
      <c r="PB13" s="42">
        <v>0</v>
      </c>
      <c r="PC13" s="42">
        <v>0</v>
      </c>
      <c r="PD13" s="42">
        <v>0</v>
      </c>
      <c r="PE13" s="42">
        <v>12.44636223</v>
      </c>
      <c r="PF13" s="42">
        <v>0</v>
      </c>
      <c r="PG13" s="42">
        <v>0</v>
      </c>
      <c r="PH13" s="42">
        <v>0</v>
      </c>
      <c r="PI13" s="42">
        <v>0</v>
      </c>
      <c r="PJ13" s="42">
        <v>0</v>
      </c>
      <c r="PK13" s="42">
        <v>0</v>
      </c>
      <c r="PL13" s="42">
        <v>0</v>
      </c>
      <c r="PM13" s="42">
        <v>15.568877840000001</v>
      </c>
      <c r="PN13" s="42">
        <v>4.3427217100000002</v>
      </c>
      <c r="PO13" s="42">
        <v>0</v>
      </c>
      <c r="PP13" s="42">
        <v>0</v>
      </c>
      <c r="PQ13" s="42">
        <v>7.2161360800000001</v>
      </c>
      <c r="PR13" s="42">
        <v>4.0100200499999996</v>
      </c>
      <c r="PS13" s="42">
        <v>4.9315000000000003E-4</v>
      </c>
      <c r="PT13" s="42">
        <v>4.9441890000000002E-2</v>
      </c>
      <c r="PU13" s="42">
        <v>7.2019842299999999</v>
      </c>
      <c r="PV13" s="42">
        <v>0</v>
      </c>
      <c r="PW13" s="42">
        <v>1.615E-4</v>
      </c>
      <c r="PX13" s="42">
        <v>0</v>
      </c>
      <c r="PY13" s="42">
        <v>0.48673892000000002</v>
      </c>
      <c r="PZ13" s="42">
        <v>4.3487899999999999E-3</v>
      </c>
      <c r="QA13" s="42">
        <v>31.303956459999998</v>
      </c>
      <c r="QB13" s="42">
        <v>3.2971164800000001</v>
      </c>
      <c r="QC13" s="42">
        <v>0</v>
      </c>
      <c r="QD13" s="42">
        <v>0</v>
      </c>
      <c r="QE13" s="42">
        <v>0</v>
      </c>
      <c r="QF13" s="42">
        <v>4.1566207799999999</v>
      </c>
      <c r="QG13" s="42">
        <v>4.6598233000000002</v>
      </c>
      <c r="QH13" s="42">
        <v>0</v>
      </c>
      <c r="QI13" s="42">
        <v>0</v>
      </c>
      <c r="QJ13" s="42">
        <v>0</v>
      </c>
      <c r="QK13" s="42">
        <v>36.300981450000002</v>
      </c>
    </row>
    <row r="14" spans="1:453" x14ac:dyDescent="0.35">
      <c r="A14" s="41" t="s">
        <v>574</v>
      </c>
      <c r="B14" s="41" t="s">
        <v>442</v>
      </c>
      <c r="C14" s="41" t="s">
        <v>575</v>
      </c>
      <c r="D14" s="41" t="s">
        <v>536</v>
      </c>
      <c r="E14" s="41" t="s">
        <v>575</v>
      </c>
      <c r="F14" s="41" t="s">
        <v>1199</v>
      </c>
      <c r="G14" s="41" t="s">
        <v>576</v>
      </c>
      <c r="H14" s="42">
        <v>250.58497259000001</v>
      </c>
      <c r="I14" s="42">
        <v>99.466599459999998</v>
      </c>
      <c r="J14" s="42">
        <v>142.43574985000001</v>
      </c>
      <c r="K14" s="42">
        <v>99.466599459999998</v>
      </c>
      <c r="L14" s="42">
        <v>233.45192817</v>
      </c>
      <c r="M14" s="42">
        <v>99.466599459999998</v>
      </c>
      <c r="N14" s="42">
        <v>91.016178319999995</v>
      </c>
      <c r="O14" s="42">
        <v>99.466599459999998</v>
      </c>
      <c r="P14" s="42">
        <v>95.042095040000007</v>
      </c>
      <c r="Q14" s="42">
        <v>18.660904779999999</v>
      </c>
      <c r="R14" s="42">
        <v>15.79777369</v>
      </c>
      <c r="S14" s="42">
        <v>0.84657062000000005</v>
      </c>
      <c r="T14" s="42">
        <v>93.962893960000002</v>
      </c>
      <c r="U14" s="42">
        <v>0.13915916</v>
      </c>
      <c r="V14" s="42">
        <v>61.691961669999998</v>
      </c>
      <c r="W14" s="42">
        <v>1290.86575251</v>
      </c>
      <c r="X14" s="42">
        <v>99.466599459999998</v>
      </c>
      <c r="Y14" s="42">
        <v>549.41774189</v>
      </c>
      <c r="Z14" s="42">
        <v>99.466599459999998</v>
      </c>
      <c r="AA14" s="42">
        <v>964.56470252999998</v>
      </c>
      <c r="AB14" s="42">
        <v>99.466599459999998</v>
      </c>
      <c r="AC14" s="42">
        <v>415.14654462999999</v>
      </c>
      <c r="AD14" s="42">
        <v>99.466599459999998</v>
      </c>
      <c r="AE14" s="42">
        <v>202.59174264999999</v>
      </c>
      <c r="AF14" s="42">
        <v>8.1153980000000001E-2</v>
      </c>
      <c r="AG14" s="42">
        <v>1811.95052506</v>
      </c>
      <c r="AH14" s="42">
        <v>4516.2751386899999</v>
      </c>
      <c r="AI14" s="42">
        <v>4098.4106779000003</v>
      </c>
      <c r="AJ14" s="42">
        <v>30.854430879999999</v>
      </c>
      <c r="AK14" s="42">
        <v>14.551814540000001</v>
      </c>
      <c r="AL14" s="41" t="s">
        <v>1180</v>
      </c>
      <c r="AM14" s="42">
        <v>99.466599459999998</v>
      </c>
      <c r="AN14" s="42">
        <v>19.34531934</v>
      </c>
      <c r="AO14" s="42">
        <v>34.715034699999997</v>
      </c>
      <c r="AP14" s="41">
        <v>2</v>
      </c>
      <c r="AQ14" s="42">
        <v>90.618990600000004</v>
      </c>
      <c r="AR14" s="42">
        <v>26.648726679999999</v>
      </c>
      <c r="AS14" s="42">
        <v>96.191996189999998</v>
      </c>
      <c r="AT14" s="42">
        <v>26.058997819999998</v>
      </c>
      <c r="AU14" s="42">
        <v>32.37353238</v>
      </c>
      <c r="AV14" s="42">
        <v>99.466599459999998</v>
      </c>
      <c r="AW14" s="42">
        <v>1.6538016499999999</v>
      </c>
      <c r="AX14" s="42">
        <v>69.90336988</v>
      </c>
      <c r="AY14" s="42">
        <v>0</v>
      </c>
      <c r="AZ14" s="42">
        <v>0</v>
      </c>
      <c r="BA14" s="42">
        <v>36.373336379999998</v>
      </c>
      <c r="BB14" s="42">
        <v>72.353972330000005</v>
      </c>
      <c r="BC14" s="42">
        <v>0.47620047999999998</v>
      </c>
      <c r="BD14" s="42">
        <v>0</v>
      </c>
      <c r="BE14" s="42">
        <v>0</v>
      </c>
      <c r="BF14" s="42">
        <v>0.45330045000000002</v>
      </c>
      <c r="BG14" s="42">
        <v>8.2689999999999999E-4</v>
      </c>
      <c r="BH14" s="42">
        <v>9.5956860499999994</v>
      </c>
      <c r="BI14" s="42">
        <v>0</v>
      </c>
      <c r="BJ14" s="42">
        <v>0</v>
      </c>
      <c r="BK14" s="42">
        <v>1.31783747</v>
      </c>
      <c r="BL14" s="42">
        <v>11.69937593</v>
      </c>
      <c r="BM14" s="42">
        <v>2.4286199999999998E-3</v>
      </c>
      <c r="BN14" s="42">
        <v>0</v>
      </c>
      <c r="BO14" s="42">
        <v>0</v>
      </c>
      <c r="BP14" s="42">
        <v>1.9945200000000001E-3</v>
      </c>
      <c r="BQ14" s="42">
        <v>0</v>
      </c>
      <c r="BR14" s="42">
        <v>0</v>
      </c>
      <c r="BS14" s="42">
        <v>8.2689999999999999E-4</v>
      </c>
      <c r="BT14" s="42">
        <v>0</v>
      </c>
      <c r="BU14" s="42">
        <v>11.700202839999999</v>
      </c>
      <c r="BV14" s="42">
        <v>0.78142926999999995</v>
      </c>
      <c r="BW14" s="42">
        <v>0</v>
      </c>
      <c r="BX14" s="42">
        <v>0</v>
      </c>
      <c r="BY14" s="42">
        <v>1.6538016499999999</v>
      </c>
      <c r="BZ14" s="42">
        <v>0</v>
      </c>
      <c r="CA14" s="42">
        <v>72.353972330000005</v>
      </c>
      <c r="CB14" s="42">
        <v>2.73810273</v>
      </c>
      <c r="CC14" s="42">
        <v>0.16730175</v>
      </c>
      <c r="CD14" s="42">
        <v>0</v>
      </c>
      <c r="CE14" s="42">
        <v>0.91625000000000001</v>
      </c>
      <c r="CF14" s="42"/>
      <c r="CG14" s="42">
        <v>84.164184169999999</v>
      </c>
      <c r="CH14" s="42">
        <v>38.712538709999997</v>
      </c>
      <c r="CI14" s="42">
        <v>1.25330125</v>
      </c>
      <c r="CJ14" s="42">
        <v>54.626454619999997</v>
      </c>
      <c r="CK14" s="42">
        <v>14.049114039999999</v>
      </c>
      <c r="CL14" s="42">
        <v>1.4532014499999999</v>
      </c>
      <c r="CM14" s="42">
        <v>0</v>
      </c>
      <c r="CN14" s="42">
        <v>3.0981030999999999</v>
      </c>
      <c r="CO14" s="42">
        <v>25.33262534</v>
      </c>
      <c r="CP14" s="42">
        <v>6.6905067000000003</v>
      </c>
      <c r="CQ14" s="42">
        <v>0</v>
      </c>
      <c r="CR14" s="42">
        <v>1.1855011799999999</v>
      </c>
      <c r="CS14" s="42">
        <v>9.4262094399999992</v>
      </c>
      <c r="CT14" s="42">
        <v>88.854888840000001</v>
      </c>
      <c r="CU14" s="42">
        <v>4.3934044099999996</v>
      </c>
      <c r="CV14" s="42">
        <v>1.4098014299999999</v>
      </c>
      <c r="CW14" s="42">
        <v>0</v>
      </c>
      <c r="CX14" s="42">
        <v>68.268468260000006</v>
      </c>
      <c r="CY14" s="42">
        <v>6.8534068699999997</v>
      </c>
      <c r="CZ14" s="42">
        <v>2.2128022299999999</v>
      </c>
      <c r="DA14" s="42">
        <v>80.197580189999996</v>
      </c>
      <c r="DB14" s="42">
        <v>50.823550840000003</v>
      </c>
      <c r="DC14" s="42">
        <v>1.39770142</v>
      </c>
      <c r="DD14" s="42">
        <v>47.245347199999998</v>
      </c>
      <c r="DE14" s="42">
        <v>79.576879570000003</v>
      </c>
      <c r="DF14" s="42">
        <v>99.466599459999998</v>
      </c>
      <c r="DG14" s="42">
        <v>6.0463220499999997</v>
      </c>
      <c r="DH14" s="42">
        <v>99.466599459999998</v>
      </c>
      <c r="DI14" s="42">
        <v>98.281098279999995</v>
      </c>
      <c r="DJ14" s="42">
        <v>1.1855011799999999</v>
      </c>
      <c r="DK14" s="42">
        <v>37.395137380000001</v>
      </c>
      <c r="DL14" s="42">
        <v>1.43080143</v>
      </c>
      <c r="DM14" s="42">
        <v>21.175321180000001</v>
      </c>
      <c r="DN14" s="42">
        <v>40.583740570000003</v>
      </c>
      <c r="DO14" s="42">
        <v>23.310023309999998</v>
      </c>
      <c r="DP14" s="42">
        <v>12.96671297</v>
      </c>
      <c r="DQ14" s="42">
        <v>5.0177159299999996</v>
      </c>
      <c r="DR14" s="42">
        <v>99.466599459999998</v>
      </c>
      <c r="DS14" s="42">
        <v>25.676625680000001</v>
      </c>
      <c r="DT14" s="42">
        <v>30.647630670000002</v>
      </c>
      <c r="DU14" s="42">
        <v>0</v>
      </c>
      <c r="DV14" s="42">
        <v>3.1652031599999999</v>
      </c>
      <c r="DW14" s="42">
        <v>22.301822319999999</v>
      </c>
      <c r="DX14" s="42">
        <v>36.078236070000003</v>
      </c>
      <c r="DY14" s="42">
        <v>4.1408041600000001</v>
      </c>
      <c r="DZ14" s="42">
        <v>5.8576058800000004</v>
      </c>
      <c r="EA14" s="42">
        <v>97.318397309999995</v>
      </c>
      <c r="EB14" s="42">
        <v>0.51490053000000002</v>
      </c>
      <c r="EC14" s="42">
        <v>12.646250650000001</v>
      </c>
      <c r="ED14" s="42"/>
      <c r="EE14" s="42">
        <v>0</v>
      </c>
      <c r="EF14" s="42">
        <v>24.571924589999998</v>
      </c>
      <c r="EG14" s="42">
        <v>97.083197060000003</v>
      </c>
      <c r="EH14" s="42">
        <v>4.2082441199999998</v>
      </c>
      <c r="EI14" s="42">
        <v>91.103491109999993</v>
      </c>
      <c r="EJ14" s="42">
        <v>10.46241045</v>
      </c>
      <c r="EK14" s="42">
        <v>55.156555150000003</v>
      </c>
      <c r="EL14" s="42">
        <v>33.847633860000002</v>
      </c>
      <c r="EM14" s="42">
        <v>15.9068159</v>
      </c>
      <c r="EN14" s="42">
        <v>13.872813880000001</v>
      </c>
      <c r="EO14" s="42">
        <v>730795.34151920001</v>
      </c>
      <c r="EP14" s="42">
        <v>72.634672640000005</v>
      </c>
      <c r="EQ14" s="42">
        <v>753892.45390785998</v>
      </c>
      <c r="ER14" s="42">
        <v>91.730691730000004</v>
      </c>
      <c r="ES14" s="42">
        <v>38.281638280000003</v>
      </c>
      <c r="ET14" s="42">
        <v>34.547534550000002</v>
      </c>
      <c r="EU14" s="42">
        <v>0</v>
      </c>
      <c r="EV14" s="42">
        <v>71.85417185</v>
      </c>
      <c r="EW14" s="42">
        <v>0</v>
      </c>
      <c r="EX14" s="42">
        <v>35.618935620000002</v>
      </c>
      <c r="EY14" s="42">
        <v>0</v>
      </c>
      <c r="EZ14" s="42">
        <v>0</v>
      </c>
      <c r="FA14" s="42">
        <v>85.263485259999996</v>
      </c>
      <c r="FB14" s="42">
        <v>98.73839873</v>
      </c>
      <c r="FC14" s="42">
        <v>32.218532230000001</v>
      </c>
      <c r="FD14" s="42">
        <v>92.653192649999994</v>
      </c>
      <c r="FE14" s="41" t="s">
        <v>1150</v>
      </c>
      <c r="FF14" s="42">
        <v>0</v>
      </c>
      <c r="FG14" s="42">
        <v>0</v>
      </c>
      <c r="FH14" s="42">
        <v>0.51490053000000002</v>
      </c>
      <c r="FI14" s="42">
        <v>0.51490053000000002</v>
      </c>
      <c r="FJ14" s="42">
        <v>98.951698930000006</v>
      </c>
      <c r="FK14" s="42">
        <v>0</v>
      </c>
      <c r="FL14" s="42">
        <v>0</v>
      </c>
      <c r="FM14" s="41" t="s">
        <v>1150</v>
      </c>
      <c r="FN14" s="42">
        <v>0</v>
      </c>
      <c r="FO14" s="42">
        <v>0</v>
      </c>
      <c r="FP14" s="42">
        <v>0</v>
      </c>
      <c r="FQ14" s="42">
        <v>0</v>
      </c>
      <c r="FR14" s="42">
        <v>99.466599459999998</v>
      </c>
      <c r="FS14" s="42">
        <v>0</v>
      </c>
      <c r="FT14" s="42">
        <v>0</v>
      </c>
      <c r="FU14" s="41" t="s">
        <v>1150</v>
      </c>
      <c r="FV14" s="42">
        <v>0</v>
      </c>
      <c r="FW14" s="42">
        <v>0</v>
      </c>
      <c r="FX14" s="42">
        <v>5.0470050400000002</v>
      </c>
      <c r="FY14" s="42">
        <v>5.0470050400000002</v>
      </c>
      <c r="FZ14" s="42">
        <v>94.419594419999996</v>
      </c>
      <c r="GA14" s="42">
        <v>0</v>
      </c>
      <c r="GB14" s="42">
        <v>0</v>
      </c>
      <c r="GC14" s="41" t="s">
        <v>1150</v>
      </c>
      <c r="GD14" s="42">
        <v>0</v>
      </c>
      <c r="GE14" s="42">
        <v>0</v>
      </c>
      <c r="GF14" s="42">
        <v>0</v>
      </c>
      <c r="GG14" s="42">
        <v>0</v>
      </c>
      <c r="GH14" s="42">
        <v>99.466599459999998</v>
      </c>
      <c r="GI14" s="42">
        <v>0</v>
      </c>
      <c r="GJ14" s="42">
        <v>0</v>
      </c>
      <c r="GK14" s="41" t="s">
        <v>1151</v>
      </c>
      <c r="GL14" s="42">
        <v>52.776652749999997</v>
      </c>
      <c r="GM14" s="42">
        <v>52.776652749999997</v>
      </c>
      <c r="GN14" s="42">
        <v>0</v>
      </c>
      <c r="GO14" s="42">
        <v>0</v>
      </c>
      <c r="GP14" s="42">
        <v>46.689946710000001</v>
      </c>
      <c r="GQ14" s="42">
        <v>0</v>
      </c>
      <c r="GR14" s="42">
        <v>0</v>
      </c>
      <c r="GS14" s="41" t="s">
        <v>1151</v>
      </c>
      <c r="GT14" s="42">
        <v>7.9264079399999998</v>
      </c>
      <c r="GU14" s="42">
        <v>8.5275085399999995</v>
      </c>
      <c r="GV14" s="42">
        <v>1.2487012500000001</v>
      </c>
      <c r="GW14" s="42">
        <v>1.2487012500000001</v>
      </c>
      <c r="GX14" s="42">
        <v>89.690389670000002</v>
      </c>
      <c r="GY14" s="42">
        <v>0.60110059999999998</v>
      </c>
      <c r="GZ14" s="42">
        <v>0</v>
      </c>
      <c r="HA14" s="41" t="s">
        <v>1150</v>
      </c>
      <c r="HB14" s="42">
        <v>18.496118490000001</v>
      </c>
      <c r="HC14" s="42">
        <v>19.011019019999999</v>
      </c>
      <c r="HD14" s="42">
        <v>32.045932039999997</v>
      </c>
      <c r="HE14" s="42">
        <v>6.7352067399999997</v>
      </c>
      <c r="HF14" s="42">
        <v>48.409648400000002</v>
      </c>
      <c r="HG14" s="42">
        <v>0.51490053000000002</v>
      </c>
      <c r="HH14" s="42">
        <v>25.310725300000001</v>
      </c>
      <c r="HI14" s="41" t="s">
        <v>1151</v>
      </c>
      <c r="HJ14" s="42">
        <v>11.656211649999999</v>
      </c>
      <c r="HK14" s="42">
        <v>11.656211649999999</v>
      </c>
      <c r="HL14" s="42">
        <v>1.6142016100000001</v>
      </c>
      <c r="HM14" s="42">
        <v>1.6142016100000001</v>
      </c>
      <c r="HN14" s="42">
        <v>86.1961862</v>
      </c>
      <c r="HO14" s="42">
        <v>0</v>
      </c>
      <c r="HP14" s="42">
        <v>0</v>
      </c>
      <c r="HQ14" s="41" t="s">
        <v>1151</v>
      </c>
      <c r="HR14" s="42">
        <v>64.308464279999995</v>
      </c>
      <c r="HS14" s="42">
        <v>66.983466960000001</v>
      </c>
      <c r="HT14" s="42">
        <v>0</v>
      </c>
      <c r="HU14" s="42">
        <v>0</v>
      </c>
      <c r="HV14" s="42">
        <v>32.483132500000004</v>
      </c>
      <c r="HW14" s="42">
        <v>2.67500268</v>
      </c>
      <c r="HX14" s="42">
        <v>0</v>
      </c>
      <c r="HY14" s="41" t="s">
        <v>1151</v>
      </c>
      <c r="HZ14" s="42">
        <v>36.098536099999997</v>
      </c>
      <c r="IA14" s="42">
        <v>36.098536099999997</v>
      </c>
      <c r="IB14" s="42">
        <v>0</v>
      </c>
      <c r="IC14" s="42">
        <v>0</v>
      </c>
      <c r="ID14" s="42">
        <v>63.368063360000001</v>
      </c>
      <c r="IE14" s="42">
        <v>0</v>
      </c>
      <c r="IF14" s="42">
        <v>0</v>
      </c>
      <c r="IG14" s="41" t="s">
        <v>1151</v>
      </c>
      <c r="IH14" s="42">
        <v>5.7706057700000004</v>
      </c>
      <c r="II14" s="42">
        <v>5.7706057700000004</v>
      </c>
      <c r="IJ14" s="42">
        <v>4.3132043199999996</v>
      </c>
      <c r="IK14" s="42">
        <v>4.3132043199999996</v>
      </c>
      <c r="IL14" s="42">
        <v>89.382789369999998</v>
      </c>
      <c r="IM14" s="42">
        <v>0</v>
      </c>
      <c r="IN14" s="42">
        <v>0</v>
      </c>
      <c r="IO14" s="41" t="s">
        <v>1150</v>
      </c>
      <c r="IP14" s="42">
        <v>18.02181801</v>
      </c>
      <c r="IQ14" s="42">
        <v>18.622918609999999</v>
      </c>
      <c r="IR14" s="42">
        <v>34.62203461</v>
      </c>
      <c r="IS14" s="42">
        <v>9.3113093100000004</v>
      </c>
      <c r="IT14" s="42">
        <v>46.221646239999998</v>
      </c>
      <c r="IU14" s="42">
        <v>0.60110059999999998</v>
      </c>
      <c r="IV14" s="42">
        <v>25.310725300000001</v>
      </c>
      <c r="IW14" s="41" t="s">
        <v>1150</v>
      </c>
      <c r="IX14" s="42">
        <v>20.862420849999999</v>
      </c>
      <c r="IY14" s="42">
        <v>21.377321380000001</v>
      </c>
      <c r="IZ14" s="42">
        <v>29.83152982</v>
      </c>
      <c r="JA14" s="42">
        <v>4.5208045200000004</v>
      </c>
      <c r="JB14" s="42">
        <v>48.25774826</v>
      </c>
      <c r="JC14" s="42">
        <v>0.51490053000000002</v>
      </c>
      <c r="JD14" s="42">
        <v>25.310725300000001</v>
      </c>
      <c r="JE14" s="41" t="s">
        <v>1150</v>
      </c>
      <c r="JF14" s="42">
        <v>1.16390116</v>
      </c>
      <c r="JG14" s="42">
        <v>1.16390116</v>
      </c>
      <c r="JH14" s="42">
        <v>5.0470050400000002</v>
      </c>
      <c r="JI14" s="42">
        <v>5.0470050400000002</v>
      </c>
      <c r="JJ14" s="42">
        <v>93.255693260000001</v>
      </c>
      <c r="JK14" s="42">
        <v>0</v>
      </c>
      <c r="JL14" s="42">
        <v>0</v>
      </c>
      <c r="JM14" s="41" t="s">
        <v>1150</v>
      </c>
      <c r="JN14" s="42">
        <v>0</v>
      </c>
      <c r="JO14" s="42">
        <v>0</v>
      </c>
      <c r="JP14" s="42">
        <v>5.5619055700000004</v>
      </c>
      <c r="JQ14" s="42">
        <v>5.5619055700000004</v>
      </c>
      <c r="JR14" s="42">
        <v>93.904693890000004</v>
      </c>
      <c r="JS14" s="42">
        <v>0</v>
      </c>
      <c r="JT14" s="42">
        <v>0</v>
      </c>
      <c r="JU14" s="41" t="s">
        <v>1151</v>
      </c>
      <c r="JV14" s="42">
        <v>10.353210349999999</v>
      </c>
      <c r="JW14" s="42">
        <v>10.353210349999999</v>
      </c>
      <c r="JX14" s="42">
        <v>0</v>
      </c>
      <c r="JY14" s="42">
        <v>0</v>
      </c>
      <c r="JZ14" s="42">
        <v>89.11338911</v>
      </c>
      <c r="KA14" s="42">
        <v>0</v>
      </c>
      <c r="KB14" s="42">
        <v>0</v>
      </c>
      <c r="KC14" s="41" t="s">
        <v>1150</v>
      </c>
      <c r="KD14" s="42">
        <v>0</v>
      </c>
      <c r="KE14" s="42">
        <v>0</v>
      </c>
      <c r="KF14" s="42">
        <v>0</v>
      </c>
      <c r="KG14" s="42">
        <v>0</v>
      </c>
      <c r="KH14" s="42">
        <v>99.466599459999998</v>
      </c>
      <c r="KI14" s="42">
        <v>0</v>
      </c>
      <c r="KJ14" s="42">
        <v>0</v>
      </c>
      <c r="KK14" s="42">
        <v>99.466599459999998</v>
      </c>
      <c r="KL14" s="42">
        <v>1.31900873</v>
      </c>
      <c r="KM14" s="42">
        <v>17.06021707</v>
      </c>
      <c r="KN14" s="42">
        <v>6.5350065199999996</v>
      </c>
      <c r="KO14" s="41" t="s">
        <v>1152</v>
      </c>
      <c r="KP14" s="41" t="s">
        <v>1153</v>
      </c>
      <c r="KQ14" s="41" t="s">
        <v>1154</v>
      </c>
      <c r="KR14" s="42">
        <v>27.79958169</v>
      </c>
      <c r="KS14" s="42">
        <v>99.804049000000006</v>
      </c>
      <c r="KT14" s="42">
        <v>99.547753439999994</v>
      </c>
      <c r="KU14" s="42">
        <v>6.6026332473469393</v>
      </c>
      <c r="KV14" s="42">
        <v>6.2236970708163266</v>
      </c>
      <c r="KW14" s="42">
        <v>0</v>
      </c>
      <c r="KX14" s="42">
        <v>71.748171749999997</v>
      </c>
      <c r="KY14" s="41"/>
      <c r="KZ14" s="42">
        <v>7.7314885599999998</v>
      </c>
      <c r="LA14" s="42">
        <v>90.538927143491776</v>
      </c>
      <c r="LB14" s="42">
        <v>6.8828256420408174</v>
      </c>
      <c r="LC14" s="42">
        <v>85.714285714285708</v>
      </c>
      <c r="LD14" s="41" t="s">
        <v>1163</v>
      </c>
      <c r="LE14" s="42">
        <v>18.444672319999999</v>
      </c>
      <c r="LF14" s="42">
        <v>53.17765318</v>
      </c>
      <c r="LG14" s="42">
        <v>18.570518570000001</v>
      </c>
      <c r="LH14" s="42">
        <v>0</v>
      </c>
      <c r="LI14" s="42">
        <v>2.4592024700000001</v>
      </c>
      <c r="LJ14" s="42">
        <v>6.8957069000000004</v>
      </c>
      <c r="LK14" s="42">
        <v>0</v>
      </c>
      <c r="LL14" s="42">
        <v>0.45224656000000002</v>
      </c>
      <c r="LM14" s="42">
        <v>5.4241049869387759</v>
      </c>
      <c r="LN14" s="42">
        <v>0.45224656000000002</v>
      </c>
      <c r="LO14" s="42">
        <v>23.59522359</v>
      </c>
      <c r="LP14" s="42">
        <v>69.417523329999995</v>
      </c>
      <c r="LQ14" s="42">
        <v>7.2102064300000004</v>
      </c>
      <c r="LR14" s="42">
        <v>46.76206423</v>
      </c>
      <c r="LS14" s="41" t="s">
        <v>1173</v>
      </c>
      <c r="LT14" s="42">
        <v>6.7188459199999997</v>
      </c>
      <c r="LU14" s="42">
        <v>35.664712610000002</v>
      </c>
      <c r="LV14" s="43">
        <v>68</v>
      </c>
      <c r="LW14" s="43">
        <v>1</v>
      </c>
      <c r="LX14" s="43">
        <v>66</v>
      </c>
      <c r="LY14" s="41" t="s">
        <v>480</v>
      </c>
      <c r="LZ14" s="41" t="s">
        <v>1200</v>
      </c>
      <c r="MA14" s="44">
        <v>46203</v>
      </c>
      <c r="MB14" s="41" t="s">
        <v>1201</v>
      </c>
      <c r="MC14" s="43">
        <v>98</v>
      </c>
      <c r="MD14" s="41" t="s">
        <v>1158</v>
      </c>
      <c r="ME14" s="41" t="s">
        <v>442</v>
      </c>
      <c r="MF14" s="42">
        <v>5.8099445799999998</v>
      </c>
      <c r="MG14" s="42">
        <v>17.120976599999999</v>
      </c>
      <c r="MH14" s="42">
        <v>322841753</v>
      </c>
      <c r="MI14" s="42">
        <v>7.7314885599999998</v>
      </c>
      <c r="MJ14" s="42">
        <v>90.538927143491776</v>
      </c>
      <c r="MK14" s="42">
        <v>85.714285714285708</v>
      </c>
      <c r="ML14" s="42">
        <v>6.7933403500000002</v>
      </c>
      <c r="MM14" s="41" t="s">
        <v>480</v>
      </c>
      <c r="MN14" s="42">
        <v>0</v>
      </c>
      <c r="MO14" s="42">
        <v>0</v>
      </c>
      <c r="MP14" s="42">
        <v>0</v>
      </c>
      <c r="MQ14" s="42">
        <v>0</v>
      </c>
      <c r="MR14" s="42">
        <v>0.62450061999999995</v>
      </c>
      <c r="MS14" s="42">
        <v>0</v>
      </c>
      <c r="MT14" s="42">
        <v>0</v>
      </c>
      <c r="MU14" s="42">
        <v>0</v>
      </c>
      <c r="MV14" s="42">
        <v>0</v>
      </c>
      <c r="MW14" s="42">
        <v>0</v>
      </c>
      <c r="MX14" s="42">
        <v>0</v>
      </c>
      <c r="MY14" s="42">
        <v>0</v>
      </c>
      <c r="MZ14" s="42">
        <v>0</v>
      </c>
      <c r="NA14" s="42">
        <v>0</v>
      </c>
      <c r="NB14" s="42">
        <v>0</v>
      </c>
      <c r="NC14" s="42">
        <v>0</v>
      </c>
      <c r="ND14" s="42">
        <v>0</v>
      </c>
      <c r="NE14" s="42">
        <v>0</v>
      </c>
      <c r="NF14" s="42">
        <v>0</v>
      </c>
      <c r="NG14" s="42">
        <v>0</v>
      </c>
      <c r="NH14" s="42">
        <v>0</v>
      </c>
      <c r="NI14" s="42">
        <v>0</v>
      </c>
      <c r="NJ14" s="42">
        <v>0</v>
      </c>
      <c r="NK14" s="42">
        <v>0</v>
      </c>
      <c r="NL14" s="42">
        <v>0</v>
      </c>
      <c r="NM14" s="42">
        <v>0</v>
      </c>
      <c r="NN14" s="42">
        <v>0</v>
      </c>
      <c r="NO14" s="42">
        <v>0</v>
      </c>
      <c r="NP14" s="42">
        <v>0</v>
      </c>
      <c r="NQ14" s="42">
        <v>0</v>
      </c>
      <c r="NR14" s="42">
        <v>0</v>
      </c>
      <c r="NS14" s="42">
        <v>0</v>
      </c>
      <c r="NT14" s="42">
        <v>0</v>
      </c>
      <c r="NU14" s="42">
        <v>0</v>
      </c>
      <c r="NV14" s="42">
        <v>0</v>
      </c>
      <c r="NW14" s="42">
        <v>0</v>
      </c>
      <c r="NX14" s="42">
        <v>20.58422058</v>
      </c>
      <c r="NY14" s="42">
        <v>0</v>
      </c>
      <c r="NZ14" s="42">
        <v>0</v>
      </c>
      <c r="OA14" s="42">
        <v>0</v>
      </c>
      <c r="OB14" s="42">
        <v>0</v>
      </c>
      <c r="OC14" s="42">
        <v>0</v>
      </c>
      <c r="OD14" s="42">
        <v>0</v>
      </c>
      <c r="OE14" s="42">
        <v>0</v>
      </c>
      <c r="OF14" s="42">
        <v>0</v>
      </c>
      <c r="OG14" s="42">
        <v>0</v>
      </c>
      <c r="OH14" s="42">
        <v>3.9477039600000001</v>
      </c>
      <c r="OI14" s="42">
        <v>0.45610045999999999</v>
      </c>
      <c r="OJ14" s="42">
        <v>19.503619499999999</v>
      </c>
      <c r="OK14" s="42">
        <v>0</v>
      </c>
      <c r="OL14" s="42">
        <v>3.9477039600000001</v>
      </c>
      <c r="OM14" s="42">
        <v>85.42998541</v>
      </c>
      <c r="ON14" s="42">
        <v>0</v>
      </c>
      <c r="OO14" s="42">
        <v>0</v>
      </c>
      <c r="OP14" s="42">
        <v>0</v>
      </c>
      <c r="OQ14" s="42">
        <v>0</v>
      </c>
      <c r="OR14" s="42">
        <v>0</v>
      </c>
      <c r="OS14" s="42">
        <v>4.07360407</v>
      </c>
      <c r="OT14" s="42">
        <v>61.510361519999996</v>
      </c>
      <c r="OU14" s="42">
        <v>61.054261060000002</v>
      </c>
      <c r="OV14" s="42">
        <v>56.624756619999999</v>
      </c>
      <c r="OW14" s="42">
        <v>58.434758440000003</v>
      </c>
      <c r="OX14" s="42">
        <v>0</v>
      </c>
      <c r="OY14" s="42">
        <v>0</v>
      </c>
      <c r="OZ14" s="42">
        <v>0</v>
      </c>
      <c r="PA14" s="42">
        <v>0</v>
      </c>
      <c r="PB14" s="42">
        <v>0</v>
      </c>
      <c r="PC14" s="42">
        <v>0</v>
      </c>
      <c r="PD14" s="42">
        <v>0</v>
      </c>
      <c r="PE14" s="42">
        <v>24.628524630000001</v>
      </c>
      <c r="PF14" s="42">
        <v>0</v>
      </c>
      <c r="PG14" s="42">
        <v>0</v>
      </c>
      <c r="PH14" s="42">
        <v>0</v>
      </c>
      <c r="PI14" s="42">
        <v>0</v>
      </c>
      <c r="PJ14" s="42">
        <v>0</v>
      </c>
      <c r="PK14" s="42">
        <v>0</v>
      </c>
      <c r="PL14" s="42">
        <v>0</v>
      </c>
      <c r="PM14" s="42">
        <v>3.9477039600000001</v>
      </c>
      <c r="PN14" s="42">
        <v>0</v>
      </c>
      <c r="PO14" s="42">
        <v>0.51490053000000002</v>
      </c>
      <c r="PP14" s="42">
        <v>0</v>
      </c>
      <c r="PQ14" s="42">
        <v>3.9477039600000001</v>
      </c>
      <c r="PR14" s="42">
        <v>0</v>
      </c>
      <c r="PS14" s="42">
        <v>0</v>
      </c>
      <c r="PT14" s="42">
        <v>6.245E-5</v>
      </c>
      <c r="PU14" s="42">
        <v>0</v>
      </c>
      <c r="PV14" s="42">
        <v>0</v>
      </c>
      <c r="PW14" s="42">
        <v>0</v>
      </c>
      <c r="PX14" s="42">
        <v>0</v>
      </c>
      <c r="PY14" s="42">
        <v>10.123950369999999</v>
      </c>
      <c r="PZ14" s="42">
        <v>0</v>
      </c>
      <c r="QA14" s="42">
        <v>61.054261060000002</v>
      </c>
      <c r="QB14" s="42">
        <v>1.9324019299999999</v>
      </c>
      <c r="QC14" s="42">
        <v>0</v>
      </c>
      <c r="QD14" s="42">
        <v>0</v>
      </c>
      <c r="QE14" s="42">
        <v>0</v>
      </c>
      <c r="QF14" s="42">
        <v>9.9020098999999995</v>
      </c>
      <c r="QG14" s="42">
        <v>0</v>
      </c>
      <c r="QH14" s="42">
        <v>0</v>
      </c>
      <c r="QI14" s="42">
        <v>0</v>
      </c>
      <c r="QJ14" s="42">
        <v>0</v>
      </c>
      <c r="QK14" s="42">
        <v>0</v>
      </c>
    </row>
    <row r="15" spans="1:453" x14ac:dyDescent="0.35">
      <c r="A15" s="41" t="s">
        <v>577</v>
      </c>
      <c r="B15" s="41" t="s">
        <v>440</v>
      </c>
      <c r="C15" s="41" t="s">
        <v>578</v>
      </c>
      <c r="D15" s="41" t="s">
        <v>536</v>
      </c>
      <c r="E15" s="41" t="s">
        <v>578</v>
      </c>
      <c r="F15" s="41" t="s">
        <v>1202</v>
      </c>
      <c r="G15" s="41" t="s">
        <v>579</v>
      </c>
      <c r="H15" s="42">
        <v>207.50297707999999</v>
      </c>
      <c r="I15" s="42">
        <v>99.748300499999999</v>
      </c>
      <c r="J15" s="42">
        <v>747.84580417999996</v>
      </c>
      <c r="K15" s="42">
        <v>99.748300499999999</v>
      </c>
      <c r="L15" s="42">
        <v>945.34145276000004</v>
      </c>
      <c r="M15" s="42">
        <v>99.748300499999999</v>
      </c>
      <c r="N15" s="42">
        <v>197.49564857999999</v>
      </c>
      <c r="O15" s="42">
        <v>99.748300499999999</v>
      </c>
      <c r="P15" s="42">
        <v>38.038623940000001</v>
      </c>
      <c r="Q15" s="42">
        <v>0.61856822</v>
      </c>
      <c r="R15" s="42">
        <v>3.6322247399999998</v>
      </c>
      <c r="S15" s="42">
        <v>5.8719873099999997</v>
      </c>
      <c r="T15" s="42">
        <v>34.44733111</v>
      </c>
      <c r="U15" s="42">
        <v>6.6070249999999997E-2</v>
      </c>
      <c r="V15" s="42">
        <v>18.839662350000001</v>
      </c>
      <c r="W15" s="42">
        <v>533.71063658000003</v>
      </c>
      <c r="X15" s="42">
        <v>99.748300499999999</v>
      </c>
      <c r="Y15" s="42">
        <v>1976.9594168900001</v>
      </c>
      <c r="Z15" s="42">
        <v>99.748300499999999</v>
      </c>
      <c r="AA15" s="42">
        <v>2429.1691563999998</v>
      </c>
      <c r="AB15" s="42">
        <v>99.748300499999999</v>
      </c>
      <c r="AC15" s="42">
        <v>452.21031957999998</v>
      </c>
      <c r="AD15" s="42">
        <v>99.748300499999999</v>
      </c>
      <c r="AE15" s="42">
        <v>202.59174264999999</v>
      </c>
      <c r="AF15" s="42">
        <v>2.7051249999999999E-2</v>
      </c>
      <c r="AG15" s="42">
        <v>9077.5183033899993</v>
      </c>
      <c r="AH15" s="42">
        <v>22683.304730039999</v>
      </c>
      <c r="AI15" s="42">
        <v>4509.5689869899998</v>
      </c>
      <c r="AJ15" s="42">
        <v>17.714364570000001</v>
      </c>
      <c r="AK15" s="42">
        <v>19.085761819999998</v>
      </c>
      <c r="AL15" s="41" t="s">
        <v>1168</v>
      </c>
      <c r="AM15" s="42">
        <v>99.748300499999999</v>
      </c>
      <c r="AN15" s="42">
        <v>13.175273649999999</v>
      </c>
      <c r="AO15" s="42">
        <v>49.772900460000002</v>
      </c>
      <c r="AP15" s="41">
        <v>3.6</v>
      </c>
      <c r="AQ15" s="42">
        <v>79.572440850000007</v>
      </c>
      <c r="AR15" s="42">
        <v>75.362149290000005</v>
      </c>
      <c r="AS15" s="42">
        <v>99.748300499999999</v>
      </c>
      <c r="AT15" s="42">
        <v>19.995743560000001</v>
      </c>
      <c r="AU15" s="42">
        <v>38.994322019999998</v>
      </c>
      <c r="AV15" s="42">
        <v>99.748300499999999</v>
      </c>
      <c r="AW15" s="42">
        <v>0</v>
      </c>
      <c r="AX15" s="42">
        <v>5.9177881599999997</v>
      </c>
      <c r="AY15" s="42">
        <v>0</v>
      </c>
      <c r="AZ15" s="42">
        <v>0</v>
      </c>
      <c r="BA15" s="42">
        <v>9.98538003</v>
      </c>
      <c r="BB15" s="42">
        <v>24.65185069</v>
      </c>
      <c r="BC15" s="42">
        <v>0</v>
      </c>
      <c r="BD15" s="42">
        <v>4.9777900500000003</v>
      </c>
      <c r="BE15" s="42">
        <v>0.79119841999999996</v>
      </c>
      <c r="BF15" s="42">
        <v>14.015471959999999</v>
      </c>
      <c r="BG15" s="42">
        <v>0</v>
      </c>
      <c r="BH15" s="42">
        <v>0.22812783</v>
      </c>
      <c r="BI15" s="42">
        <v>0</v>
      </c>
      <c r="BJ15" s="42">
        <v>0</v>
      </c>
      <c r="BK15" s="42">
        <v>0.24085966</v>
      </c>
      <c r="BL15" s="42">
        <v>1.7958193200000001</v>
      </c>
      <c r="BM15" s="42">
        <v>0</v>
      </c>
      <c r="BN15" s="42">
        <v>0.24110835999999999</v>
      </c>
      <c r="BO15" s="42">
        <v>1.91088E-3</v>
      </c>
      <c r="BP15" s="42">
        <v>0.70751392000000002</v>
      </c>
      <c r="BQ15" s="42">
        <v>0</v>
      </c>
      <c r="BR15" s="42">
        <v>0.20200856</v>
      </c>
      <c r="BS15" s="42">
        <v>0.44502778999999998</v>
      </c>
      <c r="BT15" s="42">
        <v>0.31193806000000002</v>
      </c>
      <c r="BU15" s="42">
        <v>2.2408471099999998</v>
      </c>
      <c r="BV15" s="42">
        <v>0.30737985000000001</v>
      </c>
      <c r="BW15" s="42">
        <v>0</v>
      </c>
      <c r="BX15" s="42">
        <v>6.8308863300000002</v>
      </c>
      <c r="BY15" s="42">
        <v>8.4406831199999992</v>
      </c>
      <c r="BZ15" s="42">
        <v>1.3261973499999999</v>
      </c>
      <c r="CA15" s="42">
        <v>29.398441200000001</v>
      </c>
      <c r="CB15" s="42">
        <v>13.927772149999999</v>
      </c>
      <c r="CC15" s="42">
        <v>2.0424987899999998</v>
      </c>
      <c r="CD15" s="42">
        <v>0.44138694000000001</v>
      </c>
      <c r="CE15" s="42">
        <v>0.49627041999999999</v>
      </c>
      <c r="CF15" s="42"/>
      <c r="CG15" s="42">
        <v>54.839290310000003</v>
      </c>
      <c r="CH15" s="42">
        <v>20.960758080000002</v>
      </c>
      <c r="CI15" s="42">
        <v>0</v>
      </c>
      <c r="CJ15" s="42">
        <v>21.310857380000002</v>
      </c>
      <c r="CK15" s="42">
        <v>41.613316779999998</v>
      </c>
      <c r="CL15" s="42">
        <v>36.639426720000003</v>
      </c>
      <c r="CM15" s="42">
        <v>3.2956934100000002</v>
      </c>
      <c r="CN15" s="42">
        <v>20.33335933</v>
      </c>
      <c r="CO15" s="42">
        <v>16.60696678</v>
      </c>
      <c r="CP15" s="42">
        <v>3.0966938100000001</v>
      </c>
      <c r="CQ15" s="42">
        <v>0</v>
      </c>
      <c r="CR15" s="42">
        <v>6.2160875600000001</v>
      </c>
      <c r="CS15" s="42">
        <v>14.379971230000001</v>
      </c>
      <c r="CT15" s="42">
        <v>79.152241709999998</v>
      </c>
      <c r="CU15" s="42">
        <v>7.4019851799999996</v>
      </c>
      <c r="CV15" s="42">
        <v>3.2064935700000001</v>
      </c>
      <c r="CW15" s="42">
        <v>0.76709846000000004</v>
      </c>
      <c r="CX15" s="42">
        <v>48.631802749999999</v>
      </c>
      <c r="CY15" s="42">
        <v>12.707174569999999</v>
      </c>
      <c r="CZ15" s="42">
        <v>7.5062849700000003</v>
      </c>
      <c r="DA15" s="42">
        <v>81.207337589999995</v>
      </c>
      <c r="DB15" s="42">
        <v>36.328627320000002</v>
      </c>
      <c r="DC15" s="42">
        <v>2.23249553</v>
      </c>
      <c r="DD15" s="42">
        <v>61.187177650000002</v>
      </c>
      <c r="DE15" s="42">
        <v>61.719176570000002</v>
      </c>
      <c r="DF15" s="42">
        <v>99.748300499999999</v>
      </c>
      <c r="DG15" s="42">
        <v>5.3093632800000004</v>
      </c>
      <c r="DH15" s="42">
        <v>99.748300499999999</v>
      </c>
      <c r="DI15" s="42">
        <v>93.532212939999994</v>
      </c>
      <c r="DJ15" s="42">
        <v>6.2160875600000001</v>
      </c>
      <c r="DK15" s="42">
        <v>37.551324889999997</v>
      </c>
      <c r="DL15" s="42">
        <v>0</v>
      </c>
      <c r="DM15" s="42">
        <v>16.499366999999999</v>
      </c>
      <c r="DN15" s="42">
        <v>32.694034610000003</v>
      </c>
      <c r="DO15" s="42">
        <v>50.554898889999997</v>
      </c>
      <c r="DP15" s="42">
        <v>0</v>
      </c>
      <c r="DQ15" s="42">
        <v>4.6200815100000003</v>
      </c>
      <c r="DR15" s="42">
        <v>99.748300499999999</v>
      </c>
      <c r="DS15" s="42">
        <v>15.942868109999999</v>
      </c>
      <c r="DT15" s="42">
        <v>18.68026261</v>
      </c>
      <c r="DU15" s="42">
        <v>1.6441967099999999</v>
      </c>
      <c r="DV15" s="42">
        <v>7.2621854800000003</v>
      </c>
      <c r="DW15" s="42">
        <v>12.11287577</v>
      </c>
      <c r="DX15" s="42">
        <v>29.756740489999999</v>
      </c>
      <c r="DY15" s="42">
        <v>2.21949555</v>
      </c>
      <c r="DZ15" s="42">
        <v>2.6049947800000002</v>
      </c>
      <c r="EA15" s="42">
        <v>87.610824780000002</v>
      </c>
      <c r="EB15" s="42">
        <v>1.5403969200000001</v>
      </c>
      <c r="EC15" s="42">
        <v>12.56723686</v>
      </c>
      <c r="ED15" s="42">
        <v>5.5608308099999997</v>
      </c>
      <c r="EE15" s="42">
        <v>0.98109804</v>
      </c>
      <c r="EF15" s="42">
        <v>11.88957622</v>
      </c>
      <c r="EG15" s="42">
        <v>87.329825349999993</v>
      </c>
      <c r="EH15" s="42">
        <v>4.3188342000000004</v>
      </c>
      <c r="EI15" s="42">
        <v>91.476717030000003</v>
      </c>
      <c r="EJ15" s="42">
        <v>67.372365250000001</v>
      </c>
      <c r="EK15" s="42">
        <v>0</v>
      </c>
      <c r="EL15" s="42">
        <v>32.375935249999998</v>
      </c>
      <c r="EM15" s="42">
        <v>85.487829009999999</v>
      </c>
      <c r="EN15" s="42">
        <v>20.940358119999999</v>
      </c>
      <c r="EO15" s="42">
        <v>31357.43997756</v>
      </c>
      <c r="EP15" s="42">
        <v>84.585330810000002</v>
      </c>
      <c r="EQ15" s="42">
        <v>14823.55851452</v>
      </c>
      <c r="ER15" s="42">
        <v>94.017611959999996</v>
      </c>
      <c r="ES15" s="42">
        <v>21.395457220000001</v>
      </c>
      <c r="ET15" s="42">
        <v>42.761014490000001</v>
      </c>
      <c r="EU15" s="42">
        <v>48.708602579999997</v>
      </c>
      <c r="EV15" s="42">
        <v>73.581552810000005</v>
      </c>
      <c r="EW15" s="42">
        <v>14.169471659999999</v>
      </c>
      <c r="EX15" s="42">
        <v>36.058327890000001</v>
      </c>
      <c r="EY15" s="42">
        <v>0</v>
      </c>
      <c r="EZ15" s="42">
        <v>46.601906800000002</v>
      </c>
      <c r="FA15" s="42">
        <v>98.605902779999994</v>
      </c>
      <c r="FB15" s="42">
        <v>96.680506640000004</v>
      </c>
      <c r="FC15" s="42">
        <v>68.705062609999999</v>
      </c>
      <c r="FD15" s="42">
        <v>97.916804150000004</v>
      </c>
      <c r="FE15" s="41" t="s">
        <v>1150</v>
      </c>
      <c r="FF15" s="42">
        <v>2.8252943500000001</v>
      </c>
      <c r="FG15" s="42">
        <v>2.8252943500000001</v>
      </c>
      <c r="FH15" s="42">
        <v>6.6778866399999997</v>
      </c>
      <c r="FI15" s="42">
        <v>3.9535920899999999</v>
      </c>
      <c r="FJ15" s="42">
        <v>90.245119509999995</v>
      </c>
      <c r="FK15" s="42">
        <v>0</v>
      </c>
      <c r="FL15" s="42">
        <v>2.7242945500000002</v>
      </c>
      <c r="FM15" s="41" t="s">
        <v>1150</v>
      </c>
      <c r="FN15" s="42">
        <v>2.1265957499999999</v>
      </c>
      <c r="FO15" s="42">
        <v>2.1265957499999999</v>
      </c>
      <c r="FP15" s="42">
        <v>6.5873868199999999</v>
      </c>
      <c r="FQ15" s="42">
        <v>6.5873868199999999</v>
      </c>
      <c r="FR15" s="42">
        <v>91.03431793</v>
      </c>
      <c r="FS15" s="42">
        <v>0</v>
      </c>
      <c r="FT15" s="42">
        <v>0</v>
      </c>
      <c r="FU15" s="41" t="s">
        <v>1150</v>
      </c>
      <c r="FV15" s="42">
        <v>3.1286937400000001</v>
      </c>
      <c r="FW15" s="42">
        <v>3.1286937400000001</v>
      </c>
      <c r="FX15" s="42">
        <v>10.960978069999999</v>
      </c>
      <c r="FY15" s="42">
        <v>9.2209815499999994</v>
      </c>
      <c r="FZ15" s="42">
        <v>85.65862869</v>
      </c>
      <c r="GA15" s="42">
        <v>0</v>
      </c>
      <c r="GB15" s="42">
        <v>1.73999652</v>
      </c>
      <c r="GC15" s="41" t="s">
        <v>1150</v>
      </c>
      <c r="GD15" s="42">
        <v>0</v>
      </c>
      <c r="GE15" s="42">
        <v>0</v>
      </c>
      <c r="GF15" s="42">
        <v>12.478175050000001</v>
      </c>
      <c r="GG15" s="42">
        <v>11.78257644</v>
      </c>
      <c r="GH15" s="42">
        <v>87.270125449999995</v>
      </c>
      <c r="GI15" s="42">
        <v>0</v>
      </c>
      <c r="GJ15" s="42">
        <v>0.69559861000000001</v>
      </c>
      <c r="GK15" s="41" t="s">
        <v>1150</v>
      </c>
      <c r="GL15" s="42">
        <v>57.196885610000002</v>
      </c>
      <c r="GM15" s="42">
        <v>57.196885610000002</v>
      </c>
      <c r="GN15" s="42">
        <v>0.69559861000000001</v>
      </c>
      <c r="GO15" s="42">
        <v>0</v>
      </c>
      <c r="GP15" s="42">
        <v>41.855816279999999</v>
      </c>
      <c r="GQ15" s="42">
        <v>0</v>
      </c>
      <c r="GR15" s="42">
        <v>0.69559861000000001</v>
      </c>
      <c r="GS15" s="41" t="s">
        <v>1150</v>
      </c>
      <c r="GT15" s="42">
        <v>25.329349350000001</v>
      </c>
      <c r="GU15" s="42">
        <v>27.653244699999998</v>
      </c>
      <c r="GV15" s="42">
        <v>4.4563910800000004</v>
      </c>
      <c r="GW15" s="42">
        <v>2.7163945599999999</v>
      </c>
      <c r="GX15" s="42">
        <v>67.638664719999994</v>
      </c>
      <c r="GY15" s="42">
        <v>2.3238953499999999</v>
      </c>
      <c r="GZ15" s="42">
        <v>1.73999652</v>
      </c>
      <c r="HA15" s="41" t="s">
        <v>1151</v>
      </c>
      <c r="HB15" s="42">
        <v>20.354659290000001</v>
      </c>
      <c r="HC15" s="42">
        <v>20.354659290000001</v>
      </c>
      <c r="HD15" s="42">
        <v>2.9014942100000001</v>
      </c>
      <c r="HE15" s="42">
        <v>2.9014942100000001</v>
      </c>
      <c r="HF15" s="42">
        <v>76.492147000000003</v>
      </c>
      <c r="HG15" s="42">
        <v>0</v>
      </c>
      <c r="HH15" s="42">
        <v>0</v>
      </c>
      <c r="HI15" s="41" t="s">
        <v>1150</v>
      </c>
      <c r="HJ15" s="42">
        <v>27.07004585</v>
      </c>
      <c r="HK15" s="42">
        <v>27.07004585</v>
      </c>
      <c r="HL15" s="42">
        <v>2.4355951299999998</v>
      </c>
      <c r="HM15" s="42">
        <v>0</v>
      </c>
      <c r="HN15" s="42">
        <v>70.242659520000004</v>
      </c>
      <c r="HO15" s="42">
        <v>0</v>
      </c>
      <c r="HP15" s="42">
        <v>2.4355951299999998</v>
      </c>
      <c r="HQ15" s="41" t="s">
        <v>1151</v>
      </c>
      <c r="HR15" s="42">
        <v>18.3930632</v>
      </c>
      <c r="HS15" s="42">
        <v>18.3930632</v>
      </c>
      <c r="HT15" s="42">
        <v>8.9369821300000005</v>
      </c>
      <c r="HU15" s="42">
        <v>8.9369821300000005</v>
      </c>
      <c r="HV15" s="42">
        <v>72.418255169999995</v>
      </c>
      <c r="HW15" s="42">
        <v>0</v>
      </c>
      <c r="HX15" s="42">
        <v>0</v>
      </c>
      <c r="HY15" s="41" t="s">
        <v>1150</v>
      </c>
      <c r="HZ15" s="42">
        <v>52.253995490000001</v>
      </c>
      <c r="IA15" s="42">
        <v>52.253995490000001</v>
      </c>
      <c r="IB15" s="42">
        <v>2.7242945500000002</v>
      </c>
      <c r="IC15" s="42">
        <v>0</v>
      </c>
      <c r="ID15" s="42">
        <v>44.770010460000002</v>
      </c>
      <c r="IE15" s="42">
        <v>0</v>
      </c>
      <c r="IF15" s="42">
        <v>2.7242945500000002</v>
      </c>
      <c r="IG15" s="41" t="s">
        <v>1150</v>
      </c>
      <c r="IH15" s="42">
        <v>5.1474897000000004</v>
      </c>
      <c r="II15" s="42">
        <v>5.1474897000000004</v>
      </c>
      <c r="IJ15" s="42">
        <v>27.598844790000001</v>
      </c>
      <c r="IK15" s="42">
        <v>23.13455372</v>
      </c>
      <c r="IL15" s="42">
        <v>67.001966010000004</v>
      </c>
      <c r="IM15" s="42">
        <v>0</v>
      </c>
      <c r="IN15" s="42">
        <v>4.4642910699999998</v>
      </c>
      <c r="IO15" s="41" t="s">
        <v>1150</v>
      </c>
      <c r="IP15" s="42">
        <v>26.733546530000002</v>
      </c>
      <c r="IQ15" s="42">
        <v>26.932646129999998</v>
      </c>
      <c r="IR15" s="42">
        <v>5.7404885300000004</v>
      </c>
      <c r="IS15" s="42">
        <v>4.0004920100000003</v>
      </c>
      <c r="IT15" s="42">
        <v>67.075165839999997</v>
      </c>
      <c r="IU15" s="42">
        <v>0.19909959999999999</v>
      </c>
      <c r="IV15" s="42">
        <v>1.73999652</v>
      </c>
      <c r="IW15" s="41" t="s">
        <v>1151</v>
      </c>
      <c r="IX15" s="42">
        <v>18.53556292</v>
      </c>
      <c r="IY15" s="42">
        <v>18.53556292</v>
      </c>
      <c r="IZ15" s="42">
        <v>2.4265951600000002</v>
      </c>
      <c r="JA15" s="42">
        <v>2.4265951600000002</v>
      </c>
      <c r="JB15" s="42">
        <v>78.786142420000004</v>
      </c>
      <c r="JC15" s="42">
        <v>0</v>
      </c>
      <c r="JD15" s="42">
        <v>0</v>
      </c>
      <c r="JE15" s="41" t="s">
        <v>1150</v>
      </c>
      <c r="JF15" s="42">
        <v>0</v>
      </c>
      <c r="JG15" s="42">
        <v>0</v>
      </c>
      <c r="JH15" s="42">
        <v>16.9412661</v>
      </c>
      <c r="JI15" s="42">
        <v>13.00377398</v>
      </c>
      <c r="JJ15" s="42">
        <v>82.807034400000006</v>
      </c>
      <c r="JK15" s="42">
        <v>0</v>
      </c>
      <c r="JL15" s="42">
        <v>3.9374921199999999</v>
      </c>
      <c r="JM15" s="41" t="s">
        <v>1150</v>
      </c>
      <c r="JN15" s="42">
        <v>0</v>
      </c>
      <c r="JO15" s="42">
        <v>0</v>
      </c>
      <c r="JP15" s="42">
        <v>27.55374488</v>
      </c>
      <c r="JQ15" s="42">
        <v>25.813748360000002</v>
      </c>
      <c r="JR15" s="42">
        <v>72.194555620000003</v>
      </c>
      <c r="JS15" s="42">
        <v>0</v>
      </c>
      <c r="JT15" s="42">
        <v>1.73999652</v>
      </c>
      <c r="JU15" s="41" t="s">
        <v>1150</v>
      </c>
      <c r="JV15" s="42">
        <v>6.9843860299999996</v>
      </c>
      <c r="JW15" s="42">
        <v>6.9843860299999996</v>
      </c>
      <c r="JX15" s="42">
        <v>2.7242945500000002</v>
      </c>
      <c r="JY15" s="42">
        <v>0</v>
      </c>
      <c r="JZ15" s="42">
        <v>90.039619920000007</v>
      </c>
      <c r="KA15" s="42">
        <v>0</v>
      </c>
      <c r="KB15" s="42">
        <v>2.7242945500000002</v>
      </c>
      <c r="KC15" s="41" t="s">
        <v>1150</v>
      </c>
      <c r="KD15" s="42">
        <v>23.854452299999998</v>
      </c>
      <c r="KE15" s="42">
        <v>23.854452299999998</v>
      </c>
      <c r="KF15" s="42">
        <v>2.7242945500000002</v>
      </c>
      <c r="KG15" s="42">
        <v>0</v>
      </c>
      <c r="KH15" s="42">
        <v>73.169553649999997</v>
      </c>
      <c r="KI15" s="42">
        <v>0</v>
      </c>
      <c r="KJ15" s="42">
        <v>2.7242945500000002</v>
      </c>
      <c r="KK15" s="42">
        <v>99.748300499999999</v>
      </c>
      <c r="KL15" s="42">
        <v>1.2815627700000001</v>
      </c>
      <c r="KM15" s="42">
        <v>18.267263490000001</v>
      </c>
      <c r="KN15" s="42">
        <v>2.20279559</v>
      </c>
      <c r="KO15" s="41" t="s">
        <v>1152</v>
      </c>
      <c r="KP15" s="41" t="s">
        <v>1153</v>
      </c>
      <c r="KQ15" s="41" t="s">
        <v>1154</v>
      </c>
      <c r="KR15" s="42">
        <v>51.648447990000001</v>
      </c>
      <c r="KS15" s="42">
        <v>99.939626720000007</v>
      </c>
      <c r="KT15" s="42">
        <v>99.775351749999999</v>
      </c>
      <c r="KU15" s="42">
        <v>4.2606225127210884</v>
      </c>
      <c r="KV15" s="42">
        <v>5.8431178428571426</v>
      </c>
      <c r="KW15" s="42">
        <v>0.30809937999999998</v>
      </c>
      <c r="KX15" s="42">
        <v>47.818804380000003</v>
      </c>
      <c r="KY15" s="41"/>
      <c r="KZ15" s="42">
        <v>7.0156253499999996</v>
      </c>
      <c r="LA15" s="42">
        <v>70.320135495335407</v>
      </c>
      <c r="LB15" s="42">
        <v>5.5366787237414963</v>
      </c>
      <c r="LC15" s="42">
        <v>83.673469387755105</v>
      </c>
      <c r="LD15" s="41" t="s">
        <v>461</v>
      </c>
      <c r="LE15" s="42">
        <v>31.181488940000001</v>
      </c>
      <c r="LF15" s="42">
        <v>30.552238899999999</v>
      </c>
      <c r="LG15" s="42">
        <v>17.266565480000001</v>
      </c>
      <c r="LH15" s="42">
        <v>0.30809937999999998</v>
      </c>
      <c r="LI15" s="42">
        <v>3.6112927799999999</v>
      </c>
      <c r="LJ15" s="42">
        <v>16.85566627</v>
      </c>
      <c r="LK15" s="42">
        <v>0</v>
      </c>
      <c r="LL15" s="42">
        <v>0.22464824999999999</v>
      </c>
      <c r="LM15" s="42">
        <v>4.8891947782993199</v>
      </c>
      <c r="LN15" s="42">
        <v>0.22464824999999999</v>
      </c>
      <c r="LO15" s="42">
        <v>20.77815846</v>
      </c>
      <c r="LP15" s="42">
        <v>76.794397700000005</v>
      </c>
      <c r="LQ15" s="42">
        <v>4.85634049</v>
      </c>
      <c r="LR15" s="42">
        <v>44.905970009999997</v>
      </c>
      <c r="LS15" s="41" t="s">
        <v>1173</v>
      </c>
      <c r="LT15" s="42">
        <v>6.8814715599999996</v>
      </c>
      <c r="LU15" s="42">
        <v>33.147742350000001</v>
      </c>
      <c r="LV15" s="43">
        <v>95</v>
      </c>
      <c r="LW15" s="43">
        <v>1</v>
      </c>
      <c r="LX15" s="43">
        <v>93</v>
      </c>
      <c r="LY15" s="41" t="s">
        <v>480</v>
      </c>
      <c r="LZ15" s="41" t="s">
        <v>1203</v>
      </c>
      <c r="MA15" s="44">
        <v>46203</v>
      </c>
      <c r="MB15" s="41" t="s">
        <v>1204</v>
      </c>
      <c r="MC15" s="43">
        <v>147</v>
      </c>
      <c r="MD15" s="41" t="s">
        <v>1158</v>
      </c>
      <c r="ME15" s="41" t="s">
        <v>440</v>
      </c>
      <c r="MF15" s="42">
        <v>5.1725592200000001</v>
      </c>
      <c r="MG15" s="42">
        <v>21.721639379999999</v>
      </c>
      <c r="MH15" s="42">
        <v>339587757</v>
      </c>
      <c r="MI15" s="42">
        <v>7.0156253499999996</v>
      </c>
      <c r="MJ15" s="42">
        <v>70.320135495335407</v>
      </c>
      <c r="MK15" s="42">
        <v>83.673469387755105</v>
      </c>
      <c r="ML15" s="42">
        <v>5.5979796899999998</v>
      </c>
      <c r="MM15" s="41" t="s">
        <v>480</v>
      </c>
      <c r="MN15" s="42">
        <v>0</v>
      </c>
      <c r="MO15" s="42">
        <v>0</v>
      </c>
      <c r="MP15" s="42">
        <v>0</v>
      </c>
      <c r="MQ15" s="42">
        <v>0</v>
      </c>
      <c r="MR15" s="42">
        <v>7.4188851700000003</v>
      </c>
      <c r="MS15" s="42">
        <v>2.1101957800000002</v>
      </c>
      <c r="MT15" s="42">
        <v>0</v>
      </c>
      <c r="MU15" s="42">
        <v>0</v>
      </c>
      <c r="MV15" s="42">
        <v>21.07805784</v>
      </c>
      <c r="MW15" s="42">
        <v>21.07805784</v>
      </c>
      <c r="MX15" s="42">
        <v>21.07805784</v>
      </c>
      <c r="MY15" s="42">
        <v>0</v>
      </c>
      <c r="MZ15" s="42">
        <v>0</v>
      </c>
      <c r="NA15" s="42">
        <v>0</v>
      </c>
      <c r="NB15" s="42">
        <v>0</v>
      </c>
      <c r="NC15" s="42">
        <v>6.6276867499999996</v>
      </c>
      <c r="ND15" s="42">
        <v>0</v>
      </c>
      <c r="NE15" s="42">
        <v>0</v>
      </c>
      <c r="NF15" s="42">
        <v>0</v>
      </c>
      <c r="NG15" s="42">
        <v>0</v>
      </c>
      <c r="NH15" s="42">
        <v>0</v>
      </c>
      <c r="NI15" s="42">
        <v>0</v>
      </c>
      <c r="NJ15" s="42">
        <v>0</v>
      </c>
      <c r="NK15" s="42">
        <v>0</v>
      </c>
      <c r="NL15" s="42">
        <v>0</v>
      </c>
      <c r="NM15" s="42">
        <v>0</v>
      </c>
      <c r="NN15" s="42">
        <v>0</v>
      </c>
      <c r="NO15" s="42">
        <v>0</v>
      </c>
      <c r="NP15" s="42">
        <v>0</v>
      </c>
      <c r="NQ15" s="42">
        <v>9.2955814100000005</v>
      </c>
      <c r="NR15" s="42">
        <v>1.0956978100000001</v>
      </c>
      <c r="NS15" s="42">
        <v>0.89189821999999996</v>
      </c>
      <c r="NT15" s="42">
        <v>0</v>
      </c>
      <c r="NU15" s="42">
        <v>0</v>
      </c>
      <c r="NV15" s="42">
        <v>0</v>
      </c>
      <c r="NW15" s="42">
        <v>0</v>
      </c>
      <c r="NX15" s="42">
        <v>20.509359</v>
      </c>
      <c r="NY15" s="42">
        <v>0</v>
      </c>
      <c r="NZ15" s="42">
        <v>0</v>
      </c>
      <c r="OA15" s="42">
        <v>0</v>
      </c>
      <c r="OB15" s="42">
        <v>0</v>
      </c>
      <c r="OC15" s="42">
        <v>3.44249311</v>
      </c>
      <c r="OD15" s="42">
        <v>3.44249311</v>
      </c>
      <c r="OE15" s="42">
        <v>1.8685962599999999</v>
      </c>
      <c r="OF15" s="42">
        <v>1.8685962599999999</v>
      </c>
      <c r="OG15" s="42">
        <v>4.4642910699999998</v>
      </c>
      <c r="OH15" s="42">
        <v>29.854440279999999</v>
      </c>
      <c r="OI15" s="42">
        <v>12.294975409999999</v>
      </c>
      <c r="OJ15" s="42">
        <v>17.53056496</v>
      </c>
      <c r="OK15" s="42">
        <v>4.4642910699999998</v>
      </c>
      <c r="OL15" s="42">
        <v>29.854440279999999</v>
      </c>
      <c r="OM15" s="42">
        <v>23.313453370000001</v>
      </c>
      <c r="ON15" s="42">
        <v>0.69559861000000001</v>
      </c>
      <c r="OO15" s="42">
        <v>21.32835734</v>
      </c>
      <c r="OP15" s="42">
        <v>0</v>
      </c>
      <c r="OQ15" s="42">
        <v>0</v>
      </c>
      <c r="OR15" s="42">
        <v>0</v>
      </c>
      <c r="OS15" s="42">
        <v>8.0184839700000001</v>
      </c>
      <c r="OT15" s="42">
        <v>8.0300839499999999</v>
      </c>
      <c r="OU15" s="42">
        <v>0</v>
      </c>
      <c r="OV15" s="42">
        <v>0</v>
      </c>
      <c r="OW15" s="42">
        <v>0</v>
      </c>
      <c r="OX15" s="42">
        <v>0</v>
      </c>
      <c r="OY15" s="42">
        <v>0</v>
      </c>
      <c r="OZ15" s="42">
        <v>0</v>
      </c>
      <c r="PA15" s="42">
        <v>0</v>
      </c>
      <c r="PB15" s="42">
        <v>0</v>
      </c>
      <c r="PC15" s="42">
        <v>0</v>
      </c>
      <c r="PD15" s="42">
        <v>0</v>
      </c>
      <c r="PE15" s="42">
        <v>0</v>
      </c>
      <c r="PF15" s="42">
        <v>4.4642910699999998</v>
      </c>
      <c r="PG15" s="42">
        <v>0</v>
      </c>
      <c r="PH15" s="42">
        <v>0</v>
      </c>
      <c r="PI15" s="42">
        <v>0</v>
      </c>
      <c r="PJ15" s="42">
        <v>4.4642910699999998</v>
      </c>
      <c r="PK15" s="42">
        <v>0.69559861000000001</v>
      </c>
      <c r="PL15" s="42">
        <v>0</v>
      </c>
      <c r="PM15" s="42">
        <v>29.854440279999999</v>
      </c>
      <c r="PN15" s="42">
        <v>1.8685962599999999</v>
      </c>
      <c r="PO15" s="42">
        <v>7.3877852199999996</v>
      </c>
      <c r="PP15" s="42">
        <v>0</v>
      </c>
      <c r="PQ15" s="42">
        <v>22.797454389999999</v>
      </c>
      <c r="PR15" s="42">
        <v>21.32835734</v>
      </c>
      <c r="PS15" s="42">
        <v>0</v>
      </c>
      <c r="PT15" s="42">
        <v>9.9186369999999996E-2</v>
      </c>
      <c r="PU15" s="42">
        <v>1.7659580000000001E-2</v>
      </c>
      <c r="PV15" s="42">
        <v>0</v>
      </c>
      <c r="PW15" s="42">
        <v>0</v>
      </c>
      <c r="PX15" s="42">
        <v>1.0592058799999999</v>
      </c>
      <c r="PY15" s="42">
        <v>0.37646247999999999</v>
      </c>
      <c r="PZ15" s="42">
        <v>7.7901529999999997E-2</v>
      </c>
      <c r="QA15" s="42">
        <v>10.42367915</v>
      </c>
      <c r="QB15" s="42">
        <v>11.427677149999999</v>
      </c>
      <c r="QC15" s="42">
        <v>0</v>
      </c>
      <c r="QD15" s="42">
        <v>0</v>
      </c>
      <c r="QE15" s="42">
        <v>0</v>
      </c>
      <c r="QF15" s="42">
        <v>13.63637275</v>
      </c>
      <c r="QG15" s="42">
        <v>4.6979905999999998</v>
      </c>
      <c r="QH15" s="42">
        <v>0</v>
      </c>
      <c r="QI15" s="42">
        <v>0</v>
      </c>
      <c r="QJ15" s="42">
        <v>0</v>
      </c>
      <c r="QK15" s="42">
        <v>1.0956978100000001</v>
      </c>
    </row>
    <row r="16" spans="1:453" x14ac:dyDescent="0.35">
      <c r="A16" s="41" t="s">
        <v>580</v>
      </c>
      <c r="B16" s="41" t="s">
        <v>581</v>
      </c>
      <c r="C16" s="41" t="s">
        <v>582</v>
      </c>
      <c r="D16" s="41" t="s">
        <v>536</v>
      </c>
      <c r="E16" s="41" t="s">
        <v>582</v>
      </c>
      <c r="F16" s="41" t="s">
        <v>1205</v>
      </c>
      <c r="G16" s="41" t="s">
        <v>583</v>
      </c>
      <c r="H16" s="42">
        <v>94.323511679999996</v>
      </c>
      <c r="I16" s="42">
        <v>76.768886429999995</v>
      </c>
      <c r="J16" s="42">
        <v>504.68546649000001</v>
      </c>
      <c r="K16" s="42">
        <v>76.781440549999999</v>
      </c>
      <c r="L16" s="42">
        <v>694.59977784</v>
      </c>
      <c r="M16" s="42">
        <v>76.781440549999999</v>
      </c>
      <c r="N16" s="42">
        <v>189.91432012999999</v>
      </c>
      <c r="O16" s="42">
        <v>76.781440549999999</v>
      </c>
      <c r="P16" s="42">
        <v>15.295809</v>
      </c>
      <c r="Q16" s="42">
        <v>4.8275017</v>
      </c>
      <c r="R16" s="42">
        <v>3.3902053200000002</v>
      </c>
      <c r="S16" s="42">
        <v>0.70226911000000003</v>
      </c>
      <c r="T16" s="42">
        <v>15.12433556</v>
      </c>
      <c r="U16" s="42">
        <v>1.97226451</v>
      </c>
      <c r="V16" s="42">
        <v>2.6885759500000002</v>
      </c>
      <c r="W16" s="42">
        <v>178.55383835000001</v>
      </c>
      <c r="X16" s="42">
        <v>77.611906050000002</v>
      </c>
      <c r="Y16" s="42">
        <v>781.64317374999996</v>
      </c>
      <c r="Z16" s="42">
        <v>78.71567288</v>
      </c>
      <c r="AA16" s="42">
        <v>1052.9397988200001</v>
      </c>
      <c r="AB16" s="42">
        <v>78.71567288</v>
      </c>
      <c r="AC16" s="42">
        <v>271.29697306999998</v>
      </c>
      <c r="AD16" s="42">
        <v>78.71567288</v>
      </c>
      <c r="AE16" s="42">
        <v>202.59174264999999</v>
      </c>
      <c r="AF16" s="42">
        <v>0.30118517</v>
      </c>
      <c r="AG16" s="42">
        <v>7779.9670402700003</v>
      </c>
      <c r="AH16" s="42">
        <v>19155.487552859999</v>
      </c>
      <c r="AI16" s="42">
        <v>3525.2824876999998</v>
      </c>
      <c r="AJ16" s="42">
        <v>7.1420031699999997</v>
      </c>
      <c r="AK16" s="42">
        <v>21.180805410000001</v>
      </c>
      <c r="AL16" s="41" t="s">
        <v>1168</v>
      </c>
      <c r="AM16" s="42">
        <v>76.422551940000005</v>
      </c>
      <c r="AN16" s="42">
        <v>21.572772950000001</v>
      </c>
      <c r="AO16" s="42">
        <v>26.993366210000001</v>
      </c>
      <c r="AP16" s="41">
        <v>3.8</v>
      </c>
      <c r="AQ16" s="42">
        <v>45.087849030000001</v>
      </c>
      <c r="AR16" s="42">
        <v>18.981242529999999</v>
      </c>
      <c r="AS16" s="42">
        <v>53.981949829999998</v>
      </c>
      <c r="AT16" s="42">
        <v>7.02738643</v>
      </c>
      <c r="AU16" s="42">
        <v>16.659725250000001</v>
      </c>
      <c r="AV16" s="42">
        <v>77.611906050000002</v>
      </c>
      <c r="AW16" s="42">
        <v>1.07377642</v>
      </c>
      <c r="AX16" s="42">
        <v>4.3504036199999998</v>
      </c>
      <c r="AY16" s="42">
        <v>8.1203289999999997E-2</v>
      </c>
      <c r="AZ16" s="42">
        <v>0.22308485</v>
      </c>
      <c r="BA16" s="42">
        <v>10.004344120000001</v>
      </c>
      <c r="BB16" s="42">
        <v>13.86394114</v>
      </c>
      <c r="BC16" s="42">
        <v>1.4341595700000001</v>
      </c>
      <c r="BD16" s="42">
        <v>1.50998254</v>
      </c>
      <c r="BE16" s="42">
        <v>1.9784706599999999</v>
      </c>
      <c r="BF16" s="42">
        <v>1.87504856</v>
      </c>
      <c r="BG16" s="42">
        <v>2.488777E-2</v>
      </c>
      <c r="BH16" s="42">
        <v>0.57920377999999995</v>
      </c>
      <c r="BI16" s="42">
        <v>1.4616999999999999E-4</v>
      </c>
      <c r="BJ16" s="42">
        <v>2.1639200000000002E-3</v>
      </c>
      <c r="BK16" s="42">
        <v>1.4103992599999999</v>
      </c>
      <c r="BL16" s="42">
        <v>2.4719910299999999</v>
      </c>
      <c r="BM16" s="42">
        <v>0.21407999999999999</v>
      </c>
      <c r="BN16" s="42">
        <v>0.57563903000000005</v>
      </c>
      <c r="BO16" s="42">
        <v>0.72441606000000003</v>
      </c>
      <c r="BP16" s="42">
        <v>0.16052055000000001</v>
      </c>
      <c r="BQ16" s="42">
        <v>1.06281E-3</v>
      </c>
      <c r="BR16" s="42">
        <v>6.2811699999999998E-2</v>
      </c>
      <c r="BS16" s="42">
        <v>1.3911274600000001</v>
      </c>
      <c r="BT16" s="42">
        <v>4.0546039999999998E-2</v>
      </c>
      <c r="BU16" s="42">
        <v>3.8631146599999999</v>
      </c>
      <c r="BV16" s="42">
        <v>6.7241400000000007E-2</v>
      </c>
      <c r="BW16" s="42">
        <v>0.18900934999999999</v>
      </c>
      <c r="BX16" s="42">
        <v>1.4051655199999999</v>
      </c>
      <c r="BY16" s="42">
        <v>5.77240763</v>
      </c>
      <c r="BZ16" s="42">
        <v>0.26831955000000002</v>
      </c>
      <c r="CA16" s="42">
        <v>18.918172989999999</v>
      </c>
      <c r="CB16" s="42">
        <v>1.5959683099999999</v>
      </c>
      <c r="CC16" s="42">
        <v>0.23946334999999999</v>
      </c>
      <c r="CD16" s="42">
        <v>4.9401130000000001E-2</v>
      </c>
      <c r="CE16" s="42">
        <v>9.9755789999999997E-2</v>
      </c>
      <c r="CF16" s="42"/>
      <c r="CG16" s="42">
        <v>30.24697746</v>
      </c>
      <c r="CH16" s="42">
        <v>4.2057322399999997</v>
      </c>
      <c r="CI16" s="42">
        <v>25.575048850000002</v>
      </c>
      <c r="CJ16" s="42">
        <v>27.233688010000002</v>
      </c>
      <c r="CK16" s="42">
        <v>16.708945440000001</v>
      </c>
      <c r="CL16" s="42">
        <v>0.57808766</v>
      </c>
      <c r="CM16" s="42">
        <v>4.9608730000000003</v>
      </c>
      <c r="CN16" s="42">
        <v>0.25616398000000001</v>
      </c>
      <c r="CO16" s="42">
        <v>11.263841940000001</v>
      </c>
      <c r="CP16" s="42">
        <v>13.275391730000001</v>
      </c>
      <c r="CQ16" s="42">
        <v>0.61345839999999996</v>
      </c>
      <c r="CR16" s="42">
        <v>2.0702353800000002</v>
      </c>
      <c r="CS16" s="42">
        <v>10.0251681</v>
      </c>
      <c r="CT16" s="42">
        <v>23.698804500000001</v>
      </c>
      <c r="CU16" s="42">
        <v>18.91986683</v>
      </c>
      <c r="CV16" s="42">
        <v>15.770873229999999</v>
      </c>
      <c r="CW16" s="42">
        <v>0.90877931999999995</v>
      </c>
      <c r="CX16" s="42">
        <v>53.437539180000002</v>
      </c>
      <c r="CY16" s="42">
        <v>16.591175830000001</v>
      </c>
      <c r="CZ16" s="42">
        <v>7.3013210199999996</v>
      </c>
      <c r="DA16" s="42">
        <v>37.457829050000001</v>
      </c>
      <c r="DB16" s="42">
        <v>37.354905240000001</v>
      </c>
      <c r="DC16" s="42">
        <v>15.51271652</v>
      </c>
      <c r="DD16" s="42">
        <v>17.032762179999999</v>
      </c>
      <c r="DE16" s="42">
        <v>42.612992030000001</v>
      </c>
      <c r="DF16" s="42">
        <v>77.328142920000005</v>
      </c>
      <c r="DG16" s="42">
        <v>4.5129114599999998</v>
      </c>
      <c r="DH16" s="42">
        <v>74.036171789999997</v>
      </c>
      <c r="DI16" s="42">
        <v>81.688709459999998</v>
      </c>
      <c r="DJ16" s="42">
        <v>6.3146263100000004</v>
      </c>
      <c r="DK16" s="42">
        <v>28.900497510000001</v>
      </c>
      <c r="DL16" s="42">
        <v>5.3434749400000001</v>
      </c>
      <c r="DM16" s="42">
        <v>48.208944449999997</v>
      </c>
      <c r="DN16" s="42">
        <v>6.8310393600000001</v>
      </c>
      <c r="DO16" s="42">
        <v>12.32297187</v>
      </c>
      <c r="DP16" s="42">
        <v>1.37348132</v>
      </c>
      <c r="DQ16" s="42">
        <v>5.4908767200000002</v>
      </c>
      <c r="DR16" s="42">
        <v>74.079911940000002</v>
      </c>
      <c r="DS16" s="42">
        <v>19.877866180000002</v>
      </c>
      <c r="DT16" s="42">
        <v>13.5924333</v>
      </c>
      <c r="DU16" s="42">
        <v>4.7655865500000001</v>
      </c>
      <c r="DV16" s="42">
        <v>15.059771570000001</v>
      </c>
      <c r="DW16" s="42">
        <v>17.475245510000001</v>
      </c>
      <c r="DX16" s="42">
        <v>23.22563349</v>
      </c>
      <c r="DY16" s="42">
        <v>17.37630699</v>
      </c>
      <c r="DZ16" s="42">
        <v>8.1246126600000004</v>
      </c>
      <c r="EA16" s="42">
        <v>54.790296240000004</v>
      </c>
      <c r="EB16" s="42">
        <v>0.62710856000000004</v>
      </c>
      <c r="EC16" s="42">
        <v>2.5699284800000002</v>
      </c>
      <c r="ED16" s="42">
        <v>4.3169435700000003</v>
      </c>
      <c r="EE16" s="42">
        <v>6.7545188700000001</v>
      </c>
      <c r="EF16" s="42">
        <v>15.9181352</v>
      </c>
      <c r="EG16" s="42">
        <v>42.964507650000002</v>
      </c>
      <c r="EH16" s="42">
        <v>3.2413399799999998</v>
      </c>
      <c r="EI16" s="42">
        <v>16.269750340000002</v>
      </c>
      <c r="EJ16" s="42">
        <v>11.06716059</v>
      </c>
      <c r="EK16" s="42">
        <v>39.857261479999998</v>
      </c>
      <c r="EL16" s="42">
        <v>23.86679079</v>
      </c>
      <c r="EM16" s="42">
        <v>10.62547451</v>
      </c>
      <c r="EN16" s="42">
        <v>1.25152694</v>
      </c>
      <c r="EO16" s="42">
        <v>9839.5867593000003</v>
      </c>
      <c r="EP16" s="42">
        <v>13.00517904</v>
      </c>
      <c r="EQ16" s="42">
        <v>20440.783073369999</v>
      </c>
      <c r="ER16" s="42">
        <v>21.106476789999999</v>
      </c>
      <c r="ES16" s="42">
        <v>17.767079150000001</v>
      </c>
      <c r="ET16" s="42">
        <v>13.59851106</v>
      </c>
      <c r="EU16" s="42">
        <v>1.3771678300000001</v>
      </c>
      <c r="EV16" s="42">
        <v>29.155764850000001</v>
      </c>
      <c r="EW16" s="42">
        <v>1.22701649</v>
      </c>
      <c r="EX16" s="42">
        <v>14.1246884</v>
      </c>
      <c r="EY16" s="42">
        <v>0.76201558999999996</v>
      </c>
      <c r="EZ16" s="42">
        <v>1.1876602999999999</v>
      </c>
      <c r="FA16" s="42">
        <v>43.738678749999998</v>
      </c>
      <c r="FB16" s="42">
        <v>53.97716741</v>
      </c>
      <c r="FC16" s="42">
        <v>13.77247536</v>
      </c>
      <c r="FD16" s="42">
        <v>48.694669509999997</v>
      </c>
      <c r="FE16" s="41" t="s">
        <v>1150</v>
      </c>
      <c r="FF16" s="42">
        <v>3.66102251</v>
      </c>
      <c r="FG16" s="42">
        <v>3.66102251</v>
      </c>
      <c r="FH16" s="42">
        <v>2.2900322399999999</v>
      </c>
      <c r="FI16" s="42">
        <v>1.9555544300000001</v>
      </c>
      <c r="FJ16" s="42">
        <v>68.374957960000003</v>
      </c>
      <c r="FK16" s="42">
        <v>0</v>
      </c>
      <c r="FL16" s="42">
        <v>0.33447780999999999</v>
      </c>
      <c r="FM16" s="41" t="s">
        <v>1151</v>
      </c>
      <c r="FN16" s="42">
        <v>0.48413097999999999</v>
      </c>
      <c r="FO16" s="42">
        <v>1.31579208</v>
      </c>
      <c r="FP16" s="42">
        <v>0.29243143999999999</v>
      </c>
      <c r="FQ16" s="42">
        <v>0.29243143999999999</v>
      </c>
      <c r="FR16" s="42">
        <v>72.717789190000005</v>
      </c>
      <c r="FS16" s="42">
        <v>0.83166110000000004</v>
      </c>
      <c r="FT16" s="42">
        <v>0</v>
      </c>
      <c r="FU16" s="41" t="s">
        <v>1151</v>
      </c>
      <c r="FV16" s="42">
        <v>2.0943472600000002</v>
      </c>
      <c r="FW16" s="42">
        <v>2.0943472600000002</v>
      </c>
      <c r="FX16" s="42">
        <v>1.0442841899999999</v>
      </c>
      <c r="FY16" s="42">
        <v>1.0442841899999999</v>
      </c>
      <c r="FZ16" s="42">
        <v>71.187381259999995</v>
      </c>
      <c r="GA16" s="42">
        <v>0</v>
      </c>
      <c r="GB16" s="42">
        <v>0</v>
      </c>
      <c r="GC16" s="41" t="s">
        <v>1150</v>
      </c>
      <c r="GD16" s="42">
        <v>0</v>
      </c>
      <c r="GE16" s="42">
        <v>0</v>
      </c>
      <c r="GF16" s="42">
        <v>0</v>
      </c>
      <c r="GG16" s="42">
        <v>0</v>
      </c>
      <c r="GH16" s="42">
        <v>74.326012710000001</v>
      </c>
      <c r="GI16" s="42">
        <v>0</v>
      </c>
      <c r="GJ16" s="42">
        <v>0</v>
      </c>
      <c r="GK16" s="41" t="s">
        <v>1151</v>
      </c>
      <c r="GL16" s="42">
        <v>21.30156406</v>
      </c>
      <c r="GM16" s="42">
        <v>21.30156406</v>
      </c>
      <c r="GN16" s="42">
        <v>0</v>
      </c>
      <c r="GO16" s="42">
        <v>0</v>
      </c>
      <c r="GP16" s="42">
        <v>53.024448649999997</v>
      </c>
      <c r="GQ16" s="42">
        <v>0</v>
      </c>
      <c r="GR16" s="42">
        <v>0</v>
      </c>
      <c r="GS16" s="41" t="s">
        <v>1151</v>
      </c>
      <c r="GT16" s="42">
        <v>2.6979417400000001</v>
      </c>
      <c r="GU16" s="42">
        <v>2.7458666200000001</v>
      </c>
      <c r="GV16" s="42">
        <v>0.60827734</v>
      </c>
      <c r="GW16" s="42">
        <v>0.60827734</v>
      </c>
      <c r="GX16" s="42">
        <v>70.971868749999999</v>
      </c>
      <c r="GY16" s="42">
        <v>4.7924880000000003E-2</v>
      </c>
      <c r="GZ16" s="42">
        <v>0</v>
      </c>
      <c r="HA16" s="41" t="s">
        <v>1150</v>
      </c>
      <c r="HB16" s="42">
        <v>11.883378130000001</v>
      </c>
      <c r="HC16" s="42">
        <v>12.2451562</v>
      </c>
      <c r="HD16" s="42">
        <v>8.0294603700000007</v>
      </c>
      <c r="HE16" s="42">
        <v>0</v>
      </c>
      <c r="HF16" s="42">
        <v>54.051396140000001</v>
      </c>
      <c r="HG16" s="42">
        <v>0.36177807000000001</v>
      </c>
      <c r="HH16" s="42">
        <v>8.0294603700000007</v>
      </c>
      <c r="HI16" s="41" t="s">
        <v>1150</v>
      </c>
      <c r="HJ16" s="42">
        <v>3.3258473400000002</v>
      </c>
      <c r="HK16" s="42">
        <v>3.3258473400000002</v>
      </c>
      <c r="HL16" s="42">
        <v>0.79160746999999998</v>
      </c>
      <c r="HM16" s="42">
        <v>0.67164581000000001</v>
      </c>
      <c r="HN16" s="42">
        <v>70.208557900000002</v>
      </c>
      <c r="HO16" s="42">
        <v>0</v>
      </c>
      <c r="HP16" s="42">
        <v>0.11996166</v>
      </c>
      <c r="HQ16" s="41" t="s">
        <v>1151</v>
      </c>
      <c r="HR16" s="42">
        <v>9.4894255899999997</v>
      </c>
      <c r="HS16" s="42">
        <v>9.5573772899999998</v>
      </c>
      <c r="HT16" s="42">
        <v>3.9365159799999998</v>
      </c>
      <c r="HU16" s="42">
        <v>3.9365159799999998</v>
      </c>
      <c r="HV16" s="42">
        <v>60.83211944</v>
      </c>
      <c r="HW16" s="42">
        <v>6.7951700000000004E-2</v>
      </c>
      <c r="HX16" s="42">
        <v>0</v>
      </c>
      <c r="HY16" s="41" t="s">
        <v>1150</v>
      </c>
      <c r="HZ16" s="42">
        <v>4.7952780300000004</v>
      </c>
      <c r="IA16" s="42">
        <v>4.7952780300000004</v>
      </c>
      <c r="IB16" s="42">
        <v>3.28140973</v>
      </c>
      <c r="IC16" s="42">
        <v>2.9469319199999999</v>
      </c>
      <c r="ID16" s="42">
        <v>66.249324950000002</v>
      </c>
      <c r="IE16" s="42">
        <v>0</v>
      </c>
      <c r="IF16" s="42">
        <v>0.33447780999999999</v>
      </c>
      <c r="IG16" s="41" t="s">
        <v>1150</v>
      </c>
      <c r="IH16" s="42">
        <v>1.5250275499999999</v>
      </c>
      <c r="II16" s="42">
        <v>1.5250275499999999</v>
      </c>
      <c r="IJ16" s="42">
        <v>1.54864128</v>
      </c>
      <c r="IK16" s="42">
        <v>1.42867962</v>
      </c>
      <c r="IL16" s="42">
        <v>71.252343879999998</v>
      </c>
      <c r="IM16" s="42">
        <v>0</v>
      </c>
      <c r="IN16" s="42">
        <v>0.11996166</v>
      </c>
      <c r="IO16" s="41" t="s">
        <v>1150</v>
      </c>
      <c r="IP16" s="42">
        <v>9.3435586799999992</v>
      </c>
      <c r="IQ16" s="42">
        <v>10.020285919999999</v>
      </c>
      <c r="IR16" s="42">
        <v>8.8054249999999996</v>
      </c>
      <c r="IS16" s="42">
        <v>0.77596463000000004</v>
      </c>
      <c r="IT16" s="42">
        <v>55.500301790000002</v>
      </c>
      <c r="IU16" s="42">
        <v>0.67672723999999995</v>
      </c>
      <c r="IV16" s="42">
        <v>8.0294603700000007</v>
      </c>
      <c r="IW16" s="41" t="s">
        <v>1150</v>
      </c>
      <c r="IX16" s="42">
        <v>10.6859535</v>
      </c>
      <c r="IY16" s="42">
        <v>11.16291071</v>
      </c>
      <c r="IZ16" s="42">
        <v>8.0294603700000007</v>
      </c>
      <c r="JA16" s="42">
        <v>0</v>
      </c>
      <c r="JB16" s="42">
        <v>55.13364163</v>
      </c>
      <c r="JC16" s="42">
        <v>0.47695721000000002</v>
      </c>
      <c r="JD16" s="42">
        <v>8.0294603700000007</v>
      </c>
      <c r="JE16" s="41" t="s">
        <v>1150</v>
      </c>
      <c r="JF16" s="42">
        <v>0</v>
      </c>
      <c r="JG16" s="42">
        <v>0</v>
      </c>
      <c r="JH16" s="42">
        <v>2.7894074899999999</v>
      </c>
      <c r="JI16" s="42">
        <v>1.71045</v>
      </c>
      <c r="JJ16" s="42">
        <v>71.536605219999998</v>
      </c>
      <c r="JK16" s="42">
        <v>0</v>
      </c>
      <c r="JL16" s="42">
        <v>1.0789574900000001</v>
      </c>
      <c r="JM16" s="41" t="s">
        <v>1150</v>
      </c>
      <c r="JN16" s="42">
        <v>0</v>
      </c>
      <c r="JO16" s="42">
        <v>0</v>
      </c>
      <c r="JP16" s="42">
        <v>2.0500092599999999</v>
      </c>
      <c r="JQ16" s="42">
        <v>2.0500092599999999</v>
      </c>
      <c r="JR16" s="42">
        <v>72.276003450000005</v>
      </c>
      <c r="JS16" s="42">
        <v>0</v>
      </c>
      <c r="JT16" s="42">
        <v>0</v>
      </c>
      <c r="JU16" s="41" t="s">
        <v>1150</v>
      </c>
      <c r="JV16" s="42">
        <v>3.5677634</v>
      </c>
      <c r="JW16" s="42">
        <v>3.5677634</v>
      </c>
      <c r="JX16" s="42">
        <v>1.44780972</v>
      </c>
      <c r="JY16" s="42">
        <v>1.32784806</v>
      </c>
      <c r="JZ16" s="42">
        <v>69.310439590000001</v>
      </c>
      <c r="KA16" s="42">
        <v>0</v>
      </c>
      <c r="KB16" s="42">
        <v>0.11996166</v>
      </c>
      <c r="KC16" s="41" t="s">
        <v>1150</v>
      </c>
      <c r="KD16" s="42">
        <v>0.96955725000000004</v>
      </c>
      <c r="KE16" s="42">
        <v>0.96955725000000004</v>
      </c>
      <c r="KF16" s="42">
        <v>0.99307131999999998</v>
      </c>
      <c r="KG16" s="42">
        <v>0.87310966000000001</v>
      </c>
      <c r="KH16" s="42">
        <v>72.363384139999994</v>
      </c>
      <c r="KI16" s="42">
        <v>0</v>
      </c>
      <c r="KJ16" s="42">
        <v>0.11996166</v>
      </c>
      <c r="KK16" s="42">
        <v>74.326012710000001</v>
      </c>
      <c r="KL16" s="42">
        <v>-0.64548609999999995</v>
      </c>
      <c r="KM16" s="42">
        <v>-11.89433807</v>
      </c>
      <c r="KN16" s="42">
        <v>13.186715769999999</v>
      </c>
      <c r="KO16" s="41" t="s">
        <v>1206</v>
      </c>
      <c r="KP16" s="41" t="s">
        <v>1153</v>
      </c>
      <c r="KQ16" s="41" t="s">
        <v>1154</v>
      </c>
      <c r="KR16" s="42">
        <v>44.176166000000002</v>
      </c>
      <c r="KS16" s="42">
        <v>75.104493739999995</v>
      </c>
      <c r="KT16" s="42">
        <v>74.627197879999997</v>
      </c>
      <c r="KU16" s="42">
        <v>4.7901861904702967</v>
      </c>
      <c r="KV16" s="42">
        <v>5.8955409490346531</v>
      </c>
      <c r="KW16" s="42">
        <v>11.684504820000001</v>
      </c>
      <c r="KX16" s="42">
        <v>18.766527060000001</v>
      </c>
      <c r="KY16" s="41"/>
      <c r="KZ16" s="42">
        <v>5.4268350099999996</v>
      </c>
      <c r="LA16" s="42">
        <v>22.323411816970236</v>
      </c>
      <c r="LB16" s="42">
        <v>5.5413925770049506</v>
      </c>
      <c r="LC16" s="42">
        <v>42.821782178217823</v>
      </c>
      <c r="LD16" s="41" t="s">
        <v>1187</v>
      </c>
      <c r="LE16" s="42">
        <v>17.175825280000002</v>
      </c>
      <c r="LF16" s="42">
        <v>15.14994203</v>
      </c>
      <c r="LG16" s="42">
        <v>3.61658503</v>
      </c>
      <c r="LH16" s="42">
        <v>9.4239648500000008</v>
      </c>
      <c r="LI16" s="42">
        <v>11.21561818</v>
      </c>
      <c r="LJ16" s="42">
        <v>15.784722540000001</v>
      </c>
      <c r="LK16" s="42">
        <v>2.26053997</v>
      </c>
      <c r="LL16" s="42">
        <v>25.372802119999999</v>
      </c>
      <c r="LM16" s="42">
        <v>4.4125782198267327</v>
      </c>
      <c r="LN16" s="42">
        <v>25.372802119999999</v>
      </c>
      <c r="LO16" s="42">
        <v>12.97688252</v>
      </c>
      <c r="LP16" s="42">
        <v>48.463599590000001</v>
      </c>
      <c r="LQ16" s="42">
        <v>4.77229875</v>
      </c>
      <c r="LR16" s="42">
        <v>15.180986089999999</v>
      </c>
      <c r="LS16" s="41" t="s">
        <v>1155</v>
      </c>
      <c r="LT16" s="42">
        <v>5.7823950799999997</v>
      </c>
      <c r="LU16" s="42">
        <v>29.855497840000002</v>
      </c>
      <c r="LV16" s="43">
        <v>1336</v>
      </c>
      <c r="LW16" s="43">
        <v>1</v>
      </c>
      <c r="LX16" s="43">
        <v>1326</v>
      </c>
      <c r="LY16" s="41" t="s">
        <v>480</v>
      </c>
      <c r="LZ16" s="41" t="s">
        <v>1207</v>
      </c>
      <c r="MA16" s="44">
        <v>46203</v>
      </c>
      <c r="MB16" s="41" t="s">
        <v>1208</v>
      </c>
      <c r="MC16" s="43">
        <v>404</v>
      </c>
      <c r="MD16" s="41" t="s">
        <v>1158</v>
      </c>
      <c r="ME16" s="41" t="s">
        <v>581</v>
      </c>
      <c r="MF16" s="42">
        <v>4.2773416400000004</v>
      </c>
      <c r="MG16" s="42">
        <v>29.590713950000001</v>
      </c>
      <c r="MH16" s="42">
        <v>17626117386</v>
      </c>
      <c r="MI16" s="42">
        <v>5.4268350099999996</v>
      </c>
      <c r="MJ16" s="42">
        <v>22.323411816970236</v>
      </c>
      <c r="MK16" s="42">
        <v>42.821782178217823</v>
      </c>
      <c r="ML16" s="42">
        <v>4.9801424699999997</v>
      </c>
      <c r="MM16" s="41" t="s">
        <v>480</v>
      </c>
      <c r="MN16" s="42">
        <v>5.5175389700000004</v>
      </c>
      <c r="MO16" s="42">
        <v>0.67602978999999996</v>
      </c>
      <c r="MP16" s="42">
        <v>0</v>
      </c>
      <c r="MQ16" s="42">
        <v>0</v>
      </c>
      <c r="MR16" s="42">
        <v>11.878994090000001</v>
      </c>
      <c r="MS16" s="42">
        <v>0.59741705000000001</v>
      </c>
      <c r="MT16" s="42">
        <v>0</v>
      </c>
      <c r="MU16" s="42">
        <v>0</v>
      </c>
      <c r="MV16" s="42">
        <v>5.0296217700000003</v>
      </c>
      <c r="MW16" s="42">
        <v>4.6959410400000001</v>
      </c>
      <c r="MX16" s="42">
        <v>3.3915074500000002</v>
      </c>
      <c r="MY16" s="42">
        <v>0</v>
      </c>
      <c r="MZ16" s="42">
        <v>0.1189653</v>
      </c>
      <c r="NA16" s="42">
        <v>0.1189653</v>
      </c>
      <c r="NB16" s="42">
        <v>0</v>
      </c>
      <c r="NC16" s="42">
        <v>7.9941892699999997</v>
      </c>
      <c r="ND16" s="42">
        <v>0</v>
      </c>
      <c r="NE16" s="42">
        <v>0.18273229999999999</v>
      </c>
      <c r="NF16" s="42">
        <v>0.39724844999999998</v>
      </c>
      <c r="NG16" s="42">
        <v>0.18273229999999999</v>
      </c>
      <c r="NH16" s="42">
        <v>0.18273229999999999</v>
      </c>
      <c r="NI16" s="42">
        <v>0.18273229999999999</v>
      </c>
      <c r="NJ16" s="42">
        <v>0.18273229999999999</v>
      </c>
      <c r="NK16" s="42">
        <v>0</v>
      </c>
      <c r="NL16" s="42">
        <v>0.39724844999999998</v>
      </c>
      <c r="NM16" s="42">
        <v>0</v>
      </c>
      <c r="NN16" s="42">
        <v>0</v>
      </c>
      <c r="NO16" s="42">
        <v>0</v>
      </c>
      <c r="NP16" s="42">
        <v>0</v>
      </c>
      <c r="NQ16" s="42">
        <v>0</v>
      </c>
      <c r="NR16" s="42">
        <v>3.4959258700000002</v>
      </c>
      <c r="NS16" s="42">
        <v>2.6606778699999998</v>
      </c>
      <c r="NT16" s="42">
        <v>0</v>
      </c>
      <c r="NU16" s="42">
        <v>0.15881967</v>
      </c>
      <c r="NV16" s="42">
        <v>0.21451614999999999</v>
      </c>
      <c r="NW16" s="42">
        <v>0</v>
      </c>
      <c r="NX16" s="42">
        <v>3.3176772099999998</v>
      </c>
      <c r="NY16" s="42">
        <v>5.9755653400000002</v>
      </c>
      <c r="NZ16" s="42">
        <v>5.2511124799999997</v>
      </c>
      <c r="OA16" s="42">
        <v>2.7037206199999999</v>
      </c>
      <c r="OB16" s="42">
        <v>3.0022298699999999</v>
      </c>
      <c r="OC16" s="42">
        <v>8.9273790000000006E-2</v>
      </c>
      <c r="OD16" s="42">
        <v>8.9273790000000006E-2</v>
      </c>
      <c r="OE16" s="42">
        <v>0</v>
      </c>
      <c r="OF16" s="42">
        <v>0</v>
      </c>
      <c r="OG16" s="42">
        <v>0.11996166</v>
      </c>
      <c r="OH16" s="42">
        <v>3.0824367800000001</v>
      </c>
      <c r="OI16" s="42">
        <v>0.79838271000000005</v>
      </c>
      <c r="OJ16" s="42">
        <v>2.9784168599999998</v>
      </c>
      <c r="OK16" s="42">
        <v>0.11996166</v>
      </c>
      <c r="OL16" s="42">
        <v>0.62033331000000003</v>
      </c>
      <c r="OM16" s="42">
        <v>24.926817410000002</v>
      </c>
      <c r="ON16" s="42">
        <v>0</v>
      </c>
      <c r="OO16" s="42">
        <v>9.3657779999999996E-2</v>
      </c>
      <c r="OP16" s="42">
        <v>0</v>
      </c>
      <c r="OQ16" s="42">
        <v>0</v>
      </c>
      <c r="OR16" s="42">
        <v>0</v>
      </c>
      <c r="OS16" s="42">
        <v>0.67184509000000003</v>
      </c>
      <c r="OT16" s="42">
        <v>1.4419311800000001</v>
      </c>
      <c r="OU16" s="42">
        <v>1.21655471</v>
      </c>
      <c r="OV16" s="42">
        <v>1.1351521499999999</v>
      </c>
      <c r="OW16" s="42">
        <v>1.1351521499999999</v>
      </c>
      <c r="OX16" s="42">
        <v>0.10382064000000001</v>
      </c>
      <c r="OY16" s="42">
        <v>0.10382064000000001</v>
      </c>
      <c r="OZ16" s="42">
        <v>0.10382064000000001</v>
      </c>
      <c r="PA16" s="42">
        <v>0.10382064000000001</v>
      </c>
      <c r="PB16" s="42">
        <v>0.10820462</v>
      </c>
      <c r="PC16" s="42">
        <v>0.10820462</v>
      </c>
      <c r="PD16" s="42">
        <v>0.10820462</v>
      </c>
      <c r="PE16" s="42">
        <v>3.0873189700000001</v>
      </c>
      <c r="PF16" s="42">
        <v>0.11996166</v>
      </c>
      <c r="PG16" s="42">
        <v>0</v>
      </c>
      <c r="PH16" s="42">
        <v>0</v>
      </c>
      <c r="PI16" s="42">
        <v>0</v>
      </c>
      <c r="PJ16" s="42">
        <v>0.11996166</v>
      </c>
      <c r="PK16" s="42">
        <v>0</v>
      </c>
      <c r="PL16" s="42">
        <v>0</v>
      </c>
      <c r="PM16" s="42">
        <v>7.5604740399999999</v>
      </c>
      <c r="PN16" s="42">
        <v>3.6642109899999999</v>
      </c>
      <c r="PO16" s="42">
        <v>0.83225890999999996</v>
      </c>
      <c r="PP16" s="42">
        <v>2.4436708299999998</v>
      </c>
      <c r="PQ16" s="42">
        <v>0.52667553</v>
      </c>
      <c r="PR16" s="42">
        <v>9.3657779999999996E-2</v>
      </c>
      <c r="PS16" s="42">
        <v>4.059099E-2</v>
      </c>
      <c r="PT16" s="42">
        <v>0.26733468999999999</v>
      </c>
      <c r="PU16" s="42">
        <v>0.21910062</v>
      </c>
      <c r="PV16" s="42">
        <v>2.2187720000000001E-2</v>
      </c>
      <c r="PW16" s="42">
        <v>2.2595700000000001</v>
      </c>
      <c r="PX16" s="42">
        <v>8.8380999999999996E-4</v>
      </c>
      <c r="PY16" s="42">
        <v>0.35580821000000001</v>
      </c>
      <c r="PZ16" s="42">
        <v>0.18845366</v>
      </c>
      <c r="QA16" s="42">
        <v>7.5340705100000003</v>
      </c>
      <c r="QB16" s="42">
        <v>0</v>
      </c>
      <c r="QC16" s="42">
        <v>0</v>
      </c>
      <c r="QD16" s="42">
        <v>0</v>
      </c>
      <c r="QE16" s="42">
        <v>0</v>
      </c>
      <c r="QF16" s="42">
        <v>0.6114657</v>
      </c>
      <c r="QG16" s="42">
        <v>6.7663755700000001</v>
      </c>
      <c r="QH16" s="42">
        <v>0</v>
      </c>
      <c r="QI16" s="42">
        <v>0</v>
      </c>
      <c r="QJ16" s="42">
        <v>0</v>
      </c>
      <c r="QK16" s="42">
        <v>3.6083151999999998</v>
      </c>
    </row>
    <row r="17" spans="1:453" x14ac:dyDescent="0.35">
      <c r="A17" s="41" t="s">
        <v>584</v>
      </c>
      <c r="B17" s="41" t="s">
        <v>585</v>
      </c>
      <c r="C17" s="41" t="s">
        <v>586</v>
      </c>
      <c r="D17" s="41" t="s">
        <v>536</v>
      </c>
      <c r="E17" s="41" t="s">
        <v>586</v>
      </c>
      <c r="F17" s="41" t="s">
        <v>1209</v>
      </c>
      <c r="G17" s="41" t="s">
        <v>587</v>
      </c>
      <c r="H17" s="42">
        <v>138.32673435000001</v>
      </c>
      <c r="I17" s="42">
        <v>98.477404570000004</v>
      </c>
      <c r="J17" s="42">
        <v>121.71788214</v>
      </c>
      <c r="K17" s="42">
        <v>98.477404570000004</v>
      </c>
      <c r="L17" s="42">
        <v>180.1304112</v>
      </c>
      <c r="M17" s="42">
        <v>98.477404570000004</v>
      </c>
      <c r="N17" s="42">
        <v>58.412529059999997</v>
      </c>
      <c r="O17" s="42">
        <v>98.477404570000004</v>
      </c>
      <c r="P17" s="42">
        <v>64.389506859999997</v>
      </c>
      <c r="Q17" s="42">
        <v>17.238062330000002</v>
      </c>
      <c r="R17" s="42">
        <v>7.3190323900000003</v>
      </c>
      <c r="S17" s="42">
        <v>0.42458555999999997</v>
      </c>
      <c r="T17" s="42">
        <v>64.013507989999994</v>
      </c>
      <c r="U17" s="42">
        <v>8.4951477700000009</v>
      </c>
      <c r="V17" s="42">
        <v>27.230118310000002</v>
      </c>
      <c r="W17" s="42">
        <v>809.97363149</v>
      </c>
      <c r="X17" s="42">
        <v>98.477404570000004</v>
      </c>
      <c r="Y17" s="42">
        <v>587.94999089999999</v>
      </c>
      <c r="Z17" s="42">
        <v>98.477404570000004</v>
      </c>
      <c r="AA17" s="42">
        <v>911.77848028999995</v>
      </c>
      <c r="AB17" s="42">
        <v>98.477404570000004</v>
      </c>
      <c r="AC17" s="42">
        <v>323.82750084000003</v>
      </c>
      <c r="AD17" s="42">
        <v>98.477404570000004</v>
      </c>
      <c r="AE17" s="42">
        <v>202.59174264999999</v>
      </c>
      <c r="AF17" s="42">
        <v>6.4396610000000007E-2</v>
      </c>
      <c r="AG17" s="42">
        <v>1691.4914409099999</v>
      </c>
      <c r="AH17" s="42">
        <v>4152.1265205</v>
      </c>
      <c r="AI17" s="42">
        <v>2618.9323053500002</v>
      </c>
      <c r="AJ17" s="42">
        <v>16.744149820000001</v>
      </c>
      <c r="AK17" s="42">
        <v>22.07663376</v>
      </c>
      <c r="AL17" s="41" t="s">
        <v>1149</v>
      </c>
      <c r="AM17" s="42">
        <v>98.477404570000004</v>
      </c>
      <c r="AN17" s="42">
        <v>29.780410620000001</v>
      </c>
      <c r="AO17" s="42">
        <v>29.876210369999999</v>
      </c>
      <c r="AP17" s="41">
        <v>2.2000000000000002</v>
      </c>
      <c r="AQ17" s="42">
        <v>64.703305920000005</v>
      </c>
      <c r="AR17" s="42">
        <v>47.766856740000001</v>
      </c>
      <c r="AS17" s="42">
        <v>97.886006339999994</v>
      </c>
      <c r="AT17" s="42">
        <v>19.617824800000001</v>
      </c>
      <c r="AU17" s="42">
        <v>30.86920744</v>
      </c>
      <c r="AV17" s="42">
        <v>98.477404570000004</v>
      </c>
      <c r="AW17" s="42">
        <v>0</v>
      </c>
      <c r="AX17" s="42">
        <v>28.374214859999999</v>
      </c>
      <c r="AY17" s="42">
        <v>0</v>
      </c>
      <c r="AZ17" s="42">
        <v>0</v>
      </c>
      <c r="BA17" s="42">
        <v>20.589938220000001</v>
      </c>
      <c r="BB17" s="42">
        <v>33.147700540000002</v>
      </c>
      <c r="BC17" s="42">
        <v>1.89619431</v>
      </c>
      <c r="BD17" s="42">
        <v>0</v>
      </c>
      <c r="BE17" s="42">
        <v>1.18619644</v>
      </c>
      <c r="BF17" s="42">
        <v>0</v>
      </c>
      <c r="BG17" s="42">
        <v>0</v>
      </c>
      <c r="BH17" s="42">
        <v>4.3615928400000001</v>
      </c>
      <c r="BI17" s="42">
        <v>0</v>
      </c>
      <c r="BJ17" s="42">
        <v>0</v>
      </c>
      <c r="BK17" s="42">
        <v>1.0619426599999999</v>
      </c>
      <c r="BL17" s="42">
        <v>5.5456376900000004</v>
      </c>
      <c r="BM17" s="42">
        <v>1.00735E-3</v>
      </c>
      <c r="BN17" s="42">
        <v>0</v>
      </c>
      <c r="BO17" s="42">
        <v>6.1682200000000003E-3</v>
      </c>
      <c r="BP17" s="42">
        <v>0</v>
      </c>
      <c r="BQ17" s="42">
        <v>0</v>
      </c>
      <c r="BR17" s="42">
        <v>0</v>
      </c>
      <c r="BS17" s="42">
        <v>6.1682200000000003E-3</v>
      </c>
      <c r="BT17" s="42">
        <v>0</v>
      </c>
      <c r="BU17" s="42">
        <v>5.5518059099999997</v>
      </c>
      <c r="BV17" s="42">
        <v>0.12109484</v>
      </c>
      <c r="BW17" s="42">
        <v>0</v>
      </c>
      <c r="BX17" s="42">
        <v>0</v>
      </c>
      <c r="BY17" s="42">
        <v>1.18619644</v>
      </c>
      <c r="BZ17" s="42">
        <v>0</v>
      </c>
      <c r="CA17" s="42">
        <v>34.333896979999999</v>
      </c>
      <c r="CB17" s="42">
        <v>0.36639890000000003</v>
      </c>
      <c r="CC17" s="42">
        <v>1.4136660000000001E-2</v>
      </c>
      <c r="CD17" s="42">
        <v>0</v>
      </c>
      <c r="CE17" s="42">
        <v>0.12131864000000001</v>
      </c>
      <c r="CF17" s="42"/>
      <c r="CG17" s="42">
        <v>72.811781580000002</v>
      </c>
      <c r="CH17" s="42">
        <v>30.464308599999999</v>
      </c>
      <c r="CI17" s="42">
        <v>0.56509830000000005</v>
      </c>
      <c r="CJ17" s="42">
        <v>45.142664600000003</v>
      </c>
      <c r="CK17" s="42">
        <v>22.32223303</v>
      </c>
      <c r="CL17" s="42">
        <v>7.3195780499999996</v>
      </c>
      <c r="CM17" s="42">
        <v>2.7782916599999998</v>
      </c>
      <c r="CN17" s="42">
        <v>2.0955937100000002</v>
      </c>
      <c r="CO17" s="42">
        <v>16.59495021</v>
      </c>
      <c r="CP17" s="42">
        <v>14.295857120000001</v>
      </c>
      <c r="CQ17" s="42">
        <v>0</v>
      </c>
      <c r="CR17" s="42">
        <v>5.33788398</v>
      </c>
      <c r="CS17" s="42">
        <v>10.45646867</v>
      </c>
      <c r="CT17" s="42">
        <v>82.496552480000005</v>
      </c>
      <c r="CU17" s="42">
        <v>20.528438399999999</v>
      </c>
      <c r="CV17" s="42">
        <v>6.3716808800000004</v>
      </c>
      <c r="CW17" s="42">
        <v>0</v>
      </c>
      <c r="CX17" s="42">
        <v>43.312370049999998</v>
      </c>
      <c r="CY17" s="42">
        <v>12.53426239</v>
      </c>
      <c r="CZ17" s="42">
        <v>14.7978556</v>
      </c>
      <c r="DA17" s="42">
        <v>73.733678819999994</v>
      </c>
      <c r="DB17" s="42">
        <v>47.046458829999999</v>
      </c>
      <c r="DC17" s="42">
        <v>6.4834805500000003</v>
      </c>
      <c r="DD17" s="42">
        <v>44.760965749999997</v>
      </c>
      <c r="DE17" s="42">
        <v>69.696590920000006</v>
      </c>
      <c r="DF17" s="42">
        <v>98.290905129999999</v>
      </c>
      <c r="DG17" s="42">
        <v>5.4454318700000002</v>
      </c>
      <c r="DH17" s="42">
        <v>98.290905129999999</v>
      </c>
      <c r="DI17" s="42">
        <v>95.358213930000005</v>
      </c>
      <c r="DJ17" s="42">
        <v>3.1191906399999998</v>
      </c>
      <c r="DK17" s="42">
        <v>25.402823779999999</v>
      </c>
      <c r="DL17" s="42">
        <v>13.106660679999999</v>
      </c>
      <c r="DM17" s="42">
        <v>47.597157170000003</v>
      </c>
      <c r="DN17" s="42">
        <v>15.438253680000001</v>
      </c>
      <c r="DO17" s="42">
        <v>16.350351</v>
      </c>
      <c r="DP17" s="42">
        <v>5.9849820400000002</v>
      </c>
      <c r="DQ17" s="42">
        <v>4.9423128600000004</v>
      </c>
      <c r="DR17" s="42">
        <v>98.477404570000004</v>
      </c>
      <c r="DS17" s="42">
        <v>18.11034566</v>
      </c>
      <c r="DT17" s="42">
        <v>46.033061879999998</v>
      </c>
      <c r="DU17" s="42">
        <v>0</v>
      </c>
      <c r="DV17" s="42">
        <v>0</v>
      </c>
      <c r="DW17" s="42">
        <v>28.859013409999999</v>
      </c>
      <c r="DX17" s="42">
        <v>23.51892943</v>
      </c>
      <c r="DY17" s="42">
        <v>7.41547775</v>
      </c>
      <c r="DZ17" s="42">
        <v>5.5819832399999996</v>
      </c>
      <c r="EA17" s="42">
        <v>94.501716500000001</v>
      </c>
      <c r="EB17" s="42">
        <v>0.25869922000000001</v>
      </c>
      <c r="EC17" s="42">
        <v>5.4696876000000003</v>
      </c>
      <c r="ED17" s="42"/>
      <c r="EE17" s="42">
        <v>0</v>
      </c>
      <c r="EF17" s="42">
        <v>15.67765296</v>
      </c>
      <c r="EG17" s="42">
        <v>85.282444159999997</v>
      </c>
      <c r="EH17" s="42">
        <v>4.3266407300000003</v>
      </c>
      <c r="EI17" s="42">
        <v>40.226979360000001</v>
      </c>
      <c r="EJ17" s="42">
        <v>25.07492478</v>
      </c>
      <c r="EK17" s="42">
        <v>32.037903929999999</v>
      </c>
      <c r="EL17" s="42">
        <v>41.364575860000002</v>
      </c>
      <c r="EM17" s="42">
        <v>14.759955720000001</v>
      </c>
      <c r="EN17" s="42">
        <v>17.969846090000001</v>
      </c>
      <c r="EO17" s="42">
        <v>431691.81347460003</v>
      </c>
      <c r="EP17" s="42">
        <v>62.188113420000001</v>
      </c>
      <c r="EQ17" s="42">
        <v>460453.05538436997</v>
      </c>
      <c r="ER17" s="42">
        <v>76.917569279999995</v>
      </c>
      <c r="ES17" s="42">
        <v>26.910119269999999</v>
      </c>
      <c r="ET17" s="42">
        <v>36.985689020000002</v>
      </c>
      <c r="EU17" s="42">
        <v>39.805880569999999</v>
      </c>
      <c r="EV17" s="42">
        <v>59.031222939999999</v>
      </c>
      <c r="EW17" s="42">
        <v>0.6984979</v>
      </c>
      <c r="EX17" s="42">
        <v>30.498308550000001</v>
      </c>
      <c r="EY17" s="42">
        <v>0</v>
      </c>
      <c r="EZ17" s="42">
        <v>35.271094179999999</v>
      </c>
      <c r="FA17" s="42">
        <v>78.591064239999994</v>
      </c>
      <c r="FB17" s="42">
        <v>88.748433770000005</v>
      </c>
      <c r="FC17" s="42">
        <v>43.403169820000002</v>
      </c>
      <c r="FD17" s="42">
        <v>96.573610279999997</v>
      </c>
      <c r="FE17" s="41" t="s">
        <v>1150</v>
      </c>
      <c r="FF17" s="42">
        <v>0</v>
      </c>
      <c r="FG17" s="42">
        <v>0</v>
      </c>
      <c r="FH17" s="42">
        <v>0.25869922000000001</v>
      </c>
      <c r="FI17" s="42">
        <v>0.25869922000000001</v>
      </c>
      <c r="FJ17" s="42">
        <v>97.62220714</v>
      </c>
      <c r="FK17" s="42">
        <v>0</v>
      </c>
      <c r="FL17" s="42">
        <v>0</v>
      </c>
      <c r="FM17" s="41" t="s">
        <v>1150</v>
      </c>
      <c r="FN17" s="42">
        <v>0</v>
      </c>
      <c r="FO17" s="42">
        <v>0</v>
      </c>
      <c r="FP17" s="42">
        <v>0</v>
      </c>
      <c r="FQ17" s="42">
        <v>0</v>
      </c>
      <c r="FR17" s="42">
        <v>97.880906359999997</v>
      </c>
      <c r="FS17" s="42">
        <v>0</v>
      </c>
      <c r="FT17" s="42">
        <v>0</v>
      </c>
      <c r="FU17" s="41" t="s">
        <v>1150</v>
      </c>
      <c r="FV17" s="42">
        <v>0</v>
      </c>
      <c r="FW17" s="42">
        <v>0</v>
      </c>
      <c r="FX17" s="42">
        <v>2.2647932100000001</v>
      </c>
      <c r="FY17" s="42">
        <v>2.2647932100000001</v>
      </c>
      <c r="FZ17" s="42">
        <v>95.616113150000004</v>
      </c>
      <c r="GA17" s="42">
        <v>0</v>
      </c>
      <c r="GB17" s="42">
        <v>0</v>
      </c>
      <c r="GC17" s="41" t="s">
        <v>1150</v>
      </c>
      <c r="GD17" s="42">
        <v>0</v>
      </c>
      <c r="GE17" s="42">
        <v>0</v>
      </c>
      <c r="GF17" s="42">
        <v>0</v>
      </c>
      <c r="GG17" s="42">
        <v>0</v>
      </c>
      <c r="GH17" s="42">
        <v>97.880906359999997</v>
      </c>
      <c r="GI17" s="42">
        <v>0</v>
      </c>
      <c r="GJ17" s="42">
        <v>0</v>
      </c>
      <c r="GK17" s="41" t="s">
        <v>1151</v>
      </c>
      <c r="GL17" s="42">
        <v>51.486345579999998</v>
      </c>
      <c r="GM17" s="42">
        <v>51.486345579999998</v>
      </c>
      <c r="GN17" s="42">
        <v>0</v>
      </c>
      <c r="GO17" s="42">
        <v>0</v>
      </c>
      <c r="GP17" s="42">
        <v>46.394560779999999</v>
      </c>
      <c r="GQ17" s="42">
        <v>0</v>
      </c>
      <c r="GR17" s="42">
        <v>0</v>
      </c>
      <c r="GS17" s="41" t="s">
        <v>1151</v>
      </c>
      <c r="GT17" s="42">
        <v>9.1524725399999998</v>
      </c>
      <c r="GU17" s="42">
        <v>9.5188714399999999</v>
      </c>
      <c r="GV17" s="42">
        <v>0</v>
      </c>
      <c r="GW17" s="42">
        <v>0</v>
      </c>
      <c r="GX17" s="42">
        <v>88.362034919999999</v>
      </c>
      <c r="GY17" s="42">
        <v>0.36639890000000003</v>
      </c>
      <c r="GZ17" s="42">
        <v>0</v>
      </c>
      <c r="HA17" s="41" t="s">
        <v>1150</v>
      </c>
      <c r="HB17" s="42">
        <v>33.357599909999998</v>
      </c>
      <c r="HC17" s="42">
        <v>33.616299130000002</v>
      </c>
      <c r="HD17" s="42">
        <v>30.981207049999998</v>
      </c>
      <c r="HE17" s="42">
        <v>1.3545959400000001</v>
      </c>
      <c r="HF17" s="42">
        <v>33.283400180000001</v>
      </c>
      <c r="HG17" s="42">
        <v>0.25869922000000001</v>
      </c>
      <c r="HH17" s="42">
        <v>29.626611109999999</v>
      </c>
      <c r="HI17" s="41" t="s">
        <v>1151</v>
      </c>
      <c r="HJ17" s="42">
        <v>21.634635079999999</v>
      </c>
      <c r="HK17" s="42">
        <v>21.634635079999999</v>
      </c>
      <c r="HL17" s="42">
        <v>0.99119703000000003</v>
      </c>
      <c r="HM17" s="42">
        <v>0.99119703000000003</v>
      </c>
      <c r="HN17" s="42">
        <v>75.255074250000007</v>
      </c>
      <c r="HO17" s="42">
        <v>0</v>
      </c>
      <c r="HP17" s="42">
        <v>0</v>
      </c>
      <c r="HQ17" s="41" t="s">
        <v>1151</v>
      </c>
      <c r="HR17" s="42">
        <v>40.253979219999998</v>
      </c>
      <c r="HS17" s="42">
        <v>44.044767849999999</v>
      </c>
      <c r="HT17" s="42">
        <v>2.3132930599999999</v>
      </c>
      <c r="HU17" s="42">
        <v>2.3132930599999999</v>
      </c>
      <c r="HV17" s="42">
        <v>51.522845449999998</v>
      </c>
      <c r="HW17" s="42">
        <v>3.7907886300000002</v>
      </c>
      <c r="HX17" s="42">
        <v>0</v>
      </c>
      <c r="HY17" s="41" t="s">
        <v>1151</v>
      </c>
      <c r="HZ17" s="42">
        <v>50.640748129999999</v>
      </c>
      <c r="IA17" s="42">
        <v>50.640748129999999</v>
      </c>
      <c r="IB17" s="42">
        <v>0</v>
      </c>
      <c r="IC17" s="42">
        <v>0</v>
      </c>
      <c r="ID17" s="42">
        <v>47.240158229999999</v>
      </c>
      <c r="IE17" s="42">
        <v>0</v>
      </c>
      <c r="IF17" s="42">
        <v>0</v>
      </c>
      <c r="IG17" s="41" t="s">
        <v>1151</v>
      </c>
      <c r="IH17" s="42">
        <v>6.0612818099999997</v>
      </c>
      <c r="II17" s="42">
        <v>6.0612818099999997</v>
      </c>
      <c r="IJ17" s="42">
        <v>4.8367854899999996</v>
      </c>
      <c r="IK17" s="42">
        <v>4.8367854899999996</v>
      </c>
      <c r="IL17" s="42">
        <v>86.982839060000003</v>
      </c>
      <c r="IM17" s="42">
        <v>0</v>
      </c>
      <c r="IN17" s="42">
        <v>0</v>
      </c>
      <c r="IO17" s="41" t="s">
        <v>1150</v>
      </c>
      <c r="IP17" s="42">
        <v>16.18445144</v>
      </c>
      <c r="IQ17" s="42">
        <v>16.55085034</v>
      </c>
      <c r="IR17" s="42">
        <v>34.170797540000002</v>
      </c>
      <c r="IS17" s="42">
        <v>4.5441864299999999</v>
      </c>
      <c r="IT17" s="42">
        <v>47.159258479999998</v>
      </c>
      <c r="IU17" s="42">
        <v>0.36639890000000003</v>
      </c>
      <c r="IV17" s="42">
        <v>29.626611109999999</v>
      </c>
      <c r="IW17" s="41" t="s">
        <v>1150</v>
      </c>
      <c r="IX17" s="42">
        <v>29.113112650000001</v>
      </c>
      <c r="IY17" s="42">
        <v>29.371811869999998</v>
      </c>
      <c r="IZ17" s="42">
        <v>30.981207049999998</v>
      </c>
      <c r="JA17" s="42">
        <v>1.3545959400000001</v>
      </c>
      <c r="JB17" s="42">
        <v>37.527887440000001</v>
      </c>
      <c r="JC17" s="42">
        <v>0.25869922000000001</v>
      </c>
      <c r="JD17" s="42">
        <v>29.626611109999999</v>
      </c>
      <c r="JE17" s="41" t="s">
        <v>1150</v>
      </c>
      <c r="JF17" s="42">
        <v>0.36639890000000003</v>
      </c>
      <c r="JG17" s="42">
        <v>0.36639890000000003</v>
      </c>
      <c r="JH17" s="42">
        <v>2.2647932100000001</v>
      </c>
      <c r="JI17" s="42">
        <v>2.2647932100000001</v>
      </c>
      <c r="JJ17" s="42">
        <v>95.249714249999997</v>
      </c>
      <c r="JK17" s="42">
        <v>0</v>
      </c>
      <c r="JL17" s="42">
        <v>0</v>
      </c>
      <c r="JM17" s="41" t="s">
        <v>1150</v>
      </c>
      <c r="JN17" s="42">
        <v>0</v>
      </c>
      <c r="JO17" s="42">
        <v>0</v>
      </c>
      <c r="JP17" s="42">
        <v>8.8085735700000001</v>
      </c>
      <c r="JQ17" s="42">
        <v>8.8085735700000001</v>
      </c>
      <c r="JR17" s="42">
        <v>89.072332790000004</v>
      </c>
      <c r="JS17" s="42">
        <v>0</v>
      </c>
      <c r="JT17" s="42">
        <v>0</v>
      </c>
      <c r="JU17" s="41" t="s">
        <v>1151</v>
      </c>
      <c r="JV17" s="42">
        <v>8.8993733099999996</v>
      </c>
      <c r="JW17" s="42">
        <v>8.8993733099999996</v>
      </c>
      <c r="JX17" s="42">
        <v>0</v>
      </c>
      <c r="JY17" s="42">
        <v>0</v>
      </c>
      <c r="JZ17" s="42">
        <v>88.981533049999996</v>
      </c>
      <c r="KA17" s="42">
        <v>0</v>
      </c>
      <c r="KB17" s="42">
        <v>0</v>
      </c>
      <c r="KC17" s="41" t="s">
        <v>1151</v>
      </c>
      <c r="KD17" s="42">
        <v>30.923107229999999</v>
      </c>
      <c r="KE17" s="42">
        <v>30.923107229999999</v>
      </c>
      <c r="KF17" s="42">
        <v>0</v>
      </c>
      <c r="KG17" s="42">
        <v>0</v>
      </c>
      <c r="KH17" s="42">
        <v>66.957799129999998</v>
      </c>
      <c r="KI17" s="42">
        <v>0</v>
      </c>
      <c r="KJ17" s="42">
        <v>0</v>
      </c>
      <c r="KK17" s="42">
        <v>97.880906359999997</v>
      </c>
      <c r="KL17" s="42">
        <v>1.72861837</v>
      </c>
      <c r="KM17" s="42">
        <v>22.200933389999999</v>
      </c>
      <c r="KN17" s="42">
        <v>5.2877841300000004</v>
      </c>
      <c r="KO17" s="41" t="s">
        <v>1152</v>
      </c>
      <c r="KP17" s="41" t="s">
        <v>1153</v>
      </c>
      <c r="KQ17" s="41" t="s">
        <v>1154</v>
      </c>
      <c r="KR17" s="42">
        <v>36.63438687</v>
      </c>
      <c r="KS17" s="42">
        <v>98.21889376</v>
      </c>
      <c r="KT17" s="42">
        <v>97.94530297</v>
      </c>
      <c r="KU17" s="42">
        <v>6.5546049419344259</v>
      </c>
      <c r="KV17" s="42">
        <v>6.293408623868852</v>
      </c>
      <c r="KW17" s="42">
        <v>0.56219830999999998</v>
      </c>
      <c r="KX17" s="42">
        <v>60.748717790000001</v>
      </c>
      <c r="KY17" s="41"/>
      <c r="KZ17" s="42">
        <v>7.7862418599999996</v>
      </c>
      <c r="LA17" s="42">
        <v>91.521823633940471</v>
      </c>
      <c r="LB17" s="42">
        <v>7.2855028159672131</v>
      </c>
      <c r="LC17" s="42">
        <v>64.918032786885249</v>
      </c>
      <c r="LD17" s="41" t="s">
        <v>1163</v>
      </c>
      <c r="LE17" s="42">
        <v>26.109318470000002</v>
      </c>
      <c r="LF17" s="42">
        <v>26.980219049999999</v>
      </c>
      <c r="LG17" s="42">
        <v>33.768498739999998</v>
      </c>
      <c r="LH17" s="42">
        <v>0.56219830999999998</v>
      </c>
      <c r="LI17" s="42">
        <v>1.9636941000000001</v>
      </c>
      <c r="LJ17" s="42">
        <v>8.5613743000000007</v>
      </c>
      <c r="LK17" s="42">
        <v>0</v>
      </c>
      <c r="LL17" s="42">
        <v>2.0546970299999998</v>
      </c>
      <c r="LM17" s="42">
        <v>5.8441429580655742</v>
      </c>
      <c r="LN17" s="42">
        <v>2.0546970299999998</v>
      </c>
      <c r="LO17" s="42">
        <v>28.050915830000001</v>
      </c>
      <c r="LP17" s="42">
        <v>64.606603010000001</v>
      </c>
      <c r="LQ17" s="42">
        <v>7.1694528200000001</v>
      </c>
      <c r="LR17" s="42">
        <v>34.133886799999999</v>
      </c>
      <c r="LS17" s="41" t="s">
        <v>1173</v>
      </c>
      <c r="LT17" s="42">
        <v>6.3576476900000003</v>
      </c>
      <c r="LU17" s="42">
        <v>37.479464960000001</v>
      </c>
      <c r="LV17" s="43">
        <v>78</v>
      </c>
      <c r="LW17" s="43">
        <v>1</v>
      </c>
      <c r="LX17" s="43">
        <v>76</v>
      </c>
      <c r="LY17" s="41" t="s">
        <v>480</v>
      </c>
      <c r="LZ17" s="41" t="s">
        <v>1210</v>
      </c>
      <c r="MA17" s="44">
        <v>46203</v>
      </c>
      <c r="MB17" s="41" t="s">
        <v>1211</v>
      </c>
      <c r="MC17" s="43">
        <v>305</v>
      </c>
      <c r="MD17" s="41" t="s">
        <v>1158</v>
      </c>
      <c r="ME17" s="41" t="s">
        <v>585</v>
      </c>
      <c r="MF17" s="42">
        <v>7.0602712299999997</v>
      </c>
      <c r="MG17" s="42">
        <v>26.331951199999999</v>
      </c>
      <c r="MH17" s="42">
        <v>10779330059</v>
      </c>
      <c r="MI17" s="42">
        <v>7.7862418599999996</v>
      </c>
      <c r="MJ17" s="42">
        <v>91.521823633940471</v>
      </c>
      <c r="MK17" s="42">
        <v>64.918032786885249</v>
      </c>
      <c r="ML17" s="42">
        <v>6.8294570800000001</v>
      </c>
      <c r="MM17" s="41" t="s">
        <v>480</v>
      </c>
      <c r="MN17" s="42">
        <v>0</v>
      </c>
      <c r="MO17" s="42">
        <v>0</v>
      </c>
      <c r="MP17" s="42">
        <v>0</v>
      </c>
      <c r="MQ17" s="42">
        <v>0</v>
      </c>
      <c r="MR17" s="42">
        <v>24.025327900000001</v>
      </c>
      <c r="MS17" s="42">
        <v>0</v>
      </c>
      <c r="MT17" s="42">
        <v>0</v>
      </c>
      <c r="MU17" s="42">
        <v>0</v>
      </c>
      <c r="MV17" s="42">
        <v>0</v>
      </c>
      <c r="MW17" s="42">
        <v>0</v>
      </c>
      <c r="MX17" s="42">
        <v>0</v>
      </c>
      <c r="MY17" s="42">
        <v>0</v>
      </c>
      <c r="MZ17" s="42">
        <v>0</v>
      </c>
      <c r="NA17" s="42">
        <v>0</v>
      </c>
      <c r="NB17" s="42">
        <v>0</v>
      </c>
      <c r="NC17" s="42">
        <v>0</v>
      </c>
      <c r="ND17" s="42">
        <v>0</v>
      </c>
      <c r="NE17" s="42">
        <v>0</v>
      </c>
      <c r="NF17" s="42">
        <v>0</v>
      </c>
      <c r="NG17" s="42">
        <v>0</v>
      </c>
      <c r="NH17" s="42">
        <v>0</v>
      </c>
      <c r="NI17" s="42">
        <v>0</v>
      </c>
      <c r="NJ17" s="42">
        <v>0</v>
      </c>
      <c r="NK17" s="42">
        <v>0</v>
      </c>
      <c r="NL17" s="42">
        <v>0</v>
      </c>
      <c r="NM17" s="42">
        <v>0</v>
      </c>
      <c r="NN17" s="42">
        <v>0</v>
      </c>
      <c r="NO17" s="42">
        <v>0</v>
      </c>
      <c r="NP17" s="42">
        <v>0</v>
      </c>
      <c r="NQ17" s="42">
        <v>0</v>
      </c>
      <c r="NR17" s="42">
        <v>0</v>
      </c>
      <c r="NS17" s="42">
        <v>0</v>
      </c>
      <c r="NT17" s="42">
        <v>0</v>
      </c>
      <c r="NU17" s="42">
        <v>0</v>
      </c>
      <c r="NV17" s="42">
        <v>0</v>
      </c>
      <c r="NW17" s="42">
        <v>0</v>
      </c>
      <c r="NX17" s="42">
        <v>15.85175246</v>
      </c>
      <c r="NY17" s="42">
        <v>0</v>
      </c>
      <c r="NZ17" s="42">
        <v>0</v>
      </c>
      <c r="OA17" s="42">
        <v>0</v>
      </c>
      <c r="OB17" s="42">
        <v>0</v>
      </c>
      <c r="OC17" s="42">
        <v>0</v>
      </c>
      <c r="OD17" s="42">
        <v>0</v>
      </c>
      <c r="OE17" s="42">
        <v>0</v>
      </c>
      <c r="OF17" s="42">
        <v>0</v>
      </c>
      <c r="OG17" s="42">
        <v>0</v>
      </c>
      <c r="OH17" s="42">
        <v>3.8455884600000001</v>
      </c>
      <c r="OI17" s="42">
        <v>0</v>
      </c>
      <c r="OJ17" s="42">
        <v>15.458253640000001</v>
      </c>
      <c r="OK17" s="42">
        <v>0</v>
      </c>
      <c r="OL17" s="42">
        <v>3.8455884600000001</v>
      </c>
      <c r="OM17" s="42">
        <v>82.281053180000001</v>
      </c>
      <c r="ON17" s="42">
        <v>0</v>
      </c>
      <c r="OO17" s="42">
        <v>0</v>
      </c>
      <c r="OP17" s="42">
        <v>0</v>
      </c>
      <c r="OQ17" s="42">
        <v>0</v>
      </c>
      <c r="OR17" s="42">
        <v>0</v>
      </c>
      <c r="OS17" s="42">
        <v>1.6052951900000001</v>
      </c>
      <c r="OT17" s="42">
        <v>33.975298070000001</v>
      </c>
      <c r="OU17" s="42">
        <v>33.898398299999997</v>
      </c>
      <c r="OV17" s="42">
        <v>32.478902560000002</v>
      </c>
      <c r="OW17" s="42">
        <v>32.737601779999999</v>
      </c>
      <c r="OX17" s="42">
        <v>0</v>
      </c>
      <c r="OY17" s="42">
        <v>0</v>
      </c>
      <c r="OZ17" s="42">
        <v>0</v>
      </c>
      <c r="PA17" s="42">
        <v>0</v>
      </c>
      <c r="PB17" s="42">
        <v>0</v>
      </c>
      <c r="PC17" s="42">
        <v>0</v>
      </c>
      <c r="PD17" s="42">
        <v>0</v>
      </c>
      <c r="PE17" s="42">
        <v>11.95046421</v>
      </c>
      <c r="PF17" s="42">
        <v>0</v>
      </c>
      <c r="PG17" s="42">
        <v>0</v>
      </c>
      <c r="PH17" s="42">
        <v>0</v>
      </c>
      <c r="PI17" s="42">
        <v>0</v>
      </c>
      <c r="PJ17" s="42">
        <v>0</v>
      </c>
      <c r="PK17" s="42">
        <v>0</v>
      </c>
      <c r="PL17" s="42">
        <v>0</v>
      </c>
      <c r="PM17" s="42">
        <v>3.8455884600000001</v>
      </c>
      <c r="PN17" s="42">
        <v>0</v>
      </c>
      <c r="PO17" s="42">
        <v>0.25869922000000001</v>
      </c>
      <c r="PP17" s="42">
        <v>0</v>
      </c>
      <c r="PQ17" s="42">
        <v>3.8455884600000001</v>
      </c>
      <c r="PR17" s="42">
        <v>0</v>
      </c>
      <c r="PS17" s="42">
        <v>0</v>
      </c>
      <c r="PT17" s="42">
        <v>0.16346811999999999</v>
      </c>
      <c r="PU17" s="42">
        <v>0</v>
      </c>
      <c r="PV17" s="42">
        <v>0</v>
      </c>
      <c r="PW17" s="42">
        <v>0</v>
      </c>
      <c r="PX17" s="42">
        <v>0</v>
      </c>
      <c r="PY17" s="42">
        <v>5.5224163700000002</v>
      </c>
      <c r="PZ17" s="42">
        <v>4.3807390000000002E-2</v>
      </c>
      <c r="QA17" s="42">
        <v>33.898398299999997</v>
      </c>
      <c r="QB17" s="42">
        <v>1.1607965200000001</v>
      </c>
      <c r="QC17" s="42">
        <v>0</v>
      </c>
      <c r="QD17" s="42">
        <v>0</v>
      </c>
      <c r="QE17" s="42">
        <v>0</v>
      </c>
      <c r="QF17" s="42">
        <v>5.4673835999999998</v>
      </c>
      <c r="QG17" s="42">
        <v>11.215566340000001</v>
      </c>
      <c r="QH17" s="42">
        <v>0</v>
      </c>
      <c r="QI17" s="42">
        <v>0</v>
      </c>
      <c r="QJ17" s="42">
        <v>0</v>
      </c>
      <c r="QK17" s="42">
        <v>0</v>
      </c>
    </row>
    <row r="18" spans="1:453" x14ac:dyDescent="0.35">
      <c r="A18" s="41" t="s">
        <v>588</v>
      </c>
      <c r="B18" s="41" t="s">
        <v>589</v>
      </c>
      <c r="C18" s="41" t="s">
        <v>590</v>
      </c>
      <c r="D18" s="41" t="s">
        <v>536</v>
      </c>
      <c r="E18" s="41" t="s">
        <v>590</v>
      </c>
      <c r="F18" s="41" t="s">
        <v>1212</v>
      </c>
      <c r="G18" s="41" t="s">
        <v>591</v>
      </c>
      <c r="H18" s="42">
        <v>33.993810140000001</v>
      </c>
      <c r="I18" s="42">
        <v>99.398379169999998</v>
      </c>
      <c r="J18" s="42">
        <v>187.18189835000001</v>
      </c>
      <c r="K18" s="42">
        <v>99.398379169999998</v>
      </c>
      <c r="L18" s="42">
        <v>256.30846057999997</v>
      </c>
      <c r="M18" s="42">
        <v>99.398379169999998</v>
      </c>
      <c r="N18" s="42">
        <v>69.126560499999997</v>
      </c>
      <c r="O18" s="42">
        <v>99.398379169999998</v>
      </c>
      <c r="P18" s="42">
        <v>13.496737570000001</v>
      </c>
      <c r="Q18" s="42">
        <v>2.9473546399999999</v>
      </c>
      <c r="R18" s="42">
        <v>9.6248152099999995</v>
      </c>
      <c r="S18" s="42">
        <v>3.26557757</v>
      </c>
      <c r="T18" s="42">
        <v>13.13270648</v>
      </c>
      <c r="U18" s="42">
        <v>1.5958633</v>
      </c>
      <c r="V18" s="42">
        <v>4.1572709999999997</v>
      </c>
      <c r="W18" s="42">
        <v>114.41788889999999</v>
      </c>
      <c r="X18" s="42">
        <v>99.580794519999998</v>
      </c>
      <c r="Y18" s="42">
        <v>510.40769110999997</v>
      </c>
      <c r="Z18" s="42">
        <v>99.570599250000001</v>
      </c>
      <c r="AA18" s="42">
        <v>766.57955504999995</v>
      </c>
      <c r="AB18" s="42">
        <v>99.570599250000001</v>
      </c>
      <c r="AC18" s="42">
        <v>256.17183569999997</v>
      </c>
      <c r="AD18" s="42">
        <v>99.570599250000001</v>
      </c>
      <c r="AE18" s="42">
        <v>202.59174264999999</v>
      </c>
      <c r="AF18" s="42">
        <v>4.1583200000000001E-2</v>
      </c>
      <c r="AG18" s="42">
        <v>2456.10811362</v>
      </c>
      <c r="AH18" s="42">
        <v>6118.6264497299999</v>
      </c>
      <c r="AI18" s="42">
        <v>1915.16556332</v>
      </c>
      <c r="AJ18" s="42">
        <v>28.232599879999999</v>
      </c>
      <c r="AK18" s="42">
        <v>19.489756939999999</v>
      </c>
      <c r="AL18" s="41" t="s">
        <v>1149</v>
      </c>
      <c r="AM18" s="42">
        <v>99.264041489999997</v>
      </c>
      <c r="AN18" s="42">
        <v>29.52140206</v>
      </c>
      <c r="AO18" s="42">
        <v>22.113839200000001</v>
      </c>
      <c r="AP18" s="41">
        <v>2.9</v>
      </c>
      <c r="AQ18" s="42">
        <v>88.541516599999994</v>
      </c>
      <c r="AR18" s="42">
        <v>60.80548615</v>
      </c>
      <c r="AS18" s="42">
        <v>96.780493829999998</v>
      </c>
      <c r="AT18" s="42">
        <v>6.1339665800000001</v>
      </c>
      <c r="AU18" s="42">
        <v>51.588862919999997</v>
      </c>
      <c r="AV18" s="42">
        <v>99.580794519999998</v>
      </c>
      <c r="AW18" s="42">
        <v>0.90298104999999995</v>
      </c>
      <c r="AX18" s="42">
        <v>6.26669228</v>
      </c>
      <c r="AY18" s="42">
        <v>0.86209999999999998</v>
      </c>
      <c r="AZ18" s="42">
        <v>0.11714565</v>
      </c>
      <c r="BA18" s="42">
        <v>21.772197760000001</v>
      </c>
      <c r="BB18" s="42">
        <v>25.706772090000001</v>
      </c>
      <c r="BC18" s="42">
        <v>1.75408611</v>
      </c>
      <c r="BD18" s="42">
        <v>2.6470718</v>
      </c>
      <c r="BE18" s="42">
        <v>1.5551784399999999</v>
      </c>
      <c r="BF18" s="42">
        <v>2.1875849299999999</v>
      </c>
      <c r="BG18" s="42">
        <v>8.3542459999999999E-2</v>
      </c>
      <c r="BH18" s="42">
        <v>0.46256038999999999</v>
      </c>
      <c r="BI18" s="42">
        <v>8.4538900000000004E-3</v>
      </c>
      <c r="BJ18" s="42">
        <v>1.7720639999999999E-2</v>
      </c>
      <c r="BK18" s="42">
        <v>6.0040857799999996</v>
      </c>
      <c r="BL18" s="42">
        <v>6.8699077800000001</v>
      </c>
      <c r="BM18" s="42">
        <v>0.230153</v>
      </c>
      <c r="BN18" s="42">
        <v>1.00417128</v>
      </c>
      <c r="BO18" s="42">
        <v>0.18004971</v>
      </c>
      <c r="BP18" s="42">
        <v>7.4525099999999997E-2</v>
      </c>
      <c r="BQ18" s="42">
        <v>0.15549046</v>
      </c>
      <c r="BR18" s="42">
        <v>0.11137691</v>
      </c>
      <c r="BS18" s="42">
        <v>1.56087478</v>
      </c>
      <c r="BT18" s="42">
        <v>3.3887880000000002E-2</v>
      </c>
      <c r="BU18" s="42">
        <v>8.4197489799999996</v>
      </c>
      <c r="BV18" s="42">
        <v>6.4695619999999995E-2</v>
      </c>
      <c r="BW18" s="42">
        <v>4.8666416400000001</v>
      </c>
      <c r="BX18" s="42">
        <v>2.1151185799999999</v>
      </c>
      <c r="BY18" s="42">
        <v>11.58292541</v>
      </c>
      <c r="BZ18" s="42">
        <v>0.16862176000000001</v>
      </c>
      <c r="CA18" s="42">
        <v>33.79571868</v>
      </c>
      <c r="CB18" s="42">
        <v>2.79040526</v>
      </c>
      <c r="CC18" s="42">
        <v>0.14431983000000001</v>
      </c>
      <c r="CD18" s="42">
        <v>4.355121E-2</v>
      </c>
      <c r="CE18" s="42">
        <v>8.116189E-2</v>
      </c>
      <c r="CF18" s="42"/>
      <c r="CG18" s="42">
        <v>58.261666519999999</v>
      </c>
      <c r="CH18" s="42">
        <v>12.28170137</v>
      </c>
      <c r="CI18" s="42">
        <v>2.4526619200000002</v>
      </c>
      <c r="CJ18" s="42">
        <v>68.032732800000005</v>
      </c>
      <c r="CK18" s="42">
        <v>26.91781026</v>
      </c>
      <c r="CL18" s="42">
        <v>11.690975379999999</v>
      </c>
      <c r="CM18" s="42">
        <v>11.964848310000001</v>
      </c>
      <c r="CN18" s="42">
        <v>5.60020147</v>
      </c>
      <c r="CO18" s="42">
        <v>18.161473059999999</v>
      </c>
      <c r="CP18" s="42">
        <v>17.205516719999999</v>
      </c>
      <c r="CQ18" s="42">
        <v>0.23778967000000001</v>
      </c>
      <c r="CR18" s="42">
        <v>7.2346431400000002</v>
      </c>
      <c r="CS18" s="42">
        <v>26.62144778</v>
      </c>
      <c r="CT18" s="42">
        <v>65.40615142</v>
      </c>
      <c r="CU18" s="42">
        <v>17.212613399999999</v>
      </c>
      <c r="CV18" s="42">
        <v>11.57213056</v>
      </c>
      <c r="CW18" s="42">
        <v>2.0933287300000001</v>
      </c>
      <c r="CX18" s="42">
        <v>66.73513509</v>
      </c>
      <c r="CY18" s="42">
        <v>27.317424800000001</v>
      </c>
      <c r="CZ18" s="42">
        <v>7.5368030199999998</v>
      </c>
      <c r="DA18" s="42">
        <v>68.62875622</v>
      </c>
      <c r="DB18" s="42">
        <v>60.009355839999998</v>
      </c>
      <c r="DC18" s="42">
        <v>12.840542019999999</v>
      </c>
      <c r="DD18" s="42">
        <v>26.65013415</v>
      </c>
      <c r="DE18" s="42">
        <v>56.940379540000002</v>
      </c>
      <c r="DF18" s="42">
        <v>99.518923240000007</v>
      </c>
      <c r="DG18" s="42">
        <v>5.9961058700000001</v>
      </c>
      <c r="DH18" s="42">
        <v>99.440759490000005</v>
      </c>
      <c r="DI18" s="42">
        <v>92.790145350000003</v>
      </c>
      <c r="DJ18" s="42">
        <v>6.8068416599999999</v>
      </c>
      <c r="DK18" s="42">
        <v>30.260958930000001</v>
      </c>
      <c r="DL18" s="42">
        <v>2.1954812800000001</v>
      </c>
      <c r="DM18" s="42">
        <v>66.932643220000003</v>
      </c>
      <c r="DN18" s="42">
        <v>3.7802459700000002</v>
      </c>
      <c r="DO18" s="42">
        <v>15.33568425</v>
      </c>
      <c r="DP18" s="42">
        <v>11.166818640000001</v>
      </c>
      <c r="DQ18" s="42">
        <v>6.0463034799999997</v>
      </c>
      <c r="DR18" s="42">
        <v>99.410873359999997</v>
      </c>
      <c r="DS18" s="42">
        <v>36.123838540000001</v>
      </c>
      <c r="DT18" s="42">
        <v>27.668161810000001</v>
      </c>
      <c r="DU18" s="42">
        <v>0.56803643000000004</v>
      </c>
      <c r="DV18" s="42">
        <v>1.81315871</v>
      </c>
      <c r="DW18" s="42">
        <v>22.367121659999999</v>
      </c>
      <c r="DX18" s="42">
        <v>49.095919600000002</v>
      </c>
      <c r="DY18" s="42">
        <v>16.598898160000001</v>
      </c>
      <c r="DZ18" s="42">
        <v>5.2907451700000001</v>
      </c>
      <c r="EA18" s="42">
        <v>64.238493390000002</v>
      </c>
      <c r="EB18" s="42">
        <v>1.40394858</v>
      </c>
      <c r="EC18" s="42">
        <v>3.4709444999999999</v>
      </c>
      <c r="ED18" s="42">
        <v>6.0500618900000003</v>
      </c>
      <c r="EE18" s="42">
        <v>11.595319780000001</v>
      </c>
      <c r="EF18" s="42">
        <v>20.885509150000001</v>
      </c>
      <c r="EG18" s="42">
        <v>76.171556440000003</v>
      </c>
      <c r="EH18" s="42">
        <v>4.5641959600000002</v>
      </c>
      <c r="EI18" s="42">
        <v>19.817304839999998</v>
      </c>
      <c r="EJ18" s="42">
        <v>7.1823673299999999</v>
      </c>
      <c r="EK18" s="42">
        <v>55.0365629</v>
      </c>
      <c r="EL18" s="42">
        <v>37.11078079</v>
      </c>
      <c r="EM18" s="42">
        <v>7.2615306300000002</v>
      </c>
      <c r="EN18" s="42">
        <v>4.6406467400000002</v>
      </c>
      <c r="EO18" s="42">
        <v>41695.609923010001</v>
      </c>
      <c r="EP18" s="42">
        <v>45.902601279999999</v>
      </c>
      <c r="EQ18" s="42">
        <v>34648.116907839998</v>
      </c>
      <c r="ER18" s="42">
        <v>84.073889730000005</v>
      </c>
      <c r="ES18" s="42">
        <v>32.964204610000003</v>
      </c>
      <c r="ET18" s="42">
        <v>28.158834169999999</v>
      </c>
      <c r="EU18" s="42">
        <v>5.5810103900000003</v>
      </c>
      <c r="EV18" s="42">
        <v>62.752882640000003</v>
      </c>
      <c r="EW18" s="42">
        <v>7.0283388899999997</v>
      </c>
      <c r="EX18" s="42">
        <v>48.803454969999997</v>
      </c>
      <c r="EY18" s="42">
        <v>1.7941674999999999</v>
      </c>
      <c r="EZ18" s="42">
        <v>5.2887460099999997</v>
      </c>
      <c r="FA18" s="42">
        <v>90.18295517</v>
      </c>
      <c r="FB18" s="42">
        <v>98.985770630000005</v>
      </c>
      <c r="FC18" s="42">
        <v>38.169489319999997</v>
      </c>
      <c r="FD18" s="42">
        <v>94.108833489999995</v>
      </c>
      <c r="FE18" s="41" t="s">
        <v>1150</v>
      </c>
      <c r="FF18" s="42">
        <v>7.0989062299999999</v>
      </c>
      <c r="FG18" s="42">
        <v>7.0989062299999999</v>
      </c>
      <c r="FH18" s="42">
        <v>14.67339155</v>
      </c>
      <c r="FI18" s="42">
        <v>14.58723153</v>
      </c>
      <c r="FJ18" s="42">
        <v>77.652169290000003</v>
      </c>
      <c r="FK18" s="42">
        <v>0</v>
      </c>
      <c r="FL18" s="42">
        <v>8.6160020000000004E-2</v>
      </c>
      <c r="FM18" s="41" t="s">
        <v>1151</v>
      </c>
      <c r="FN18" s="42">
        <v>1.14796736</v>
      </c>
      <c r="FO18" s="42">
        <v>1.2047410300000001</v>
      </c>
      <c r="FP18" s="42">
        <v>0.55664172000000001</v>
      </c>
      <c r="FQ18" s="42">
        <v>0.55664172000000001</v>
      </c>
      <c r="FR18" s="42">
        <v>97.663084319999996</v>
      </c>
      <c r="FS18" s="42">
        <v>5.6773669999999998E-2</v>
      </c>
      <c r="FT18" s="42">
        <v>0</v>
      </c>
      <c r="FU18" s="41" t="s">
        <v>1150</v>
      </c>
      <c r="FV18" s="42">
        <v>6.2760879300000001</v>
      </c>
      <c r="FW18" s="42">
        <v>6.2760879300000001</v>
      </c>
      <c r="FX18" s="42">
        <v>6.3570503</v>
      </c>
      <c r="FY18" s="42">
        <v>5.6970565400000002</v>
      </c>
      <c r="FZ18" s="42">
        <v>86.791328840000006</v>
      </c>
      <c r="GA18" s="42">
        <v>0</v>
      </c>
      <c r="GB18" s="42">
        <v>0.65999375999999998</v>
      </c>
      <c r="GC18" s="41" t="s">
        <v>1150</v>
      </c>
      <c r="GD18" s="42">
        <v>1.9091139999999999E-2</v>
      </c>
      <c r="GE18" s="42">
        <v>1.9091139999999999E-2</v>
      </c>
      <c r="GF18" s="42">
        <v>3.5610476900000001</v>
      </c>
      <c r="GG18" s="42">
        <v>3.5348598400000002</v>
      </c>
      <c r="GH18" s="42">
        <v>95.844328239999996</v>
      </c>
      <c r="GI18" s="42">
        <v>0</v>
      </c>
      <c r="GJ18" s="42">
        <v>2.6187849999999999E-2</v>
      </c>
      <c r="GK18" s="41" t="s">
        <v>1150</v>
      </c>
      <c r="GL18" s="42">
        <v>44.368612769999999</v>
      </c>
      <c r="GM18" s="42">
        <v>44.368612769999999</v>
      </c>
      <c r="GN18" s="42">
        <v>4.1580699999999998E-2</v>
      </c>
      <c r="GO18" s="42">
        <v>1.539285E-2</v>
      </c>
      <c r="GP18" s="42">
        <v>55.014273600000003</v>
      </c>
      <c r="GQ18" s="42">
        <v>0</v>
      </c>
      <c r="GR18" s="42">
        <v>2.6187849999999999E-2</v>
      </c>
      <c r="GS18" s="41" t="s">
        <v>1150</v>
      </c>
      <c r="GT18" s="42">
        <v>8.7980177800000003</v>
      </c>
      <c r="GU18" s="42">
        <v>8.9730365800000005</v>
      </c>
      <c r="GV18" s="42">
        <v>0.96385275999999998</v>
      </c>
      <c r="GW18" s="42">
        <v>0.90987779999999996</v>
      </c>
      <c r="GX18" s="42">
        <v>89.487577729999998</v>
      </c>
      <c r="GY18" s="42">
        <v>0.1750188</v>
      </c>
      <c r="GZ18" s="42">
        <v>5.3974960000000002E-2</v>
      </c>
      <c r="HA18" s="41" t="s">
        <v>1150</v>
      </c>
      <c r="HB18" s="42">
        <v>35.229253509999999</v>
      </c>
      <c r="HC18" s="42">
        <v>35.32141077</v>
      </c>
      <c r="HD18" s="42">
        <v>4.7128132799999998</v>
      </c>
      <c r="HE18" s="42">
        <v>0.38961921999999999</v>
      </c>
      <c r="HF18" s="42">
        <v>59.39024302</v>
      </c>
      <c r="HG18" s="42">
        <v>9.2157260000000005E-2</v>
      </c>
      <c r="HH18" s="42">
        <v>4.3231940599999996</v>
      </c>
      <c r="HI18" s="41" t="s">
        <v>1150</v>
      </c>
      <c r="HJ18" s="42">
        <v>16.19908349</v>
      </c>
      <c r="HK18" s="42">
        <v>16.212977039999998</v>
      </c>
      <c r="HL18" s="42">
        <v>7.1629763899999999</v>
      </c>
      <c r="HM18" s="42">
        <v>7.0828135799999998</v>
      </c>
      <c r="HN18" s="42">
        <v>76.048513639999996</v>
      </c>
      <c r="HO18" s="42">
        <v>1.3893549999999999E-2</v>
      </c>
      <c r="HP18" s="42">
        <v>8.0162810000000001E-2</v>
      </c>
      <c r="HQ18" s="41" t="s">
        <v>1151</v>
      </c>
      <c r="HR18" s="42">
        <v>17.73966866</v>
      </c>
      <c r="HS18" s="42">
        <v>18.646747789999999</v>
      </c>
      <c r="HT18" s="42">
        <v>16.058548869999999</v>
      </c>
      <c r="HU18" s="42">
        <v>16.058548869999999</v>
      </c>
      <c r="HV18" s="42">
        <v>64.719170410000004</v>
      </c>
      <c r="HW18" s="42">
        <v>0.90707912999999996</v>
      </c>
      <c r="HX18" s="42">
        <v>0</v>
      </c>
      <c r="HY18" s="41" t="s">
        <v>1150</v>
      </c>
      <c r="HZ18" s="42">
        <v>28.424011279999998</v>
      </c>
      <c r="IA18" s="42">
        <v>28.424011279999998</v>
      </c>
      <c r="IB18" s="42">
        <v>7.9151273800000004</v>
      </c>
      <c r="IC18" s="42">
        <v>7.82896736</v>
      </c>
      <c r="ID18" s="42">
        <v>63.085328410000002</v>
      </c>
      <c r="IE18" s="42">
        <v>0</v>
      </c>
      <c r="IF18" s="42">
        <v>8.6160020000000004E-2</v>
      </c>
      <c r="IG18" s="41" t="s">
        <v>1150</v>
      </c>
      <c r="IH18" s="42">
        <v>3.3460474100000002</v>
      </c>
      <c r="II18" s="42">
        <v>3.3460474100000002</v>
      </c>
      <c r="IJ18" s="42">
        <v>12.041512750000001</v>
      </c>
      <c r="IK18" s="42">
        <v>11.903276890000001</v>
      </c>
      <c r="IL18" s="42">
        <v>84.036906909999999</v>
      </c>
      <c r="IM18" s="42">
        <v>0</v>
      </c>
      <c r="IN18" s="42">
        <v>0.13823585999999999</v>
      </c>
      <c r="IO18" s="41" t="s">
        <v>1150</v>
      </c>
      <c r="IP18" s="42">
        <v>20.429220879999999</v>
      </c>
      <c r="IQ18" s="42">
        <v>27.131011260000001</v>
      </c>
      <c r="IR18" s="42">
        <v>6.2033216800000002</v>
      </c>
      <c r="IS18" s="42">
        <v>1.82615266</v>
      </c>
      <c r="IT18" s="42">
        <v>66.090134129999996</v>
      </c>
      <c r="IU18" s="42">
        <v>6.7017903800000003</v>
      </c>
      <c r="IV18" s="42">
        <v>4.3771690200000002</v>
      </c>
      <c r="IW18" s="41" t="s">
        <v>1150</v>
      </c>
      <c r="IX18" s="42">
        <v>40.884929270000001</v>
      </c>
      <c r="IY18" s="42">
        <v>40.985482619999999</v>
      </c>
      <c r="IZ18" s="42">
        <v>4.7528946799999998</v>
      </c>
      <c r="JA18" s="42">
        <v>0.42970061999999998</v>
      </c>
      <c r="JB18" s="42">
        <v>53.686089770000002</v>
      </c>
      <c r="JC18" s="42">
        <v>0.10055335</v>
      </c>
      <c r="JD18" s="42">
        <v>4.3231940599999996</v>
      </c>
      <c r="JE18" s="41" t="s">
        <v>1150</v>
      </c>
      <c r="JF18" s="42">
        <v>5.2275750000000003E-2</v>
      </c>
      <c r="JG18" s="42">
        <v>5.2275750000000003E-2</v>
      </c>
      <c r="JH18" s="42">
        <v>4.9731924200000002</v>
      </c>
      <c r="JI18" s="42">
        <v>4.8263605500000004</v>
      </c>
      <c r="JJ18" s="42">
        <v>94.398998899999995</v>
      </c>
      <c r="JK18" s="42">
        <v>0</v>
      </c>
      <c r="JL18" s="42">
        <v>0.14683187</v>
      </c>
      <c r="JM18" s="41" t="s">
        <v>1150</v>
      </c>
      <c r="JN18" s="42">
        <v>0</v>
      </c>
      <c r="JO18" s="42">
        <v>0</v>
      </c>
      <c r="JP18" s="42">
        <v>6.3765412699999997</v>
      </c>
      <c r="JQ18" s="42">
        <v>6.32256631</v>
      </c>
      <c r="JR18" s="42">
        <v>93.047925800000002</v>
      </c>
      <c r="JS18" s="42">
        <v>0</v>
      </c>
      <c r="JT18" s="42">
        <v>5.3974960000000002E-2</v>
      </c>
      <c r="JU18" s="41" t="s">
        <v>1150</v>
      </c>
      <c r="JV18" s="42">
        <v>12.65442842</v>
      </c>
      <c r="JW18" s="42">
        <v>12.65442842</v>
      </c>
      <c r="JX18" s="42">
        <v>6.8818068400000003</v>
      </c>
      <c r="JY18" s="42">
        <v>6.79564682</v>
      </c>
      <c r="JZ18" s="42">
        <v>79.888231809999994</v>
      </c>
      <c r="KA18" s="42">
        <v>0</v>
      </c>
      <c r="KB18" s="42">
        <v>8.6160020000000004E-2</v>
      </c>
      <c r="KC18" s="41" t="s">
        <v>1150</v>
      </c>
      <c r="KD18" s="42">
        <v>1.87053209</v>
      </c>
      <c r="KE18" s="42">
        <v>1.87053209</v>
      </c>
      <c r="KF18" s="42">
        <v>15.54638649</v>
      </c>
      <c r="KG18" s="42">
        <v>15.46022647</v>
      </c>
      <c r="KH18" s="42">
        <v>82.007548490000005</v>
      </c>
      <c r="KI18" s="42">
        <v>0</v>
      </c>
      <c r="KJ18" s="42">
        <v>8.6160020000000004E-2</v>
      </c>
      <c r="KK18" s="42">
        <v>99.424467070000006</v>
      </c>
      <c r="KL18" s="42">
        <v>0.14423137999999999</v>
      </c>
      <c r="KM18" s="42">
        <v>2.1052230500000002</v>
      </c>
      <c r="KN18" s="42">
        <v>6.8690128399999999</v>
      </c>
      <c r="KO18" s="41" t="s">
        <v>1152</v>
      </c>
      <c r="KP18" s="41" t="s">
        <v>1153</v>
      </c>
      <c r="KQ18" s="41" t="s">
        <v>1154</v>
      </c>
      <c r="KR18" s="42">
        <v>46.389278070000003</v>
      </c>
      <c r="KS18" s="42">
        <v>99.737016999999994</v>
      </c>
      <c r="KT18" s="42">
        <v>99.479743920000004</v>
      </c>
      <c r="KU18" s="42">
        <v>5.9218468011676322</v>
      </c>
      <c r="KV18" s="42">
        <v>5.9621006805267918</v>
      </c>
      <c r="KW18" s="42">
        <v>2.9922115599999999</v>
      </c>
      <c r="KX18" s="42">
        <v>50.09825429</v>
      </c>
      <c r="KY18" s="41"/>
      <c r="KZ18" s="42">
        <v>6.8511211599999999</v>
      </c>
      <c r="LA18" s="42">
        <v>63.119169258107512</v>
      </c>
      <c r="LB18" s="42">
        <v>6.9150194992179577</v>
      </c>
      <c r="LC18" s="42">
        <v>37.400434467776975</v>
      </c>
      <c r="LD18" s="41" t="s">
        <v>461</v>
      </c>
      <c r="LE18" s="42">
        <v>19.844694740000001</v>
      </c>
      <c r="LF18" s="42">
        <v>35.190671649999999</v>
      </c>
      <c r="LG18" s="42">
        <v>14.907582639999999</v>
      </c>
      <c r="LH18" s="42">
        <v>2.62278301</v>
      </c>
      <c r="LI18" s="42">
        <v>4.9195173199999997</v>
      </c>
      <c r="LJ18" s="42">
        <v>21.625066010000001</v>
      </c>
      <c r="LK18" s="42">
        <v>0.36942855000000002</v>
      </c>
      <c r="LL18" s="42">
        <v>0.52025608000000001</v>
      </c>
      <c r="LM18" s="42">
        <v>4.9898188813052133</v>
      </c>
      <c r="LN18" s="42">
        <v>0.52025608000000001</v>
      </c>
      <c r="LO18" s="42">
        <v>11.96644745</v>
      </c>
      <c r="LP18" s="42">
        <v>80.644283630000004</v>
      </c>
      <c r="LQ18" s="42">
        <v>5.86531892</v>
      </c>
      <c r="LR18" s="42">
        <v>20.091945979999998</v>
      </c>
      <c r="LS18" s="41" t="s">
        <v>1173</v>
      </c>
      <c r="LT18" s="42">
        <v>5.7990146300000003</v>
      </c>
      <c r="LU18" s="42">
        <v>37.801436410000001</v>
      </c>
      <c r="LV18" s="43">
        <v>2226</v>
      </c>
      <c r="LW18" s="43">
        <v>1</v>
      </c>
      <c r="LX18" s="43">
        <v>2222</v>
      </c>
      <c r="LY18" s="41" t="s">
        <v>480</v>
      </c>
      <c r="LZ18" s="41" t="s">
        <v>1213</v>
      </c>
      <c r="MA18" s="44">
        <v>46203</v>
      </c>
      <c r="MB18" s="41" t="s">
        <v>1214</v>
      </c>
      <c r="MC18" s="43">
        <v>5524</v>
      </c>
      <c r="MD18" s="41" t="s">
        <v>1158</v>
      </c>
      <c r="ME18" s="41" t="s">
        <v>589</v>
      </c>
      <c r="MF18" s="42">
        <v>4.9290028599999998</v>
      </c>
      <c r="MG18" s="42">
        <v>41.586361539999999</v>
      </c>
      <c r="MH18" s="42">
        <v>33203742579</v>
      </c>
      <c r="MI18" s="42">
        <v>6.8511211599999999</v>
      </c>
      <c r="MJ18" s="42">
        <v>63.119169258107512</v>
      </c>
      <c r="MK18" s="42">
        <v>37.400434467776975</v>
      </c>
      <c r="ML18" s="42">
        <v>5.4487077199999998</v>
      </c>
      <c r="MM18" s="41" t="s">
        <v>480</v>
      </c>
      <c r="MN18" s="42">
        <v>3.8286235400000002</v>
      </c>
      <c r="MO18" s="42">
        <v>0.13233859000000001</v>
      </c>
      <c r="MP18" s="42">
        <v>0</v>
      </c>
      <c r="MQ18" s="42">
        <v>0</v>
      </c>
      <c r="MR18" s="42">
        <v>10.60727829</v>
      </c>
      <c r="MS18" s="42">
        <v>3.5746413800000001</v>
      </c>
      <c r="MT18" s="42">
        <v>0.27177390000000001</v>
      </c>
      <c r="MU18" s="42">
        <v>0.40411248999999999</v>
      </c>
      <c r="MV18" s="42">
        <v>13.804794619999999</v>
      </c>
      <c r="MW18" s="42">
        <v>13.462553440000001</v>
      </c>
      <c r="MX18" s="42">
        <v>12.542280440000001</v>
      </c>
      <c r="MY18" s="42">
        <v>0</v>
      </c>
      <c r="MZ18" s="42">
        <v>0.27397287999999997</v>
      </c>
      <c r="NA18" s="42">
        <v>3.3284559999999998E-2</v>
      </c>
      <c r="NB18" s="42">
        <v>0</v>
      </c>
      <c r="NC18" s="42">
        <v>10.897643560000001</v>
      </c>
      <c r="ND18" s="42">
        <v>0</v>
      </c>
      <c r="NE18" s="42">
        <v>2.7986999999999999E-3</v>
      </c>
      <c r="NF18" s="42">
        <v>0.61701371000000005</v>
      </c>
      <c r="NG18" s="42">
        <v>0.12444226</v>
      </c>
      <c r="NH18" s="42">
        <v>2.7986999999999999E-3</v>
      </c>
      <c r="NI18" s="42">
        <v>0.12444226</v>
      </c>
      <c r="NJ18" s="42">
        <v>2.7986999999999999E-3</v>
      </c>
      <c r="NK18" s="42">
        <v>0</v>
      </c>
      <c r="NL18" s="42">
        <v>0.49257145000000002</v>
      </c>
      <c r="NM18" s="42">
        <v>0.31415425000000002</v>
      </c>
      <c r="NN18" s="42">
        <v>0.30715748999999998</v>
      </c>
      <c r="NO18" s="42">
        <v>1.109485E-2</v>
      </c>
      <c r="NP18" s="42">
        <v>0.41410786999999999</v>
      </c>
      <c r="NQ18" s="42">
        <v>0.79403155999999997</v>
      </c>
      <c r="NR18" s="42">
        <v>6.9172903899999998</v>
      </c>
      <c r="NS18" s="42">
        <v>3.9672592199999999</v>
      </c>
      <c r="NT18" s="42">
        <v>0.91517537000000004</v>
      </c>
      <c r="NU18" s="42">
        <v>1.2632138799999999</v>
      </c>
      <c r="NV18" s="42">
        <v>0.59792255999999999</v>
      </c>
      <c r="NW18" s="42">
        <v>0</v>
      </c>
      <c r="NX18" s="42">
        <v>5.4384765000000002</v>
      </c>
      <c r="NY18" s="42">
        <v>2.1711925700000001</v>
      </c>
      <c r="NZ18" s="42">
        <v>0.82541699999999996</v>
      </c>
      <c r="OA18" s="42">
        <v>4.9477050000000002E-2</v>
      </c>
      <c r="OB18" s="42">
        <v>0.12124375</v>
      </c>
      <c r="OC18" s="42">
        <v>0.4385965</v>
      </c>
      <c r="OD18" s="42">
        <v>0.43449840000000001</v>
      </c>
      <c r="OE18" s="42">
        <v>0.1075501</v>
      </c>
      <c r="OF18" s="42">
        <v>0.11024885</v>
      </c>
      <c r="OG18" s="42">
        <v>0.14013497999999999</v>
      </c>
      <c r="OH18" s="42">
        <v>15.84254904</v>
      </c>
      <c r="OI18" s="42">
        <v>9.1342616400000001</v>
      </c>
      <c r="OJ18" s="42">
        <v>4.9266140399999996</v>
      </c>
      <c r="OK18" s="42">
        <v>0.14013497999999999</v>
      </c>
      <c r="OL18" s="42">
        <v>9.3081809799999995</v>
      </c>
      <c r="OM18" s="42">
        <v>68.744402579999999</v>
      </c>
      <c r="ON18" s="42">
        <v>2.6187849999999999E-2</v>
      </c>
      <c r="OO18" s="42">
        <v>4.9343104699999998</v>
      </c>
      <c r="OP18" s="42">
        <v>2.5588130000000001E-2</v>
      </c>
      <c r="OQ18" s="42">
        <v>2.5588130000000001E-2</v>
      </c>
      <c r="OR18" s="42">
        <v>2.5588130000000001E-2</v>
      </c>
      <c r="OS18" s="42">
        <v>3.3415495000000002</v>
      </c>
      <c r="OT18" s="42">
        <v>5.1674023699999996</v>
      </c>
      <c r="OU18" s="42">
        <v>2.2800420699999999</v>
      </c>
      <c r="OV18" s="42">
        <v>1.3583697299999999</v>
      </c>
      <c r="OW18" s="42">
        <v>1.4651201899999999</v>
      </c>
      <c r="OX18" s="42">
        <v>1.8627357</v>
      </c>
      <c r="OY18" s="42">
        <v>1.3798597500000001</v>
      </c>
      <c r="OZ18" s="42">
        <v>0.91207678999999997</v>
      </c>
      <c r="PA18" s="42">
        <v>0.98654224000000001</v>
      </c>
      <c r="PB18" s="42">
        <v>0.12644132</v>
      </c>
      <c r="PC18" s="42">
        <v>7.7563999999999994E-2</v>
      </c>
      <c r="PD18" s="42">
        <v>3.0985600000000002E-3</v>
      </c>
      <c r="PE18" s="42">
        <v>15.43223948</v>
      </c>
      <c r="PF18" s="42">
        <v>0.14013497999999999</v>
      </c>
      <c r="PG18" s="42">
        <v>0</v>
      </c>
      <c r="PH18" s="42">
        <v>0</v>
      </c>
      <c r="PI18" s="42">
        <v>0</v>
      </c>
      <c r="PJ18" s="42">
        <v>0.13823585999999999</v>
      </c>
      <c r="PK18" s="42">
        <v>2.6187849999999999E-2</v>
      </c>
      <c r="PL18" s="42">
        <v>0</v>
      </c>
      <c r="PM18" s="42">
        <v>25.73665819</v>
      </c>
      <c r="PN18" s="42">
        <v>10.29082506</v>
      </c>
      <c r="PO18" s="42">
        <v>3.17692591</v>
      </c>
      <c r="PP18" s="42">
        <v>7.7168193900000004</v>
      </c>
      <c r="PQ18" s="42">
        <v>4.6576388399999997</v>
      </c>
      <c r="PR18" s="42">
        <v>4.9343104699999998</v>
      </c>
      <c r="PS18" s="42">
        <v>3.1628280000000002E-2</v>
      </c>
      <c r="PT18" s="42">
        <v>0.40259524000000002</v>
      </c>
      <c r="PU18" s="42">
        <v>0.83412942999999995</v>
      </c>
      <c r="PV18" s="42">
        <v>5.3933000000000002E-3</v>
      </c>
      <c r="PW18" s="42">
        <v>0.11712</v>
      </c>
      <c r="PX18" s="42">
        <v>4.3280390000000002E-2</v>
      </c>
      <c r="PY18" s="42">
        <v>0.34414586000000003</v>
      </c>
      <c r="PZ18" s="42">
        <v>0.63577435999999998</v>
      </c>
      <c r="QA18" s="42">
        <v>10.62437035</v>
      </c>
      <c r="QB18" s="42">
        <v>0.77873866000000003</v>
      </c>
      <c r="QC18" s="42">
        <v>7.6164640000000006E-2</v>
      </c>
      <c r="QD18" s="42">
        <v>1.5992570000000001E-2</v>
      </c>
      <c r="QE18" s="42">
        <v>4.108092E-2</v>
      </c>
      <c r="QF18" s="42">
        <v>2.00337041</v>
      </c>
      <c r="QG18" s="42">
        <v>5.7175471</v>
      </c>
      <c r="QH18" s="42">
        <v>0.70637223999999998</v>
      </c>
      <c r="QI18" s="42">
        <v>0.60601879999999997</v>
      </c>
      <c r="QJ18" s="42">
        <v>0.60601879999999997</v>
      </c>
      <c r="QK18" s="42">
        <v>6.9988525499999996</v>
      </c>
    </row>
    <row r="19" spans="1:453" x14ac:dyDescent="0.35">
      <c r="A19" s="41" t="s">
        <v>684</v>
      </c>
      <c r="B19" s="41" t="s">
        <v>683</v>
      </c>
      <c r="C19" s="41" t="s">
        <v>685</v>
      </c>
      <c r="D19" s="41" t="s">
        <v>536</v>
      </c>
      <c r="E19" s="41" t="s">
        <v>685</v>
      </c>
      <c r="F19" s="41" t="s">
        <v>1215</v>
      </c>
      <c r="G19" s="41" t="s">
        <v>686</v>
      </c>
      <c r="H19" s="42">
        <v>75.102934759999997</v>
      </c>
      <c r="I19" s="42">
        <v>99.20175141</v>
      </c>
      <c r="J19" s="42">
        <v>187.75273706999999</v>
      </c>
      <c r="K19" s="42">
        <v>99.20175141</v>
      </c>
      <c r="L19" s="42">
        <v>284.93021649000002</v>
      </c>
      <c r="M19" s="42">
        <v>99.20175141</v>
      </c>
      <c r="N19" s="42">
        <v>97.177479419999997</v>
      </c>
      <c r="O19" s="42">
        <v>99.20175141</v>
      </c>
      <c r="P19" s="42">
        <v>6.48544623</v>
      </c>
      <c r="Q19" s="42">
        <v>1.35186034</v>
      </c>
      <c r="R19" s="42">
        <v>3.6058660599999999</v>
      </c>
      <c r="S19" s="42">
        <v>2.6673362300000001</v>
      </c>
      <c r="T19" s="42">
        <v>5.1955848299999996</v>
      </c>
      <c r="U19" s="42">
        <v>0.41119749</v>
      </c>
      <c r="V19" s="42">
        <v>3.4962451699999999</v>
      </c>
      <c r="W19" s="42">
        <v>235.52849541</v>
      </c>
      <c r="X19" s="42">
        <v>99.326197750000006</v>
      </c>
      <c r="Y19" s="42">
        <v>437.85891662</v>
      </c>
      <c r="Z19" s="42">
        <v>99.305091649999994</v>
      </c>
      <c r="AA19" s="42">
        <v>749.71274376999997</v>
      </c>
      <c r="AB19" s="42">
        <v>99.305091649999994</v>
      </c>
      <c r="AC19" s="42">
        <v>311.85393632</v>
      </c>
      <c r="AD19" s="42">
        <v>99.305091649999994</v>
      </c>
      <c r="AE19" s="42">
        <v>202.59174264999999</v>
      </c>
      <c r="AF19" s="42">
        <v>0.16802316</v>
      </c>
      <c r="AG19" s="42">
        <v>3196.7484972399998</v>
      </c>
      <c r="AH19" s="42">
        <v>7978.1306968700001</v>
      </c>
      <c r="AI19" s="42">
        <v>1699.27290268</v>
      </c>
      <c r="AJ19" s="42">
        <v>9.4671805599999992</v>
      </c>
      <c r="AK19" s="42">
        <v>10.24671244</v>
      </c>
      <c r="AL19" s="41" t="s">
        <v>1168</v>
      </c>
      <c r="AM19" s="42">
        <v>99.100800539999994</v>
      </c>
      <c r="AN19" s="42">
        <v>41.641038999999999</v>
      </c>
      <c r="AO19" s="42">
        <v>37.769364009999997</v>
      </c>
      <c r="AP19" s="41">
        <v>3.5</v>
      </c>
      <c r="AQ19" s="42">
        <v>75.038852140000003</v>
      </c>
      <c r="AR19" s="42">
        <v>36.301992480000003</v>
      </c>
      <c r="AS19" s="42">
        <v>96.252970529999999</v>
      </c>
      <c r="AT19" s="42">
        <v>4.7206885600000001</v>
      </c>
      <c r="AU19" s="42">
        <v>21.701848519999999</v>
      </c>
      <c r="AV19" s="42">
        <v>99.326197750000006</v>
      </c>
      <c r="AW19" s="42">
        <v>1.15207444</v>
      </c>
      <c r="AX19" s="42">
        <v>6.0040878299999996</v>
      </c>
      <c r="AY19" s="42">
        <v>0.13410337</v>
      </c>
      <c r="AZ19" s="42">
        <v>0.40410214999999999</v>
      </c>
      <c r="BA19" s="42">
        <v>31.877775719999999</v>
      </c>
      <c r="BB19" s="42">
        <v>35.038812249999999</v>
      </c>
      <c r="BC19" s="42">
        <v>1.5072940500000001</v>
      </c>
      <c r="BD19" s="42">
        <v>1.39638749</v>
      </c>
      <c r="BE19" s="42">
        <v>1.3027042499999999</v>
      </c>
      <c r="BF19" s="42">
        <v>1.6538420599999999</v>
      </c>
      <c r="BG19" s="42">
        <v>5.7004400000000002E-3</v>
      </c>
      <c r="BH19" s="42">
        <v>0.41066730000000001</v>
      </c>
      <c r="BI19" s="42">
        <v>9.6053000000000002E-4</v>
      </c>
      <c r="BJ19" s="42">
        <v>5.5176049999999997E-2</v>
      </c>
      <c r="BK19" s="42">
        <v>1.6555848500000001</v>
      </c>
      <c r="BL19" s="42">
        <v>2.4263109300000001</v>
      </c>
      <c r="BM19" s="42">
        <v>0.29695338999999998</v>
      </c>
      <c r="BN19" s="42">
        <v>0.57156185999999998</v>
      </c>
      <c r="BO19" s="42">
        <v>0.35421275000000002</v>
      </c>
      <c r="BP19" s="42">
        <v>2.8957779999999999E-2</v>
      </c>
      <c r="BQ19" s="42">
        <v>0.54078267000000002</v>
      </c>
      <c r="BR19" s="42">
        <v>0.12441753999999999</v>
      </c>
      <c r="BS19" s="42">
        <v>1.65281184</v>
      </c>
      <c r="BT19" s="42">
        <v>2.7271700000000001E-3</v>
      </c>
      <c r="BU19" s="42">
        <v>4.0791227599999997</v>
      </c>
      <c r="BV19" s="42">
        <v>3.1420450000000003E-2</v>
      </c>
      <c r="BW19" s="42">
        <v>11.46399667</v>
      </c>
      <c r="BX19" s="42">
        <v>1.9375797100000001</v>
      </c>
      <c r="BY19" s="42">
        <v>16.21247073</v>
      </c>
      <c r="BZ19" s="42">
        <v>2.2898129999999999E-2</v>
      </c>
      <c r="CA19" s="42">
        <v>48.301008719999999</v>
      </c>
      <c r="CB19" s="42">
        <v>1.2414766699999999</v>
      </c>
      <c r="CC19" s="42">
        <v>3.7041539999999998E-2</v>
      </c>
      <c r="CD19" s="42">
        <v>6.9381699999999996E-3</v>
      </c>
      <c r="CE19" s="42">
        <v>4.5555369999999998E-2</v>
      </c>
      <c r="CF19" s="42"/>
      <c r="CG19" s="42">
        <v>23.117649589999999</v>
      </c>
      <c r="CH19" s="42">
        <v>10.30306173</v>
      </c>
      <c r="CI19" s="42">
        <v>1.2000609099999999</v>
      </c>
      <c r="CJ19" s="42">
        <v>39.55720994</v>
      </c>
      <c r="CK19" s="42">
        <v>57.945301329999999</v>
      </c>
      <c r="CL19" s="42">
        <v>31.3895479</v>
      </c>
      <c r="CM19" s="42">
        <v>17.063185919999999</v>
      </c>
      <c r="CN19" s="42">
        <v>15.730017180000001</v>
      </c>
      <c r="CO19" s="42">
        <v>5.1260939099999998</v>
      </c>
      <c r="CP19" s="42">
        <v>32.895846370000001</v>
      </c>
      <c r="CQ19" s="42">
        <v>1.2339102500000001</v>
      </c>
      <c r="CR19" s="42">
        <v>19.145222969999999</v>
      </c>
      <c r="CS19" s="42">
        <v>44.103384069999997</v>
      </c>
      <c r="CT19" s="42">
        <v>34.783946219999997</v>
      </c>
      <c r="CU19" s="42">
        <v>32.102177410000003</v>
      </c>
      <c r="CV19" s="42">
        <v>20.349763849999999</v>
      </c>
      <c r="CW19" s="42">
        <v>2.3780201999999999</v>
      </c>
      <c r="CX19" s="42">
        <v>9.4944591500000008</v>
      </c>
      <c r="CY19" s="42">
        <v>14.58799804</v>
      </c>
      <c r="CZ19" s="42">
        <v>22.511844870000001</v>
      </c>
      <c r="DA19" s="42">
        <v>16.291319959999999</v>
      </c>
      <c r="DB19" s="42">
        <v>74.345238140000006</v>
      </c>
      <c r="DC19" s="42">
        <v>17.29156974</v>
      </c>
      <c r="DD19" s="42">
        <v>7.6296556300000002</v>
      </c>
      <c r="DE19" s="42">
        <v>46.538550059999999</v>
      </c>
      <c r="DF19" s="42">
        <v>99.266463509999994</v>
      </c>
      <c r="DG19" s="42">
        <v>5.7203918199999997</v>
      </c>
      <c r="DH19" s="42">
        <v>99.107869120000004</v>
      </c>
      <c r="DI19" s="42">
        <v>79.101577109999994</v>
      </c>
      <c r="DJ19" s="42">
        <v>20.224620640000001</v>
      </c>
      <c r="DK19" s="42">
        <v>5.3052967799999999</v>
      </c>
      <c r="DL19" s="42">
        <v>1.7187532599999999</v>
      </c>
      <c r="DM19" s="42">
        <v>81.13901267</v>
      </c>
      <c r="DN19" s="42">
        <v>5.1708946500000001</v>
      </c>
      <c r="DO19" s="42">
        <v>9.2349137799999994</v>
      </c>
      <c r="DP19" s="42">
        <v>1.57827826</v>
      </c>
      <c r="DQ19" s="42">
        <v>5.7632126399999999</v>
      </c>
      <c r="DR19" s="42">
        <v>98.841852619999997</v>
      </c>
      <c r="DS19" s="42">
        <v>23.974139009999998</v>
      </c>
      <c r="DT19" s="42">
        <v>97.475332249999994</v>
      </c>
      <c r="DU19" s="42">
        <v>1.5118735800000001</v>
      </c>
      <c r="DV19" s="42">
        <v>1.46259293</v>
      </c>
      <c r="DW19" s="42">
        <v>30.974693569999999</v>
      </c>
      <c r="DX19" s="42">
        <v>36.03298925</v>
      </c>
      <c r="DY19" s="42">
        <v>17.242687230000001</v>
      </c>
      <c r="DZ19" s="42">
        <v>14.922509809999999</v>
      </c>
      <c r="EA19" s="42">
        <v>66.292962540000005</v>
      </c>
      <c r="EB19" s="42">
        <v>0</v>
      </c>
      <c r="EC19" s="42">
        <v>2.4840385199999999</v>
      </c>
      <c r="ED19" s="42">
        <v>4.1715492300000001</v>
      </c>
      <c r="EE19" s="42">
        <v>7.6027752499999997</v>
      </c>
      <c r="EF19" s="42">
        <v>7.8650079999999997E-2</v>
      </c>
      <c r="EG19" s="42">
        <v>23.495966509999999</v>
      </c>
      <c r="EH19" s="42">
        <v>5.0870267</v>
      </c>
      <c r="EI19" s="42">
        <v>11.90523365</v>
      </c>
      <c r="EJ19" s="42">
        <v>5.3734932999999998</v>
      </c>
      <c r="EK19" s="42">
        <v>35.184165530000001</v>
      </c>
      <c r="EL19" s="42">
        <v>58.622787379999998</v>
      </c>
      <c r="EM19" s="42">
        <v>5.5171541599999996</v>
      </c>
      <c r="EN19" s="42">
        <v>11.87148376</v>
      </c>
      <c r="EO19" s="42">
        <v>2864.97420637</v>
      </c>
      <c r="EP19" s="42">
        <v>59.143371250000001</v>
      </c>
      <c r="EQ19" s="42">
        <v>40857.699498889997</v>
      </c>
      <c r="ER19" s="42">
        <v>95.993126579999995</v>
      </c>
      <c r="ES19" s="42">
        <v>36.262567879999999</v>
      </c>
      <c r="ET19" s="42">
        <v>21.267680129999999</v>
      </c>
      <c r="EU19" s="42">
        <v>1.9249359800000001</v>
      </c>
      <c r="EV19" s="42">
        <v>78.914310270000001</v>
      </c>
      <c r="EW19" s="42">
        <v>6.49739311</v>
      </c>
      <c r="EX19" s="42">
        <v>25.177485369999999</v>
      </c>
      <c r="EY19" s="42">
        <v>0</v>
      </c>
      <c r="EZ19" s="42">
        <v>1.7925250399999999</v>
      </c>
      <c r="FA19" s="42">
        <v>97.138829400000006</v>
      </c>
      <c r="FB19" s="42">
        <v>96.976451819999994</v>
      </c>
      <c r="FC19" s="42">
        <v>58.84599412</v>
      </c>
      <c r="FD19" s="42">
        <v>91.236389320000001</v>
      </c>
      <c r="FE19" s="41" t="s">
        <v>1150</v>
      </c>
      <c r="FF19" s="42">
        <v>6.68784578</v>
      </c>
      <c r="FG19" s="42">
        <v>6.68784578</v>
      </c>
      <c r="FH19" s="42">
        <v>1.3076821300000001</v>
      </c>
      <c r="FI19" s="42">
        <v>1.0710349699999999</v>
      </c>
      <c r="FJ19" s="42">
        <v>90.994366069999998</v>
      </c>
      <c r="FK19" s="42">
        <v>0</v>
      </c>
      <c r="FL19" s="42">
        <v>0.23664716</v>
      </c>
      <c r="FM19" s="41" t="s">
        <v>1151</v>
      </c>
      <c r="FN19" s="42">
        <v>0.63945505999999996</v>
      </c>
      <c r="FO19" s="42">
        <v>0.94728551999999999</v>
      </c>
      <c r="FP19" s="42">
        <v>6.8196580000000007E-2</v>
      </c>
      <c r="FQ19" s="42">
        <v>6.8196580000000007E-2</v>
      </c>
      <c r="FR19" s="42">
        <v>97.974411880000005</v>
      </c>
      <c r="FS19" s="42">
        <v>0.30783045999999997</v>
      </c>
      <c r="FT19" s="42">
        <v>0</v>
      </c>
      <c r="FU19" s="41" t="s">
        <v>1150</v>
      </c>
      <c r="FV19" s="42">
        <v>1.5873379599999999</v>
      </c>
      <c r="FW19" s="42">
        <v>1.5873379599999999</v>
      </c>
      <c r="FX19" s="42">
        <v>1.43730544</v>
      </c>
      <c r="FY19" s="42">
        <v>1.2549168799999999</v>
      </c>
      <c r="FZ19" s="42">
        <v>95.965250580000003</v>
      </c>
      <c r="GA19" s="42">
        <v>0</v>
      </c>
      <c r="GB19" s="42">
        <v>0.18238856000000001</v>
      </c>
      <c r="GC19" s="41" t="s">
        <v>1150</v>
      </c>
      <c r="GD19" s="42">
        <v>8.2134579999999999E-2</v>
      </c>
      <c r="GE19" s="42">
        <v>8.2134579999999999E-2</v>
      </c>
      <c r="GF19" s="42">
        <v>1.4107237100000001</v>
      </c>
      <c r="GG19" s="42">
        <v>1.1740765500000001</v>
      </c>
      <c r="GH19" s="42">
        <v>97.497035690000004</v>
      </c>
      <c r="GI19" s="42">
        <v>0</v>
      </c>
      <c r="GJ19" s="42">
        <v>0.23664716</v>
      </c>
      <c r="GK19" s="41" t="s">
        <v>1150</v>
      </c>
      <c r="GL19" s="42">
        <v>17.955117690000002</v>
      </c>
      <c r="GM19" s="42">
        <v>17.955117690000002</v>
      </c>
      <c r="GN19" s="42">
        <v>0.36497623000000001</v>
      </c>
      <c r="GO19" s="42">
        <v>0.12832906999999999</v>
      </c>
      <c r="GP19" s="42">
        <v>80.66980006</v>
      </c>
      <c r="GQ19" s="42">
        <v>0</v>
      </c>
      <c r="GR19" s="42">
        <v>0.23664716</v>
      </c>
      <c r="GS19" s="41" t="s">
        <v>1151</v>
      </c>
      <c r="GT19" s="42">
        <v>5.7744096799999998</v>
      </c>
      <c r="GU19" s="42">
        <v>5.9327054199999996</v>
      </c>
      <c r="GV19" s="42">
        <v>0.22509854000000001</v>
      </c>
      <c r="GW19" s="42">
        <v>0.22509854000000001</v>
      </c>
      <c r="GX19" s="42">
        <v>92.832090019999995</v>
      </c>
      <c r="GY19" s="42">
        <v>0.15829573999999999</v>
      </c>
      <c r="GZ19" s="42">
        <v>0</v>
      </c>
      <c r="HA19" s="41" t="s">
        <v>1150</v>
      </c>
      <c r="HB19" s="42">
        <v>14.771083450000001</v>
      </c>
      <c r="HC19" s="42">
        <v>14.964323719999999</v>
      </c>
      <c r="HD19" s="42">
        <v>3.9083119200000001</v>
      </c>
      <c r="HE19" s="42">
        <v>0.69032872999999995</v>
      </c>
      <c r="HF19" s="42">
        <v>80.117258340000006</v>
      </c>
      <c r="HG19" s="42">
        <v>0.19324026999999999</v>
      </c>
      <c r="HH19" s="42">
        <v>3.21798319</v>
      </c>
      <c r="HI19" s="41" t="s">
        <v>1150</v>
      </c>
      <c r="HJ19" s="42">
        <v>17.216901979999999</v>
      </c>
      <c r="HK19" s="42">
        <v>17.245474860000002</v>
      </c>
      <c r="HL19" s="42">
        <v>0.92896703999999997</v>
      </c>
      <c r="HM19" s="42">
        <v>0.69231988</v>
      </c>
      <c r="HN19" s="42">
        <v>80.81545208</v>
      </c>
      <c r="HO19" s="42">
        <v>2.8572879999999998E-2</v>
      </c>
      <c r="HP19" s="42">
        <v>0.23664716</v>
      </c>
      <c r="HQ19" s="41" t="s">
        <v>1151</v>
      </c>
      <c r="HR19" s="42">
        <v>16.1569179</v>
      </c>
      <c r="HS19" s="42">
        <v>16.561418270000001</v>
      </c>
      <c r="HT19" s="42">
        <v>0.38150268999999998</v>
      </c>
      <c r="HU19" s="42">
        <v>0.38150268999999998</v>
      </c>
      <c r="HV19" s="42">
        <v>82.046973019999996</v>
      </c>
      <c r="HW19" s="42">
        <v>0.40450037</v>
      </c>
      <c r="HX19" s="42">
        <v>0</v>
      </c>
      <c r="HY19" s="41" t="s">
        <v>1150</v>
      </c>
      <c r="HZ19" s="42">
        <v>31.906945910000001</v>
      </c>
      <c r="IA19" s="42">
        <v>31.906945910000001</v>
      </c>
      <c r="IB19" s="42">
        <v>0.32913566999999999</v>
      </c>
      <c r="IC19" s="42">
        <v>9.2488509999999996E-2</v>
      </c>
      <c r="ID19" s="42">
        <v>66.753812400000001</v>
      </c>
      <c r="IE19" s="42">
        <v>0</v>
      </c>
      <c r="IF19" s="42">
        <v>0.23664716</v>
      </c>
      <c r="IG19" s="41" t="s">
        <v>1150</v>
      </c>
      <c r="IH19" s="42">
        <v>1.5363647199999999</v>
      </c>
      <c r="II19" s="42">
        <v>1.5363647199999999</v>
      </c>
      <c r="IJ19" s="42">
        <v>3.00453284</v>
      </c>
      <c r="IK19" s="42">
        <v>2.7793347399999999</v>
      </c>
      <c r="IL19" s="42">
        <v>94.44899642</v>
      </c>
      <c r="IM19" s="42">
        <v>0</v>
      </c>
      <c r="IN19" s="42">
        <v>0.22519810000000001</v>
      </c>
      <c r="IO19" s="41" t="s">
        <v>1150</v>
      </c>
      <c r="IP19" s="42">
        <v>16.47340973</v>
      </c>
      <c r="IQ19" s="42">
        <v>18.196941760000001</v>
      </c>
      <c r="IR19" s="42">
        <v>4.3473585999999997</v>
      </c>
      <c r="IS19" s="42">
        <v>1.12937541</v>
      </c>
      <c r="IT19" s="42">
        <v>76.445593619999997</v>
      </c>
      <c r="IU19" s="42">
        <v>1.7235320300000001</v>
      </c>
      <c r="IV19" s="42">
        <v>3.21798319</v>
      </c>
      <c r="IW19" s="41" t="s">
        <v>1150</v>
      </c>
      <c r="IX19" s="42">
        <v>11.562856869999999</v>
      </c>
      <c r="IY19" s="42">
        <v>11.79382927</v>
      </c>
      <c r="IZ19" s="42">
        <v>3.94295778</v>
      </c>
      <c r="JA19" s="42">
        <v>0.72497458999999997</v>
      </c>
      <c r="JB19" s="42">
        <v>83.253106930000001</v>
      </c>
      <c r="JC19" s="42">
        <v>0.23097239999999999</v>
      </c>
      <c r="JD19" s="42">
        <v>3.21798319</v>
      </c>
      <c r="JE19" s="41" t="s">
        <v>1150</v>
      </c>
      <c r="JF19" s="42">
        <v>4.9778499999999998E-3</v>
      </c>
      <c r="JG19" s="42">
        <v>4.9778499999999998E-3</v>
      </c>
      <c r="JH19" s="42">
        <v>0.71402330000000003</v>
      </c>
      <c r="JI19" s="42">
        <v>0.64164531999999996</v>
      </c>
      <c r="JJ19" s="42">
        <v>98.270892829999994</v>
      </c>
      <c r="JK19" s="42">
        <v>0</v>
      </c>
      <c r="JL19" s="42">
        <v>7.2377979999999995E-2</v>
      </c>
      <c r="JM19" s="41" t="s">
        <v>1150</v>
      </c>
      <c r="JN19" s="42">
        <v>0</v>
      </c>
      <c r="JO19" s="42">
        <v>0</v>
      </c>
      <c r="JP19" s="42">
        <v>1.07123408</v>
      </c>
      <c r="JQ19" s="42">
        <v>1.07123408</v>
      </c>
      <c r="JR19" s="42">
        <v>97.918659899999994</v>
      </c>
      <c r="JS19" s="42">
        <v>0</v>
      </c>
      <c r="JT19" s="42">
        <v>0</v>
      </c>
      <c r="JU19" s="41" t="s">
        <v>1150</v>
      </c>
      <c r="JV19" s="42">
        <v>21.55181597</v>
      </c>
      <c r="JW19" s="42">
        <v>21.55181597</v>
      </c>
      <c r="JX19" s="42">
        <v>0.61814985</v>
      </c>
      <c r="JY19" s="42">
        <v>0.38150268999999998</v>
      </c>
      <c r="JZ19" s="42">
        <v>76.819928160000003</v>
      </c>
      <c r="KA19" s="42">
        <v>0</v>
      </c>
      <c r="KB19" s="42">
        <v>0.23664716</v>
      </c>
      <c r="KC19" s="41" t="s">
        <v>1150</v>
      </c>
      <c r="KD19" s="42">
        <v>0.70476452000000001</v>
      </c>
      <c r="KE19" s="42">
        <v>0.70476452000000001</v>
      </c>
      <c r="KF19" s="42">
        <v>0.45099352999999998</v>
      </c>
      <c r="KG19" s="42">
        <v>0.21434637000000001</v>
      </c>
      <c r="KH19" s="42">
        <v>97.834135930000002</v>
      </c>
      <c r="KI19" s="42">
        <v>0</v>
      </c>
      <c r="KJ19" s="42">
        <v>0.23664716</v>
      </c>
      <c r="KK19" s="42">
        <v>98.989893980000005</v>
      </c>
      <c r="KL19" s="42">
        <v>-3.3410120000000001E-2</v>
      </c>
      <c r="KM19" s="42">
        <v>-0.48922344000000001</v>
      </c>
      <c r="KN19" s="42">
        <v>7.2018589300000002</v>
      </c>
      <c r="KO19" s="41" t="s">
        <v>1152</v>
      </c>
      <c r="KP19" s="41" t="s">
        <v>1153</v>
      </c>
      <c r="KQ19" s="41" t="s">
        <v>1154</v>
      </c>
      <c r="KR19" s="42">
        <v>31.370503280000001</v>
      </c>
      <c r="KS19" s="42">
        <v>99.504502169999995</v>
      </c>
      <c r="KT19" s="42">
        <v>99.157917139999995</v>
      </c>
      <c r="KU19" s="42">
        <v>5.787902578440514</v>
      </c>
      <c r="KV19" s="42">
        <v>5.749634356189711</v>
      </c>
      <c r="KW19" s="42">
        <v>6.6675361500000001</v>
      </c>
      <c r="KX19" s="42">
        <v>61.119877709999997</v>
      </c>
      <c r="KY19" s="41"/>
      <c r="KZ19" s="42">
        <v>6.82921449</v>
      </c>
      <c r="LA19" s="42">
        <v>62.009940026654817</v>
      </c>
      <c r="LB19" s="42">
        <v>6.9698198761575574</v>
      </c>
      <c r="LC19" s="42">
        <v>37.781350482315112</v>
      </c>
      <c r="LD19" s="41" t="s">
        <v>461</v>
      </c>
      <c r="LE19" s="42">
        <v>15.33663804</v>
      </c>
      <c r="LF19" s="42">
        <v>50.2652699</v>
      </c>
      <c r="LG19" s="42">
        <v>10.854607809999999</v>
      </c>
      <c r="LH19" s="42">
        <v>4.4974906900000002</v>
      </c>
      <c r="LI19" s="42">
        <v>5.66828179</v>
      </c>
      <c r="LJ19" s="42">
        <v>10.365583450000001</v>
      </c>
      <c r="LK19" s="42">
        <v>2.1700454599999999</v>
      </c>
      <c r="LL19" s="42">
        <v>0.84208285999999999</v>
      </c>
      <c r="LM19" s="42">
        <v>5.2743213809485532</v>
      </c>
      <c r="LN19" s="42">
        <v>0.84208285999999999</v>
      </c>
      <c r="LO19" s="42">
        <v>13.38017164</v>
      </c>
      <c r="LP19" s="42">
        <v>78.575886569999994</v>
      </c>
      <c r="LQ19" s="42">
        <v>5.77835871</v>
      </c>
      <c r="LR19" s="42">
        <v>23.45249454</v>
      </c>
      <c r="LS19" s="41" t="s">
        <v>1216</v>
      </c>
      <c r="LT19" s="42">
        <v>5.5525310899999996</v>
      </c>
      <c r="LU19" s="42">
        <v>36.820950940000003</v>
      </c>
      <c r="LV19" s="43">
        <v>941</v>
      </c>
      <c r="LW19" s="43">
        <v>1</v>
      </c>
      <c r="LX19" s="43">
        <v>939</v>
      </c>
      <c r="LY19" s="41" t="s">
        <v>480</v>
      </c>
      <c r="LZ19" s="41" t="s">
        <v>1217</v>
      </c>
      <c r="MA19" s="44">
        <v>46203</v>
      </c>
      <c r="MB19" s="41" t="s">
        <v>1218</v>
      </c>
      <c r="MC19" s="43">
        <v>622</v>
      </c>
      <c r="MD19" s="41" t="s">
        <v>1158</v>
      </c>
      <c r="ME19" s="41" t="s">
        <v>683</v>
      </c>
      <c r="MF19" s="42">
        <v>5.3706288999999998</v>
      </c>
      <c r="MG19" s="42">
        <v>38.884471660000003</v>
      </c>
      <c r="MH19" s="42">
        <v>3970623868</v>
      </c>
      <c r="MI19" s="42">
        <v>6.82921449</v>
      </c>
      <c r="MJ19" s="42">
        <v>62.009940026654817</v>
      </c>
      <c r="MK19" s="42">
        <v>37.781350482315112</v>
      </c>
      <c r="ML19" s="42">
        <v>5.5346106900000001</v>
      </c>
      <c r="MM19" s="41" t="s">
        <v>480</v>
      </c>
      <c r="MN19" s="42">
        <v>0.89909989999999995</v>
      </c>
      <c r="MO19" s="42">
        <v>0</v>
      </c>
      <c r="MP19" s="42">
        <v>0</v>
      </c>
      <c r="MQ19" s="42">
        <v>0</v>
      </c>
      <c r="MR19" s="42">
        <v>8.1737351300000007</v>
      </c>
      <c r="MS19" s="42">
        <v>0.48205535999999999</v>
      </c>
      <c r="MT19" s="42">
        <v>0.29249869000000001</v>
      </c>
      <c r="MU19" s="42">
        <v>0.29468895000000001</v>
      </c>
      <c r="MV19" s="42">
        <v>3.6699723099999999</v>
      </c>
      <c r="MW19" s="42">
        <v>2.8932280399999999</v>
      </c>
      <c r="MX19" s="42">
        <v>2.6234283899999999</v>
      </c>
      <c r="MY19" s="42">
        <v>0</v>
      </c>
      <c r="MZ19" s="42">
        <v>0</v>
      </c>
      <c r="NA19" s="42">
        <v>0</v>
      </c>
      <c r="NB19" s="42">
        <v>0</v>
      </c>
      <c r="NC19" s="42">
        <v>3.20733063</v>
      </c>
      <c r="ND19" s="42">
        <v>0</v>
      </c>
      <c r="NE19" s="42">
        <v>0</v>
      </c>
      <c r="NF19" s="42">
        <v>0</v>
      </c>
      <c r="NG19" s="42">
        <v>0</v>
      </c>
      <c r="NH19" s="42">
        <v>0</v>
      </c>
      <c r="NI19" s="42">
        <v>0</v>
      </c>
      <c r="NJ19" s="42">
        <v>0</v>
      </c>
      <c r="NK19" s="42">
        <v>0</v>
      </c>
      <c r="NL19" s="42">
        <v>0</v>
      </c>
      <c r="NM19" s="42">
        <v>0.45736517999999998</v>
      </c>
      <c r="NN19" s="42">
        <v>0.40908</v>
      </c>
      <c r="NO19" s="42">
        <v>9.2886750000000004E-2</v>
      </c>
      <c r="NP19" s="42">
        <v>0.64702139999999997</v>
      </c>
      <c r="NQ19" s="42">
        <v>0.48892478</v>
      </c>
      <c r="NR19" s="42">
        <v>2.5937603600000001</v>
      </c>
      <c r="NS19" s="42">
        <v>2.0229001100000001</v>
      </c>
      <c r="NT19" s="42">
        <v>0.47020804999999999</v>
      </c>
      <c r="NU19" s="42">
        <v>0.70615830000000002</v>
      </c>
      <c r="NV19" s="42">
        <v>0.59256368000000004</v>
      </c>
      <c r="NW19" s="42">
        <v>0</v>
      </c>
      <c r="NX19" s="42">
        <v>4.1560099099999999</v>
      </c>
      <c r="NY19" s="42">
        <v>2.99895764</v>
      </c>
      <c r="NZ19" s="42">
        <v>0.79874637999999998</v>
      </c>
      <c r="OA19" s="42">
        <v>0.10403714</v>
      </c>
      <c r="OB19" s="42">
        <v>0.10403714</v>
      </c>
      <c r="OC19" s="42">
        <v>2.6083950000000002E-2</v>
      </c>
      <c r="OD19" s="42">
        <v>2.6083950000000002E-2</v>
      </c>
      <c r="OE19" s="42">
        <v>0</v>
      </c>
      <c r="OF19" s="42">
        <v>2.6083950000000002E-2</v>
      </c>
      <c r="OG19" s="42">
        <v>0.23664716</v>
      </c>
      <c r="OH19" s="42">
        <v>7.3863382</v>
      </c>
      <c r="OI19" s="42">
        <v>2.8138810699999999</v>
      </c>
      <c r="OJ19" s="42">
        <v>3.6652931</v>
      </c>
      <c r="OK19" s="42">
        <v>0.23664716</v>
      </c>
      <c r="OL19" s="42">
        <v>5.6374191400000004</v>
      </c>
      <c r="OM19" s="42">
        <v>66.865515380000005</v>
      </c>
      <c r="ON19" s="42">
        <v>0.23664716</v>
      </c>
      <c r="OO19" s="42">
        <v>2.7535494800000002</v>
      </c>
      <c r="OP19" s="42">
        <v>0.23057417999999999</v>
      </c>
      <c r="OQ19" s="42">
        <v>0.23057417999999999</v>
      </c>
      <c r="OR19" s="42">
        <v>0.23057417999999999</v>
      </c>
      <c r="OS19" s="42">
        <v>2.2474013199999998</v>
      </c>
      <c r="OT19" s="42">
        <v>2.04569869</v>
      </c>
      <c r="OU19" s="42">
        <v>0.24739932000000001</v>
      </c>
      <c r="OV19" s="42">
        <v>0.23256531999999999</v>
      </c>
      <c r="OW19" s="42">
        <v>0.23256531999999999</v>
      </c>
      <c r="OX19" s="42">
        <v>0.15242186999999999</v>
      </c>
      <c r="OY19" s="42">
        <v>9.1692060000000006E-2</v>
      </c>
      <c r="OZ19" s="42">
        <v>0</v>
      </c>
      <c r="PA19" s="42">
        <v>2.210167E-2</v>
      </c>
      <c r="PB19" s="42">
        <v>0.68276239999999999</v>
      </c>
      <c r="PC19" s="42">
        <v>0.60799504000000004</v>
      </c>
      <c r="PD19" s="42">
        <v>7.4866920000000003E-2</v>
      </c>
      <c r="PE19" s="42">
        <v>1.0247409300000001</v>
      </c>
      <c r="PF19" s="42">
        <v>0.23664716</v>
      </c>
      <c r="PG19" s="42">
        <v>0</v>
      </c>
      <c r="PH19" s="42">
        <v>0</v>
      </c>
      <c r="PI19" s="42">
        <v>0</v>
      </c>
      <c r="PJ19" s="42">
        <v>0.22519810000000001</v>
      </c>
      <c r="PK19" s="42">
        <v>0.23664716</v>
      </c>
      <c r="PL19" s="42">
        <v>0</v>
      </c>
      <c r="PM19" s="42">
        <v>17.563460190000001</v>
      </c>
      <c r="PN19" s="42">
        <v>8.9800480000000002E-2</v>
      </c>
      <c r="PO19" s="42">
        <v>0.34864885000000001</v>
      </c>
      <c r="PP19" s="42">
        <v>11.834349</v>
      </c>
      <c r="PQ19" s="42">
        <v>3.1090677599999998</v>
      </c>
      <c r="PR19" s="42">
        <v>2.7535494800000002</v>
      </c>
      <c r="PS19" s="42">
        <v>2.8971999999999999E-3</v>
      </c>
      <c r="PT19" s="42">
        <v>0.33761754999999999</v>
      </c>
      <c r="PU19" s="42">
        <v>0.4016923</v>
      </c>
      <c r="PV19" s="42">
        <v>0</v>
      </c>
      <c r="PW19" s="42">
        <v>9.1223490000000004E-2</v>
      </c>
      <c r="PX19" s="42">
        <v>1.3041999999999999E-3</v>
      </c>
      <c r="PY19" s="42">
        <v>9.1206309999999999E-2</v>
      </c>
      <c r="PZ19" s="42">
        <v>0.12134871999999999</v>
      </c>
      <c r="QA19" s="42">
        <v>2.6338818800000001</v>
      </c>
      <c r="QB19" s="42">
        <v>0.83767316999999997</v>
      </c>
      <c r="QC19" s="42">
        <v>0.56299522000000002</v>
      </c>
      <c r="QD19" s="42">
        <v>0.13390426</v>
      </c>
      <c r="QE19" s="42">
        <v>0.36547399000000003</v>
      </c>
      <c r="QF19" s="42">
        <v>2.19732409</v>
      </c>
      <c r="QG19" s="42">
        <v>3.9134889099999999</v>
      </c>
      <c r="QH19" s="42">
        <v>0.19075134999999999</v>
      </c>
      <c r="QI19" s="42">
        <v>0.18238856000000001</v>
      </c>
      <c r="QJ19" s="42">
        <v>0.18238856000000001</v>
      </c>
      <c r="QK19" s="42">
        <v>2.7953634300000001</v>
      </c>
    </row>
    <row r="20" spans="1:453" x14ac:dyDescent="0.35">
      <c r="A20" s="41" t="s">
        <v>592</v>
      </c>
      <c r="B20" s="41" t="s">
        <v>593</v>
      </c>
      <c r="C20" s="41" t="s">
        <v>594</v>
      </c>
      <c r="D20" s="41" t="s">
        <v>536</v>
      </c>
      <c r="E20" s="41" t="s">
        <v>594</v>
      </c>
      <c r="F20" s="41" t="s">
        <v>1219</v>
      </c>
      <c r="G20" s="41" t="s">
        <v>595</v>
      </c>
      <c r="H20" s="42">
        <v>54.427446869999997</v>
      </c>
      <c r="I20" s="42">
        <v>92.630774000000002</v>
      </c>
      <c r="J20" s="42">
        <v>92.538197440000005</v>
      </c>
      <c r="K20" s="42">
        <v>93.662171749999999</v>
      </c>
      <c r="L20" s="42">
        <v>160.33818489999999</v>
      </c>
      <c r="M20" s="42">
        <v>93.662171749999999</v>
      </c>
      <c r="N20" s="42">
        <v>67.799987470000005</v>
      </c>
      <c r="O20" s="42">
        <v>93.662171749999999</v>
      </c>
      <c r="P20" s="42">
        <v>0</v>
      </c>
      <c r="Q20" s="42">
        <v>0</v>
      </c>
      <c r="R20" s="42">
        <v>0.36605906999999999</v>
      </c>
      <c r="S20" s="42"/>
      <c r="T20" s="42">
        <v>0</v>
      </c>
      <c r="U20" s="42">
        <v>0</v>
      </c>
      <c r="V20" s="42">
        <v>0</v>
      </c>
      <c r="W20" s="42">
        <v>212.87822768000001</v>
      </c>
      <c r="X20" s="42">
        <v>92.630774000000002</v>
      </c>
      <c r="Y20" s="42">
        <v>296.43785792</v>
      </c>
      <c r="Z20" s="42">
        <v>93.662171749999999</v>
      </c>
      <c r="AA20" s="42">
        <v>583.81625065000003</v>
      </c>
      <c r="AB20" s="42">
        <v>93.662171749999999</v>
      </c>
      <c r="AC20" s="42">
        <v>287.37888026000002</v>
      </c>
      <c r="AD20" s="42">
        <v>93.662171749999999</v>
      </c>
      <c r="AE20" s="42">
        <v>202.59174264999999</v>
      </c>
      <c r="AF20" s="42">
        <v>5.9342659999999998E-2</v>
      </c>
      <c r="AG20" s="42">
        <v>391.20740971999999</v>
      </c>
      <c r="AH20" s="42">
        <v>983.65606455</v>
      </c>
      <c r="AI20" s="42">
        <v>4095.0310032900002</v>
      </c>
      <c r="AJ20" s="42">
        <v>44.436869620000003</v>
      </c>
      <c r="AK20" s="42">
        <v>4.49584662</v>
      </c>
      <c r="AL20" s="41" t="s">
        <v>1180</v>
      </c>
      <c r="AM20" s="42">
        <v>90.436929599999999</v>
      </c>
      <c r="AN20" s="42">
        <v>35.659092960000002</v>
      </c>
      <c r="AO20" s="42">
        <v>5.8451203999999999</v>
      </c>
      <c r="AP20" s="41">
        <v>1.7</v>
      </c>
      <c r="AQ20" s="42">
        <v>37.338637929999997</v>
      </c>
      <c r="AR20" s="42">
        <v>57.999680120000001</v>
      </c>
      <c r="AS20" s="42">
        <v>87.020162139999996</v>
      </c>
      <c r="AT20" s="42">
        <v>0</v>
      </c>
      <c r="AU20" s="42">
        <v>7.3072501699999997</v>
      </c>
      <c r="AV20" s="42">
        <v>92.630774000000002</v>
      </c>
      <c r="AW20" s="42">
        <v>2.9281580200000001</v>
      </c>
      <c r="AX20" s="42">
        <v>0</v>
      </c>
      <c r="AY20" s="42">
        <v>0</v>
      </c>
      <c r="AZ20" s="42">
        <v>2.71754016</v>
      </c>
      <c r="BA20" s="42">
        <v>1.3742640399999999</v>
      </c>
      <c r="BB20" s="42">
        <v>4.3024220599999996</v>
      </c>
      <c r="BC20" s="42">
        <v>2.9281580200000001</v>
      </c>
      <c r="BD20" s="42">
        <v>0</v>
      </c>
      <c r="BE20" s="42">
        <v>4.5023440900000002</v>
      </c>
      <c r="BF20" s="42">
        <v>0</v>
      </c>
      <c r="BG20" s="42">
        <v>1.46408E-3</v>
      </c>
      <c r="BH20" s="42">
        <v>0</v>
      </c>
      <c r="BI20" s="42">
        <v>0</v>
      </c>
      <c r="BJ20" s="42">
        <v>2.4425251000000001</v>
      </c>
      <c r="BK20" s="42">
        <v>2.2950209999999999E-2</v>
      </c>
      <c r="BL20" s="42">
        <v>0.36364584</v>
      </c>
      <c r="BM20" s="42">
        <v>0.34069563000000003</v>
      </c>
      <c r="BN20" s="42">
        <v>0</v>
      </c>
      <c r="BO20" s="42">
        <v>6.8811319999999995E-2</v>
      </c>
      <c r="BP20" s="42">
        <v>0</v>
      </c>
      <c r="BQ20" s="42">
        <v>2.9437213999999998</v>
      </c>
      <c r="BR20" s="42">
        <v>2.8581189999999999E-2</v>
      </c>
      <c r="BS20" s="42">
        <v>5.48510309</v>
      </c>
      <c r="BT20" s="42">
        <v>0</v>
      </c>
      <c r="BU20" s="42">
        <v>5.8487489300000002</v>
      </c>
      <c r="BV20" s="42">
        <v>0</v>
      </c>
      <c r="BW20" s="42">
        <v>29.435020340000001</v>
      </c>
      <c r="BX20" s="42">
        <v>4.5023440900000002</v>
      </c>
      <c r="BY20" s="42">
        <v>39.583062609999999</v>
      </c>
      <c r="BZ20" s="42">
        <v>0</v>
      </c>
      <c r="CA20" s="42">
        <v>40.957326649999999</v>
      </c>
      <c r="CB20" s="42">
        <v>0</v>
      </c>
      <c r="CC20" s="42">
        <v>0</v>
      </c>
      <c r="CD20" s="42">
        <v>0</v>
      </c>
      <c r="CE20" s="42">
        <v>2.4132300000000001E-3</v>
      </c>
      <c r="CF20" s="42"/>
      <c r="CG20" s="42">
        <v>39.977708700000001</v>
      </c>
      <c r="CH20" s="42">
        <v>8.2564799799999999</v>
      </c>
      <c r="CI20" s="42">
        <v>6.4077010000000003</v>
      </c>
      <c r="CJ20" s="42">
        <v>33.653075299999998</v>
      </c>
      <c r="CK20" s="42">
        <v>33.803516620000003</v>
      </c>
      <c r="CL20" s="42">
        <v>25.30693029</v>
      </c>
      <c r="CM20" s="42">
        <v>12.44184768</v>
      </c>
      <c r="CN20" s="42">
        <v>2.5638001199999998</v>
      </c>
      <c r="CO20" s="42">
        <v>2.8930717000000001</v>
      </c>
      <c r="CP20" s="42">
        <v>31.792101079999998</v>
      </c>
      <c r="CQ20" s="42">
        <v>2.3700756699999999</v>
      </c>
      <c r="CR20" s="42">
        <v>32.965343529999998</v>
      </c>
      <c r="CS20" s="42">
        <v>41.174941760000003</v>
      </c>
      <c r="CT20" s="42">
        <v>16.120413039999999</v>
      </c>
      <c r="CU20" s="42">
        <v>47.421705529999997</v>
      </c>
      <c r="CV20" s="42">
        <v>27.448295160000001</v>
      </c>
      <c r="CW20" s="42">
        <v>26.29554474</v>
      </c>
      <c r="CX20" s="42">
        <v>38.030967920000002</v>
      </c>
      <c r="CY20" s="42">
        <v>28.476494160000001</v>
      </c>
      <c r="CZ20" s="42">
        <v>55.660892259999997</v>
      </c>
      <c r="DA20" s="42">
        <v>41.47342536</v>
      </c>
      <c r="DB20" s="42">
        <v>50.947830349999997</v>
      </c>
      <c r="DC20" s="42">
        <v>29.42202541</v>
      </c>
      <c r="DD20" s="42">
        <v>12.260918240000001</v>
      </c>
      <c r="DE20" s="42">
        <v>43.117484189999999</v>
      </c>
      <c r="DF20" s="42">
        <v>90.436929599999999</v>
      </c>
      <c r="DG20" s="42">
        <v>4.0581706999999998</v>
      </c>
      <c r="DH20" s="42">
        <v>87.27366327</v>
      </c>
      <c r="DI20" s="42">
        <v>58.326752550000002</v>
      </c>
      <c r="DJ20" s="42">
        <v>35.335419199999997</v>
      </c>
      <c r="DK20" s="42">
        <v>29.243894879999999</v>
      </c>
      <c r="DL20" s="42">
        <v>0</v>
      </c>
      <c r="DM20" s="42">
        <v>53.985545639999998</v>
      </c>
      <c r="DN20" s="42">
        <v>3.6901608399999999</v>
      </c>
      <c r="DO20" s="42">
        <v>32.761223119999997</v>
      </c>
      <c r="DP20" s="42">
        <v>0</v>
      </c>
      <c r="DQ20" s="42">
        <v>5.8265672799999999</v>
      </c>
      <c r="DR20" s="42">
        <v>90.436929599999999</v>
      </c>
      <c r="DS20" s="42">
        <v>37.662211739999996</v>
      </c>
      <c r="DT20" s="42">
        <v>50.635552140000001</v>
      </c>
      <c r="DU20" s="42">
        <v>21.991423340000001</v>
      </c>
      <c r="DV20" s="42">
        <v>2.4405481899999999</v>
      </c>
      <c r="DW20" s="42">
        <v>4.5375303699999998</v>
      </c>
      <c r="DX20" s="42">
        <v>0</v>
      </c>
      <c r="DY20" s="42">
        <v>27.448295160000001</v>
      </c>
      <c r="DZ20" s="42">
        <v>49.406931299999997</v>
      </c>
      <c r="EA20" s="42">
        <v>69.571866970000002</v>
      </c>
      <c r="EB20" s="42">
        <v>0</v>
      </c>
      <c r="EC20" s="42">
        <v>4.9268625200000002</v>
      </c>
      <c r="ED20" s="42">
        <v>4.8999111900000001</v>
      </c>
      <c r="EE20" s="42">
        <v>4.5023440900000002</v>
      </c>
      <c r="EF20" s="42">
        <v>0</v>
      </c>
      <c r="EG20" s="42">
        <v>41.47342536</v>
      </c>
      <c r="EH20" s="42">
        <v>4.3126186400000002</v>
      </c>
      <c r="EI20" s="42">
        <v>39.020282090000002</v>
      </c>
      <c r="EJ20" s="42">
        <v>40.092863790000003</v>
      </c>
      <c r="EK20" s="42">
        <v>39.336858620000001</v>
      </c>
      <c r="EL20" s="42">
        <v>11.007207190000001</v>
      </c>
      <c r="EM20" s="42">
        <v>41.484321119999997</v>
      </c>
      <c r="EN20" s="42">
        <v>80.948729999999998</v>
      </c>
      <c r="EO20" s="42">
        <v>7250.9696627699996</v>
      </c>
      <c r="EP20" s="42">
        <v>41.390357760000001</v>
      </c>
      <c r="EQ20" s="42">
        <v>4654.61738444</v>
      </c>
      <c r="ER20" s="42">
        <v>69.780285689999999</v>
      </c>
      <c r="ES20" s="42">
        <v>0</v>
      </c>
      <c r="ET20" s="42">
        <v>61.810493909999998</v>
      </c>
      <c r="EU20" s="42">
        <v>32.780315680000001</v>
      </c>
      <c r="EV20" s="42">
        <v>79.579064169999995</v>
      </c>
      <c r="EW20" s="42">
        <v>0</v>
      </c>
      <c r="EX20" s="42">
        <v>8.1234318600000002</v>
      </c>
      <c r="EY20" s="42">
        <v>0</v>
      </c>
      <c r="EZ20" s="42">
        <v>29.09015484</v>
      </c>
      <c r="FA20" s="42">
        <v>78.488489490000006</v>
      </c>
      <c r="FB20" s="42">
        <v>73.702556009999995</v>
      </c>
      <c r="FC20" s="42">
        <v>32.087485870000002</v>
      </c>
      <c r="FD20" s="42">
        <v>87.020162139999996</v>
      </c>
      <c r="FE20" s="41" t="s">
        <v>1151</v>
      </c>
      <c r="FF20" s="42">
        <v>29.013084899999999</v>
      </c>
      <c r="FG20" s="42">
        <v>29.013084899999999</v>
      </c>
      <c r="FH20" s="42">
        <v>0</v>
      </c>
      <c r="FI20" s="42">
        <v>0</v>
      </c>
      <c r="FJ20" s="42">
        <v>58.260578369999998</v>
      </c>
      <c r="FK20" s="42">
        <v>0</v>
      </c>
      <c r="FL20" s="42">
        <v>0</v>
      </c>
      <c r="FM20" s="41" t="s">
        <v>1150</v>
      </c>
      <c r="FN20" s="42">
        <v>0</v>
      </c>
      <c r="FO20" s="42">
        <v>0</v>
      </c>
      <c r="FP20" s="42">
        <v>0</v>
      </c>
      <c r="FQ20" s="42">
        <v>0</v>
      </c>
      <c r="FR20" s="42">
        <v>87.27366327</v>
      </c>
      <c r="FS20" s="42">
        <v>0</v>
      </c>
      <c r="FT20" s="42">
        <v>0</v>
      </c>
      <c r="FU20" s="41" t="s">
        <v>1150</v>
      </c>
      <c r="FV20" s="42">
        <v>0</v>
      </c>
      <c r="FW20" s="42">
        <v>0</v>
      </c>
      <c r="FX20" s="42">
        <v>0</v>
      </c>
      <c r="FY20" s="42">
        <v>0</v>
      </c>
      <c r="FZ20" s="42">
        <v>87.27366327</v>
      </c>
      <c r="GA20" s="42">
        <v>0</v>
      </c>
      <c r="GB20" s="42">
        <v>0</v>
      </c>
      <c r="GC20" s="41" t="s">
        <v>1151</v>
      </c>
      <c r="GD20" s="42">
        <v>2.71754016</v>
      </c>
      <c r="GE20" s="42">
        <v>2.71754016</v>
      </c>
      <c r="GF20" s="42">
        <v>0</v>
      </c>
      <c r="GG20" s="42">
        <v>0</v>
      </c>
      <c r="GH20" s="42">
        <v>84.556123110000001</v>
      </c>
      <c r="GI20" s="42">
        <v>0</v>
      </c>
      <c r="GJ20" s="42">
        <v>0</v>
      </c>
      <c r="GK20" s="41" t="s">
        <v>1151</v>
      </c>
      <c r="GL20" s="42">
        <v>43.69335959</v>
      </c>
      <c r="GM20" s="42">
        <v>43.69335959</v>
      </c>
      <c r="GN20" s="42">
        <v>0</v>
      </c>
      <c r="GO20" s="42">
        <v>0</v>
      </c>
      <c r="GP20" s="42">
        <v>43.58030368</v>
      </c>
      <c r="GQ20" s="42">
        <v>0</v>
      </c>
      <c r="GR20" s="42">
        <v>0</v>
      </c>
      <c r="GS20" s="41" t="s">
        <v>1151</v>
      </c>
      <c r="GT20" s="42">
        <v>2.4405481899999999</v>
      </c>
      <c r="GU20" s="42">
        <v>2.4405481899999999</v>
      </c>
      <c r="GV20" s="42">
        <v>0</v>
      </c>
      <c r="GW20" s="42">
        <v>0</v>
      </c>
      <c r="GX20" s="42">
        <v>84.833115079999999</v>
      </c>
      <c r="GY20" s="42">
        <v>0</v>
      </c>
      <c r="GZ20" s="42">
        <v>0</v>
      </c>
      <c r="HA20" s="41" t="s">
        <v>1151</v>
      </c>
      <c r="HB20" s="42">
        <v>38.129529490000003</v>
      </c>
      <c r="HC20" s="42">
        <v>38.129529490000003</v>
      </c>
      <c r="HD20" s="42">
        <v>0</v>
      </c>
      <c r="HE20" s="42">
        <v>0</v>
      </c>
      <c r="HF20" s="42">
        <v>49.144133779999997</v>
      </c>
      <c r="HG20" s="42">
        <v>0</v>
      </c>
      <c r="HH20" s="42">
        <v>0</v>
      </c>
      <c r="HI20" s="41" t="s">
        <v>1151</v>
      </c>
      <c r="HJ20" s="42">
        <v>30.760003600000001</v>
      </c>
      <c r="HK20" s="42">
        <v>33.477543760000003</v>
      </c>
      <c r="HL20" s="42">
        <v>0</v>
      </c>
      <c r="HM20" s="42">
        <v>0</v>
      </c>
      <c r="HN20" s="42">
        <v>53.796119509999997</v>
      </c>
      <c r="HO20" s="42">
        <v>2.71754016</v>
      </c>
      <c r="HP20" s="42">
        <v>0</v>
      </c>
      <c r="HQ20" s="41" t="s">
        <v>1151</v>
      </c>
      <c r="HR20" s="42">
        <v>29.435020340000001</v>
      </c>
      <c r="HS20" s="42">
        <v>29.435020340000001</v>
      </c>
      <c r="HT20" s="42">
        <v>0</v>
      </c>
      <c r="HU20" s="42">
        <v>0</v>
      </c>
      <c r="HV20" s="42">
        <v>57.838642929999999</v>
      </c>
      <c r="HW20" s="42">
        <v>0</v>
      </c>
      <c r="HX20" s="42">
        <v>0</v>
      </c>
      <c r="HY20" s="41" t="s">
        <v>1151</v>
      </c>
      <c r="HZ20" s="42">
        <v>40.060776300000001</v>
      </c>
      <c r="IA20" s="42">
        <v>40.060776300000001</v>
      </c>
      <c r="IB20" s="42">
        <v>0</v>
      </c>
      <c r="IC20" s="42">
        <v>0</v>
      </c>
      <c r="ID20" s="42">
        <v>47.21288697</v>
      </c>
      <c r="IE20" s="42">
        <v>0</v>
      </c>
      <c r="IF20" s="42">
        <v>0</v>
      </c>
      <c r="IG20" s="41" t="s">
        <v>1150</v>
      </c>
      <c r="IH20" s="42">
        <v>2.9281580200000001</v>
      </c>
      <c r="II20" s="42">
        <v>2.9281580200000001</v>
      </c>
      <c r="IJ20" s="42">
        <v>5.0043483100000001</v>
      </c>
      <c r="IK20" s="42">
        <v>5.0043483100000001</v>
      </c>
      <c r="IL20" s="42">
        <v>79.341156940000005</v>
      </c>
      <c r="IM20" s="42">
        <v>0</v>
      </c>
      <c r="IN20" s="42">
        <v>0</v>
      </c>
      <c r="IO20" s="41" t="s">
        <v>1151</v>
      </c>
      <c r="IP20" s="42">
        <v>7.4944771599999997</v>
      </c>
      <c r="IQ20" s="42">
        <v>7.4944771599999997</v>
      </c>
      <c r="IR20" s="42">
        <v>0</v>
      </c>
      <c r="IS20" s="42">
        <v>0</v>
      </c>
      <c r="IT20" s="42">
        <v>79.779186109999998</v>
      </c>
      <c r="IU20" s="42">
        <v>0</v>
      </c>
      <c r="IV20" s="42">
        <v>0</v>
      </c>
      <c r="IW20" s="41" t="s">
        <v>1151</v>
      </c>
      <c r="IX20" s="42">
        <v>37.413908579999998</v>
      </c>
      <c r="IY20" s="42">
        <v>37.413908579999998</v>
      </c>
      <c r="IZ20" s="42">
        <v>0</v>
      </c>
      <c r="JA20" s="42">
        <v>0</v>
      </c>
      <c r="JB20" s="42">
        <v>49.859754690000003</v>
      </c>
      <c r="JC20" s="42">
        <v>0</v>
      </c>
      <c r="JD20" s="42">
        <v>0</v>
      </c>
      <c r="JE20" s="41" t="s">
        <v>1150</v>
      </c>
      <c r="JF20" s="42">
        <v>0</v>
      </c>
      <c r="JG20" s="42">
        <v>0</v>
      </c>
      <c r="JH20" s="42">
        <v>0</v>
      </c>
      <c r="JI20" s="42">
        <v>0</v>
      </c>
      <c r="JJ20" s="42">
        <v>87.27366327</v>
      </c>
      <c r="JK20" s="42">
        <v>0</v>
      </c>
      <c r="JL20" s="42">
        <v>0</v>
      </c>
      <c r="JM20" s="41" t="s">
        <v>1150</v>
      </c>
      <c r="JN20" s="42">
        <v>0</v>
      </c>
      <c r="JO20" s="42">
        <v>0</v>
      </c>
      <c r="JP20" s="42">
        <v>5.0043483100000001</v>
      </c>
      <c r="JQ20" s="42">
        <v>5.0043483100000001</v>
      </c>
      <c r="JR20" s="42">
        <v>82.269314960000003</v>
      </c>
      <c r="JS20" s="42">
        <v>0</v>
      </c>
      <c r="JT20" s="42">
        <v>0</v>
      </c>
      <c r="JU20" s="41" t="s">
        <v>1151</v>
      </c>
      <c r="JV20" s="42">
        <v>2.0943831899999998</v>
      </c>
      <c r="JW20" s="42">
        <v>2.0943831899999998</v>
      </c>
      <c r="JX20" s="42">
        <v>0</v>
      </c>
      <c r="JY20" s="42">
        <v>0</v>
      </c>
      <c r="JZ20" s="42">
        <v>85.179280079999998</v>
      </c>
      <c r="KA20" s="42">
        <v>0</v>
      </c>
      <c r="KB20" s="42">
        <v>0</v>
      </c>
      <c r="KC20" s="41" t="s">
        <v>1151</v>
      </c>
      <c r="KD20" s="42">
        <v>27.77596737</v>
      </c>
      <c r="KE20" s="42">
        <v>27.77596737</v>
      </c>
      <c r="KF20" s="42">
        <v>0</v>
      </c>
      <c r="KG20" s="42">
        <v>0</v>
      </c>
      <c r="KH20" s="42">
        <v>59.497695899999997</v>
      </c>
      <c r="KI20" s="42">
        <v>0</v>
      </c>
      <c r="KJ20" s="42">
        <v>0</v>
      </c>
      <c r="KK20" s="42">
        <v>87.27366327</v>
      </c>
      <c r="KL20" s="42">
        <v>0.51637489000000003</v>
      </c>
      <c r="KM20" s="42">
        <v>7.9976808899999998</v>
      </c>
      <c r="KN20" s="42">
        <v>1.3742640399999999</v>
      </c>
      <c r="KO20" s="41" t="s">
        <v>1152</v>
      </c>
      <c r="KP20" s="41" t="s">
        <v>1153</v>
      </c>
      <c r="KQ20" s="41" t="s">
        <v>1154</v>
      </c>
      <c r="KR20" s="42">
        <v>47.275228470000002</v>
      </c>
      <c r="KS20" s="42">
        <v>87.409004229999994</v>
      </c>
      <c r="KT20" s="42">
        <v>87.333005929999999</v>
      </c>
      <c r="KU20" s="42">
        <v>5.7093920492592591</v>
      </c>
      <c r="KV20" s="42">
        <v>5.3240458788888887</v>
      </c>
      <c r="KW20" s="42">
        <v>0</v>
      </c>
      <c r="KX20" s="42">
        <v>40.057777459999997</v>
      </c>
      <c r="KY20" s="41"/>
      <c r="KZ20" s="42">
        <v>6.4565577999999997</v>
      </c>
      <c r="LA20" s="42">
        <v>46.286372723234123</v>
      </c>
      <c r="LB20" s="42">
        <v>6.4392858111111124</v>
      </c>
      <c r="LC20" s="42"/>
      <c r="LD20" s="41" t="s">
        <v>461</v>
      </c>
      <c r="LE20" s="42">
        <v>9.1280058900000007</v>
      </c>
      <c r="LF20" s="42">
        <v>37.963394270000002</v>
      </c>
      <c r="LG20" s="42">
        <v>2.0943831899999998</v>
      </c>
      <c r="LH20" s="42">
        <v>0</v>
      </c>
      <c r="LI20" s="42">
        <v>21.991423340000001</v>
      </c>
      <c r="LJ20" s="42">
        <v>16.15579924</v>
      </c>
      <c r="LK20" s="42">
        <v>0</v>
      </c>
      <c r="LL20" s="42">
        <v>12.666994069999999</v>
      </c>
      <c r="LM20" s="42">
        <v>5.0481654762962966</v>
      </c>
      <c r="LN20" s="42">
        <v>12.666994069999999</v>
      </c>
      <c r="LO20" s="42">
        <v>9.3719449299999997</v>
      </c>
      <c r="LP20" s="42">
        <v>76.586796960000001</v>
      </c>
      <c r="LQ20" s="42">
        <v>4.7718245499999998</v>
      </c>
      <c r="LR20" s="42">
        <v>22.717730530000001</v>
      </c>
      <c r="LS20" s="41" t="s">
        <v>1220</v>
      </c>
      <c r="LT20" s="42">
        <v>5.2701679400000003</v>
      </c>
      <c r="LU20" s="42">
        <v>30.256331930000002</v>
      </c>
      <c r="LV20" s="43">
        <v>27</v>
      </c>
      <c r="LW20" s="43">
        <v>1</v>
      </c>
      <c r="LX20" s="43">
        <v>26</v>
      </c>
      <c r="LY20" s="41" t="s">
        <v>480</v>
      </c>
      <c r="LZ20" s="41" t="s">
        <v>1221</v>
      </c>
      <c r="MA20" s="44">
        <v>46203</v>
      </c>
      <c r="MB20" s="41" t="s">
        <v>1222</v>
      </c>
      <c r="MC20" s="43">
        <v>27</v>
      </c>
      <c r="MD20" s="41" t="s">
        <v>1158</v>
      </c>
      <c r="ME20" s="41" t="s">
        <v>593</v>
      </c>
      <c r="MF20" s="42">
        <v>5.1617448100000001</v>
      </c>
      <c r="MG20" s="42">
        <v>34.358943459999999</v>
      </c>
      <c r="MH20" s="42">
        <v>523867828</v>
      </c>
      <c r="MI20" s="42">
        <v>6.4565577999999997</v>
      </c>
      <c r="MJ20" s="42">
        <v>46.286372723234123</v>
      </c>
      <c r="MK20" s="42"/>
      <c r="ML20" s="42">
        <v>5.0978787299999997</v>
      </c>
      <c r="MM20" s="41" t="s">
        <v>480</v>
      </c>
      <c r="MN20" s="42">
        <v>1.3742640399999999</v>
      </c>
      <c r="MO20" s="42">
        <v>0</v>
      </c>
      <c r="MP20" s="42">
        <v>0</v>
      </c>
      <c r="MQ20" s="42">
        <v>0</v>
      </c>
      <c r="MR20" s="42">
        <v>4.5023440900000002</v>
      </c>
      <c r="MS20" s="42">
        <v>0</v>
      </c>
      <c r="MT20" s="42">
        <v>0</v>
      </c>
      <c r="MU20" s="42">
        <v>0</v>
      </c>
      <c r="MV20" s="42">
        <v>0</v>
      </c>
      <c r="MW20" s="42">
        <v>0</v>
      </c>
      <c r="MX20" s="42">
        <v>0</v>
      </c>
      <c r="MY20" s="42">
        <v>0</v>
      </c>
      <c r="MZ20" s="42">
        <v>0</v>
      </c>
      <c r="NA20" s="42">
        <v>0</v>
      </c>
      <c r="NB20" s="42">
        <v>0</v>
      </c>
      <c r="NC20" s="42">
        <v>27.32694249</v>
      </c>
      <c r="ND20" s="42">
        <v>0</v>
      </c>
      <c r="NE20" s="42">
        <v>0</v>
      </c>
      <c r="NF20" s="42">
        <v>0</v>
      </c>
      <c r="NG20" s="42">
        <v>0</v>
      </c>
      <c r="NH20" s="42">
        <v>0</v>
      </c>
      <c r="NI20" s="42">
        <v>0</v>
      </c>
      <c r="NJ20" s="42">
        <v>0</v>
      </c>
      <c r="NK20" s="42">
        <v>0</v>
      </c>
      <c r="NL20" s="42">
        <v>0</v>
      </c>
      <c r="NM20" s="42">
        <v>0</v>
      </c>
      <c r="NN20" s="42">
        <v>0</v>
      </c>
      <c r="NO20" s="42">
        <v>0</v>
      </c>
      <c r="NP20" s="42">
        <v>0</v>
      </c>
      <c r="NQ20" s="42">
        <v>0</v>
      </c>
      <c r="NR20" s="42">
        <v>0</v>
      </c>
      <c r="NS20" s="42">
        <v>0</v>
      </c>
      <c r="NT20" s="42">
        <v>0</v>
      </c>
      <c r="NU20" s="42">
        <v>0</v>
      </c>
      <c r="NV20" s="42">
        <v>0</v>
      </c>
      <c r="NW20" s="42">
        <v>0</v>
      </c>
      <c r="NX20" s="42">
        <v>0</v>
      </c>
      <c r="NY20" s="42">
        <v>0</v>
      </c>
      <c r="NZ20" s="42">
        <v>0</v>
      </c>
      <c r="OA20" s="42">
        <v>0</v>
      </c>
      <c r="OB20" s="42">
        <v>0</v>
      </c>
      <c r="OC20" s="42">
        <v>0</v>
      </c>
      <c r="OD20" s="42">
        <v>0</v>
      </c>
      <c r="OE20" s="42">
        <v>0</v>
      </c>
      <c r="OF20" s="42">
        <v>0</v>
      </c>
      <c r="OG20" s="42">
        <v>0</v>
      </c>
      <c r="OH20" s="42">
        <v>30.159037980000001</v>
      </c>
      <c r="OI20" s="42">
        <v>0</v>
      </c>
      <c r="OJ20" s="42">
        <v>0</v>
      </c>
      <c r="OK20" s="42">
        <v>0</v>
      </c>
      <c r="OL20" s="42">
        <v>30.159037980000001</v>
      </c>
      <c r="OM20" s="42">
        <v>64.155279440000001</v>
      </c>
      <c r="ON20" s="42">
        <v>0</v>
      </c>
      <c r="OO20" s="42">
        <v>21.991423340000001</v>
      </c>
      <c r="OP20" s="42">
        <v>0</v>
      </c>
      <c r="OQ20" s="42">
        <v>0</v>
      </c>
      <c r="OR20" s="42">
        <v>0</v>
      </c>
      <c r="OS20" s="42">
        <v>0</v>
      </c>
      <c r="OT20" s="42">
        <v>0</v>
      </c>
      <c r="OU20" s="42">
        <v>0</v>
      </c>
      <c r="OV20" s="42">
        <v>0</v>
      </c>
      <c r="OW20" s="42">
        <v>0</v>
      </c>
      <c r="OX20" s="42">
        <v>0</v>
      </c>
      <c r="OY20" s="42">
        <v>0</v>
      </c>
      <c r="OZ20" s="42">
        <v>0</v>
      </c>
      <c r="PA20" s="42">
        <v>0</v>
      </c>
      <c r="PB20" s="42">
        <v>0</v>
      </c>
      <c r="PC20" s="42">
        <v>0</v>
      </c>
      <c r="PD20" s="42">
        <v>0</v>
      </c>
      <c r="PE20" s="42">
        <v>0</v>
      </c>
      <c r="PF20" s="42">
        <v>0</v>
      </c>
      <c r="PG20" s="42">
        <v>0</v>
      </c>
      <c r="PH20" s="42">
        <v>0</v>
      </c>
      <c r="PI20" s="42">
        <v>0</v>
      </c>
      <c r="PJ20" s="42">
        <v>0</v>
      </c>
      <c r="PK20" s="42">
        <v>0</v>
      </c>
      <c r="PL20" s="42">
        <v>0</v>
      </c>
      <c r="PM20" s="42">
        <v>30.159037980000001</v>
      </c>
      <c r="PN20" s="42">
        <v>0</v>
      </c>
      <c r="PO20" s="42">
        <v>0</v>
      </c>
      <c r="PP20" s="42">
        <v>0</v>
      </c>
      <c r="PQ20" s="42">
        <v>8.16761464</v>
      </c>
      <c r="PR20" s="42">
        <v>21.991423340000001</v>
      </c>
      <c r="PS20" s="42">
        <v>6.8712999999999999E-4</v>
      </c>
      <c r="PT20" s="42">
        <v>4.4573210000000002E-2</v>
      </c>
      <c r="PU20" s="42">
        <v>0</v>
      </c>
      <c r="PV20" s="42">
        <v>0</v>
      </c>
      <c r="PW20" s="42">
        <v>0</v>
      </c>
      <c r="PX20" s="42">
        <v>0</v>
      </c>
      <c r="PY20" s="42">
        <v>0</v>
      </c>
      <c r="PZ20" s="42">
        <v>2.1322699999999999E-3</v>
      </c>
      <c r="QA20" s="42">
        <v>0</v>
      </c>
      <c r="QB20" s="42">
        <v>0</v>
      </c>
      <c r="QC20" s="42">
        <v>0</v>
      </c>
      <c r="QD20" s="42">
        <v>0</v>
      </c>
      <c r="QE20" s="42">
        <v>0</v>
      </c>
      <c r="QF20" s="42">
        <v>0</v>
      </c>
      <c r="QG20" s="42">
        <v>2.1322684199999999</v>
      </c>
      <c r="QH20" s="42">
        <v>0</v>
      </c>
      <c r="QI20" s="42">
        <v>0</v>
      </c>
      <c r="QJ20" s="42">
        <v>0</v>
      </c>
      <c r="QK20" s="42">
        <v>0</v>
      </c>
    </row>
    <row r="21" spans="1:453" x14ac:dyDescent="0.35">
      <c r="A21" s="41" t="s">
        <v>664</v>
      </c>
      <c r="B21" s="41" t="s">
        <v>663</v>
      </c>
      <c r="C21" s="41" t="s">
        <v>655</v>
      </c>
      <c r="D21" s="41" t="s">
        <v>536</v>
      </c>
      <c r="E21" s="41" t="s">
        <v>655</v>
      </c>
      <c r="F21" s="41" t="s">
        <v>1223</v>
      </c>
      <c r="G21" s="41" t="s">
        <v>665</v>
      </c>
      <c r="H21" s="42">
        <v>10.13004703</v>
      </c>
      <c r="I21" s="42">
        <v>6.7515502400000003</v>
      </c>
      <c r="J21" s="42">
        <v>44.33634181</v>
      </c>
      <c r="K21" s="42">
        <v>6.7515502400000003</v>
      </c>
      <c r="L21" s="42">
        <v>58.134836780000001</v>
      </c>
      <c r="M21" s="42">
        <v>6.7515502400000003</v>
      </c>
      <c r="N21" s="42">
        <v>13.79849497</v>
      </c>
      <c r="O21" s="42">
        <v>6.7515502400000003</v>
      </c>
      <c r="P21" s="42">
        <v>1.40371E-2</v>
      </c>
      <c r="Q21" s="42">
        <v>7.3171199999999999E-3</v>
      </c>
      <c r="R21" s="42">
        <v>1.5619E-3</v>
      </c>
      <c r="S21" s="42">
        <v>0.21345829999999999</v>
      </c>
      <c r="T21" s="42">
        <v>1.40371E-2</v>
      </c>
      <c r="U21" s="42">
        <v>0</v>
      </c>
      <c r="V21" s="42">
        <v>1.40371E-2</v>
      </c>
      <c r="W21" s="42">
        <v>21.87935616</v>
      </c>
      <c r="X21" s="42">
        <v>6.7515502400000003</v>
      </c>
      <c r="Y21" s="42">
        <v>516.54066194999996</v>
      </c>
      <c r="Z21" s="42">
        <v>6.7515502400000003</v>
      </c>
      <c r="AA21" s="42">
        <v>623.65760996999995</v>
      </c>
      <c r="AB21" s="42">
        <v>6.7515502400000003</v>
      </c>
      <c r="AC21" s="42">
        <v>107.11737503000001</v>
      </c>
      <c r="AD21" s="42">
        <v>6.7515502400000003</v>
      </c>
      <c r="AE21" s="42">
        <v>680.90444650999996</v>
      </c>
      <c r="AF21" s="42">
        <v>93.03661717</v>
      </c>
      <c r="AG21" s="42">
        <v>2629.1685843300002</v>
      </c>
      <c r="AH21" s="42">
        <v>6530.4205806199998</v>
      </c>
      <c r="AI21" s="42">
        <v>218.67967472999999</v>
      </c>
      <c r="AJ21" s="42">
        <v>0</v>
      </c>
      <c r="AK21" s="42">
        <v>0</v>
      </c>
      <c r="AL21" s="41" t="s">
        <v>1168</v>
      </c>
      <c r="AM21" s="42">
        <v>2.7011108899999998</v>
      </c>
      <c r="AN21" s="42">
        <v>0.23244651</v>
      </c>
      <c r="AO21" s="42">
        <v>2.4686643799999999</v>
      </c>
      <c r="AP21" s="41">
        <v>10</v>
      </c>
      <c r="AQ21" s="42">
        <v>0</v>
      </c>
      <c r="AR21" s="42">
        <v>6.44852559</v>
      </c>
      <c r="AS21" s="42">
        <v>6.6093141800000001</v>
      </c>
      <c r="AT21" s="42"/>
      <c r="AU21" s="42">
        <v>0</v>
      </c>
      <c r="AV21" s="42">
        <v>6.7515502400000003</v>
      </c>
      <c r="AW21" s="42">
        <v>0</v>
      </c>
      <c r="AX21" s="42">
        <v>0</v>
      </c>
      <c r="AY21" s="42">
        <v>0</v>
      </c>
      <c r="AZ21" s="42">
        <v>0</v>
      </c>
      <c r="BA21" s="42">
        <v>0</v>
      </c>
      <c r="BB21" s="42">
        <v>0</v>
      </c>
      <c r="BC21" s="42">
        <v>0</v>
      </c>
      <c r="BD21" s="42">
        <v>0</v>
      </c>
      <c r="BE21" s="42">
        <v>0</v>
      </c>
      <c r="BF21" s="42">
        <v>0</v>
      </c>
      <c r="BG21" s="42">
        <v>0</v>
      </c>
      <c r="BH21" s="42">
        <v>0</v>
      </c>
      <c r="BI21" s="42">
        <v>0</v>
      </c>
      <c r="BJ21" s="42">
        <v>0</v>
      </c>
      <c r="BK21" s="42">
        <v>0</v>
      </c>
      <c r="BL21" s="42">
        <v>0</v>
      </c>
      <c r="BM21" s="42">
        <v>0</v>
      </c>
      <c r="BN21" s="42">
        <v>0</v>
      </c>
      <c r="BO21" s="42">
        <v>0</v>
      </c>
      <c r="BP21" s="42">
        <v>0</v>
      </c>
      <c r="BQ21" s="42">
        <v>5.9802750000000002E-2</v>
      </c>
      <c r="BR21" s="42">
        <v>0</v>
      </c>
      <c r="BS21" s="42">
        <v>5.9802750000000002E-2</v>
      </c>
      <c r="BT21" s="42">
        <v>0</v>
      </c>
      <c r="BU21" s="42">
        <v>5.9802750000000002E-2</v>
      </c>
      <c r="BV21" s="42">
        <v>0</v>
      </c>
      <c r="BW21" s="42">
        <v>2.7532346799999998</v>
      </c>
      <c r="BX21" s="42">
        <v>0</v>
      </c>
      <c r="BY21" s="42">
        <v>2.7532346799999998</v>
      </c>
      <c r="BZ21" s="42">
        <v>0</v>
      </c>
      <c r="CA21" s="42">
        <v>2.7532346799999998</v>
      </c>
      <c r="CB21" s="42">
        <v>0</v>
      </c>
      <c r="CC21" s="42">
        <v>0</v>
      </c>
      <c r="CD21" s="42">
        <v>0</v>
      </c>
      <c r="CE21" s="42">
        <v>0</v>
      </c>
      <c r="CF21" s="42"/>
      <c r="CG21" s="42">
        <v>5.2482063800000001</v>
      </c>
      <c r="CH21" s="42">
        <v>0</v>
      </c>
      <c r="CI21" s="42">
        <v>0.14223606</v>
      </c>
      <c r="CJ21" s="42">
        <v>1.3349969999999999E-2</v>
      </c>
      <c r="CK21" s="42">
        <v>1.3611078000000001</v>
      </c>
      <c r="CL21" s="42">
        <v>0</v>
      </c>
      <c r="CM21" s="42">
        <v>0</v>
      </c>
      <c r="CN21" s="42">
        <v>0</v>
      </c>
      <c r="CO21" s="42">
        <v>1.40371E-2</v>
      </c>
      <c r="CP21" s="42">
        <v>0</v>
      </c>
      <c r="CQ21" s="42">
        <v>0</v>
      </c>
      <c r="CR21" s="42">
        <v>0</v>
      </c>
      <c r="CS21" s="42">
        <v>0</v>
      </c>
      <c r="CT21" s="42">
        <v>1.40371E-2</v>
      </c>
      <c r="CU21" s="42">
        <v>1.40371E-2</v>
      </c>
      <c r="CV21" s="42">
        <v>1.40371E-2</v>
      </c>
      <c r="CW21" s="42">
        <v>0</v>
      </c>
      <c r="CX21" s="42">
        <v>0</v>
      </c>
      <c r="CY21" s="42">
        <v>0</v>
      </c>
      <c r="CZ21" s="42">
        <v>0</v>
      </c>
      <c r="DA21" s="42">
        <v>1.40371E-2</v>
      </c>
      <c r="DB21" s="42">
        <v>0</v>
      </c>
      <c r="DC21" s="42">
        <v>1.40371E-2</v>
      </c>
      <c r="DD21" s="42">
        <v>0</v>
      </c>
      <c r="DE21" s="42">
        <v>1.3349969999999999E-2</v>
      </c>
      <c r="DF21" s="42">
        <v>1.40371E-2</v>
      </c>
      <c r="DG21" s="42">
        <v>6.4596011300000002</v>
      </c>
      <c r="DH21" s="42">
        <v>6.7515502400000003</v>
      </c>
      <c r="DI21" s="42">
        <v>1.40371E-2</v>
      </c>
      <c r="DJ21" s="42">
        <v>0</v>
      </c>
      <c r="DK21" s="42">
        <v>0</v>
      </c>
      <c r="DL21" s="42">
        <v>1.3349969999999999E-2</v>
      </c>
      <c r="DM21" s="42">
        <v>4.93624901</v>
      </c>
      <c r="DN21" s="42">
        <v>6.8712999999999999E-4</v>
      </c>
      <c r="DO21" s="42">
        <v>1.8012641300000001</v>
      </c>
      <c r="DP21" s="42">
        <v>0</v>
      </c>
      <c r="DQ21" s="42">
        <v>5.9644011299999997</v>
      </c>
      <c r="DR21" s="42">
        <v>6.7515502400000003</v>
      </c>
      <c r="DS21" s="42">
        <v>0</v>
      </c>
      <c r="DT21" s="42">
        <v>0</v>
      </c>
      <c r="DU21" s="42">
        <v>0</v>
      </c>
      <c r="DV21" s="42">
        <v>0</v>
      </c>
      <c r="DW21" s="42">
        <v>0</v>
      </c>
      <c r="DX21" s="42">
        <v>0</v>
      </c>
      <c r="DY21" s="42">
        <v>0</v>
      </c>
      <c r="DZ21" s="42">
        <v>0</v>
      </c>
      <c r="EA21" s="42">
        <v>0</v>
      </c>
      <c r="EB21" s="42">
        <v>0</v>
      </c>
      <c r="EC21" s="42">
        <v>1.7355000000000001E-3</v>
      </c>
      <c r="ED21" s="42"/>
      <c r="EE21" s="42">
        <v>0</v>
      </c>
      <c r="EF21" s="42">
        <v>0</v>
      </c>
      <c r="EG21" s="42">
        <v>1.40371E-2</v>
      </c>
      <c r="EH21" s="42">
        <v>4.8945713</v>
      </c>
      <c r="EI21" s="42">
        <v>1.3349969999999999E-2</v>
      </c>
      <c r="EJ21" s="42">
        <v>1.3349969999999999E-2</v>
      </c>
      <c r="EK21" s="42">
        <v>6.7375131399999999</v>
      </c>
      <c r="EL21" s="42">
        <v>6.8712999999999999E-4</v>
      </c>
      <c r="EM21" s="42">
        <v>1.3349969999999999E-2</v>
      </c>
      <c r="EN21" s="42">
        <v>1.40371E-2</v>
      </c>
      <c r="EO21" s="42"/>
      <c r="EP21" s="42">
        <v>0</v>
      </c>
      <c r="EQ21" s="42">
        <v>14542.117998600001</v>
      </c>
      <c r="ER21" s="42">
        <v>1.3349969999999999E-2</v>
      </c>
      <c r="ES21" s="42">
        <v>0</v>
      </c>
      <c r="ET21" s="42">
        <v>4.1143424800000004</v>
      </c>
      <c r="EU21" s="42">
        <v>0</v>
      </c>
      <c r="EV21" s="42">
        <v>4.3803602499999998</v>
      </c>
      <c r="EW21" s="42">
        <v>0</v>
      </c>
      <c r="EX21" s="42">
        <v>5.4965550399999996</v>
      </c>
      <c r="EY21" s="42">
        <v>0</v>
      </c>
      <c r="EZ21" s="42">
        <v>0</v>
      </c>
      <c r="FA21" s="42">
        <v>0</v>
      </c>
      <c r="FB21" s="42">
        <v>0</v>
      </c>
      <c r="FC21" s="42">
        <v>1.6643287899999999</v>
      </c>
      <c r="FD21" s="42">
        <v>6.6093141800000001</v>
      </c>
      <c r="FE21" s="41" t="s">
        <v>1150</v>
      </c>
      <c r="FF21" s="42">
        <v>0</v>
      </c>
      <c r="FG21" s="42">
        <v>0</v>
      </c>
      <c r="FH21" s="42">
        <v>1.3349969999999999E-2</v>
      </c>
      <c r="FI21" s="42">
        <v>1.3349969999999999E-2</v>
      </c>
      <c r="FJ21" s="42">
        <v>6.8712999999999999E-4</v>
      </c>
      <c r="FK21" s="42">
        <v>0</v>
      </c>
      <c r="FL21" s="42">
        <v>0</v>
      </c>
      <c r="FM21" s="41" t="s">
        <v>1150</v>
      </c>
      <c r="FN21" s="42">
        <v>0</v>
      </c>
      <c r="FO21" s="42">
        <v>0</v>
      </c>
      <c r="FP21" s="42">
        <v>0</v>
      </c>
      <c r="FQ21" s="42">
        <v>0</v>
      </c>
      <c r="FR21" s="42">
        <v>1.40371E-2</v>
      </c>
      <c r="FS21" s="42">
        <v>0</v>
      </c>
      <c r="FT21" s="42">
        <v>0</v>
      </c>
      <c r="FU21" s="41" t="s">
        <v>1150</v>
      </c>
      <c r="FV21" s="42">
        <v>0</v>
      </c>
      <c r="FW21" s="42">
        <v>0</v>
      </c>
      <c r="FX21" s="42">
        <v>0</v>
      </c>
      <c r="FY21" s="42">
        <v>0</v>
      </c>
      <c r="FZ21" s="42">
        <v>1.40371E-2</v>
      </c>
      <c r="GA21" s="42">
        <v>0</v>
      </c>
      <c r="GB21" s="42">
        <v>0</v>
      </c>
      <c r="GC21" s="41" t="s">
        <v>1150</v>
      </c>
      <c r="GD21" s="42">
        <v>0</v>
      </c>
      <c r="GE21" s="42">
        <v>0</v>
      </c>
      <c r="GF21" s="42">
        <v>0</v>
      </c>
      <c r="GG21" s="42">
        <v>0</v>
      </c>
      <c r="GH21" s="42">
        <v>1.40371E-2</v>
      </c>
      <c r="GI21" s="42">
        <v>0</v>
      </c>
      <c r="GJ21" s="42">
        <v>0</v>
      </c>
      <c r="GK21" s="41" t="s">
        <v>1151</v>
      </c>
      <c r="GL21" s="42">
        <v>1.3349969999999999E-2</v>
      </c>
      <c r="GM21" s="42">
        <v>1.3349969999999999E-2</v>
      </c>
      <c r="GN21" s="42">
        <v>0</v>
      </c>
      <c r="GO21" s="42">
        <v>0</v>
      </c>
      <c r="GP21" s="42">
        <v>6.8712999999999999E-4</v>
      </c>
      <c r="GQ21" s="42">
        <v>0</v>
      </c>
      <c r="GR21" s="42">
        <v>0</v>
      </c>
      <c r="GS21" s="41" t="s">
        <v>1150</v>
      </c>
      <c r="GT21" s="42">
        <v>0</v>
      </c>
      <c r="GU21" s="42">
        <v>0</v>
      </c>
      <c r="GV21" s="42">
        <v>0</v>
      </c>
      <c r="GW21" s="42">
        <v>0</v>
      </c>
      <c r="GX21" s="42">
        <v>1.40371E-2</v>
      </c>
      <c r="GY21" s="42">
        <v>0</v>
      </c>
      <c r="GZ21" s="42">
        <v>0</v>
      </c>
      <c r="HA21" s="41" t="s">
        <v>1150</v>
      </c>
      <c r="HB21" s="42">
        <v>0</v>
      </c>
      <c r="HC21" s="42">
        <v>0</v>
      </c>
      <c r="HD21" s="42">
        <v>1.3349969999999999E-2</v>
      </c>
      <c r="HE21" s="42">
        <v>0</v>
      </c>
      <c r="HF21" s="42">
        <v>6.8712999999999999E-4</v>
      </c>
      <c r="HG21" s="42">
        <v>0</v>
      </c>
      <c r="HH21" s="42">
        <v>1.3349969999999999E-2</v>
      </c>
      <c r="HI21" s="41" t="s">
        <v>1150</v>
      </c>
      <c r="HJ21" s="42">
        <v>0</v>
      </c>
      <c r="HK21" s="42">
        <v>0</v>
      </c>
      <c r="HL21" s="42">
        <v>0</v>
      </c>
      <c r="HM21" s="42">
        <v>0</v>
      </c>
      <c r="HN21" s="42">
        <v>1.40371E-2</v>
      </c>
      <c r="HO21" s="42">
        <v>0</v>
      </c>
      <c r="HP21" s="42">
        <v>0</v>
      </c>
      <c r="HQ21" s="41" t="s">
        <v>1151</v>
      </c>
      <c r="HR21" s="42">
        <v>0</v>
      </c>
      <c r="HS21" s="42">
        <v>6.8712999999999999E-4</v>
      </c>
      <c r="HT21" s="42">
        <v>0</v>
      </c>
      <c r="HU21" s="42">
        <v>0</v>
      </c>
      <c r="HV21" s="42">
        <v>1.3349969999999999E-2</v>
      </c>
      <c r="HW21" s="42">
        <v>6.8712999999999999E-4</v>
      </c>
      <c r="HX21" s="42">
        <v>0</v>
      </c>
      <c r="HY21" s="41" t="s">
        <v>1150</v>
      </c>
      <c r="HZ21" s="42">
        <v>0</v>
      </c>
      <c r="IA21" s="42">
        <v>0</v>
      </c>
      <c r="IB21" s="42">
        <v>1.3349969999999999E-2</v>
      </c>
      <c r="IC21" s="42">
        <v>1.3349969999999999E-2</v>
      </c>
      <c r="ID21" s="42">
        <v>6.8712999999999999E-4</v>
      </c>
      <c r="IE21" s="42">
        <v>0</v>
      </c>
      <c r="IF21" s="42">
        <v>0</v>
      </c>
      <c r="IG21" s="41" t="s">
        <v>1150</v>
      </c>
      <c r="IH21" s="42">
        <v>0</v>
      </c>
      <c r="II21" s="42">
        <v>0</v>
      </c>
      <c r="IJ21" s="42">
        <v>0</v>
      </c>
      <c r="IK21" s="42">
        <v>0</v>
      </c>
      <c r="IL21" s="42">
        <v>1.40371E-2</v>
      </c>
      <c r="IM21" s="42">
        <v>0</v>
      </c>
      <c r="IN21" s="42">
        <v>0</v>
      </c>
      <c r="IO21" s="41" t="s">
        <v>1150</v>
      </c>
      <c r="IP21" s="42">
        <v>0</v>
      </c>
      <c r="IQ21" s="42">
        <v>0</v>
      </c>
      <c r="IR21" s="42">
        <v>1.3349969999999999E-2</v>
      </c>
      <c r="IS21" s="42">
        <v>0</v>
      </c>
      <c r="IT21" s="42">
        <v>6.8712999999999999E-4</v>
      </c>
      <c r="IU21" s="42">
        <v>0</v>
      </c>
      <c r="IV21" s="42">
        <v>1.3349969999999999E-2</v>
      </c>
      <c r="IW21" s="41" t="s">
        <v>1150</v>
      </c>
      <c r="IX21" s="42">
        <v>0</v>
      </c>
      <c r="IY21" s="42">
        <v>0</v>
      </c>
      <c r="IZ21" s="42">
        <v>1.3349969999999999E-2</v>
      </c>
      <c r="JA21" s="42">
        <v>0</v>
      </c>
      <c r="JB21" s="42">
        <v>6.8712999999999999E-4</v>
      </c>
      <c r="JC21" s="42">
        <v>0</v>
      </c>
      <c r="JD21" s="42">
        <v>1.3349969999999999E-2</v>
      </c>
      <c r="JE21" s="41" t="s">
        <v>1150</v>
      </c>
      <c r="JF21" s="42">
        <v>0</v>
      </c>
      <c r="JG21" s="42">
        <v>0</v>
      </c>
      <c r="JH21" s="42">
        <v>0</v>
      </c>
      <c r="JI21" s="42">
        <v>0</v>
      </c>
      <c r="JJ21" s="42">
        <v>1.40371E-2</v>
      </c>
      <c r="JK21" s="42">
        <v>0</v>
      </c>
      <c r="JL21" s="42">
        <v>0</v>
      </c>
      <c r="JM21" s="41" t="s">
        <v>1150</v>
      </c>
      <c r="JN21" s="42">
        <v>0</v>
      </c>
      <c r="JO21" s="42">
        <v>0</v>
      </c>
      <c r="JP21" s="42">
        <v>0</v>
      </c>
      <c r="JQ21" s="42">
        <v>0</v>
      </c>
      <c r="JR21" s="42">
        <v>1.40371E-2</v>
      </c>
      <c r="JS21" s="42">
        <v>0</v>
      </c>
      <c r="JT21" s="42">
        <v>0</v>
      </c>
      <c r="JU21" s="41" t="s">
        <v>1150</v>
      </c>
      <c r="JV21" s="42">
        <v>0</v>
      </c>
      <c r="JW21" s="42">
        <v>0</v>
      </c>
      <c r="JX21" s="42">
        <v>1.3349969999999999E-2</v>
      </c>
      <c r="JY21" s="42">
        <v>1.3349969999999999E-2</v>
      </c>
      <c r="JZ21" s="42">
        <v>6.8712999999999999E-4</v>
      </c>
      <c r="KA21" s="42">
        <v>0</v>
      </c>
      <c r="KB21" s="42">
        <v>0</v>
      </c>
      <c r="KC21" s="41" t="s">
        <v>1150</v>
      </c>
      <c r="KD21" s="42">
        <v>0</v>
      </c>
      <c r="KE21" s="42">
        <v>0</v>
      </c>
      <c r="KF21" s="42">
        <v>1.3349969999999999E-2</v>
      </c>
      <c r="KG21" s="42">
        <v>1.3349969999999999E-2</v>
      </c>
      <c r="KH21" s="42">
        <v>6.8712999999999999E-4</v>
      </c>
      <c r="KI21" s="42">
        <v>0</v>
      </c>
      <c r="KJ21" s="42">
        <v>0</v>
      </c>
      <c r="KK21" s="42">
        <v>1.40371E-2</v>
      </c>
      <c r="KL21" s="42">
        <v>-0.22355514000000001</v>
      </c>
      <c r="KM21" s="42">
        <v>-4.7191156699999999</v>
      </c>
      <c r="KN21" s="42">
        <v>5.6570491199999999</v>
      </c>
      <c r="KO21" s="41" t="s">
        <v>1206</v>
      </c>
      <c r="KP21" s="41" t="s">
        <v>1153</v>
      </c>
      <c r="KQ21" s="41" t="s">
        <v>1154</v>
      </c>
      <c r="KR21" s="42">
        <v>93.178853230000001</v>
      </c>
      <c r="KS21" s="42">
        <v>98.191243689999993</v>
      </c>
      <c r="KT21" s="42">
        <v>99.78816741</v>
      </c>
      <c r="KU21" s="42">
        <v>5.0391817223265303</v>
      </c>
      <c r="KV21" s="42">
        <v>5.2954540741632652</v>
      </c>
      <c r="KW21" s="42">
        <v>1.40371E-2</v>
      </c>
      <c r="KX21" s="42">
        <v>6.5952770799999998</v>
      </c>
      <c r="KY21" s="41"/>
      <c r="KZ21" s="42">
        <v>4.7372253100000004</v>
      </c>
      <c r="LA21" s="42">
        <v>14.379720124389161</v>
      </c>
      <c r="LB21" s="42">
        <v>4.5876104722040818</v>
      </c>
      <c r="LC21" s="42">
        <v>74.693877551020407</v>
      </c>
      <c r="LD21" s="41" t="s">
        <v>1187</v>
      </c>
      <c r="LE21" s="42">
        <v>5.9519263899999997</v>
      </c>
      <c r="LF21" s="42">
        <v>0.60997577000000003</v>
      </c>
      <c r="LG21" s="42">
        <v>5.9853013099999997</v>
      </c>
      <c r="LH21" s="42">
        <v>6.8712999999999999E-4</v>
      </c>
      <c r="LI21" s="42">
        <v>39.395953179999999</v>
      </c>
      <c r="LJ21" s="42">
        <v>47.830973659999998</v>
      </c>
      <c r="LK21" s="42">
        <v>1.3349969999999999E-2</v>
      </c>
      <c r="LL21" s="42">
        <v>0.21183258999999999</v>
      </c>
      <c r="LM21" s="42">
        <v>5.8453828567346937</v>
      </c>
      <c r="LN21" s="42">
        <v>0.21183258999999999</v>
      </c>
      <c r="LO21" s="42">
        <v>0.95197054999999997</v>
      </c>
      <c r="LP21" s="42">
        <v>93.179147740000005</v>
      </c>
      <c r="LQ21" s="42">
        <v>5.1355162600000002</v>
      </c>
      <c r="LR21" s="42">
        <v>25.220358900000001</v>
      </c>
      <c r="LS21" s="41" t="s">
        <v>1224</v>
      </c>
      <c r="LT21" s="42">
        <v>5.4494555099999999</v>
      </c>
      <c r="LU21" s="42">
        <v>48.746320160000003</v>
      </c>
      <c r="LV21" s="43">
        <v>498</v>
      </c>
      <c r="LW21" s="43">
        <v>0</v>
      </c>
      <c r="LX21" s="43">
        <v>497</v>
      </c>
      <c r="LY21" s="41" t="s">
        <v>480</v>
      </c>
      <c r="LZ21" s="41" t="s">
        <v>1225</v>
      </c>
      <c r="MA21" s="44">
        <v>46203</v>
      </c>
      <c r="MB21" s="41" t="s">
        <v>1226</v>
      </c>
      <c r="MC21" s="43">
        <v>245</v>
      </c>
      <c r="MD21" s="41" t="s">
        <v>1227</v>
      </c>
      <c r="ME21" s="41" t="s">
        <v>663</v>
      </c>
      <c r="MF21" s="42">
        <v>6.1811231700000002</v>
      </c>
      <c r="MG21" s="42">
        <v>25.821488349999999</v>
      </c>
      <c r="MH21" s="42">
        <v>4872451315</v>
      </c>
      <c r="MI21" s="42">
        <v>4.7372253100000004</v>
      </c>
      <c r="MJ21" s="42">
        <v>14.379720124389161</v>
      </c>
      <c r="MK21" s="42">
        <v>74.693877551020407</v>
      </c>
      <c r="ML21" s="42">
        <v>5.5594393699999998</v>
      </c>
      <c r="MM21" s="41"/>
      <c r="MN21" s="42">
        <v>0</v>
      </c>
      <c r="MO21" s="42">
        <v>0</v>
      </c>
      <c r="MP21" s="42">
        <v>0</v>
      </c>
      <c r="MQ21" s="42">
        <v>0</v>
      </c>
      <c r="MR21" s="42">
        <v>0</v>
      </c>
      <c r="MS21" s="42">
        <v>0</v>
      </c>
      <c r="MT21" s="42">
        <v>0</v>
      </c>
      <c r="MU21" s="42">
        <v>0</v>
      </c>
      <c r="MV21" s="42">
        <v>0</v>
      </c>
      <c r="MW21" s="42">
        <v>0</v>
      </c>
      <c r="MX21" s="42">
        <v>0</v>
      </c>
      <c r="MY21" s="42">
        <v>0</v>
      </c>
      <c r="MZ21" s="42">
        <v>0</v>
      </c>
      <c r="NA21" s="42">
        <v>0</v>
      </c>
      <c r="NB21" s="42">
        <v>0</v>
      </c>
      <c r="NC21" s="42">
        <v>0</v>
      </c>
      <c r="ND21" s="42">
        <v>0</v>
      </c>
      <c r="NE21" s="42">
        <v>0</v>
      </c>
      <c r="NF21" s="42">
        <v>0</v>
      </c>
      <c r="NG21" s="42">
        <v>0</v>
      </c>
      <c r="NH21" s="42">
        <v>0</v>
      </c>
      <c r="NI21" s="42">
        <v>0</v>
      </c>
      <c r="NJ21" s="42">
        <v>0</v>
      </c>
      <c r="NK21" s="42">
        <v>0</v>
      </c>
      <c r="NL21" s="42">
        <v>0</v>
      </c>
      <c r="NM21" s="42">
        <v>0</v>
      </c>
      <c r="NN21" s="42">
        <v>0</v>
      </c>
      <c r="NO21" s="42">
        <v>0</v>
      </c>
      <c r="NP21" s="42">
        <v>0</v>
      </c>
      <c r="NQ21" s="42">
        <v>0</v>
      </c>
      <c r="NR21" s="42">
        <v>0</v>
      </c>
      <c r="NS21" s="42">
        <v>0</v>
      </c>
      <c r="NT21" s="42">
        <v>0</v>
      </c>
      <c r="NU21" s="42">
        <v>0</v>
      </c>
      <c r="NV21" s="42">
        <v>0</v>
      </c>
      <c r="NW21" s="42">
        <v>0</v>
      </c>
      <c r="NX21" s="42">
        <v>0</v>
      </c>
      <c r="NY21" s="42">
        <v>0</v>
      </c>
      <c r="NZ21" s="42">
        <v>0</v>
      </c>
      <c r="OA21" s="42">
        <v>0</v>
      </c>
      <c r="OB21" s="42">
        <v>0</v>
      </c>
      <c r="OC21" s="42">
        <v>0</v>
      </c>
      <c r="OD21" s="42">
        <v>0</v>
      </c>
      <c r="OE21" s="42">
        <v>0</v>
      </c>
      <c r="OF21" s="42">
        <v>0</v>
      </c>
      <c r="OG21" s="42">
        <v>0</v>
      </c>
      <c r="OH21" s="42">
        <v>0</v>
      </c>
      <c r="OI21" s="42">
        <v>0</v>
      </c>
      <c r="OJ21" s="42">
        <v>0</v>
      </c>
      <c r="OK21" s="42">
        <v>0</v>
      </c>
      <c r="OL21" s="42">
        <v>0</v>
      </c>
      <c r="OM21" s="42">
        <v>0</v>
      </c>
      <c r="ON21" s="42">
        <v>0</v>
      </c>
      <c r="OO21" s="42">
        <v>0</v>
      </c>
      <c r="OP21" s="42">
        <v>0</v>
      </c>
      <c r="OQ21" s="42">
        <v>0</v>
      </c>
      <c r="OR21" s="42">
        <v>0</v>
      </c>
      <c r="OS21" s="42">
        <v>0</v>
      </c>
      <c r="OT21" s="42">
        <v>1.3349969999999999E-2</v>
      </c>
      <c r="OU21" s="42">
        <v>1.3349969999999999E-2</v>
      </c>
      <c r="OV21" s="42">
        <v>0</v>
      </c>
      <c r="OW21" s="42">
        <v>0</v>
      </c>
      <c r="OX21" s="42">
        <v>0</v>
      </c>
      <c r="OY21" s="42">
        <v>0</v>
      </c>
      <c r="OZ21" s="42">
        <v>0</v>
      </c>
      <c r="PA21" s="42">
        <v>0</v>
      </c>
      <c r="PB21" s="42">
        <v>0</v>
      </c>
      <c r="PC21" s="42">
        <v>0</v>
      </c>
      <c r="PD21" s="42">
        <v>0</v>
      </c>
      <c r="PE21" s="42">
        <v>0</v>
      </c>
      <c r="PF21" s="42">
        <v>0</v>
      </c>
      <c r="PG21" s="42">
        <v>0</v>
      </c>
      <c r="PH21" s="42">
        <v>0</v>
      </c>
      <c r="PI21" s="42">
        <v>0</v>
      </c>
      <c r="PJ21" s="42">
        <v>0</v>
      </c>
      <c r="PK21" s="42">
        <v>0</v>
      </c>
      <c r="PL21" s="42">
        <v>0</v>
      </c>
      <c r="PM21" s="42">
        <v>0</v>
      </c>
      <c r="PN21" s="42">
        <v>0</v>
      </c>
      <c r="PO21" s="42">
        <v>0</v>
      </c>
      <c r="PP21" s="42">
        <v>0</v>
      </c>
      <c r="PQ21" s="42">
        <v>0</v>
      </c>
      <c r="PR21" s="42">
        <v>0</v>
      </c>
      <c r="PS21" s="42">
        <v>0</v>
      </c>
      <c r="PT21" s="42">
        <v>0</v>
      </c>
      <c r="PU21" s="42">
        <v>0</v>
      </c>
      <c r="PV21" s="42">
        <v>0</v>
      </c>
      <c r="PW21" s="42">
        <v>0</v>
      </c>
      <c r="PX21" s="42">
        <v>0</v>
      </c>
      <c r="PY21" s="42">
        <v>3.3909000000000001E-4</v>
      </c>
      <c r="PZ21" s="42">
        <v>0</v>
      </c>
      <c r="QA21" s="42">
        <v>1.3349969999999999E-2</v>
      </c>
      <c r="QB21" s="42">
        <v>0</v>
      </c>
      <c r="QC21" s="42">
        <v>0</v>
      </c>
      <c r="QD21" s="42">
        <v>0</v>
      </c>
      <c r="QE21" s="42">
        <v>0</v>
      </c>
      <c r="QF21" s="42">
        <v>0</v>
      </c>
      <c r="QG21" s="42">
        <v>0</v>
      </c>
      <c r="QH21" s="42">
        <v>0</v>
      </c>
      <c r="QI21" s="42">
        <v>0</v>
      </c>
      <c r="QJ21" s="42">
        <v>0</v>
      </c>
      <c r="QK21" s="42">
        <v>0</v>
      </c>
    </row>
    <row r="22" spans="1:453" x14ac:dyDescent="0.35">
      <c r="A22" s="41" t="s">
        <v>596</v>
      </c>
      <c r="B22" s="41" t="s">
        <v>597</v>
      </c>
      <c r="C22" s="41" t="s">
        <v>598</v>
      </c>
      <c r="D22" s="41" t="s">
        <v>536</v>
      </c>
      <c r="E22" s="41" t="s">
        <v>598</v>
      </c>
      <c r="F22" s="41" t="s">
        <v>1228</v>
      </c>
      <c r="G22" s="41" t="s">
        <v>599</v>
      </c>
      <c r="H22" s="42">
        <v>91.455062609999999</v>
      </c>
      <c r="I22" s="42">
        <v>75.707146730000005</v>
      </c>
      <c r="J22" s="42">
        <v>481.90627393</v>
      </c>
      <c r="K22" s="42">
        <v>75.828429029999995</v>
      </c>
      <c r="L22" s="42">
        <v>688.21774748999997</v>
      </c>
      <c r="M22" s="42">
        <v>75.828429029999995</v>
      </c>
      <c r="N22" s="42">
        <v>206.31148017999999</v>
      </c>
      <c r="O22" s="42">
        <v>75.828429029999995</v>
      </c>
      <c r="P22" s="42">
        <v>14.32370877</v>
      </c>
      <c r="Q22" s="42">
        <v>3.8202697900000002</v>
      </c>
      <c r="R22" s="42">
        <v>3.7854531100000002</v>
      </c>
      <c r="S22" s="42">
        <v>0.99088633000000004</v>
      </c>
      <c r="T22" s="42">
        <v>14.110439919999999</v>
      </c>
      <c r="U22" s="42">
        <v>1.4168776000000001</v>
      </c>
      <c r="V22" s="42">
        <v>2.6950065099999998</v>
      </c>
      <c r="W22" s="42">
        <v>158.28905155999999</v>
      </c>
      <c r="X22" s="42">
        <v>76.578319530000002</v>
      </c>
      <c r="Y22" s="42">
        <v>685.03607871999998</v>
      </c>
      <c r="Z22" s="42">
        <v>78.213180859999994</v>
      </c>
      <c r="AA22" s="42">
        <v>967.45896584000002</v>
      </c>
      <c r="AB22" s="42">
        <v>78.213180859999994</v>
      </c>
      <c r="AC22" s="42">
        <v>282.42322582000003</v>
      </c>
      <c r="AD22" s="42">
        <v>78.213180859999994</v>
      </c>
      <c r="AE22" s="42">
        <v>202.59174264999999</v>
      </c>
      <c r="AF22" s="42">
        <v>0.17698796</v>
      </c>
      <c r="AG22" s="42">
        <v>6754.6865320300003</v>
      </c>
      <c r="AH22" s="42">
        <v>16681.097522690001</v>
      </c>
      <c r="AI22" s="42">
        <v>3971.4106036500002</v>
      </c>
      <c r="AJ22" s="42">
        <v>8.9508931300000008</v>
      </c>
      <c r="AK22" s="42">
        <v>22.553607240000002</v>
      </c>
      <c r="AL22" s="41" t="s">
        <v>1168</v>
      </c>
      <c r="AM22" s="42">
        <v>75.177624050000006</v>
      </c>
      <c r="AN22" s="42">
        <v>21.3233867</v>
      </c>
      <c r="AO22" s="42">
        <v>22.928452490000002</v>
      </c>
      <c r="AP22" s="41">
        <v>3.3</v>
      </c>
      <c r="AQ22" s="42">
        <v>43.273481990000001</v>
      </c>
      <c r="AR22" s="42">
        <v>22.29644476</v>
      </c>
      <c r="AS22" s="42">
        <v>56.653628550000001</v>
      </c>
      <c r="AT22" s="42">
        <v>7.0463718999999996</v>
      </c>
      <c r="AU22" s="42">
        <v>23.728435609999998</v>
      </c>
      <c r="AV22" s="42">
        <v>76.578319530000002</v>
      </c>
      <c r="AW22" s="42">
        <v>0.93456353999999997</v>
      </c>
      <c r="AX22" s="42">
        <v>5.5230936100000001</v>
      </c>
      <c r="AY22" s="42">
        <v>0.24626405000000001</v>
      </c>
      <c r="AZ22" s="42">
        <v>0.16037659000000001</v>
      </c>
      <c r="BA22" s="42">
        <v>10.85391529</v>
      </c>
      <c r="BB22" s="42">
        <v>15.090496679999999</v>
      </c>
      <c r="BC22" s="42">
        <v>1.83723171</v>
      </c>
      <c r="BD22" s="42">
        <v>1.23032038</v>
      </c>
      <c r="BE22" s="42">
        <v>1.6845540299999999</v>
      </c>
      <c r="BF22" s="42">
        <v>2.6467135700000002</v>
      </c>
      <c r="BG22" s="42">
        <v>1.6845659999999998E-2</v>
      </c>
      <c r="BH22" s="42">
        <v>0.72602944999999997</v>
      </c>
      <c r="BI22" s="42">
        <v>1.013498E-2</v>
      </c>
      <c r="BJ22" s="42">
        <v>1.55565E-3</v>
      </c>
      <c r="BK22" s="42">
        <v>1.36813338</v>
      </c>
      <c r="BL22" s="42">
        <v>2.6521159000000001</v>
      </c>
      <c r="BM22" s="42">
        <v>0.25327024999999997</v>
      </c>
      <c r="BN22" s="42">
        <v>0.47137262000000002</v>
      </c>
      <c r="BO22" s="42">
        <v>0.60699245999999996</v>
      </c>
      <c r="BP22" s="42">
        <v>0.22189428999999999</v>
      </c>
      <c r="BQ22" s="42">
        <v>5.2252079999999999E-2</v>
      </c>
      <c r="BR22" s="42">
        <v>8.6204230000000007E-2</v>
      </c>
      <c r="BS22" s="42">
        <v>1.2453576799999999</v>
      </c>
      <c r="BT22" s="42">
        <v>3.6469370000000001E-2</v>
      </c>
      <c r="BU22" s="42">
        <v>3.8974697900000002</v>
      </c>
      <c r="BV22" s="42">
        <v>4.631917E-2</v>
      </c>
      <c r="BW22" s="42">
        <v>0.99795429000000002</v>
      </c>
      <c r="BX22" s="42">
        <v>1.17952776</v>
      </c>
      <c r="BY22" s="42">
        <v>5.7968536100000003</v>
      </c>
      <c r="BZ22" s="42">
        <v>0.30375564999999999</v>
      </c>
      <c r="CA22" s="42">
        <v>19.948787339999999</v>
      </c>
      <c r="CB22" s="42">
        <v>1.59996641</v>
      </c>
      <c r="CC22" s="42">
        <v>0.31020571000000002</v>
      </c>
      <c r="CD22" s="42">
        <v>5.8897730000000002E-2</v>
      </c>
      <c r="CE22" s="42">
        <v>0.18840456999999999</v>
      </c>
      <c r="CF22" s="42"/>
      <c r="CG22" s="42">
        <v>32.009926530000001</v>
      </c>
      <c r="CH22" s="42">
        <v>4.9753735900000002</v>
      </c>
      <c r="CI22" s="42">
        <v>20.360727369999999</v>
      </c>
      <c r="CJ22" s="42">
        <v>25.50607604</v>
      </c>
      <c r="CK22" s="42">
        <v>18.48140171</v>
      </c>
      <c r="CL22" s="42">
        <v>0.54512041</v>
      </c>
      <c r="CM22" s="42">
        <v>5.5586883800000004</v>
      </c>
      <c r="CN22" s="42">
        <v>0.38834329000000001</v>
      </c>
      <c r="CO22" s="42">
        <v>11.305049540000001</v>
      </c>
      <c r="CP22" s="42">
        <v>15.71190608</v>
      </c>
      <c r="CQ22" s="42">
        <v>0.90196832999999998</v>
      </c>
      <c r="CR22" s="42">
        <v>2.9591679599999998</v>
      </c>
      <c r="CS22" s="42">
        <v>10.73463274</v>
      </c>
      <c r="CT22" s="42">
        <v>23.938004979999999</v>
      </c>
      <c r="CU22" s="42">
        <v>23.843218839999999</v>
      </c>
      <c r="CV22" s="42">
        <v>19.12200816</v>
      </c>
      <c r="CW22" s="42">
        <v>1.0105524699999999</v>
      </c>
      <c r="CX22" s="42">
        <v>43.724916139999998</v>
      </c>
      <c r="CY22" s="42">
        <v>14.172130859999999</v>
      </c>
      <c r="CZ22" s="42">
        <v>11.37853877</v>
      </c>
      <c r="DA22" s="42">
        <v>39.872178589999997</v>
      </c>
      <c r="DB22" s="42">
        <v>36.354992129999999</v>
      </c>
      <c r="DC22" s="42">
        <v>16.528686830000002</v>
      </c>
      <c r="DD22" s="42">
        <v>17.456251340000001</v>
      </c>
      <c r="DE22" s="42">
        <v>39.539227240000002</v>
      </c>
      <c r="DF22" s="42">
        <v>76.18767656</v>
      </c>
      <c r="DG22" s="42">
        <v>4.7555570100000004</v>
      </c>
      <c r="DH22" s="42">
        <v>71.351482660000002</v>
      </c>
      <c r="DI22" s="42">
        <v>77.250121469999996</v>
      </c>
      <c r="DJ22" s="42">
        <v>8.4525659300000004</v>
      </c>
      <c r="DK22" s="42">
        <v>24.289853650000001</v>
      </c>
      <c r="DL22" s="42">
        <v>4.1932878000000002</v>
      </c>
      <c r="DM22" s="42">
        <v>47.351886520000001</v>
      </c>
      <c r="DN22" s="42">
        <v>6.5702407200000001</v>
      </c>
      <c r="DO22" s="42">
        <v>13.05709371</v>
      </c>
      <c r="DP22" s="42">
        <v>1.67575535</v>
      </c>
      <c r="DQ22" s="42">
        <v>5.6035057699999999</v>
      </c>
      <c r="DR22" s="42">
        <v>72.848264099999994</v>
      </c>
      <c r="DS22" s="42">
        <v>17.91948369</v>
      </c>
      <c r="DT22" s="42">
        <v>17.162094410000002</v>
      </c>
      <c r="DU22" s="42">
        <v>5.8367478300000002</v>
      </c>
      <c r="DV22" s="42">
        <v>12.03494296</v>
      </c>
      <c r="DW22" s="42">
        <v>17.23948296</v>
      </c>
      <c r="DX22" s="42">
        <v>22.648493269999999</v>
      </c>
      <c r="DY22" s="42">
        <v>14.42829351</v>
      </c>
      <c r="DZ22" s="42">
        <v>9.5769017000000005</v>
      </c>
      <c r="EA22" s="42">
        <v>55.781555830000002</v>
      </c>
      <c r="EB22" s="42">
        <v>0.52052401000000004</v>
      </c>
      <c r="EC22" s="42">
        <v>2.4005625099999999</v>
      </c>
      <c r="ED22" s="42">
        <v>4.8346865699999997</v>
      </c>
      <c r="EE22" s="42">
        <v>6.71671934</v>
      </c>
      <c r="EF22" s="42">
        <v>16.14734254</v>
      </c>
      <c r="EG22" s="42">
        <v>44.053668080000001</v>
      </c>
      <c r="EH22" s="42">
        <v>3.5523223100000001</v>
      </c>
      <c r="EI22" s="42">
        <v>14.860530320000001</v>
      </c>
      <c r="EJ22" s="42">
        <v>9.4495203399999994</v>
      </c>
      <c r="EK22" s="42">
        <v>40.20333041</v>
      </c>
      <c r="EL22" s="42">
        <v>23.875814070000001</v>
      </c>
      <c r="EM22" s="42">
        <v>9.6169958599999994</v>
      </c>
      <c r="EN22" s="42">
        <v>3.84123919</v>
      </c>
      <c r="EO22" s="42">
        <v>8131.6957160399998</v>
      </c>
      <c r="EP22" s="42">
        <v>13.4778322</v>
      </c>
      <c r="EQ22" s="42">
        <v>16937.535059180002</v>
      </c>
      <c r="ER22" s="42">
        <v>21.800417070000002</v>
      </c>
      <c r="ES22" s="42">
        <v>16.01636169</v>
      </c>
      <c r="ET22" s="42">
        <v>15.31496398</v>
      </c>
      <c r="EU22" s="42">
        <v>1.74754484</v>
      </c>
      <c r="EV22" s="42">
        <v>32.303583629999999</v>
      </c>
      <c r="EW22" s="42">
        <v>2.0717975200000001</v>
      </c>
      <c r="EX22" s="42">
        <v>14.124737850000001</v>
      </c>
      <c r="EY22" s="42">
        <v>0.60481169999999995</v>
      </c>
      <c r="EZ22" s="42">
        <v>1.19472556</v>
      </c>
      <c r="FA22" s="42">
        <v>46.896153159999997</v>
      </c>
      <c r="FB22" s="42">
        <v>52.68080861</v>
      </c>
      <c r="FC22" s="42">
        <v>18.991327259999998</v>
      </c>
      <c r="FD22" s="42">
        <v>52.832486430000003</v>
      </c>
      <c r="FE22" s="41" t="s">
        <v>1150</v>
      </c>
      <c r="FF22" s="42">
        <v>3.8087439000000001</v>
      </c>
      <c r="FG22" s="42">
        <v>3.8087439000000001</v>
      </c>
      <c r="FH22" s="42">
        <v>1.90382205</v>
      </c>
      <c r="FI22" s="42">
        <v>1.6885534799999999</v>
      </c>
      <c r="FJ22" s="42">
        <v>65.724804169999999</v>
      </c>
      <c r="FK22" s="42">
        <v>0</v>
      </c>
      <c r="FL22" s="42">
        <v>0.21526856999999999</v>
      </c>
      <c r="FM22" s="41" t="s">
        <v>1151</v>
      </c>
      <c r="FN22" s="42">
        <v>0.51852427999999995</v>
      </c>
      <c r="FO22" s="42">
        <v>1.1859268300000001</v>
      </c>
      <c r="FP22" s="42">
        <v>0.18237338</v>
      </c>
      <c r="FQ22" s="42">
        <v>0.18237338</v>
      </c>
      <c r="FR22" s="42">
        <v>70.069069909999996</v>
      </c>
      <c r="FS22" s="42">
        <v>0.66740255000000004</v>
      </c>
      <c r="FT22" s="42">
        <v>0</v>
      </c>
      <c r="FU22" s="41" t="s">
        <v>1151</v>
      </c>
      <c r="FV22" s="42">
        <v>1.8758261199999999</v>
      </c>
      <c r="FW22" s="42">
        <v>1.8758261199999999</v>
      </c>
      <c r="FX22" s="42">
        <v>0.94816155999999996</v>
      </c>
      <c r="FY22" s="42">
        <v>0.94816155999999996</v>
      </c>
      <c r="FZ22" s="42">
        <v>68.613382439999995</v>
      </c>
      <c r="GA22" s="42">
        <v>0</v>
      </c>
      <c r="GB22" s="42">
        <v>0</v>
      </c>
      <c r="GC22" s="41" t="s">
        <v>1150</v>
      </c>
      <c r="GD22" s="42">
        <v>0</v>
      </c>
      <c r="GE22" s="42">
        <v>0</v>
      </c>
      <c r="GF22" s="42">
        <v>0</v>
      </c>
      <c r="GG22" s="42">
        <v>0</v>
      </c>
      <c r="GH22" s="42">
        <v>71.437370119999997</v>
      </c>
      <c r="GI22" s="42">
        <v>0</v>
      </c>
      <c r="GJ22" s="42">
        <v>0</v>
      </c>
      <c r="GK22" s="41" t="s">
        <v>1151</v>
      </c>
      <c r="GL22" s="42">
        <v>24.331147609999999</v>
      </c>
      <c r="GM22" s="42">
        <v>24.331147609999999</v>
      </c>
      <c r="GN22" s="42">
        <v>0</v>
      </c>
      <c r="GO22" s="42">
        <v>0</v>
      </c>
      <c r="GP22" s="42">
        <v>47.106222510000002</v>
      </c>
      <c r="GQ22" s="42">
        <v>0</v>
      </c>
      <c r="GR22" s="42">
        <v>0</v>
      </c>
      <c r="GS22" s="41" t="s">
        <v>1151</v>
      </c>
      <c r="GT22" s="42">
        <v>3.5453823600000001</v>
      </c>
      <c r="GU22" s="42">
        <v>3.7310552299999999</v>
      </c>
      <c r="GV22" s="42">
        <v>0.40434097000000002</v>
      </c>
      <c r="GW22" s="42">
        <v>0.40434097000000002</v>
      </c>
      <c r="GX22" s="42">
        <v>67.301973919999995</v>
      </c>
      <c r="GY22" s="42">
        <v>0.18567286999999999</v>
      </c>
      <c r="GZ22" s="42">
        <v>0</v>
      </c>
      <c r="HA22" s="41" t="s">
        <v>1150</v>
      </c>
      <c r="HB22" s="42">
        <v>13.720696800000001</v>
      </c>
      <c r="HC22" s="42">
        <v>13.9747597</v>
      </c>
      <c r="HD22" s="42">
        <v>6.5196481400000001</v>
      </c>
      <c r="HE22" s="42">
        <v>0.1684754</v>
      </c>
      <c r="HF22" s="42">
        <v>50.942962280000003</v>
      </c>
      <c r="HG22" s="42">
        <v>0.25406289999999998</v>
      </c>
      <c r="HH22" s="42">
        <v>6.35117274</v>
      </c>
      <c r="HI22" s="41" t="s">
        <v>1150</v>
      </c>
      <c r="HJ22" s="42">
        <v>4.82919491</v>
      </c>
      <c r="HK22" s="42">
        <v>4.82919491</v>
      </c>
      <c r="HL22" s="42">
        <v>0.62080935000000004</v>
      </c>
      <c r="HM22" s="42">
        <v>0.52842283999999995</v>
      </c>
      <c r="HN22" s="42">
        <v>65.987365859999997</v>
      </c>
      <c r="HO22" s="42">
        <v>0</v>
      </c>
      <c r="HP22" s="42">
        <v>9.2386510000000005E-2</v>
      </c>
      <c r="HQ22" s="41" t="s">
        <v>1151</v>
      </c>
      <c r="HR22" s="42">
        <v>11.401035439999999</v>
      </c>
      <c r="HS22" s="42">
        <v>11.9211595</v>
      </c>
      <c r="HT22" s="42">
        <v>3.7017595499999998</v>
      </c>
      <c r="HU22" s="42">
        <v>3.7017595499999998</v>
      </c>
      <c r="HV22" s="42">
        <v>55.814451069999997</v>
      </c>
      <c r="HW22" s="42">
        <v>0.52012406</v>
      </c>
      <c r="HX22" s="42">
        <v>0</v>
      </c>
      <c r="HY22" s="41" t="s">
        <v>1150</v>
      </c>
      <c r="HZ22" s="42">
        <v>9.2778454000000004</v>
      </c>
      <c r="IA22" s="42">
        <v>9.2778454000000004</v>
      </c>
      <c r="IB22" s="42">
        <v>2.8871784699999998</v>
      </c>
      <c r="IC22" s="42">
        <v>2.6719099000000002</v>
      </c>
      <c r="ID22" s="42">
        <v>59.272346249999998</v>
      </c>
      <c r="IE22" s="42">
        <v>0</v>
      </c>
      <c r="IF22" s="42">
        <v>0.21526856999999999</v>
      </c>
      <c r="IG22" s="41" t="s">
        <v>1150</v>
      </c>
      <c r="IH22" s="42">
        <v>2.53992912</v>
      </c>
      <c r="II22" s="42">
        <v>2.53992912</v>
      </c>
      <c r="IJ22" s="42">
        <v>1.7204488</v>
      </c>
      <c r="IK22" s="42">
        <v>1.6280622899999999</v>
      </c>
      <c r="IL22" s="42">
        <v>67.176992200000001</v>
      </c>
      <c r="IM22" s="42">
        <v>0</v>
      </c>
      <c r="IN22" s="42">
        <v>9.2386510000000005E-2</v>
      </c>
      <c r="IO22" s="41" t="s">
        <v>1150</v>
      </c>
      <c r="IP22" s="42">
        <v>10.29189736</v>
      </c>
      <c r="IQ22" s="42">
        <v>11.144272859999999</v>
      </c>
      <c r="IR22" s="42">
        <v>7.1323586800000003</v>
      </c>
      <c r="IS22" s="42">
        <v>0.78118593999999997</v>
      </c>
      <c r="IT22" s="42">
        <v>53.16073858</v>
      </c>
      <c r="IU22" s="42">
        <v>0.85237549999999995</v>
      </c>
      <c r="IV22" s="42">
        <v>6.35117274</v>
      </c>
      <c r="IW22" s="41" t="s">
        <v>1150</v>
      </c>
      <c r="IX22" s="42">
        <v>13.630909859999999</v>
      </c>
      <c r="IY22" s="42">
        <v>13.970460279999999</v>
      </c>
      <c r="IZ22" s="42">
        <v>6.35117274</v>
      </c>
      <c r="JA22" s="42">
        <v>0</v>
      </c>
      <c r="JB22" s="42">
        <v>51.115737099999997</v>
      </c>
      <c r="JC22" s="42">
        <v>0.33955042000000002</v>
      </c>
      <c r="JD22" s="42">
        <v>6.35117274</v>
      </c>
      <c r="JE22" s="41" t="s">
        <v>1150</v>
      </c>
      <c r="JF22" s="42">
        <v>0.20127059999999999</v>
      </c>
      <c r="JG22" s="42">
        <v>0.20127059999999999</v>
      </c>
      <c r="JH22" s="42">
        <v>2.5505276100000001</v>
      </c>
      <c r="JI22" s="42">
        <v>1.61446428</v>
      </c>
      <c r="JJ22" s="42">
        <v>68.685571909999993</v>
      </c>
      <c r="JK22" s="42">
        <v>0</v>
      </c>
      <c r="JL22" s="42">
        <v>0.93606332999999997</v>
      </c>
      <c r="JM22" s="41" t="s">
        <v>1150</v>
      </c>
      <c r="JN22" s="42">
        <v>0</v>
      </c>
      <c r="JO22" s="42">
        <v>0</v>
      </c>
      <c r="JP22" s="42">
        <v>2.1364880400000001</v>
      </c>
      <c r="JQ22" s="42">
        <v>2.1364880400000001</v>
      </c>
      <c r="JR22" s="42">
        <v>69.300882079999994</v>
      </c>
      <c r="JS22" s="42">
        <v>0</v>
      </c>
      <c r="JT22" s="42">
        <v>0</v>
      </c>
      <c r="JU22" s="41" t="s">
        <v>1150</v>
      </c>
      <c r="JV22" s="42">
        <v>3.9276265299999999</v>
      </c>
      <c r="JW22" s="42">
        <v>3.9276265299999999</v>
      </c>
      <c r="JX22" s="42">
        <v>1.5553729000000001</v>
      </c>
      <c r="JY22" s="42">
        <v>1.46298639</v>
      </c>
      <c r="JZ22" s="42">
        <v>65.954370690000005</v>
      </c>
      <c r="KA22" s="42">
        <v>0</v>
      </c>
      <c r="KB22" s="42">
        <v>9.2386510000000005E-2</v>
      </c>
      <c r="KC22" s="41" t="s">
        <v>1150</v>
      </c>
      <c r="KD22" s="42">
        <v>1.3848977899999999</v>
      </c>
      <c r="KE22" s="42">
        <v>1.3848977899999999</v>
      </c>
      <c r="KF22" s="42">
        <v>1.0013537800000001</v>
      </c>
      <c r="KG22" s="42">
        <v>0.90896726999999999</v>
      </c>
      <c r="KH22" s="42">
        <v>69.051118549999998</v>
      </c>
      <c r="KI22" s="42">
        <v>0</v>
      </c>
      <c r="KJ22" s="42">
        <v>9.2386510000000005E-2</v>
      </c>
      <c r="KK22" s="42">
        <v>71.437370119999997</v>
      </c>
      <c r="KL22" s="42">
        <v>-0.51812961000000002</v>
      </c>
      <c r="KM22" s="42">
        <v>-9.2130547800000002</v>
      </c>
      <c r="KN22" s="42">
        <v>11.76068291</v>
      </c>
      <c r="KO22" s="41" t="s">
        <v>1206</v>
      </c>
      <c r="KP22" s="41" t="s">
        <v>1153</v>
      </c>
      <c r="KQ22" s="41" t="s">
        <v>1154</v>
      </c>
      <c r="KR22" s="42">
        <v>39.684519940000001</v>
      </c>
      <c r="KS22" s="42">
        <v>73.166536719999996</v>
      </c>
      <c r="KT22" s="42">
        <v>71.727841510000005</v>
      </c>
      <c r="KU22" s="42">
        <v>5.184257224825175</v>
      </c>
      <c r="KV22" s="42">
        <v>5.7733548731468529</v>
      </c>
      <c r="KW22" s="42">
        <v>10.69303878</v>
      </c>
      <c r="KX22" s="42">
        <v>21.350282790000001</v>
      </c>
      <c r="KY22" s="41"/>
      <c r="KZ22" s="42">
        <v>5.6238633499999997</v>
      </c>
      <c r="LA22" s="42">
        <v>25.606674811195024</v>
      </c>
      <c r="LB22" s="42">
        <v>5.6944720295104894</v>
      </c>
      <c r="LC22" s="42">
        <v>44.05594405594406</v>
      </c>
      <c r="LD22" s="41" t="s">
        <v>1187</v>
      </c>
      <c r="LE22" s="42">
        <v>16.488506489999999</v>
      </c>
      <c r="LF22" s="42">
        <v>16.19813503</v>
      </c>
      <c r="LG22" s="42">
        <v>5.1521477600000001</v>
      </c>
      <c r="LH22" s="42">
        <v>8.2098013299999995</v>
      </c>
      <c r="LI22" s="42">
        <v>9.3320375599999998</v>
      </c>
      <c r="LJ22" s="42">
        <v>13.863975890000001</v>
      </c>
      <c r="LK22" s="42">
        <v>2.4832374499999998</v>
      </c>
      <c r="LL22" s="42">
        <v>28.272158489999999</v>
      </c>
      <c r="LM22" s="42">
        <v>4.646417176783217</v>
      </c>
      <c r="LN22" s="42">
        <v>28.272158489999999</v>
      </c>
      <c r="LO22" s="42">
        <v>13.24066691</v>
      </c>
      <c r="LP22" s="42">
        <v>46.726491690000003</v>
      </c>
      <c r="LQ22" s="42">
        <v>5.1067825100000004</v>
      </c>
      <c r="LR22" s="42">
        <v>14.275746160000001</v>
      </c>
      <c r="LS22" s="41" t="s">
        <v>1173</v>
      </c>
      <c r="LT22" s="42">
        <v>5.7705737199999998</v>
      </c>
      <c r="LU22" s="42">
        <v>28.599504369999998</v>
      </c>
      <c r="LV22" s="43">
        <v>1735</v>
      </c>
      <c r="LW22" s="43">
        <v>1</v>
      </c>
      <c r="LX22" s="43">
        <v>1719</v>
      </c>
      <c r="LY22" s="41" t="s">
        <v>480</v>
      </c>
      <c r="LZ22" s="41" t="s">
        <v>1229</v>
      </c>
      <c r="MA22" s="44">
        <v>46203</v>
      </c>
      <c r="MB22" s="41" t="s">
        <v>1230</v>
      </c>
      <c r="MC22" s="43">
        <v>143</v>
      </c>
      <c r="MD22" s="41" t="s">
        <v>1158</v>
      </c>
      <c r="ME22" s="41" t="s">
        <v>597</v>
      </c>
      <c r="MF22" s="42">
        <v>4.3782175099999998</v>
      </c>
      <c r="MG22" s="42">
        <v>28.852590979999999</v>
      </c>
      <c r="MH22" s="42">
        <v>199005895</v>
      </c>
      <c r="MI22" s="42">
        <v>5.6238633499999997</v>
      </c>
      <c r="MJ22" s="42">
        <v>25.606674811195024</v>
      </c>
      <c r="MK22" s="42">
        <v>44.05594405594406</v>
      </c>
      <c r="ML22" s="42">
        <v>5.0783850499999996</v>
      </c>
      <c r="MM22" s="41" t="s">
        <v>480</v>
      </c>
      <c r="MN22" s="42">
        <v>6.0724134200000002</v>
      </c>
      <c r="MO22" s="42">
        <v>0.50242664999999997</v>
      </c>
      <c r="MP22" s="42">
        <v>0</v>
      </c>
      <c r="MQ22" s="42">
        <v>0</v>
      </c>
      <c r="MR22" s="42">
        <v>11.500120989999999</v>
      </c>
      <c r="MS22" s="42">
        <v>0.60651146</v>
      </c>
      <c r="MT22" s="42">
        <v>6.8789959999999997E-2</v>
      </c>
      <c r="MU22" s="42">
        <v>6.8789959999999997E-2</v>
      </c>
      <c r="MV22" s="42">
        <v>5.8888401999999997</v>
      </c>
      <c r="MW22" s="42">
        <v>5.6675725100000003</v>
      </c>
      <c r="MX22" s="42">
        <v>4.5021426699999996</v>
      </c>
      <c r="MY22" s="42">
        <v>0</v>
      </c>
      <c r="MZ22" s="42">
        <v>9.0386800000000003E-2</v>
      </c>
      <c r="NA22" s="42">
        <v>9.0386800000000003E-2</v>
      </c>
      <c r="NB22" s="42">
        <v>0</v>
      </c>
      <c r="NC22" s="42">
        <v>7.3544262399999996</v>
      </c>
      <c r="ND22" s="42">
        <v>0</v>
      </c>
      <c r="NE22" s="42">
        <v>0.10358488</v>
      </c>
      <c r="NF22" s="42">
        <v>0.22646694000000001</v>
      </c>
      <c r="NG22" s="42">
        <v>0.10358488</v>
      </c>
      <c r="NH22" s="42">
        <v>0.10358488</v>
      </c>
      <c r="NI22" s="42">
        <v>0.10358488</v>
      </c>
      <c r="NJ22" s="42">
        <v>0.10358488</v>
      </c>
      <c r="NK22" s="42">
        <v>0</v>
      </c>
      <c r="NL22" s="42">
        <v>0.22646694000000001</v>
      </c>
      <c r="NM22" s="42">
        <v>0</v>
      </c>
      <c r="NN22" s="42">
        <v>0</v>
      </c>
      <c r="NO22" s="42">
        <v>0</v>
      </c>
      <c r="NP22" s="42">
        <v>0</v>
      </c>
      <c r="NQ22" s="42">
        <v>0</v>
      </c>
      <c r="NR22" s="42">
        <v>3.7623507200000001</v>
      </c>
      <c r="NS22" s="42">
        <v>2.7599970599999999</v>
      </c>
      <c r="NT22" s="42">
        <v>0</v>
      </c>
      <c r="NU22" s="42">
        <v>0.14147935</v>
      </c>
      <c r="NV22" s="42">
        <v>0.12288206</v>
      </c>
      <c r="NW22" s="42">
        <v>0</v>
      </c>
      <c r="NX22" s="42">
        <v>3.1308428899999998</v>
      </c>
      <c r="NY22" s="42">
        <v>6.2916813899999999</v>
      </c>
      <c r="NZ22" s="42">
        <v>5.1479483899999998</v>
      </c>
      <c r="OA22" s="42">
        <v>2.3943504299999998</v>
      </c>
      <c r="OB22" s="42">
        <v>2.7764946300000002</v>
      </c>
      <c r="OC22" s="42">
        <v>0.43123704000000002</v>
      </c>
      <c r="OD22" s="42">
        <v>0.43123704000000002</v>
      </c>
      <c r="OE22" s="42">
        <v>0.36834622</v>
      </c>
      <c r="OF22" s="42">
        <v>0.36834622</v>
      </c>
      <c r="OG22" s="42">
        <v>9.2386510000000005E-2</v>
      </c>
      <c r="OH22" s="42">
        <v>2.9279725000000001</v>
      </c>
      <c r="OI22" s="42">
        <v>0.81288132999999996</v>
      </c>
      <c r="OJ22" s="42">
        <v>2.5765238199999998</v>
      </c>
      <c r="OK22" s="42">
        <v>9.2386510000000005E-2</v>
      </c>
      <c r="OL22" s="42">
        <v>0.93166397000000001</v>
      </c>
      <c r="OM22" s="42">
        <v>25.0902368</v>
      </c>
      <c r="ON22" s="42">
        <v>0</v>
      </c>
      <c r="OO22" s="42">
        <v>0.12988104</v>
      </c>
      <c r="OP22" s="42">
        <v>0</v>
      </c>
      <c r="OQ22" s="42">
        <v>0</v>
      </c>
      <c r="OR22" s="42">
        <v>0</v>
      </c>
      <c r="OS22" s="42">
        <v>0.78938474999999997</v>
      </c>
      <c r="OT22" s="42">
        <v>1.3885972600000001</v>
      </c>
      <c r="OU22" s="42">
        <v>1.08164208</v>
      </c>
      <c r="OV22" s="42">
        <v>0.67170193</v>
      </c>
      <c r="OW22" s="42">
        <v>0.67170193</v>
      </c>
      <c r="OX22" s="42">
        <v>5.319223E-2</v>
      </c>
      <c r="OY22" s="42">
        <v>5.319223E-2</v>
      </c>
      <c r="OZ22" s="42">
        <v>5.319223E-2</v>
      </c>
      <c r="PA22" s="42">
        <v>5.319223E-2</v>
      </c>
      <c r="PB22" s="42">
        <v>7.1489559999999994E-2</v>
      </c>
      <c r="PC22" s="42">
        <v>7.1489559999999994E-2</v>
      </c>
      <c r="PD22" s="42">
        <v>7.1489559999999994E-2</v>
      </c>
      <c r="PE22" s="42">
        <v>3.0535541899999998</v>
      </c>
      <c r="PF22" s="42">
        <v>9.2386510000000005E-2</v>
      </c>
      <c r="PG22" s="42">
        <v>0</v>
      </c>
      <c r="PH22" s="42">
        <v>0</v>
      </c>
      <c r="PI22" s="42">
        <v>0</v>
      </c>
      <c r="PJ22" s="42">
        <v>9.2386510000000005E-2</v>
      </c>
      <c r="PK22" s="42">
        <v>0</v>
      </c>
      <c r="PL22" s="42">
        <v>0</v>
      </c>
      <c r="PM22" s="42">
        <v>8.1110158099999996</v>
      </c>
      <c r="PN22" s="42">
        <v>4.5289387999999997</v>
      </c>
      <c r="PO22" s="42">
        <v>1.04154792</v>
      </c>
      <c r="PP22" s="42">
        <v>2.0357028000000001</v>
      </c>
      <c r="PQ22" s="42">
        <v>0.80178293</v>
      </c>
      <c r="PR22" s="42">
        <v>0.12988104</v>
      </c>
      <c r="PS22" s="42">
        <v>4.282155E-2</v>
      </c>
      <c r="PT22" s="42">
        <v>0.29180876</v>
      </c>
      <c r="PU22" s="42">
        <v>0.19042765</v>
      </c>
      <c r="PV22" s="42">
        <v>1.259015E-2</v>
      </c>
      <c r="PW22" s="42">
        <v>2.1556814900000001</v>
      </c>
      <c r="PX22" s="42">
        <v>7.425503E-2</v>
      </c>
      <c r="PY22" s="42">
        <v>0.21171469000000001</v>
      </c>
      <c r="PZ22" s="42">
        <v>0.17734353999999999</v>
      </c>
      <c r="QA22" s="42">
        <v>6.96328338</v>
      </c>
      <c r="QB22" s="42">
        <v>5.7391619999999997E-2</v>
      </c>
      <c r="QC22" s="42">
        <v>0</v>
      </c>
      <c r="QD22" s="42">
        <v>0</v>
      </c>
      <c r="QE22" s="42">
        <v>0</v>
      </c>
      <c r="QF22" s="42">
        <v>0.60631146999999996</v>
      </c>
      <c r="QG22" s="42">
        <v>6.4492584199999996</v>
      </c>
      <c r="QH22" s="42">
        <v>0</v>
      </c>
      <c r="QI22" s="42">
        <v>0</v>
      </c>
      <c r="QJ22" s="42">
        <v>0</v>
      </c>
      <c r="QK22" s="42">
        <v>4.2099853600000001</v>
      </c>
    </row>
    <row r="23" spans="1:453" x14ac:dyDescent="0.35">
      <c r="A23" s="41" t="s">
        <v>610</v>
      </c>
      <c r="B23" s="41" t="s">
        <v>700</v>
      </c>
      <c r="C23" s="41" t="s">
        <v>609</v>
      </c>
      <c r="D23" s="41" t="s">
        <v>536</v>
      </c>
      <c r="E23" s="41" t="s">
        <v>609</v>
      </c>
      <c r="F23" s="41" t="s">
        <v>1231</v>
      </c>
      <c r="G23" s="41" t="s">
        <v>611</v>
      </c>
      <c r="H23" s="42">
        <v>141.84888862</v>
      </c>
      <c r="I23" s="42">
        <v>7.1826439899999999</v>
      </c>
      <c r="J23" s="42">
        <v>865.99964050000005</v>
      </c>
      <c r="K23" s="42">
        <v>7.1826439899999999</v>
      </c>
      <c r="L23" s="42">
        <v>1079.7669219300001</v>
      </c>
      <c r="M23" s="42">
        <v>7.1826439899999999</v>
      </c>
      <c r="N23" s="42">
        <v>213.76728143</v>
      </c>
      <c r="O23" s="42">
        <v>7.1826439899999999</v>
      </c>
      <c r="P23" s="42">
        <v>1.6110367000000001</v>
      </c>
      <c r="Q23" s="42">
        <v>0.66004251000000003</v>
      </c>
      <c r="R23" s="42">
        <v>0.14769318000000001</v>
      </c>
      <c r="S23" s="42">
        <v>0.22376313</v>
      </c>
      <c r="T23" s="42">
        <v>1.5778184500000001</v>
      </c>
      <c r="U23" s="42">
        <v>0.34642075999999999</v>
      </c>
      <c r="V23" s="42">
        <v>3.3218249999999998E-2</v>
      </c>
      <c r="W23" s="42">
        <v>178.83627534999999</v>
      </c>
      <c r="X23" s="42">
        <v>7.2058285800000004</v>
      </c>
      <c r="Y23" s="42">
        <v>995.91909844999998</v>
      </c>
      <c r="Z23" s="42">
        <v>7.3401290499999998</v>
      </c>
      <c r="AA23" s="42">
        <v>1240.61802287</v>
      </c>
      <c r="AB23" s="42">
        <v>7.3401290499999998</v>
      </c>
      <c r="AC23" s="42">
        <v>244.69942753999999</v>
      </c>
      <c r="AD23" s="42">
        <v>7.3401290499999998</v>
      </c>
      <c r="AE23" s="42">
        <v>202.59174264999999</v>
      </c>
      <c r="AF23" s="42">
        <v>0.98490082999999995</v>
      </c>
      <c r="AG23" s="42">
        <v>13120.69796471</v>
      </c>
      <c r="AH23" s="42">
        <v>32254.144845229999</v>
      </c>
      <c r="AI23" s="42">
        <v>4724.2501465699997</v>
      </c>
      <c r="AJ23" s="42">
        <v>0.86893498000000002</v>
      </c>
      <c r="AK23" s="42">
        <v>2.44538959</v>
      </c>
      <c r="AL23" s="41" t="s">
        <v>1168</v>
      </c>
      <c r="AM23" s="42">
        <v>7.1617973399999997</v>
      </c>
      <c r="AN23" s="42">
        <v>1.5290138799999999</v>
      </c>
      <c r="AO23" s="42">
        <v>2.3327787799999999</v>
      </c>
      <c r="AP23" s="41">
        <v>4.4000000000000004</v>
      </c>
      <c r="AQ23" s="42">
        <v>3.6243233500000001</v>
      </c>
      <c r="AR23" s="42">
        <v>0.92903950999999996</v>
      </c>
      <c r="AS23" s="42">
        <v>4.8309270800000004</v>
      </c>
      <c r="AT23" s="42">
        <v>5.5740302799999997</v>
      </c>
      <c r="AU23" s="42">
        <v>0.76343539000000005</v>
      </c>
      <c r="AV23" s="42">
        <v>7.2058285800000004</v>
      </c>
      <c r="AW23" s="42">
        <v>0.24577611999999999</v>
      </c>
      <c r="AX23" s="42">
        <v>0.21051217999999999</v>
      </c>
      <c r="AY23" s="42">
        <v>0</v>
      </c>
      <c r="AZ23" s="42">
        <v>3.8965699999999998E-3</v>
      </c>
      <c r="BA23" s="42">
        <v>0.42307</v>
      </c>
      <c r="BB23" s="42">
        <v>0.73684125</v>
      </c>
      <c r="BC23" s="42">
        <v>0.10072631999999999</v>
      </c>
      <c r="BD23" s="42">
        <v>0</v>
      </c>
      <c r="BE23" s="42">
        <v>0.10549963</v>
      </c>
      <c r="BF23" s="42">
        <v>4.6758800000000003E-3</v>
      </c>
      <c r="BG23" s="42">
        <v>1.6760560000000001E-2</v>
      </c>
      <c r="BH23" s="42">
        <v>2.7679699999999998E-3</v>
      </c>
      <c r="BI23" s="42">
        <v>0</v>
      </c>
      <c r="BJ23" s="42">
        <v>1.1183000000000001E-4</v>
      </c>
      <c r="BK23" s="42">
        <v>6.4466689999999993E-2</v>
      </c>
      <c r="BL23" s="42">
        <v>0.12739457000000001</v>
      </c>
      <c r="BM23" s="42">
        <v>5.307336E-2</v>
      </c>
      <c r="BN23" s="42">
        <v>0</v>
      </c>
      <c r="BO23" s="42">
        <v>3.0135249999999999E-2</v>
      </c>
      <c r="BP23" s="42">
        <v>1.337E-4</v>
      </c>
      <c r="BQ23" s="42">
        <v>1.15763E-3</v>
      </c>
      <c r="BR23" s="42">
        <v>1.0516879999999999E-2</v>
      </c>
      <c r="BS23" s="42">
        <v>5.8682150000000002E-2</v>
      </c>
      <c r="BT23" s="42">
        <v>0</v>
      </c>
      <c r="BU23" s="42">
        <v>0.18606323</v>
      </c>
      <c r="BV23" s="42">
        <v>6.9528400000000001E-3</v>
      </c>
      <c r="BW23" s="42">
        <v>8.4458140000000001E-2</v>
      </c>
      <c r="BX23" s="42">
        <v>9.5758190000000007E-2</v>
      </c>
      <c r="BY23" s="42">
        <v>0.53538865000000002</v>
      </c>
      <c r="BZ23" s="42">
        <v>0</v>
      </c>
      <c r="CA23" s="42">
        <v>1.2014097500000001</v>
      </c>
      <c r="CB23" s="42">
        <v>0.10900653</v>
      </c>
      <c r="CC23" s="42">
        <v>2.0227E-4</v>
      </c>
      <c r="CD23" s="42">
        <v>0</v>
      </c>
      <c r="CE23" s="42">
        <v>1.2422870000000001E-2</v>
      </c>
      <c r="CF23" s="42"/>
      <c r="CG23" s="42">
        <v>2.3449555399999999</v>
      </c>
      <c r="CH23" s="42">
        <v>0.28902803999999999</v>
      </c>
      <c r="CI23" s="42">
        <v>3.13157555</v>
      </c>
      <c r="CJ23" s="42">
        <v>1.7449811799999999</v>
      </c>
      <c r="CK23" s="42">
        <v>1.3485052399999999</v>
      </c>
      <c r="CL23" s="42">
        <v>1.178712E-2</v>
      </c>
      <c r="CM23" s="42">
        <v>0.38079225</v>
      </c>
      <c r="CN23" s="42">
        <v>0</v>
      </c>
      <c r="CO23" s="42">
        <v>1.5372233799999999</v>
      </c>
      <c r="CP23" s="42">
        <v>1.93264082</v>
      </c>
      <c r="CQ23" s="42">
        <v>4.6758800000000003E-3</v>
      </c>
      <c r="CR23" s="42">
        <v>0.47269368</v>
      </c>
      <c r="CS23" s="42">
        <v>0.82899518000000005</v>
      </c>
      <c r="CT23" s="42">
        <v>3.2496991899999998</v>
      </c>
      <c r="CU23" s="42">
        <v>2.1045948399999999</v>
      </c>
      <c r="CV23" s="42">
        <v>1.7449414700000001</v>
      </c>
      <c r="CW23" s="42">
        <v>2.182079E-2</v>
      </c>
      <c r="CX23" s="42">
        <v>5.21853838</v>
      </c>
      <c r="CY23" s="42">
        <v>1.5053421899999999</v>
      </c>
      <c r="CZ23" s="42">
        <v>0.63011503999999996</v>
      </c>
      <c r="DA23" s="42">
        <v>2.9865256699999998</v>
      </c>
      <c r="DB23" s="42">
        <v>3.5344808400000001</v>
      </c>
      <c r="DC23" s="42">
        <v>2.0077074000000001</v>
      </c>
      <c r="DD23" s="42">
        <v>1.4678377300000001</v>
      </c>
      <c r="DE23" s="42">
        <v>4.1964681300000004</v>
      </c>
      <c r="DF23" s="42">
        <v>7.2003733900000002</v>
      </c>
      <c r="DG23" s="42">
        <v>4.3017882900000002</v>
      </c>
      <c r="DH23" s="42">
        <v>6.93881616</v>
      </c>
      <c r="DI23" s="42">
        <v>7.1012295200000004</v>
      </c>
      <c r="DJ23" s="42">
        <v>0.70648785999999997</v>
      </c>
      <c r="DK23" s="42">
        <v>2.4968243499999998</v>
      </c>
      <c r="DL23" s="42">
        <v>1.0505151800000001</v>
      </c>
      <c r="DM23" s="42">
        <v>4.5265473600000004</v>
      </c>
      <c r="DN23" s="42">
        <v>0.36549821999999998</v>
      </c>
      <c r="DO23" s="42">
        <v>1.1981951</v>
      </c>
      <c r="DP23" s="42">
        <v>3.5361370000000003E-2</v>
      </c>
      <c r="DQ23" s="42">
        <v>5.1061686999999996</v>
      </c>
      <c r="DR23" s="42">
        <v>7.17611723</v>
      </c>
      <c r="DS23" s="42">
        <v>2.22747392</v>
      </c>
      <c r="DT23" s="42">
        <v>2.0324506599999999</v>
      </c>
      <c r="DU23" s="42">
        <v>0.35789990999999999</v>
      </c>
      <c r="DV23" s="42">
        <v>1.48342401</v>
      </c>
      <c r="DW23" s="42">
        <v>1.3872761600000001</v>
      </c>
      <c r="DX23" s="42">
        <v>2.0708318100000001</v>
      </c>
      <c r="DY23" s="42">
        <v>1.9146370800000001</v>
      </c>
      <c r="DZ23" s="42">
        <v>0.70917565000000005</v>
      </c>
      <c r="EA23" s="42">
        <v>4.0845452199999999</v>
      </c>
      <c r="EB23" s="42">
        <v>8.1633079999999997E-2</v>
      </c>
      <c r="EC23" s="42">
        <v>0.23079673000000001</v>
      </c>
      <c r="ED23" s="42">
        <v>2.54073196</v>
      </c>
      <c r="EE23" s="42">
        <v>0.36851805999999998</v>
      </c>
      <c r="EF23" s="42">
        <v>1.6807852000000001</v>
      </c>
      <c r="EG23" s="42">
        <v>3.3129032</v>
      </c>
      <c r="EH23" s="42">
        <v>2.8957447799999998</v>
      </c>
      <c r="EI23" s="42">
        <v>1.4774817499999999</v>
      </c>
      <c r="EJ23" s="42">
        <v>1.0938644799999999</v>
      </c>
      <c r="EK23" s="42">
        <v>4.0569769899999999</v>
      </c>
      <c r="EL23" s="42">
        <v>2.02933341</v>
      </c>
      <c r="EM23" s="42">
        <v>0.94861983999999999</v>
      </c>
      <c r="EN23" s="42">
        <v>4.0134669999999997E-2</v>
      </c>
      <c r="EO23" s="42">
        <v>16937.494763859999</v>
      </c>
      <c r="EP23" s="42">
        <v>0.61692435999999995</v>
      </c>
      <c r="EQ23" s="42">
        <v>8304.8868028899997</v>
      </c>
      <c r="ER23" s="42">
        <v>1.37237177</v>
      </c>
      <c r="ES23" s="42">
        <v>1.5365147800000001</v>
      </c>
      <c r="ET23" s="42">
        <v>1.14907158</v>
      </c>
      <c r="EU23" s="42">
        <v>0.23769074000000001</v>
      </c>
      <c r="EV23" s="42">
        <v>2.4476610700000001</v>
      </c>
      <c r="EW23" s="42">
        <v>1.8508699999999999E-3</v>
      </c>
      <c r="EX23" s="42">
        <v>1.61525641</v>
      </c>
      <c r="EY23" s="42">
        <v>5.4649389999999999E-2</v>
      </c>
      <c r="EZ23" s="42">
        <v>0.23769074000000001</v>
      </c>
      <c r="FA23" s="42">
        <v>2.42824464</v>
      </c>
      <c r="FB23" s="42">
        <v>3.8378287100000001</v>
      </c>
      <c r="FC23" s="42">
        <v>1.1718932399999999</v>
      </c>
      <c r="FD23" s="42">
        <v>3.8732209499999999</v>
      </c>
      <c r="FE23" s="41" t="s">
        <v>1150</v>
      </c>
      <c r="FF23" s="42">
        <v>0.30724451000000003</v>
      </c>
      <c r="FG23" s="42">
        <v>0.30724451000000003</v>
      </c>
      <c r="FH23" s="42">
        <v>0.19102932</v>
      </c>
      <c r="FI23" s="42">
        <v>2.182079E-2</v>
      </c>
      <c r="FJ23" s="42">
        <v>6.4494070299999997</v>
      </c>
      <c r="FK23" s="42">
        <v>0</v>
      </c>
      <c r="FL23" s="42">
        <v>0.16920853</v>
      </c>
      <c r="FM23" s="41" t="s">
        <v>1151</v>
      </c>
      <c r="FN23" s="42">
        <v>9.3030600000000005E-2</v>
      </c>
      <c r="FO23" s="42">
        <v>0.10549963</v>
      </c>
      <c r="FP23" s="42">
        <v>3.6822580000000001E-2</v>
      </c>
      <c r="FQ23" s="42">
        <v>3.6822580000000001E-2</v>
      </c>
      <c r="FR23" s="42">
        <v>6.8053586499999996</v>
      </c>
      <c r="FS23" s="42">
        <v>1.2469030000000001E-2</v>
      </c>
      <c r="FT23" s="42">
        <v>0</v>
      </c>
      <c r="FU23" s="41" t="s">
        <v>1150</v>
      </c>
      <c r="FV23" s="42">
        <v>3.808897E-2</v>
      </c>
      <c r="FW23" s="42">
        <v>3.808897E-2</v>
      </c>
      <c r="FX23" s="42">
        <v>8.4360729999999995E-2</v>
      </c>
      <c r="FY23" s="42">
        <v>8.4360729999999995E-2</v>
      </c>
      <c r="FZ23" s="42">
        <v>6.8252311600000004</v>
      </c>
      <c r="GA23" s="42">
        <v>0</v>
      </c>
      <c r="GB23" s="42">
        <v>0</v>
      </c>
      <c r="GC23" s="41" t="s">
        <v>1150</v>
      </c>
      <c r="GD23" s="42">
        <v>0</v>
      </c>
      <c r="GE23" s="42">
        <v>0</v>
      </c>
      <c r="GF23" s="42">
        <v>0</v>
      </c>
      <c r="GG23" s="42">
        <v>0</v>
      </c>
      <c r="GH23" s="42">
        <v>6.9476808600000002</v>
      </c>
      <c r="GI23" s="42">
        <v>0</v>
      </c>
      <c r="GJ23" s="42">
        <v>0</v>
      </c>
      <c r="GK23" s="41" t="s">
        <v>1151</v>
      </c>
      <c r="GL23" s="42">
        <v>1.5721992899999999</v>
      </c>
      <c r="GM23" s="42">
        <v>1.5721992899999999</v>
      </c>
      <c r="GN23" s="42">
        <v>0</v>
      </c>
      <c r="GO23" s="42">
        <v>0</v>
      </c>
      <c r="GP23" s="42">
        <v>5.3754815699999998</v>
      </c>
      <c r="GQ23" s="42">
        <v>0</v>
      </c>
      <c r="GR23" s="42">
        <v>0</v>
      </c>
      <c r="GS23" s="41" t="s">
        <v>1151</v>
      </c>
      <c r="GT23" s="42">
        <v>0.16774732000000001</v>
      </c>
      <c r="GU23" s="42">
        <v>0.16774732000000001</v>
      </c>
      <c r="GV23" s="42">
        <v>0.11748156999999999</v>
      </c>
      <c r="GW23" s="42">
        <v>0.11748156999999999</v>
      </c>
      <c r="GX23" s="42">
        <v>6.6624519700000002</v>
      </c>
      <c r="GY23" s="42">
        <v>0</v>
      </c>
      <c r="GZ23" s="42">
        <v>0</v>
      </c>
      <c r="HA23" s="41" t="s">
        <v>1150</v>
      </c>
      <c r="HB23" s="42">
        <v>0.73820509000000001</v>
      </c>
      <c r="HC23" s="42">
        <v>0.73820509000000001</v>
      </c>
      <c r="HD23" s="42">
        <v>1.44562733</v>
      </c>
      <c r="HE23" s="42">
        <v>2.7665639999999998E-2</v>
      </c>
      <c r="HF23" s="42">
        <v>4.7638484400000003</v>
      </c>
      <c r="HG23" s="42">
        <v>0</v>
      </c>
      <c r="HH23" s="42">
        <v>1.4179616900000001</v>
      </c>
      <c r="HI23" s="41" t="s">
        <v>1151</v>
      </c>
      <c r="HJ23" s="42">
        <v>0.16453265</v>
      </c>
      <c r="HK23" s="42">
        <v>0.16453265</v>
      </c>
      <c r="HL23" s="42">
        <v>0</v>
      </c>
      <c r="HM23" s="42">
        <v>0</v>
      </c>
      <c r="HN23" s="42">
        <v>6.7831482100000002</v>
      </c>
      <c r="HO23" s="42">
        <v>0</v>
      </c>
      <c r="HP23" s="42">
        <v>0</v>
      </c>
      <c r="HQ23" s="41" t="s">
        <v>1151</v>
      </c>
      <c r="HR23" s="42">
        <v>0.46865987999999997</v>
      </c>
      <c r="HS23" s="42">
        <v>0.46865987999999997</v>
      </c>
      <c r="HT23" s="42">
        <v>4.3738989999999998E-2</v>
      </c>
      <c r="HU23" s="42">
        <v>4.3738989999999998E-2</v>
      </c>
      <c r="HV23" s="42">
        <v>6.43528199</v>
      </c>
      <c r="HW23" s="42">
        <v>0</v>
      </c>
      <c r="HX23" s="42">
        <v>0</v>
      </c>
      <c r="HY23" s="41" t="s">
        <v>1150</v>
      </c>
      <c r="HZ23" s="42">
        <v>0.11553323</v>
      </c>
      <c r="IA23" s="42">
        <v>0.11553323</v>
      </c>
      <c r="IB23" s="42">
        <v>0.21294752</v>
      </c>
      <c r="IC23" s="42">
        <v>4.3738989999999998E-2</v>
      </c>
      <c r="ID23" s="42">
        <v>6.6192001100000004</v>
      </c>
      <c r="IE23" s="42">
        <v>0</v>
      </c>
      <c r="IF23" s="42">
        <v>0.16920853</v>
      </c>
      <c r="IG23" s="41" t="s">
        <v>1151</v>
      </c>
      <c r="IH23" s="42">
        <v>0.27470813999999999</v>
      </c>
      <c r="II23" s="42">
        <v>0.27470813999999999</v>
      </c>
      <c r="IJ23" s="42">
        <v>8.065899E-2</v>
      </c>
      <c r="IK23" s="42">
        <v>8.065899E-2</v>
      </c>
      <c r="IL23" s="42">
        <v>6.5923137299999999</v>
      </c>
      <c r="IM23" s="42">
        <v>0</v>
      </c>
      <c r="IN23" s="42">
        <v>0</v>
      </c>
      <c r="IO23" s="41" t="s">
        <v>1150</v>
      </c>
      <c r="IP23" s="42">
        <v>0.54474034999999998</v>
      </c>
      <c r="IQ23" s="42">
        <v>0.57464652000000005</v>
      </c>
      <c r="IR23" s="42">
        <v>1.4571222100000001</v>
      </c>
      <c r="IS23" s="42">
        <v>3.9160519999999997E-2</v>
      </c>
      <c r="IT23" s="42">
        <v>4.9159121299999997</v>
      </c>
      <c r="IU23" s="42">
        <v>2.9906169999999999E-2</v>
      </c>
      <c r="IV23" s="42">
        <v>1.4179616900000001</v>
      </c>
      <c r="IW23" s="41" t="s">
        <v>1150</v>
      </c>
      <c r="IX23" s="42">
        <v>1.05032028</v>
      </c>
      <c r="IY23" s="42">
        <v>1.05032028</v>
      </c>
      <c r="IZ23" s="42">
        <v>1.4179616900000001</v>
      </c>
      <c r="JA23" s="42">
        <v>0</v>
      </c>
      <c r="JB23" s="42">
        <v>4.4793988899999997</v>
      </c>
      <c r="JC23" s="42">
        <v>0</v>
      </c>
      <c r="JD23" s="42">
        <v>1.4179616900000001</v>
      </c>
      <c r="JE23" s="41" t="s">
        <v>1150</v>
      </c>
      <c r="JF23" s="42">
        <v>0</v>
      </c>
      <c r="JG23" s="42">
        <v>0</v>
      </c>
      <c r="JH23" s="42">
        <v>0.16297401</v>
      </c>
      <c r="JI23" s="42">
        <v>0.12585919000000001</v>
      </c>
      <c r="JJ23" s="42">
        <v>6.7847068500000001</v>
      </c>
      <c r="JK23" s="42">
        <v>0</v>
      </c>
      <c r="JL23" s="42">
        <v>3.711482E-2</v>
      </c>
      <c r="JM23" s="41" t="s">
        <v>1150</v>
      </c>
      <c r="JN23" s="42">
        <v>0</v>
      </c>
      <c r="JO23" s="42">
        <v>0</v>
      </c>
      <c r="JP23" s="42">
        <v>0.13170404999999999</v>
      </c>
      <c r="JQ23" s="42">
        <v>0.13170404999999999</v>
      </c>
      <c r="JR23" s="42">
        <v>6.8159768100000004</v>
      </c>
      <c r="JS23" s="42">
        <v>0</v>
      </c>
      <c r="JT23" s="42">
        <v>0</v>
      </c>
      <c r="JU23" s="41" t="s">
        <v>1151</v>
      </c>
      <c r="JV23" s="42">
        <v>0.12965836</v>
      </c>
      <c r="JW23" s="42">
        <v>0.12965836</v>
      </c>
      <c r="JX23" s="42">
        <v>5.2116610000000001E-2</v>
      </c>
      <c r="JY23" s="42">
        <v>5.2116610000000001E-2</v>
      </c>
      <c r="JZ23" s="42">
        <v>6.76590589</v>
      </c>
      <c r="KA23" s="42">
        <v>0</v>
      </c>
      <c r="KB23" s="42">
        <v>0</v>
      </c>
      <c r="KC23" s="41" t="s">
        <v>1151</v>
      </c>
      <c r="KD23" s="42">
        <v>0.23769074000000001</v>
      </c>
      <c r="KE23" s="42">
        <v>0.23769074000000001</v>
      </c>
      <c r="KF23" s="42">
        <v>1.4222479999999999E-2</v>
      </c>
      <c r="KG23" s="42">
        <v>1.4222479999999999E-2</v>
      </c>
      <c r="KH23" s="42">
        <v>6.6957676399999997</v>
      </c>
      <c r="KI23" s="42">
        <v>0</v>
      </c>
      <c r="KJ23" s="42">
        <v>0</v>
      </c>
      <c r="KK23" s="42">
        <v>6.9476808600000002</v>
      </c>
      <c r="KL23" s="42">
        <v>-3.8531280000000001E-2</v>
      </c>
      <c r="KM23" s="42">
        <v>-0.70113009000000004</v>
      </c>
      <c r="KN23" s="42">
        <v>1.1075998899999999</v>
      </c>
      <c r="KO23" s="41" t="s">
        <v>1206</v>
      </c>
      <c r="KP23" s="41" t="s">
        <v>1153</v>
      </c>
      <c r="KQ23" s="41" t="s">
        <v>1154</v>
      </c>
      <c r="KR23" s="42">
        <v>4.4825192999999999</v>
      </c>
      <c r="KS23" s="42">
        <v>9.3448354499999997</v>
      </c>
      <c r="KT23" s="42">
        <v>7.9325816900000001</v>
      </c>
      <c r="KU23" s="42"/>
      <c r="KV23" s="42"/>
      <c r="KW23" s="42">
        <v>1.2282385199999999</v>
      </c>
      <c r="KX23" s="42">
        <v>2.2218238700000001</v>
      </c>
      <c r="KY23" s="41"/>
      <c r="KZ23" s="42">
        <v>5.4955963700000003</v>
      </c>
      <c r="LA23" s="42"/>
      <c r="LB23" s="42"/>
      <c r="LC23" s="42"/>
      <c r="LD23" s="41" t="s">
        <v>1187</v>
      </c>
      <c r="LE23" s="42">
        <v>2.2202417099999998</v>
      </c>
      <c r="LF23" s="42">
        <v>1.8837965299999999</v>
      </c>
      <c r="LG23" s="42">
        <v>0.33802734000000001</v>
      </c>
      <c r="LH23" s="42">
        <v>0.79610897000000003</v>
      </c>
      <c r="LI23" s="42">
        <v>0.91396710999999997</v>
      </c>
      <c r="LJ23" s="42">
        <v>1.3483104699999999</v>
      </c>
      <c r="LK23" s="42">
        <v>0.43212954999999997</v>
      </c>
      <c r="LL23" s="42">
        <v>92.067418309999994</v>
      </c>
      <c r="LM23" s="42"/>
      <c r="LN23" s="42">
        <v>92.067418309999994</v>
      </c>
      <c r="LO23" s="42">
        <v>1.6347083200000001</v>
      </c>
      <c r="LP23" s="42">
        <v>5.1902734800000001</v>
      </c>
      <c r="LQ23" s="42">
        <v>4.6384081699999999</v>
      </c>
      <c r="LR23" s="42">
        <v>1.6855722</v>
      </c>
      <c r="LS23" s="41" t="s">
        <v>1155</v>
      </c>
      <c r="LT23" s="42">
        <v>5.8816666599999996</v>
      </c>
      <c r="LU23" s="42">
        <v>3.1954812000000001</v>
      </c>
      <c r="LV23" s="43">
        <v>724</v>
      </c>
      <c r="LW23" s="43">
        <v>1</v>
      </c>
      <c r="LX23" s="43">
        <v>321</v>
      </c>
      <c r="LY23" s="41"/>
      <c r="LZ23" s="41" t="s">
        <v>1232</v>
      </c>
      <c r="MA23" s="44">
        <v>46203</v>
      </c>
      <c r="MB23" s="41" t="s">
        <v>1233</v>
      </c>
      <c r="MC23" s="43"/>
      <c r="MD23" s="41" t="s">
        <v>1234</v>
      </c>
      <c r="ME23" s="41" t="s">
        <v>700</v>
      </c>
      <c r="MF23" s="42">
        <v>4.7596079900000001</v>
      </c>
      <c r="MG23" s="42">
        <v>3.0515282799999999</v>
      </c>
      <c r="MH23" s="42">
        <v>5200829363</v>
      </c>
      <c r="MI23" s="42">
        <v>5.4955963700000003</v>
      </c>
      <c r="MJ23" s="42"/>
      <c r="MK23" s="42"/>
      <c r="ML23" s="42">
        <v>5.1858533700000002</v>
      </c>
      <c r="MM23" s="41" t="s">
        <v>480</v>
      </c>
      <c r="MN23" s="42">
        <v>7.510638E-2</v>
      </c>
      <c r="MO23" s="42">
        <v>0</v>
      </c>
      <c r="MP23" s="42">
        <v>0</v>
      </c>
      <c r="MQ23" s="42">
        <v>0</v>
      </c>
      <c r="MR23" s="42">
        <v>0.70303857999999997</v>
      </c>
      <c r="MS23" s="42">
        <v>0</v>
      </c>
      <c r="MT23" s="42">
        <v>0</v>
      </c>
      <c r="MU23" s="42">
        <v>0</v>
      </c>
      <c r="MV23" s="42">
        <v>0.35458782999999999</v>
      </c>
      <c r="MW23" s="42">
        <v>0.31708334999999999</v>
      </c>
      <c r="MX23" s="42">
        <v>0.17339734000000001</v>
      </c>
      <c r="MY23" s="42">
        <v>0</v>
      </c>
      <c r="MZ23" s="42">
        <v>0</v>
      </c>
      <c r="NA23" s="42">
        <v>0</v>
      </c>
      <c r="NB23" s="42">
        <v>0</v>
      </c>
      <c r="NC23" s="42">
        <v>0.18050857000000001</v>
      </c>
      <c r="ND23" s="42">
        <v>0</v>
      </c>
      <c r="NE23" s="42">
        <v>1.6560419999999999E-2</v>
      </c>
      <c r="NF23" s="42">
        <v>0.14446531000000001</v>
      </c>
      <c r="NG23" s="42">
        <v>1.6560419999999999E-2</v>
      </c>
      <c r="NH23" s="42">
        <v>8.3776200000000006E-3</v>
      </c>
      <c r="NI23" s="42">
        <v>8.3776200000000006E-3</v>
      </c>
      <c r="NJ23" s="42">
        <v>8.3776200000000006E-3</v>
      </c>
      <c r="NK23" s="42">
        <v>0</v>
      </c>
      <c r="NL23" s="42">
        <v>0.14446531000000001</v>
      </c>
      <c r="NM23" s="42">
        <v>0</v>
      </c>
      <c r="NN23" s="42">
        <v>0</v>
      </c>
      <c r="NO23" s="42">
        <v>0</v>
      </c>
      <c r="NP23" s="42">
        <v>0</v>
      </c>
      <c r="NQ23" s="42">
        <v>0</v>
      </c>
      <c r="NR23" s="42">
        <v>0.21411648999999999</v>
      </c>
      <c r="NS23" s="42">
        <v>0.21411648999999999</v>
      </c>
      <c r="NT23" s="42">
        <v>0</v>
      </c>
      <c r="NU23" s="42">
        <v>0</v>
      </c>
      <c r="NV23" s="42">
        <v>0.22600102999999999</v>
      </c>
      <c r="NW23" s="42">
        <v>0</v>
      </c>
      <c r="NX23" s="42">
        <v>0.33617655000000002</v>
      </c>
      <c r="NY23" s="42">
        <v>0.29604182000000001</v>
      </c>
      <c r="NZ23" s="42">
        <v>0.19930953000000001</v>
      </c>
      <c r="OA23" s="42">
        <v>5.3383E-2</v>
      </c>
      <c r="OB23" s="42">
        <v>5.3383E-2</v>
      </c>
      <c r="OC23" s="42">
        <v>6.4293400000000004E-3</v>
      </c>
      <c r="OD23" s="42">
        <v>6.4293400000000004E-3</v>
      </c>
      <c r="OE23" s="42">
        <v>0</v>
      </c>
      <c r="OF23" s="42">
        <v>0</v>
      </c>
      <c r="OG23" s="42">
        <v>0</v>
      </c>
      <c r="OH23" s="42">
        <v>0.17554044999999999</v>
      </c>
      <c r="OI23" s="42">
        <v>3.9745009999999997E-2</v>
      </c>
      <c r="OJ23" s="42">
        <v>0.19960178000000001</v>
      </c>
      <c r="OK23" s="42">
        <v>0</v>
      </c>
      <c r="OL23" s="42">
        <v>8.065899E-2</v>
      </c>
      <c r="OM23" s="42">
        <v>1.2335564299999999</v>
      </c>
      <c r="ON23" s="42">
        <v>0</v>
      </c>
      <c r="OO23" s="42">
        <v>0</v>
      </c>
      <c r="OP23" s="42">
        <v>0</v>
      </c>
      <c r="OQ23" s="42">
        <v>0</v>
      </c>
      <c r="OR23" s="42">
        <v>0</v>
      </c>
      <c r="OS23" s="42">
        <v>0.20086817000000001</v>
      </c>
      <c r="OT23" s="42">
        <v>0</v>
      </c>
      <c r="OU23" s="42">
        <v>0</v>
      </c>
      <c r="OV23" s="42">
        <v>0</v>
      </c>
      <c r="OW23" s="42">
        <v>0</v>
      </c>
      <c r="OX23" s="42">
        <v>0</v>
      </c>
      <c r="OY23" s="42">
        <v>0</v>
      </c>
      <c r="OZ23" s="42">
        <v>0</v>
      </c>
      <c r="PA23" s="42">
        <v>0</v>
      </c>
      <c r="PB23" s="42">
        <v>0</v>
      </c>
      <c r="PC23" s="42">
        <v>0</v>
      </c>
      <c r="PD23" s="42">
        <v>0</v>
      </c>
      <c r="PE23" s="42">
        <v>0</v>
      </c>
      <c r="PF23" s="42">
        <v>0</v>
      </c>
      <c r="PG23" s="42">
        <v>0</v>
      </c>
      <c r="PH23" s="42">
        <v>0</v>
      </c>
      <c r="PI23" s="42">
        <v>0</v>
      </c>
      <c r="PJ23" s="42">
        <v>0</v>
      </c>
      <c r="PK23" s="42">
        <v>0</v>
      </c>
      <c r="PL23" s="42">
        <v>0</v>
      </c>
      <c r="PM23" s="42">
        <v>0.34426190000000001</v>
      </c>
      <c r="PN23" s="42">
        <v>4.3738989999999998E-2</v>
      </c>
      <c r="PO23" s="42">
        <v>3.6822580000000001E-2</v>
      </c>
      <c r="PP23" s="42">
        <v>0.18304134</v>
      </c>
      <c r="PQ23" s="42">
        <v>8.065899E-2</v>
      </c>
      <c r="PR23" s="42">
        <v>0</v>
      </c>
      <c r="PS23" s="42">
        <v>1.4671000000000001E-4</v>
      </c>
      <c r="PT23" s="42">
        <v>7.2831500000000004E-3</v>
      </c>
      <c r="PU23" s="42">
        <v>2.0818320000000001E-2</v>
      </c>
      <c r="PV23" s="42">
        <v>3.0035800000000001E-3</v>
      </c>
      <c r="PW23" s="42">
        <v>5.3621500000000002E-2</v>
      </c>
      <c r="PX23" s="42">
        <v>3.2081999999999998E-4</v>
      </c>
      <c r="PY23" s="42">
        <v>0</v>
      </c>
      <c r="PZ23" s="42">
        <v>1.93395E-3</v>
      </c>
      <c r="QA23" s="42">
        <v>0.25746583000000001</v>
      </c>
      <c r="QB23" s="42">
        <v>0</v>
      </c>
      <c r="QC23" s="42">
        <v>0</v>
      </c>
      <c r="QD23" s="42">
        <v>0</v>
      </c>
      <c r="QE23" s="42">
        <v>0</v>
      </c>
      <c r="QF23" s="42">
        <v>0</v>
      </c>
      <c r="QG23" s="42">
        <v>0.19093192</v>
      </c>
      <c r="QH23" s="42">
        <v>1.6560399999999999E-3</v>
      </c>
      <c r="QI23" s="42">
        <v>0</v>
      </c>
      <c r="QJ23" s="42">
        <v>0</v>
      </c>
      <c r="QK23" s="42">
        <v>0.21411648999999999</v>
      </c>
    </row>
    <row r="24" spans="1:453" x14ac:dyDescent="0.35">
      <c r="A24" s="41" t="s">
        <v>600</v>
      </c>
      <c r="B24" s="41" t="s">
        <v>601</v>
      </c>
      <c r="C24" s="41" t="s">
        <v>602</v>
      </c>
      <c r="D24" s="41" t="s">
        <v>536</v>
      </c>
      <c r="E24" s="41" t="s">
        <v>602</v>
      </c>
      <c r="F24" s="41" t="s">
        <v>1235</v>
      </c>
      <c r="G24" s="41" t="s">
        <v>603</v>
      </c>
      <c r="H24" s="42">
        <v>7.0978034900000004</v>
      </c>
      <c r="I24" s="42">
        <v>98.076028870000002</v>
      </c>
      <c r="J24" s="42">
        <v>0.31188275999999998</v>
      </c>
      <c r="K24" s="42">
        <v>98.292214380000004</v>
      </c>
      <c r="L24" s="42">
        <v>21.42490952</v>
      </c>
      <c r="M24" s="42">
        <v>98.292214380000004</v>
      </c>
      <c r="N24" s="42">
        <v>21.113025260000001</v>
      </c>
      <c r="O24" s="42">
        <v>98.292214380000004</v>
      </c>
      <c r="P24" s="42">
        <v>0.87634129000000005</v>
      </c>
      <c r="Q24" s="42">
        <v>0</v>
      </c>
      <c r="R24" s="42">
        <v>24.617176440000001</v>
      </c>
      <c r="S24" s="42"/>
      <c r="T24" s="42">
        <v>0.87634129000000005</v>
      </c>
      <c r="U24" s="42">
        <v>0</v>
      </c>
      <c r="V24" s="42">
        <v>0</v>
      </c>
      <c r="W24" s="42">
        <v>79.704546059999998</v>
      </c>
      <c r="X24" s="42">
        <v>98.076028870000002</v>
      </c>
      <c r="Y24" s="42">
        <v>3.7246531599999999</v>
      </c>
      <c r="Z24" s="42">
        <v>98.292214380000004</v>
      </c>
      <c r="AA24" s="42">
        <v>238.86409201999999</v>
      </c>
      <c r="AB24" s="42">
        <v>98.292214380000004</v>
      </c>
      <c r="AC24" s="42">
        <v>235.14035838999999</v>
      </c>
      <c r="AD24" s="42">
        <v>98.292214380000004</v>
      </c>
      <c r="AE24" s="42">
        <v>202.59174264999999</v>
      </c>
      <c r="AF24" s="42">
        <v>8.4437739999999997E-2</v>
      </c>
      <c r="AG24" s="42">
        <v>182.03471508000001</v>
      </c>
      <c r="AH24" s="42">
        <v>453.60734129000002</v>
      </c>
      <c r="AI24" s="42">
        <v>175.47228906999999</v>
      </c>
      <c r="AJ24" s="42">
        <v>9.3753718599999996</v>
      </c>
      <c r="AK24" s="42">
        <v>17.324539229999999</v>
      </c>
      <c r="AL24" s="41" t="s">
        <v>1149</v>
      </c>
      <c r="AM24" s="42">
        <v>97.775149029999994</v>
      </c>
      <c r="AN24" s="42">
        <v>46.525482779999997</v>
      </c>
      <c r="AO24" s="42">
        <v>24.54975516</v>
      </c>
      <c r="AP24" s="41">
        <v>2.6</v>
      </c>
      <c r="AQ24" s="42">
        <v>35.42502649</v>
      </c>
      <c r="AR24" s="42">
        <v>59.321025499999998</v>
      </c>
      <c r="AS24" s="42">
        <v>93.881409899999994</v>
      </c>
      <c r="AT24" s="42">
        <v>2.0056976099999999</v>
      </c>
      <c r="AU24" s="42">
        <v>58.357290110000001</v>
      </c>
      <c r="AV24" s="42">
        <v>98.035731569999996</v>
      </c>
      <c r="AW24" s="42">
        <v>33.278970299999997</v>
      </c>
      <c r="AX24" s="42">
        <v>7.4013041199999998</v>
      </c>
      <c r="AY24" s="42">
        <v>0</v>
      </c>
      <c r="AZ24" s="42">
        <v>0</v>
      </c>
      <c r="BA24" s="42">
        <v>20.241143839999999</v>
      </c>
      <c r="BB24" s="42">
        <v>77.506707039999995</v>
      </c>
      <c r="BC24" s="42">
        <v>71.876084300000002</v>
      </c>
      <c r="BD24" s="42">
        <v>0</v>
      </c>
      <c r="BE24" s="42">
        <v>0.16348905</v>
      </c>
      <c r="BF24" s="42">
        <v>0</v>
      </c>
      <c r="BG24" s="42">
        <v>4.4340725299999999</v>
      </c>
      <c r="BH24" s="42">
        <v>2.857324E-2</v>
      </c>
      <c r="BI24" s="42">
        <v>0</v>
      </c>
      <c r="BJ24" s="42">
        <v>0</v>
      </c>
      <c r="BK24" s="42">
        <v>6.1150214800000002</v>
      </c>
      <c r="BL24" s="42">
        <v>23.876360170000002</v>
      </c>
      <c r="BM24" s="42">
        <v>17.732765449999999</v>
      </c>
      <c r="BN24" s="42">
        <v>0</v>
      </c>
      <c r="BO24" s="42">
        <v>9.8090000000000004E-5</v>
      </c>
      <c r="BP24" s="42">
        <v>0</v>
      </c>
      <c r="BQ24" s="42">
        <v>0</v>
      </c>
      <c r="BR24" s="42">
        <v>0</v>
      </c>
      <c r="BS24" s="42">
        <v>4.4341706199999997</v>
      </c>
      <c r="BT24" s="42">
        <v>0</v>
      </c>
      <c r="BU24" s="42">
        <v>28.21754425</v>
      </c>
      <c r="BV24" s="42">
        <v>0</v>
      </c>
      <c r="BW24" s="42">
        <v>0</v>
      </c>
      <c r="BX24" s="42">
        <v>0</v>
      </c>
      <c r="BY24" s="42">
        <v>33.44245935</v>
      </c>
      <c r="BZ24" s="42">
        <v>0</v>
      </c>
      <c r="CA24" s="42">
        <v>80.414612230000003</v>
      </c>
      <c r="CB24" s="42">
        <v>0</v>
      </c>
      <c r="CC24" s="42">
        <v>0</v>
      </c>
      <c r="CD24" s="42">
        <v>0</v>
      </c>
      <c r="CE24" s="42">
        <v>0</v>
      </c>
      <c r="CF24" s="42"/>
      <c r="CG24" s="42">
        <v>49.526381749999999</v>
      </c>
      <c r="CH24" s="42">
        <v>2.2048522699999999</v>
      </c>
      <c r="CI24" s="42">
        <v>3.0046986800000002</v>
      </c>
      <c r="CJ24" s="42">
        <v>60.161769159999999</v>
      </c>
      <c r="CK24" s="42">
        <v>39.138177710000001</v>
      </c>
      <c r="CL24" s="42">
        <v>1.6533892299999999</v>
      </c>
      <c r="CM24" s="42">
        <v>6.4456681199999997</v>
      </c>
      <c r="CN24" s="42">
        <v>2.6665213400000001</v>
      </c>
      <c r="CO24" s="42">
        <v>17.343537959999999</v>
      </c>
      <c r="CP24" s="42">
        <v>8.0496606600000007</v>
      </c>
      <c r="CQ24" s="42">
        <v>1.9498689999999999E-2</v>
      </c>
      <c r="CR24" s="42">
        <v>0.45866926000000002</v>
      </c>
      <c r="CS24" s="42">
        <v>24.82823651</v>
      </c>
      <c r="CT24" s="42">
        <v>72.658031879999996</v>
      </c>
      <c r="CU24" s="42">
        <v>2.9457026399999999</v>
      </c>
      <c r="CV24" s="42">
        <v>1.05602924</v>
      </c>
      <c r="CW24" s="42">
        <v>0</v>
      </c>
      <c r="CX24" s="42">
        <v>71.760991959999998</v>
      </c>
      <c r="CY24" s="42">
        <v>29.090550910000001</v>
      </c>
      <c r="CZ24" s="42">
        <v>7.4580003000000001</v>
      </c>
      <c r="DA24" s="42">
        <v>82.940942939999999</v>
      </c>
      <c r="DB24" s="42">
        <v>64.890552299999996</v>
      </c>
      <c r="DC24" s="42">
        <v>5.0678604399999996</v>
      </c>
      <c r="DD24" s="42">
        <v>28.006023599999999</v>
      </c>
      <c r="DE24" s="42">
        <v>53.95018529</v>
      </c>
      <c r="DF24" s="42">
        <v>97.964436340000006</v>
      </c>
      <c r="DG24" s="42">
        <v>5.7515584999999998</v>
      </c>
      <c r="DH24" s="42">
        <v>97.964436340000006</v>
      </c>
      <c r="DI24" s="42">
        <v>97.805946969999994</v>
      </c>
      <c r="DJ24" s="42">
        <v>0.41637208999999997</v>
      </c>
      <c r="DK24" s="42">
        <v>47.71100337</v>
      </c>
      <c r="DL24" s="42">
        <v>0</v>
      </c>
      <c r="DM24" s="42">
        <v>91.546366370000001</v>
      </c>
      <c r="DN24" s="42">
        <v>0.57336156999999999</v>
      </c>
      <c r="DO24" s="42">
        <v>6.5295629999999993E-2</v>
      </c>
      <c r="DP24" s="42">
        <v>5.850708</v>
      </c>
      <c r="DQ24" s="42">
        <v>6.3960901200000002</v>
      </c>
      <c r="DR24" s="42">
        <v>98.035731569999996</v>
      </c>
      <c r="DS24" s="42">
        <v>37.259603589999998</v>
      </c>
      <c r="DT24" s="42">
        <v>19.363902629999998</v>
      </c>
      <c r="DU24" s="42">
        <v>1.1712215399999999</v>
      </c>
      <c r="DV24" s="42">
        <v>5.1989516399999998</v>
      </c>
      <c r="DW24" s="42">
        <v>71.575604389999995</v>
      </c>
      <c r="DX24" s="42">
        <v>26.754707410000002</v>
      </c>
      <c r="DY24" s="42">
        <v>13.2354132</v>
      </c>
      <c r="DZ24" s="42">
        <v>1.33801032</v>
      </c>
      <c r="EA24" s="42">
        <v>82.280887160000006</v>
      </c>
      <c r="EB24" s="42">
        <v>0.54926319999999995</v>
      </c>
      <c r="EC24" s="42">
        <v>0</v>
      </c>
      <c r="ED24" s="42"/>
      <c r="EE24" s="42">
        <v>0</v>
      </c>
      <c r="EF24" s="42">
        <v>33.972323860000003</v>
      </c>
      <c r="EG24" s="42">
        <v>81.636930320000005</v>
      </c>
      <c r="EH24" s="42"/>
      <c r="EI24" s="42">
        <v>0</v>
      </c>
      <c r="EJ24" s="42">
        <v>3.12509061</v>
      </c>
      <c r="EK24" s="42">
        <v>11.48623042</v>
      </c>
      <c r="EL24" s="42">
        <v>83.463307929999999</v>
      </c>
      <c r="EM24" s="42">
        <v>0</v>
      </c>
      <c r="EN24" s="42">
        <v>2.2499492399999999</v>
      </c>
      <c r="EO24" s="42">
        <v>1343.80140104</v>
      </c>
      <c r="EP24" s="42">
        <v>22.190013270000001</v>
      </c>
      <c r="EQ24" s="42">
        <v>34546.098386719998</v>
      </c>
      <c r="ER24" s="42">
        <v>58.332091740000003</v>
      </c>
      <c r="ES24" s="42">
        <v>8.1375547699999995</v>
      </c>
      <c r="ET24" s="42">
        <v>32.430127149999997</v>
      </c>
      <c r="EU24" s="42">
        <v>0</v>
      </c>
      <c r="EV24" s="42">
        <v>72.859918399999998</v>
      </c>
      <c r="EW24" s="42">
        <v>0.56086241999999997</v>
      </c>
      <c r="EX24" s="42">
        <v>34.383096299999998</v>
      </c>
      <c r="EY24" s="42">
        <v>0</v>
      </c>
      <c r="EZ24" s="42">
        <v>0</v>
      </c>
      <c r="FA24" s="42">
        <v>65.500611469999996</v>
      </c>
      <c r="FB24" s="42">
        <v>73.850951989999999</v>
      </c>
      <c r="FC24" s="42">
        <v>36.621646339999998</v>
      </c>
      <c r="FD24" s="42">
        <v>86.552700950000002</v>
      </c>
      <c r="FE24" s="41" t="s">
        <v>1151</v>
      </c>
      <c r="FF24" s="42">
        <v>15.68594903</v>
      </c>
      <c r="FG24" s="42">
        <v>15.68594903</v>
      </c>
      <c r="FH24" s="42">
        <v>0</v>
      </c>
      <c r="FI24" s="42">
        <v>0</v>
      </c>
      <c r="FJ24" s="42">
        <v>81.817318220000004</v>
      </c>
      <c r="FK24" s="42">
        <v>0</v>
      </c>
      <c r="FL24" s="42">
        <v>0</v>
      </c>
      <c r="FM24" s="41" t="s">
        <v>1150</v>
      </c>
      <c r="FN24" s="42">
        <v>0</v>
      </c>
      <c r="FO24" s="42">
        <v>0</v>
      </c>
      <c r="FP24" s="42">
        <v>0</v>
      </c>
      <c r="FQ24" s="42">
        <v>0</v>
      </c>
      <c r="FR24" s="42">
        <v>97.503267249999993</v>
      </c>
      <c r="FS24" s="42">
        <v>0</v>
      </c>
      <c r="FT24" s="42">
        <v>0</v>
      </c>
      <c r="FU24" s="41" t="s">
        <v>1150</v>
      </c>
      <c r="FV24" s="42">
        <v>0</v>
      </c>
      <c r="FW24" s="42">
        <v>0</v>
      </c>
      <c r="FX24" s="42">
        <v>0</v>
      </c>
      <c r="FY24" s="42">
        <v>0</v>
      </c>
      <c r="FZ24" s="42">
        <v>97.503267249999993</v>
      </c>
      <c r="GA24" s="42">
        <v>0</v>
      </c>
      <c r="GB24" s="42">
        <v>0</v>
      </c>
      <c r="GC24" s="41" t="s">
        <v>1150</v>
      </c>
      <c r="GD24" s="42">
        <v>0</v>
      </c>
      <c r="GE24" s="42">
        <v>0</v>
      </c>
      <c r="GF24" s="42">
        <v>0</v>
      </c>
      <c r="GG24" s="42">
        <v>0</v>
      </c>
      <c r="GH24" s="42">
        <v>97.503267249999993</v>
      </c>
      <c r="GI24" s="42">
        <v>0</v>
      </c>
      <c r="GJ24" s="42">
        <v>0</v>
      </c>
      <c r="GK24" s="41" t="s">
        <v>1151</v>
      </c>
      <c r="GL24" s="42">
        <v>52.699569109999999</v>
      </c>
      <c r="GM24" s="42">
        <v>52.699569109999999</v>
      </c>
      <c r="GN24" s="42">
        <v>0</v>
      </c>
      <c r="GO24" s="42">
        <v>0</v>
      </c>
      <c r="GP24" s="42">
        <v>44.803698140000002</v>
      </c>
      <c r="GQ24" s="42">
        <v>0</v>
      </c>
      <c r="GR24" s="42">
        <v>0</v>
      </c>
      <c r="GS24" s="41" t="s">
        <v>1151</v>
      </c>
      <c r="GT24" s="42">
        <v>1.21111886</v>
      </c>
      <c r="GU24" s="42">
        <v>1.21111886</v>
      </c>
      <c r="GV24" s="42">
        <v>0</v>
      </c>
      <c r="GW24" s="42">
        <v>0</v>
      </c>
      <c r="GX24" s="42">
        <v>96.292148389999994</v>
      </c>
      <c r="GY24" s="42">
        <v>0</v>
      </c>
      <c r="GZ24" s="42">
        <v>0</v>
      </c>
      <c r="HA24" s="41" t="s">
        <v>1151</v>
      </c>
      <c r="HB24" s="42">
        <v>25.080019650000001</v>
      </c>
      <c r="HC24" s="42">
        <v>25.080019650000001</v>
      </c>
      <c r="HD24" s="42">
        <v>0</v>
      </c>
      <c r="HE24" s="42">
        <v>0</v>
      </c>
      <c r="HF24" s="42">
        <v>72.423247599999996</v>
      </c>
      <c r="HG24" s="42">
        <v>0</v>
      </c>
      <c r="HH24" s="42">
        <v>0</v>
      </c>
      <c r="HI24" s="41" t="s">
        <v>1151</v>
      </c>
      <c r="HJ24" s="42">
        <v>17.319139620000001</v>
      </c>
      <c r="HK24" s="42">
        <v>17.319139620000001</v>
      </c>
      <c r="HL24" s="42">
        <v>0</v>
      </c>
      <c r="HM24" s="42">
        <v>0</v>
      </c>
      <c r="HN24" s="42">
        <v>80.184127630000006</v>
      </c>
      <c r="HO24" s="42">
        <v>0</v>
      </c>
      <c r="HP24" s="42">
        <v>0</v>
      </c>
      <c r="HQ24" s="41" t="s">
        <v>1151</v>
      </c>
      <c r="HR24" s="42">
        <v>13.567290979999999</v>
      </c>
      <c r="HS24" s="42">
        <v>13.567290979999999</v>
      </c>
      <c r="HT24" s="42">
        <v>0</v>
      </c>
      <c r="HU24" s="42">
        <v>0</v>
      </c>
      <c r="HV24" s="42">
        <v>83.935976269999998</v>
      </c>
      <c r="HW24" s="42">
        <v>0</v>
      </c>
      <c r="HX24" s="42">
        <v>0</v>
      </c>
      <c r="HY24" s="41" t="s">
        <v>1151</v>
      </c>
      <c r="HZ24" s="42">
        <v>32.61461482</v>
      </c>
      <c r="IA24" s="42">
        <v>32.61461482</v>
      </c>
      <c r="IB24" s="42">
        <v>0</v>
      </c>
      <c r="IC24" s="42">
        <v>0</v>
      </c>
      <c r="ID24" s="42">
        <v>64.888652429999993</v>
      </c>
      <c r="IE24" s="42">
        <v>0</v>
      </c>
      <c r="IF24" s="42">
        <v>0</v>
      </c>
      <c r="IG24" s="41" t="s">
        <v>1151</v>
      </c>
      <c r="IH24" s="42">
        <v>56.653904179999998</v>
      </c>
      <c r="II24" s="42">
        <v>56.653904179999998</v>
      </c>
      <c r="IJ24" s="42">
        <v>0</v>
      </c>
      <c r="IK24" s="42">
        <v>0</v>
      </c>
      <c r="IL24" s="42">
        <v>40.849363070000003</v>
      </c>
      <c r="IM24" s="42">
        <v>0</v>
      </c>
      <c r="IN24" s="42">
        <v>0</v>
      </c>
      <c r="IO24" s="41" t="s">
        <v>1151</v>
      </c>
      <c r="IP24" s="42">
        <v>46.47418622</v>
      </c>
      <c r="IQ24" s="42">
        <v>68.996777219999998</v>
      </c>
      <c r="IR24" s="42">
        <v>0</v>
      </c>
      <c r="IS24" s="42">
        <v>0</v>
      </c>
      <c r="IT24" s="42">
        <v>28.506490029999998</v>
      </c>
      <c r="IU24" s="42">
        <v>22.522590999999998</v>
      </c>
      <c r="IV24" s="42">
        <v>0</v>
      </c>
      <c r="IW24" s="41" t="s">
        <v>1151</v>
      </c>
      <c r="IX24" s="42">
        <v>10.262112460000001</v>
      </c>
      <c r="IY24" s="42">
        <v>10.262112460000001</v>
      </c>
      <c r="IZ24" s="42">
        <v>0</v>
      </c>
      <c r="JA24" s="42">
        <v>0</v>
      </c>
      <c r="JB24" s="42">
        <v>87.241154789999996</v>
      </c>
      <c r="JC24" s="42">
        <v>0</v>
      </c>
      <c r="JD24" s="42">
        <v>0</v>
      </c>
      <c r="JE24" s="41" t="s">
        <v>1150</v>
      </c>
      <c r="JF24" s="42">
        <v>0</v>
      </c>
      <c r="JG24" s="42">
        <v>0</v>
      </c>
      <c r="JH24" s="42">
        <v>0</v>
      </c>
      <c r="JI24" s="42">
        <v>0</v>
      </c>
      <c r="JJ24" s="42">
        <v>97.503267249999993</v>
      </c>
      <c r="JK24" s="42">
        <v>0</v>
      </c>
      <c r="JL24" s="42">
        <v>0</v>
      </c>
      <c r="JM24" s="41" t="s">
        <v>1150</v>
      </c>
      <c r="JN24" s="42">
        <v>0</v>
      </c>
      <c r="JO24" s="42">
        <v>0</v>
      </c>
      <c r="JP24" s="42">
        <v>0</v>
      </c>
      <c r="JQ24" s="42">
        <v>0</v>
      </c>
      <c r="JR24" s="42">
        <v>97.503267249999993</v>
      </c>
      <c r="JS24" s="42">
        <v>0</v>
      </c>
      <c r="JT24" s="42">
        <v>0</v>
      </c>
      <c r="JU24" s="41" t="s">
        <v>1151</v>
      </c>
      <c r="JV24" s="42">
        <v>11.121154880000001</v>
      </c>
      <c r="JW24" s="42">
        <v>11.121154880000001</v>
      </c>
      <c r="JX24" s="42">
        <v>0</v>
      </c>
      <c r="JY24" s="42">
        <v>0</v>
      </c>
      <c r="JZ24" s="42">
        <v>86.382112370000002</v>
      </c>
      <c r="KA24" s="42">
        <v>0</v>
      </c>
      <c r="KB24" s="42">
        <v>0</v>
      </c>
      <c r="KC24" s="41" t="s">
        <v>1150</v>
      </c>
      <c r="KD24" s="42">
        <v>0</v>
      </c>
      <c r="KE24" s="42">
        <v>0</v>
      </c>
      <c r="KF24" s="42">
        <v>0</v>
      </c>
      <c r="KG24" s="42">
        <v>0</v>
      </c>
      <c r="KH24" s="42">
        <v>97.503267249999993</v>
      </c>
      <c r="KI24" s="42">
        <v>0</v>
      </c>
      <c r="KJ24" s="42">
        <v>0</v>
      </c>
      <c r="KK24" s="42">
        <v>97.503267249999993</v>
      </c>
      <c r="KL24" s="42">
        <v>-0.65628951999999996</v>
      </c>
      <c r="KM24" s="42">
        <v>-10.62168836</v>
      </c>
      <c r="KN24" s="42">
        <v>20.091753860000001</v>
      </c>
      <c r="KO24" s="41" t="s">
        <v>1152</v>
      </c>
      <c r="KP24" s="41" t="s">
        <v>1153</v>
      </c>
      <c r="KQ24" s="41" t="s">
        <v>1154</v>
      </c>
      <c r="KR24" s="42">
        <v>59.609649500000003</v>
      </c>
      <c r="KS24" s="42">
        <v>97.935839329999993</v>
      </c>
      <c r="KT24" s="42">
        <v>97.626602379999994</v>
      </c>
      <c r="KU24" s="42">
        <v>5.7281835349303618</v>
      </c>
      <c r="KV24" s="42">
        <v>6.8120839466573813</v>
      </c>
      <c r="KW24" s="42">
        <v>4.9581677800000001</v>
      </c>
      <c r="KX24" s="42">
        <v>33.058785100000001</v>
      </c>
      <c r="KY24" s="41"/>
      <c r="KZ24" s="42">
        <v>6.1787683500000004</v>
      </c>
      <c r="LA24" s="42">
        <v>37.187638827187918</v>
      </c>
      <c r="LB24" s="42">
        <v>6.4789693166016713</v>
      </c>
      <c r="LC24" s="42">
        <v>16.991643454038996</v>
      </c>
      <c r="LD24" s="41" t="s">
        <v>461</v>
      </c>
      <c r="LE24" s="42">
        <v>21.114828670000001</v>
      </c>
      <c r="LF24" s="42">
        <v>19.978061480000001</v>
      </c>
      <c r="LG24" s="42">
        <v>13.080723620000001</v>
      </c>
      <c r="LH24" s="42">
        <v>3.7513486500000002</v>
      </c>
      <c r="LI24" s="42">
        <v>13.483796590000001</v>
      </c>
      <c r="LJ24" s="42">
        <v>25.011024240000001</v>
      </c>
      <c r="LK24" s="42">
        <v>1.20681913</v>
      </c>
      <c r="LL24" s="42">
        <v>2.37339762</v>
      </c>
      <c r="LM24" s="42">
        <v>4.9585298135097489</v>
      </c>
      <c r="LN24" s="42">
        <v>2.14671279</v>
      </c>
      <c r="LO24" s="42">
        <v>14.428233280000001</v>
      </c>
      <c r="LP24" s="42">
        <v>63.106615239999996</v>
      </c>
      <c r="LQ24" s="42">
        <v>5.7052514099999998</v>
      </c>
      <c r="LR24" s="42">
        <v>29.150506759999999</v>
      </c>
      <c r="LS24" s="41" t="s">
        <v>1173</v>
      </c>
      <c r="LT24" s="42">
        <v>6.8343091600000001</v>
      </c>
      <c r="LU24" s="42">
        <v>41.428106999999997</v>
      </c>
      <c r="LV24" s="43">
        <v>330</v>
      </c>
      <c r="LW24" s="43">
        <v>1</v>
      </c>
      <c r="LX24" s="43">
        <v>318</v>
      </c>
      <c r="LY24" s="41" t="s">
        <v>480</v>
      </c>
      <c r="LZ24" s="41" t="s">
        <v>1236</v>
      </c>
      <c r="MA24" s="44">
        <v>46203</v>
      </c>
      <c r="MB24" s="41" t="s">
        <v>1237</v>
      </c>
      <c r="MC24" s="43">
        <v>359</v>
      </c>
      <c r="MD24" s="41" t="s">
        <v>1158</v>
      </c>
      <c r="ME24" s="41" t="s">
        <v>601</v>
      </c>
      <c r="MF24" s="42">
        <v>4.5756043999999996</v>
      </c>
      <c r="MG24" s="42">
        <v>27.047988629999999</v>
      </c>
      <c r="MH24" s="42">
        <v>4886244274</v>
      </c>
      <c r="MI24" s="42">
        <v>6.1787683500000004</v>
      </c>
      <c r="MJ24" s="42">
        <v>37.187638827187918</v>
      </c>
      <c r="MK24" s="42">
        <v>16.991643454038996</v>
      </c>
      <c r="ML24" s="42">
        <v>5.8713951199999999</v>
      </c>
      <c r="MM24" s="41" t="s">
        <v>480</v>
      </c>
      <c r="MN24" s="42">
        <v>0</v>
      </c>
      <c r="MO24" s="42">
        <v>0</v>
      </c>
      <c r="MP24" s="42">
        <v>0</v>
      </c>
      <c r="MQ24" s="42">
        <v>0</v>
      </c>
      <c r="MR24" s="42">
        <v>7.4224026800000003</v>
      </c>
      <c r="MS24" s="42">
        <v>1.5313973999999999</v>
      </c>
      <c r="MT24" s="42">
        <v>0</v>
      </c>
      <c r="MU24" s="42">
        <v>0</v>
      </c>
      <c r="MV24" s="42">
        <v>0</v>
      </c>
      <c r="MW24" s="42">
        <v>0</v>
      </c>
      <c r="MX24" s="42">
        <v>0</v>
      </c>
      <c r="MY24" s="42">
        <v>0</v>
      </c>
      <c r="MZ24" s="42">
        <v>0</v>
      </c>
      <c r="NA24" s="42">
        <v>0</v>
      </c>
      <c r="NB24" s="42">
        <v>0</v>
      </c>
      <c r="NC24" s="42">
        <v>2.3163448099999999</v>
      </c>
      <c r="ND24" s="42">
        <v>0</v>
      </c>
      <c r="NE24" s="42">
        <v>0</v>
      </c>
      <c r="NF24" s="42">
        <v>0</v>
      </c>
      <c r="NG24" s="42">
        <v>0</v>
      </c>
      <c r="NH24" s="42">
        <v>0</v>
      </c>
      <c r="NI24" s="42">
        <v>0</v>
      </c>
      <c r="NJ24" s="42">
        <v>0</v>
      </c>
      <c r="NK24" s="42">
        <v>0</v>
      </c>
      <c r="NL24" s="42">
        <v>0</v>
      </c>
      <c r="NM24" s="42">
        <v>0</v>
      </c>
      <c r="NN24" s="42">
        <v>0</v>
      </c>
      <c r="NO24" s="42">
        <v>0</v>
      </c>
      <c r="NP24" s="42">
        <v>0</v>
      </c>
      <c r="NQ24" s="42">
        <v>0</v>
      </c>
      <c r="NR24" s="42">
        <v>0</v>
      </c>
      <c r="NS24" s="42">
        <v>0</v>
      </c>
      <c r="NT24" s="42">
        <v>0</v>
      </c>
      <c r="NU24" s="42">
        <v>0</v>
      </c>
      <c r="NV24" s="42">
        <v>0</v>
      </c>
      <c r="NW24" s="42">
        <v>0</v>
      </c>
      <c r="NX24" s="42">
        <v>0</v>
      </c>
      <c r="NY24" s="42">
        <v>2.2752475599999999</v>
      </c>
      <c r="NZ24" s="42">
        <v>2.2291506499999998</v>
      </c>
      <c r="OA24" s="42">
        <v>0</v>
      </c>
      <c r="OB24" s="42">
        <v>2.2291506499999998</v>
      </c>
      <c r="OC24" s="42">
        <v>0</v>
      </c>
      <c r="OD24" s="42">
        <v>0</v>
      </c>
      <c r="OE24" s="42">
        <v>0</v>
      </c>
      <c r="OF24" s="42">
        <v>0</v>
      </c>
      <c r="OG24" s="42">
        <v>0</v>
      </c>
      <c r="OH24" s="42">
        <v>0</v>
      </c>
      <c r="OI24" s="42">
        <v>0</v>
      </c>
      <c r="OJ24" s="42">
        <v>0</v>
      </c>
      <c r="OK24" s="42">
        <v>0</v>
      </c>
      <c r="OL24" s="42">
        <v>0</v>
      </c>
      <c r="OM24" s="42">
        <v>62.560908429999998</v>
      </c>
      <c r="ON24" s="42">
        <v>0</v>
      </c>
      <c r="OO24" s="42">
        <v>0</v>
      </c>
      <c r="OP24" s="42">
        <v>0</v>
      </c>
      <c r="OQ24" s="42">
        <v>0</v>
      </c>
      <c r="OR24" s="42">
        <v>0</v>
      </c>
      <c r="OS24" s="42">
        <v>0</v>
      </c>
      <c r="OT24" s="42">
        <v>0</v>
      </c>
      <c r="OU24" s="42">
        <v>0</v>
      </c>
      <c r="OV24" s="42">
        <v>0</v>
      </c>
      <c r="OW24" s="42">
        <v>0</v>
      </c>
      <c r="OX24" s="42">
        <v>0</v>
      </c>
      <c r="OY24" s="42">
        <v>0</v>
      </c>
      <c r="OZ24" s="42">
        <v>0</v>
      </c>
      <c r="PA24" s="42">
        <v>0</v>
      </c>
      <c r="PB24" s="42">
        <v>0</v>
      </c>
      <c r="PC24" s="42">
        <v>0</v>
      </c>
      <c r="PD24" s="42">
        <v>0</v>
      </c>
      <c r="PE24" s="42">
        <v>0</v>
      </c>
      <c r="PF24" s="42">
        <v>0</v>
      </c>
      <c r="PG24" s="42">
        <v>0</v>
      </c>
      <c r="PH24" s="42">
        <v>0</v>
      </c>
      <c r="PI24" s="42">
        <v>0</v>
      </c>
      <c r="PJ24" s="42">
        <v>0</v>
      </c>
      <c r="PK24" s="42">
        <v>0</v>
      </c>
      <c r="PL24" s="42">
        <v>0</v>
      </c>
      <c r="PM24" s="42">
        <v>0</v>
      </c>
      <c r="PN24" s="42">
        <v>0</v>
      </c>
      <c r="PO24" s="42">
        <v>0</v>
      </c>
      <c r="PP24" s="42">
        <v>0</v>
      </c>
      <c r="PQ24" s="42">
        <v>0</v>
      </c>
      <c r="PR24" s="42">
        <v>0</v>
      </c>
      <c r="PS24" s="42">
        <v>0</v>
      </c>
      <c r="PT24" s="42">
        <v>0.17240491999999999</v>
      </c>
      <c r="PU24" s="42">
        <v>0</v>
      </c>
      <c r="PV24" s="42">
        <v>0</v>
      </c>
      <c r="PW24" s="42">
        <v>1.5871855500000001</v>
      </c>
      <c r="PX24" s="42">
        <v>0</v>
      </c>
      <c r="PY24" s="42">
        <v>0</v>
      </c>
      <c r="PZ24" s="42">
        <v>2.1864000000000001E-4</v>
      </c>
      <c r="QA24" s="42">
        <v>2.2291506499999998</v>
      </c>
      <c r="QB24" s="42">
        <v>0</v>
      </c>
      <c r="QC24" s="42">
        <v>0</v>
      </c>
      <c r="QD24" s="42">
        <v>0</v>
      </c>
      <c r="QE24" s="42">
        <v>0</v>
      </c>
      <c r="QF24" s="42">
        <v>0</v>
      </c>
      <c r="QG24" s="42">
        <v>2.2569487800000001</v>
      </c>
      <c r="QH24" s="42">
        <v>0</v>
      </c>
      <c r="QI24" s="42">
        <v>0</v>
      </c>
      <c r="QJ24" s="42">
        <v>0</v>
      </c>
      <c r="QK24" s="42">
        <v>0</v>
      </c>
    </row>
    <row r="25" spans="1:453" x14ac:dyDescent="0.35">
      <c r="A25" s="41" t="s">
        <v>604</v>
      </c>
      <c r="B25" s="41" t="s">
        <v>605</v>
      </c>
      <c r="C25" s="41" t="s">
        <v>606</v>
      </c>
      <c r="D25" s="41" t="s">
        <v>536</v>
      </c>
      <c r="E25" s="41" t="s">
        <v>606</v>
      </c>
      <c r="F25" s="41" t="s">
        <v>1238</v>
      </c>
      <c r="G25" s="41" t="s">
        <v>607</v>
      </c>
      <c r="H25" s="42">
        <v>178.67850795999999</v>
      </c>
      <c r="I25" s="42">
        <v>99.72390111</v>
      </c>
      <c r="J25" s="42">
        <v>177.72545708000001</v>
      </c>
      <c r="K25" s="42">
        <v>99.72390111</v>
      </c>
      <c r="L25" s="42">
        <v>281.29321263000003</v>
      </c>
      <c r="M25" s="42">
        <v>99.72390111</v>
      </c>
      <c r="N25" s="42">
        <v>103.56775553999999</v>
      </c>
      <c r="O25" s="42">
        <v>99.72390111</v>
      </c>
      <c r="P25" s="42">
        <v>72.112211560000006</v>
      </c>
      <c r="Q25" s="42">
        <v>13.545247460000001</v>
      </c>
      <c r="R25" s="42">
        <v>9.6415368099999998</v>
      </c>
      <c r="S25" s="42">
        <v>0.71180219</v>
      </c>
      <c r="T25" s="42">
        <v>71.368714530000005</v>
      </c>
      <c r="U25" s="42">
        <v>3.73555386</v>
      </c>
      <c r="V25" s="42">
        <v>37.921748350000001</v>
      </c>
      <c r="W25" s="42">
        <v>953.20203471000002</v>
      </c>
      <c r="X25" s="42">
        <v>99.72390111</v>
      </c>
      <c r="Y25" s="42">
        <v>711.47205961999998</v>
      </c>
      <c r="Z25" s="42">
        <v>99.72390111</v>
      </c>
      <c r="AA25" s="42">
        <v>1108.0246167299999</v>
      </c>
      <c r="AB25" s="42">
        <v>99.72390111</v>
      </c>
      <c r="AC25" s="42">
        <v>396.55336575000001</v>
      </c>
      <c r="AD25" s="42">
        <v>99.72390111</v>
      </c>
      <c r="AE25" s="42">
        <v>202.59174264999999</v>
      </c>
      <c r="AF25" s="42">
        <v>1.8653329999999999E-2</v>
      </c>
      <c r="AG25" s="42">
        <v>3223.5485786099998</v>
      </c>
      <c r="AH25" s="42">
        <v>8043.9540416199998</v>
      </c>
      <c r="AI25" s="42">
        <v>2851.0935610400002</v>
      </c>
      <c r="AJ25" s="42">
        <v>7.2884708299999996</v>
      </c>
      <c r="AK25" s="42">
        <v>16.431734259999999</v>
      </c>
      <c r="AL25" s="41" t="s">
        <v>1149</v>
      </c>
      <c r="AM25" s="42">
        <v>99.72390111</v>
      </c>
      <c r="AN25" s="42">
        <v>29.06148379</v>
      </c>
      <c r="AO25" s="42">
        <v>46.942212230000003</v>
      </c>
      <c r="AP25" s="41">
        <v>2.7</v>
      </c>
      <c r="AQ25" s="42">
        <v>89.821040710000005</v>
      </c>
      <c r="AR25" s="42">
        <v>26.549993799999999</v>
      </c>
      <c r="AS25" s="42">
        <v>94.051623800000002</v>
      </c>
      <c r="AT25" s="42">
        <v>17.333184970000001</v>
      </c>
      <c r="AU25" s="42">
        <v>18.820824720000001</v>
      </c>
      <c r="AV25" s="42">
        <v>99.72390111</v>
      </c>
      <c r="AW25" s="42">
        <v>1.0279958899999999</v>
      </c>
      <c r="AX25" s="42">
        <v>42.132131469999997</v>
      </c>
      <c r="AY25" s="42">
        <v>0</v>
      </c>
      <c r="AZ25" s="42">
        <v>0</v>
      </c>
      <c r="BA25" s="42">
        <v>29.131383490000001</v>
      </c>
      <c r="BB25" s="42">
        <v>57.413470340000003</v>
      </c>
      <c r="BC25" s="42">
        <v>1.8256927000000001</v>
      </c>
      <c r="BD25" s="42">
        <v>0</v>
      </c>
      <c r="BE25" s="42">
        <v>0</v>
      </c>
      <c r="BF25" s="42">
        <v>6.9931720300000002</v>
      </c>
      <c r="BG25" s="42">
        <v>5.1400000000000003E-4</v>
      </c>
      <c r="BH25" s="42">
        <v>4.1845445899999998</v>
      </c>
      <c r="BI25" s="42">
        <v>0</v>
      </c>
      <c r="BJ25" s="42">
        <v>0</v>
      </c>
      <c r="BK25" s="42">
        <v>1.7862136900000001</v>
      </c>
      <c r="BL25" s="42">
        <v>7.5785240600000003</v>
      </c>
      <c r="BM25" s="42">
        <v>2.3891510000000001E-2</v>
      </c>
      <c r="BN25" s="42">
        <v>0</v>
      </c>
      <c r="BO25" s="42">
        <v>0</v>
      </c>
      <c r="BP25" s="42">
        <v>0.66291816000000003</v>
      </c>
      <c r="BQ25" s="42">
        <v>0</v>
      </c>
      <c r="BR25" s="42">
        <v>0</v>
      </c>
      <c r="BS25" s="42">
        <v>5.1400000000000003E-4</v>
      </c>
      <c r="BT25" s="42">
        <v>0.15864089000000001</v>
      </c>
      <c r="BU25" s="42">
        <v>7.5790380600000002</v>
      </c>
      <c r="BV25" s="42">
        <v>0.76231521000000002</v>
      </c>
      <c r="BW25" s="42">
        <v>0</v>
      </c>
      <c r="BX25" s="42">
        <v>0</v>
      </c>
      <c r="BY25" s="42">
        <v>1.0279958899999999</v>
      </c>
      <c r="BZ25" s="42">
        <v>0.21489913999999999</v>
      </c>
      <c r="CA25" s="42">
        <v>57.413470340000003</v>
      </c>
      <c r="CB25" s="42">
        <v>16.270534900000001</v>
      </c>
      <c r="CC25" s="42">
        <v>0.78310648000000005</v>
      </c>
      <c r="CD25" s="42">
        <v>0.15864089000000001</v>
      </c>
      <c r="CE25" s="42">
        <v>0.77679971999999997</v>
      </c>
      <c r="CF25" s="42"/>
      <c r="CG25" s="42">
        <v>73.756004970000006</v>
      </c>
      <c r="CH25" s="42">
        <v>23.248907030000002</v>
      </c>
      <c r="CI25" s="42">
        <v>5.49517802</v>
      </c>
      <c r="CJ25" s="42">
        <v>52.67018934</v>
      </c>
      <c r="CK25" s="42">
        <v>20.126119509999999</v>
      </c>
      <c r="CL25" s="42">
        <v>7.3860704500000001</v>
      </c>
      <c r="CM25" s="42">
        <v>0.34659860999999997</v>
      </c>
      <c r="CN25" s="42">
        <v>2.7446890100000001</v>
      </c>
      <c r="CO25" s="42">
        <v>30.964876149999998</v>
      </c>
      <c r="CP25" s="42">
        <v>1.8880924400000001</v>
      </c>
      <c r="CQ25" s="42">
        <v>0</v>
      </c>
      <c r="CR25" s="42">
        <v>0.45029819999999998</v>
      </c>
      <c r="CS25" s="42">
        <v>7.3615705699999996</v>
      </c>
      <c r="CT25" s="42">
        <v>91.936032240000003</v>
      </c>
      <c r="CU25" s="42">
        <v>1.3060947700000001</v>
      </c>
      <c r="CV25" s="42">
        <v>0.98849604000000002</v>
      </c>
      <c r="CW25" s="42">
        <v>0</v>
      </c>
      <c r="CX25" s="42">
        <v>94.883220469999998</v>
      </c>
      <c r="CY25" s="42">
        <v>16.519833899999998</v>
      </c>
      <c r="CZ25" s="42">
        <v>1.6801932799999999</v>
      </c>
      <c r="DA25" s="42">
        <v>73.297306820000003</v>
      </c>
      <c r="DB25" s="42">
        <v>54.01688394</v>
      </c>
      <c r="DC25" s="42">
        <v>1.1342954599999999</v>
      </c>
      <c r="DD25" s="42">
        <v>44.596721610000003</v>
      </c>
      <c r="DE25" s="42">
        <v>79.669281330000004</v>
      </c>
      <c r="DF25" s="42">
        <v>99.747901010000007</v>
      </c>
      <c r="DG25" s="42">
        <v>5.0179907699999999</v>
      </c>
      <c r="DH25" s="42">
        <v>99.485902060000001</v>
      </c>
      <c r="DI25" s="42">
        <v>99.448902200000006</v>
      </c>
      <c r="DJ25" s="42">
        <v>0.45029819999999998</v>
      </c>
      <c r="DK25" s="42">
        <v>57.37097052</v>
      </c>
      <c r="DL25" s="42">
        <v>7.44577022</v>
      </c>
      <c r="DM25" s="42">
        <v>23.444406239999999</v>
      </c>
      <c r="DN25" s="42">
        <v>42.205931190000001</v>
      </c>
      <c r="DO25" s="42">
        <v>18.68592525</v>
      </c>
      <c r="DP25" s="42">
        <v>7.7174691099999997</v>
      </c>
      <c r="DQ25" s="42">
        <v>4.8785564299999997</v>
      </c>
      <c r="DR25" s="42">
        <v>99.49950201</v>
      </c>
      <c r="DS25" s="42">
        <v>33.363266520000003</v>
      </c>
      <c r="DT25" s="42">
        <v>14.4502422</v>
      </c>
      <c r="DU25" s="42">
        <v>5.7499769999999999E-2</v>
      </c>
      <c r="DV25" s="42">
        <v>2.9479882000000002</v>
      </c>
      <c r="DW25" s="42">
        <v>4.8589805699999999</v>
      </c>
      <c r="DX25" s="42">
        <v>29.268882919999999</v>
      </c>
      <c r="DY25" s="42">
        <v>8.4796660599999996</v>
      </c>
      <c r="DZ25" s="42">
        <v>3.1046875799999998</v>
      </c>
      <c r="EA25" s="42">
        <v>88.94614421</v>
      </c>
      <c r="EB25" s="42">
        <v>0.33409865999999999</v>
      </c>
      <c r="EC25" s="42">
        <v>8.3529085900000002</v>
      </c>
      <c r="ED25" s="42">
        <v>1.85</v>
      </c>
      <c r="EE25" s="42">
        <v>0.26569893999999999</v>
      </c>
      <c r="EF25" s="42">
        <v>14.592841630000001</v>
      </c>
      <c r="EG25" s="42">
        <v>84.961460160000001</v>
      </c>
      <c r="EH25" s="42">
        <v>3.8574379200000002</v>
      </c>
      <c r="EI25" s="42">
        <v>61.122855520000002</v>
      </c>
      <c r="EJ25" s="42">
        <v>18.517525899999999</v>
      </c>
      <c r="EK25" s="42">
        <v>29.911780360000002</v>
      </c>
      <c r="EL25" s="42">
        <v>51.279194910000001</v>
      </c>
      <c r="EM25" s="42">
        <v>25.324998669999999</v>
      </c>
      <c r="EN25" s="42">
        <v>4.8680805400000002</v>
      </c>
      <c r="EO25" s="42">
        <v>209506.11886411</v>
      </c>
      <c r="EP25" s="42">
        <v>54.028683890000003</v>
      </c>
      <c r="EQ25" s="42">
        <v>230278.4393619</v>
      </c>
      <c r="ER25" s="42">
        <v>76.675493320000001</v>
      </c>
      <c r="ES25" s="42">
        <v>38.334746699999997</v>
      </c>
      <c r="ET25" s="42">
        <v>19.738421020000001</v>
      </c>
      <c r="EU25" s="42">
        <v>18.393526430000001</v>
      </c>
      <c r="EV25" s="42">
        <v>46.785712889999999</v>
      </c>
      <c r="EW25" s="42">
        <v>2.50978996</v>
      </c>
      <c r="EX25" s="42">
        <v>16.636533450000002</v>
      </c>
      <c r="EY25" s="42">
        <v>0</v>
      </c>
      <c r="EZ25" s="42">
        <v>17.803028789999999</v>
      </c>
      <c r="FA25" s="42">
        <v>79.739881030000006</v>
      </c>
      <c r="FB25" s="42">
        <v>84.171563329999998</v>
      </c>
      <c r="FC25" s="42">
        <v>16.299534810000001</v>
      </c>
      <c r="FD25" s="42">
        <v>89.264442939999995</v>
      </c>
      <c r="FE25" s="41" t="s">
        <v>1150</v>
      </c>
      <c r="FF25" s="42">
        <v>0</v>
      </c>
      <c r="FG25" s="42">
        <v>0</v>
      </c>
      <c r="FH25" s="42">
        <v>0</v>
      </c>
      <c r="FI25" s="42">
        <v>0</v>
      </c>
      <c r="FJ25" s="42">
        <v>99.645901420000001</v>
      </c>
      <c r="FK25" s="42">
        <v>0</v>
      </c>
      <c r="FL25" s="42">
        <v>0</v>
      </c>
      <c r="FM25" s="41" t="s">
        <v>1151</v>
      </c>
      <c r="FN25" s="42">
        <v>0.21489913999999999</v>
      </c>
      <c r="FO25" s="42">
        <v>0.21489913999999999</v>
      </c>
      <c r="FP25" s="42">
        <v>0</v>
      </c>
      <c r="FQ25" s="42">
        <v>0</v>
      </c>
      <c r="FR25" s="42">
        <v>99.431002280000001</v>
      </c>
      <c r="FS25" s="42">
        <v>0</v>
      </c>
      <c r="FT25" s="42">
        <v>0</v>
      </c>
      <c r="FU25" s="41" t="s">
        <v>1150</v>
      </c>
      <c r="FV25" s="42">
        <v>0.85859655999999995</v>
      </c>
      <c r="FW25" s="42">
        <v>0.85859655999999995</v>
      </c>
      <c r="FX25" s="42">
        <v>3.21858713</v>
      </c>
      <c r="FY25" s="42">
        <v>3.21858713</v>
      </c>
      <c r="FZ25" s="42">
        <v>95.568717730000003</v>
      </c>
      <c r="GA25" s="42">
        <v>0</v>
      </c>
      <c r="GB25" s="42">
        <v>0</v>
      </c>
      <c r="GC25" s="41" t="s">
        <v>1150</v>
      </c>
      <c r="GD25" s="42">
        <v>0</v>
      </c>
      <c r="GE25" s="42">
        <v>0</v>
      </c>
      <c r="GF25" s="42">
        <v>0</v>
      </c>
      <c r="GG25" s="42">
        <v>0</v>
      </c>
      <c r="GH25" s="42">
        <v>99.645901420000001</v>
      </c>
      <c r="GI25" s="42">
        <v>0</v>
      </c>
      <c r="GJ25" s="42">
        <v>0</v>
      </c>
      <c r="GK25" s="41" t="s">
        <v>1151</v>
      </c>
      <c r="GL25" s="42">
        <v>36.09995559</v>
      </c>
      <c r="GM25" s="42">
        <v>36.09995559</v>
      </c>
      <c r="GN25" s="42">
        <v>0</v>
      </c>
      <c r="GO25" s="42">
        <v>0</v>
      </c>
      <c r="GP25" s="42">
        <v>63.545945830000001</v>
      </c>
      <c r="GQ25" s="42">
        <v>0</v>
      </c>
      <c r="GR25" s="42">
        <v>0</v>
      </c>
      <c r="GS25" s="41" t="s">
        <v>1151</v>
      </c>
      <c r="GT25" s="42">
        <v>7.53546987</v>
      </c>
      <c r="GU25" s="42">
        <v>7.6569693799999996</v>
      </c>
      <c r="GV25" s="42">
        <v>0.77459690000000003</v>
      </c>
      <c r="GW25" s="42">
        <v>0.77459690000000003</v>
      </c>
      <c r="GX25" s="42">
        <v>91.214335140000003</v>
      </c>
      <c r="GY25" s="42">
        <v>0.12149951000000001</v>
      </c>
      <c r="GZ25" s="42">
        <v>0</v>
      </c>
      <c r="HA25" s="41" t="s">
        <v>1150</v>
      </c>
      <c r="HB25" s="42">
        <v>12.53094984</v>
      </c>
      <c r="HC25" s="42">
        <v>12.53094984</v>
      </c>
      <c r="HD25" s="42">
        <v>25.894196440000002</v>
      </c>
      <c r="HE25" s="42">
        <v>4.1131835499999996</v>
      </c>
      <c r="HF25" s="42">
        <v>61.220755140000001</v>
      </c>
      <c r="HG25" s="42">
        <v>0</v>
      </c>
      <c r="HH25" s="42">
        <v>21.78101289</v>
      </c>
      <c r="HI25" s="41" t="s">
        <v>1151</v>
      </c>
      <c r="HJ25" s="42">
        <v>9.7020611999999993</v>
      </c>
      <c r="HK25" s="42">
        <v>9.7020611999999993</v>
      </c>
      <c r="HL25" s="42">
        <v>0.99709601000000003</v>
      </c>
      <c r="HM25" s="42">
        <v>0.99709601000000003</v>
      </c>
      <c r="HN25" s="42">
        <v>88.946744210000006</v>
      </c>
      <c r="HO25" s="42">
        <v>0</v>
      </c>
      <c r="HP25" s="42">
        <v>0</v>
      </c>
      <c r="HQ25" s="41" t="s">
        <v>1151</v>
      </c>
      <c r="HR25" s="42">
        <v>51.81629272</v>
      </c>
      <c r="HS25" s="42">
        <v>57.786068839999999</v>
      </c>
      <c r="HT25" s="42">
        <v>1.79279283</v>
      </c>
      <c r="HU25" s="42">
        <v>1.79279283</v>
      </c>
      <c r="HV25" s="42">
        <v>40.067039749999999</v>
      </c>
      <c r="HW25" s="42">
        <v>5.9697761199999997</v>
      </c>
      <c r="HX25" s="42">
        <v>0</v>
      </c>
      <c r="HY25" s="41" t="s">
        <v>1151</v>
      </c>
      <c r="HZ25" s="42">
        <v>23.060907749999998</v>
      </c>
      <c r="IA25" s="42">
        <v>23.060907749999998</v>
      </c>
      <c r="IB25" s="42">
        <v>0</v>
      </c>
      <c r="IC25" s="42">
        <v>0</v>
      </c>
      <c r="ID25" s="42">
        <v>76.584993670000003</v>
      </c>
      <c r="IE25" s="42">
        <v>0</v>
      </c>
      <c r="IF25" s="42">
        <v>0</v>
      </c>
      <c r="IG25" s="41" t="s">
        <v>1151</v>
      </c>
      <c r="IH25" s="42">
        <v>7.84476862</v>
      </c>
      <c r="II25" s="42">
        <v>7.84476862</v>
      </c>
      <c r="IJ25" s="42">
        <v>4.1452834200000002</v>
      </c>
      <c r="IK25" s="42">
        <v>4.1452834200000002</v>
      </c>
      <c r="IL25" s="42">
        <v>87.655849380000006</v>
      </c>
      <c r="IM25" s="42">
        <v>0</v>
      </c>
      <c r="IN25" s="42">
        <v>0</v>
      </c>
      <c r="IO25" s="41" t="s">
        <v>1150</v>
      </c>
      <c r="IP25" s="42">
        <v>18.745425000000001</v>
      </c>
      <c r="IQ25" s="42">
        <v>19.500821980000001</v>
      </c>
      <c r="IR25" s="42">
        <v>24.299902809999999</v>
      </c>
      <c r="IS25" s="42">
        <v>2.5188899199999999</v>
      </c>
      <c r="IT25" s="42">
        <v>55.845176629999997</v>
      </c>
      <c r="IU25" s="42">
        <v>0.75539698</v>
      </c>
      <c r="IV25" s="42">
        <v>21.78101289</v>
      </c>
      <c r="IW25" s="41" t="s">
        <v>1150</v>
      </c>
      <c r="IX25" s="42">
        <v>13.590845610000001</v>
      </c>
      <c r="IY25" s="42">
        <v>13.590845610000001</v>
      </c>
      <c r="IZ25" s="42">
        <v>25.28089889</v>
      </c>
      <c r="JA25" s="42">
        <v>3.4998860000000001</v>
      </c>
      <c r="JB25" s="42">
        <v>60.774156920000003</v>
      </c>
      <c r="JC25" s="42">
        <v>0</v>
      </c>
      <c r="JD25" s="42">
        <v>21.78101289</v>
      </c>
      <c r="JE25" s="41" t="s">
        <v>1150</v>
      </c>
      <c r="JF25" s="42">
        <v>0.12219951</v>
      </c>
      <c r="JG25" s="42">
        <v>0.12219951</v>
      </c>
      <c r="JH25" s="42">
        <v>4.7208811099999997</v>
      </c>
      <c r="JI25" s="42">
        <v>3.9014843899999998</v>
      </c>
      <c r="JJ25" s="42">
        <v>94.802820800000006</v>
      </c>
      <c r="JK25" s="42">
        <v>0</v>
      </c>
      <c r="JL25" s="42">
        <v>0.81939671999999997</v>
      </c>
      <c r="JM25" s="41" t="s">
        <v>1150</v>
      </c>
      <c r="JN25" s="42">
        <v>0</v>
      </c>
      <c r="JO25" s="42">
        <v>0</v>
      </c>
      <c r="JP25" s="42">
        <v>4.9828800700000002</v>
      </c>
      <c r="JQ25" s="42">
        <v>4.9828800700000002</v>
      </c>
      <c r="JR25" s="42">
        <v>94.663021349999994</v>
      </c>
      <c r="JS25" s="42">
        <v>0</v>
      </c>
      <c r="JT25" s="42">
        <v>0</v>
      </c>
      <c r="JU25" s="41" t="s">
        <v>1151</v>
      </c>
      <c r="JV25" s="42">
        <v>4.4388822399999999</v>
      </c>
      <c r="JW25" s="42">
        <v>4.4388822399999999</v>
      </c>
      <c r="JX25" s="42">
        <v>7.8799679999999997E-2</v>
      </c>
      <c r="JY25" s="42">
        <v>7.8799679999999997E-2</v>
      </c>
      <c r="JZ25" s="42">
        <v>95.1282195</v>
      </c>
      <c r="KA25" s="42">
        <v>0</v>
      </c>
      <c r="KB25" s="42">
        <v>0</v>
      </c>
      <c r="KC25" s="41" t="s">
        <v>1151</v>
      </c>
      <c r="KD25" s="42">
        <v>6.8268726900000001</v>
      </c>
      <c r="KE25" s="42">
        <v>6.8268726900000001</v>
      </c>
      <c r="KF25" s="42">
        <v>0</v>
      </c>
      <c r="KG25" s="42">
        <v>0</v>
      </c>
      <c r="KH25" s="42">
        <v>92.819028729999999</v>
      </c>
      <c r="KI25" s="42">
        <v>0</v>
      </c>
      <c r="KJ25" s="42">
        <v>0</v>
      </c>
      <c r="KK25" s="42">
        <v>99.645901420000001</v>
      </c>
      <c r="KL25" s="42">
        <v>0.57978821000000003</v>
      </c>
      <c r="KM25" s="42">
        <v>7.9938680499999997</v>
      </c>
      <c r="KN25" s="42">
        <v>6.8100727699999997</v>
      </c>
      <c r="KO25" s="41" t="s">
        <v>1152</v>
      </c>
      <c r="KP25" s="41" t="s">
        <v>1153</v>
      </c>
      <c r="KQ25" s="41" t="s">
        <v>1154</v>
      </c>
      <c r="KR25" s="42">
        <v>37.424303680000001</v>
      </c>
      <c r="KS25" s="42">
        <v>99.699883810000003</v>
      </c>
      <c r="KT25" s="42">
        <v>99.664554749999994</v>
      </c>
      <c r="KU25" s="42">
        <v>4.8992251757674419</v>
      </c>
      <c r="KV25" s="42">
        <v>5.88493261344186</v>
      </c>
      <c r="KW25" s="42">
        <v>1.28009488</v>
      </c>
      <c r="KX25" s="42">
        <v>60.960156189999999</v>
      </c>
      <c r="KY25" s="41"/>
      <c r="KZ25" s="42">
        <v>7.2529119199999998</v>
      </c>
      <c r="LA25" s="42">
        <v>78.882996446023995</v>
      </c>
      <c r="LB25" s="42">
        <v>6.0332308659069769</v>
      </c>
      <c r="LC25" s="42">
        <v>91.627906976744185</v>
      </c>
      <c r="LD25" s="41" t="s">
        <v>1163</v>
      </c>
      <c r="LE25" s="42">
        <v>26.141548820000001</v>
      </c>
      <c r="LF25" s="42">
        <v>51.629793499999998</v>
      </c>
      <c r="LG25" s="42">
        <v>9.3303626899999994</v>
      </c>
      <c r="LH25" s="42">
        <v>1.21669512</v>
      </c>
      <c r="LI25" s="42">
        <v>2.1397914400000002</v>
      </c>
      <c r="LJ25" s="42">
        <v>9.1429634199999992</v>
      </c>
      <c r="LK25" s="42">
        <v>6.3399759999999999E-2</v>
      </c>
      <c r="LL25" s="42">
        <v>0.33544524999999997</v>
      </c>
      <c r="LM25" s="42">
        <v>4.8044443452093022</v>
      </c>
      <c r="LN25" s="42">
        <v>0.33544524999999997</v>
      </c>
      <c r="LO25" s="42">
        <v>16.084035700000001</v>
      </c>
      <c r="LP25" s="42">
        <v>76.770446280000002</v>
      </c>
      <c r="LQ25" s="42">
        <v>6.0788297599999996</v>
      </c>
      <c r="LR25" s="42">
        <v>35.261813310000001</v>
      </c>
      <c r="LS25" s="41" t="s">
        <v>1155</v>
      </c>
      <c r="LT25" s="42">
        <v>6.8081400099999998</v>
      </c>
      <c r="LU25" s="42">
        <v>38.826543389999998</v>
      </c>
      <c r="LV25" s="43">
        <v>164</v>
      </c>
      <c r="LW25" s="43">
        <v>1</v>
      </c>
      <c r="LX25" s="43">
        <v>162</v>
      </c>
      <c r="LY25" s="41" t="s">
        <v>480</v>
      </c>
      <c r="LZ25" s="41" t="s">
        <v>1239</v>
      </c>
      <c r="MA25" s="44">
        <v>46203</v>
      </c>
      <c r="MB25" s="41" t="s">
        <v>1198</v>
      </c>
      <c r="MC25" s="43">
        <v>215</v>
      </c>
      <c r="MD25" s="41" t="s">
        <v>1158</v>
      </c>
      <c r="ME25" s="41" t="s">
        <v>605</v>
      </c>
      <c r="MF25" s="42">
        <v>5.5065298</v>
      </c>
      <c r="MG25" s="42">
        <v>25.576198049999999</v>
      </c>
      <c r="MH25" s="42">
        <v>4618109197</v>
      </c>
      <c r="MI25" s="42">
        <v>7.2529119199999998</v>
      </c>
      <c r="MJ25" s="42">
        <v>78.882996446023995</v>
      </c>
      <c r="MK25" s="42">
        <v>91.627906976744185</v>
      </c>
      <c r="ML25" s="42">
        <v>6.2160835600000004</v>
      </c>
      <c r="MM25" s="41" t="s">
        <v>480</v>
      </c>
      <c r="MN25" s="42">
        <v>0</v>
      </c>
      <c r="MO25" s="42">
        <v>0</v>
      </c>
      <c r="MP25" s="42">
        <v>0</v>
      </c>
      <c r="MQ25" s="42">
        <v>0</v>
      </c>
      <c r="MR25" s="42">
        <v>0</v>
      </c>
      <c r="MS25" s="42">
        <v>0</v>
      </c>
      <c r="MT25" s="42">
        <v>0</v>
      </c>
      <c r="MU25" s="42">
        <v>0</v>
      </c>
      <c r="MV25" s="42">
        <v>0.26639892999999998</v>
      </c>
      <c r="MW25" s="42">
        <v>0.26639892999999998</v>
      </c>
      <c r="MX25" s="42">
        <v>0.26639892999999998</v>
      </c>
      <c r="MY25" s="42">
        <v>0</v>
      </c>
      <c r="MZ25" s="42">
        <v>0</v>
      </c>
      <c r="NA25" s="42">
        <v>0</v>
      </c>
      <c r="NB25" s="42">
        <v>0</v>
      </c>
      <c r="NC25" s="42">
        <v>0.33169866999999997</v>
      </c>
      <c r="ND25" s="42">
        <v>0</v>
      </c>
      <c r="NE25" s="42">
        <v>7.8799679999999997E-2</v>
      </c>
      <c r="NF25" s="42">
        <v>7.8799679999999997E-2</v>
      </c>
      <c r="NG25" s="42">
        <v>7.8799679999999997E-2</v>
      </c>
      <c r="NH25" s="42">
        <v>7.8799679999999997E-2</v>
      </c>
      <c r="NI25" s="42">
        <v>7.8799679999999997E-2</v>
      </c>
      <c r="NJ25" s="42">
        <v>7.8799679999999997E-2</v>
      </c>
      <c r="NK25" s="42">
        <v>0</v>
      </c>
      <c r="NL25" s="42">
        <v>7.8799679999999997E-2</v>
      </c>
      <c r="NM25" s="42">
        <v>0</v>
      </c>
      <c r="NN25" s="42">
        <v>0</v>
      </c>
      <c r="NO25" s="42">
        <v>0</v>
      </c>
      <c r="NP25" s="42">
        <v>0</v>
      </c>
      <c r="NQ25" s="42">
        <v>0</v>
      </c>
      <c r="NR25" s="42">
        <v>5.75317699</v>
      </c>
      <c r="NS25" s="42">
        <v>4.9800800799999996</v>
      </c>
      <c r="NT25" s="42">
        <v>0</v>
      </c>
      <c r="NU25" s="42">
        <v>0.33329867000000002</v>
      </c>
      <c r="NV25" s="42">
        <v>0</v>
      </c>
      <c r="NW25" s="42">
        <v>0</v>
      </c>
      <c r="NX25" s="42">
        <v>18.043127859999998</v>
      </c>
      <c r="NY25" s="42">
        <v>0</v>
      </c>
      <c r="NZ25" s="42">
        <v>0</v>
      </c>
      <c r="OA25" s="42">
        <v>0</v>
      </c>
      <c r="OB25" s="42">
        <v>0</v>
      </c>
      <c r="OC25" s="42">
        <v>0</v>
      </c>
      <c r="OD25" s="42">
        <v>0</v>
      </c>
      <c r="OE25" s="42">
        <v>0</v>
      </c>
      <c r="OF25" s="42">
        <v>0</v>
      </c>
      <c r="OG25" s="42">
        <v>0</v>
      </c>
      <c r="OH25" s="42">
        <v>3.9857840599999999</v>
      </c>
      <c r="OI25" s="42">
        <v>0</v>
      </c>
      <c r="OJ25" s="42">
        <v>17.92482833</v>
      </c>
      <c r="OK25" s="42">
        <v>0</v>
      </c>
      <c r="OL25" s="42">
        <v>3.9857840599999999</v>
      </c>
      <c r="OM25" s="42">
        <v>71.647513419999996</v>
      </c>
      <c r="ON25" s="42">
        <v>0</v>
      </c>
      <c r="OO25" s="42">
        <v>0</v>
      </c>
      <c r="OP25" s="42">
        <v>0</v>
      </c>
      <c r="OQ25" s="42">
        <v>0</v>
      </c>
      <c r="OR25" s="42">
        <v>0</v>
      </c>
      <c r="OS25" s="42">
        <v>2.6019896</v>
      </c>
      <c r="OT25" s="42">
        <v>33.617165550000003</v>
      </c>
      <c r="OU25" s="42">
        <v>27.700489210000001</v>
      </c>
      <c r="OV25" s="42">
        <v>27.081191690000001</v>
      </c>
      <c r="OW25" s="42">
        <v>27.206491190000001</v>
      </c>
      <c r="OX25" s="42">
        <v>0.25289898999999999</v>
      </c>
      <c r="OY25" s="42">
        <v>0.25289898999999999</v>
      </c>
      <c r="OZ25" s="42">
        <v>0.25289898999999999</v>
      </c>
      <c r="PA25" s="42">
        <v>0.25289898999999999</v>
      </c>
      <c r="PB25" s="42">
        <v>0</v>
      </c>
      <c r="PC25" s="42">
        <v>0</v>
      </c>
      <c r="PD25" s="42">
        <v>0</v>
      </c>
      <c r="PE25" s="42">
        <v>12.11605155</v>
      </c>
      <c r="PF25" s="42">
        <v>0</v>
      </c>
      <c r="PG25" s="42">
        <v>0</v>
      </c>
      <c r="PH25" s="42">
        <v>0</v>
      </c>
      <c r="PI25" s="42">
        <v>0</v>
      </c>
      <c r="PJ25" s="42">
        <v>0</v>
      </c>
      <c r="PK25" s="42">
        <v>0</v>
      </c>
      <c r="PL25" s="42">
        <v>0</v>
      </c>
      <c r="PM25" s="42">
        <v>4.0142839500000003</v>
      </c>
      <c r="PN25" s="42">
        <v>2.849989E-2</v>
      </c>
      <c r="PO25" s="42">
        <v>0</v>
      </c>
      <c r="PP25" s="42">
        <v>0</v>
      </c>
      <c r="PQ25" s="42">
        <v>3.9857840599999999</v>
      </c>
      <c r="PR25" s="42">
        <v>0</v>
      </c>
      <c r="PS25" s="42">
        <v>0</v>
      </c>
      <c r="PT25" s="42">
        <v>0</v>
      </c>
      <c r="PU25" s="42">
        <v>0.17874084000000001</v>
      </c>
      <c r="PV25" s="42">
        <v>8.6522000000000005E-3</v>
      </c>
      <c r="PW25" s="42">
        <v>0</v>
      </c>
      <c r="PX25" s="42">
        <v>0</v>
      </c>
      <c r="PY25" s="42">
        <v>6.0899500800000004</v>
      </c>
      <c r="PZ25" s="42">
        <v>2.3975900000000001E-2</v>
      </c>
      <c r="QA25" s="42">
        <v>32.43947026</v>
      </c>
      <c r="QB25" s="42">
        <v>0</v>
      </c>
      <c r="QC25" s="42">
        <v>0</v>
      </c>
      <c r="QD25" s="42">
        <v>0</v>
      </c>
      <c r="QE25" s="42">
        <v>0</v>
      </c>
      <c r="QF25" s="42">
        <v>7.9588681799999996</v>
      </c>
      <c r="QG25" s="42">
        <v>0.26639892999999998</v>
      </c>
      <c r="QH25" s="42">
        <v>0.26639892999999998</v>
      </c>
      <c r="QI25" s="42">
        <v>0</v>
      </c>
      <c r="QJ25" s="42">
        <v>0</v>
      </c>
      <c r="QK25" s="42">
        <v>5.75317699</v>
      </c>
    </row>
    <row r="26" spans="1:453" x14ac:dyDescent="0.35">
      <c r="A26" s="41" t="s">
        <v>662</v>
      </c>
      <c r="B26" s="41" t="s">
        <v>661</v>
      </c>
      <c r="C26" s="41" t="s">
        <v>650</v>
      </c>
      <c r="D26" s="41" t="s">
        <v>536</v>
      </c>
      <c r="E26" s="41" t="s">
        <v>650</v>
      </c>
      <c r="F26" s="41" t="s">
        <v>1240</v>
      </c>
      <c r="G26" s="41" t="s">
        <v>652</v>
      </c>
      <c r="H26" s="42">
        <v>98.072106099999999</v>
      </c>
      <c r="I26" s="42">
        <v>66.267721870000003</v>
      </c>
      <c r="J26" s="42">
        <v>468.59761234000001</v>
      </c>
      <c r="K26" s="42">
        <v>66.608868220000005</v>
      </c>
      <c r="L26" s="42">
        <v>735.80363082999997</v>
      </c>
      <c r="M26" s="42">
        <v>66.608868220000005</v>
      </c>
      <c r="N26" s="42">
        <v>267.20601849000002</v>
      </c>
      <c r="O26" s="42">
        <v>66.608868220000005</v>
      </c>
      <c r="P26" s="42">
        <v>9.6764598500000005</v>
      </c>
      <c r="Q26" s="42">
        <v>0.80131061999999997</v>
      </c>
      <c r="R26" s="42">
        <v>4.8740922500000003</v>
      </c>
      <c r="S26" s="42">
        <v>6.0826502600000003</v>
      </c>
      <c r="T26" s="42">
        <v>9.5376258600000003</v>
      </c>
      <c r="U26" s="42">
        <v>2.0110969999999999E-2</v>
      </c>
      <c r="V26" s="42">
        <v>1.36817856</v>
      </c>
      <c r="W26" s="42">
        <v>139.19407593</v>
      </c>
      <c r="X26" s="42">
        <v>67.063878180000003</v>
      </c>
      <c r="Y26" s="42">
        <v>382.57806653</v>
      </c>
      <c r="Z26" s="42">
        <v>71.297167189999996</v>
      </c>
      <c r="AA26" s="42">
        <v>718.70949070999995</v>
      </c>
      <c r="AB26" s="42">
        <v>71.297167189999996</v>
      </c>
      <c r="AC26" s="42">
        <v>336.13169126999998</v>
      </c>
      <c r="AD26" s="42">
        <v>71.297167189999996</v>
      </c>
      <c r="AE26" s="42">
        <v>105.64020581</v>
      </c>
      <c r="AF26" s="42">
        <v>1.1658399999999999E-2</v>
      </c>
      <c r="AG26" s="42">
        <v>4584.2133770600003</v>
      </c>
      <c r="AH26" s="42">
        <v>11451.123438549999</v>
      </c>
      <c r="AI26" s="42">
        <v>5407.4373673700002</v>
      </c>
      <c r="AJ26" s="42">
        <v>9.38219432</v>
      </c>
      <c r="AK26" s="42">
        <v>24.45428437</v>
      </c>
      <c r="AL26" s="41" t="s">
        <v>1149</v>
      </c>
      <c r="AM26" s="42">
        <v>65.332713339999998</v>
      </c>
      <c r="AN26" s="42">
        <v>20.732318530000001</v>
      </c>
      <c r="AO26" s="42">
        <v>11.56007243</v>
      </c>
      <c r="AP26" s="41">
        <v>2.4</v>
      </c>
      <c r="AQ26" s="42">
        <v>31.861183759999999</v>
      </c>
      <c r="AR26" s="42">
        <v>27.222877520000001</v>
      </c>
      <c r="AS26" s="42">
        <v>59.406649430000002</v>
      </c>
      <c r="AT26" s="42">
        <v>7.2070138100000003</v>
      </c>
      <c r="AU26" s="42">
        <v>40.478598830000003</v>
      </c>
      <c r="AV26" s="42">
        <v>67.063878180000003</v>
      </c>
      <c r="AW26" s="42">
        <v>1.0727446300000001</v>
      </c>
      <c r="AX26" s="42">
        <v>7.2089875499999998</v>
      </c>
      <c r="AY26" s="42">
        <v>0.56292145000000005</v>
      </c>
      <c r="AZ26" s="42">
        <v>0.11258429</v>
      </c>
      <c r="BA26" s="42">
        <v>12.93571519</v>
      </c>
      <c r="BB26" s="42">
        <v>17.304145269999999</v>
      </c>
      <c r="BC26" s="42">
        <v>2.91401676</v>
      </c>
      <c r="BD26" s="42">
        <v>0.76373667999999995</v>
      </c>
      <c r="BE26" s="42">
        <v>0.13244623</v>
      </c>
      <c r="BF26" s="42">
        <v>5.5148335800000003</v>
      </c>
      <c r="BG26" s="42">
        <v>1.1288329999999999E-2</v>
      </c>
      <c r="BH26" s="42">
        <v>0.25862843000000002</v>
      </c>
      <c r="BI26" s="42">
        <v>3.208652E-2</v>
      </c>
      <c r="BJ26" s="42">
        <v>1.1260000000000001E-5</v>
      </c>
      <c r="BK26" s="42">
        <v>1.6753902300000001</v>
      </c>
      <c r="BL26" s="42">
        <v>3.0518816599999998</v>
      </c>
      <c r="BM26" s="42">
        <v>0.61298428000000005</v>
      </c>
      <c r="BN26" s="42">
        <v>0.33054746000000002</v>
      </c>
      <c r="BO26" s="42">
        <v>0.12310877000000001</v>
      </c>
      <c r="BP26" s="42">
        <v>0.44084266999999999</v>
      </c>
      <c r="BQ26" s="42">
        <v>6.8086729999999998E-2</v>
      </c>
      <c r="BR26" s="42">
        <v>9.2996400000000007E-2</v>
      </c>
      <c r="BS26" s="42">
        <v>0.65812546999999999</v>
      </c>
      <c r="BT26" s="42">
        <v>3.9780820000000001E-2</v>
      </c>
      <c r="BU26" s="42">
        <v>3.7100071300000002</v>
      </c>
      <c r="BV26" s="42">
        <v>2.4255240000000001E-2</v>
      </c>
      <c r="BW26" s="42">
        <v>1.2263281500000001</v>
      </c>
      <c r="BX26" s="42">
        <v>0.62031148000000003</v>
      </c>
      <c r="BY26" s="42">
        <v>4.0338489500000003</v>
      </c>
      <c r="BZ26" s="42">
        <v>0.16827758000000001</v>
      </c>
      <c r="CA26" s="42">
        <v>20.096972010000002</v>
      </c>
      <c r="CB26" s="42">
        <v>1.3081935</v>
      </c>
      <c r="CC26" s="42">
        <v>0.52650529000000001</v>
      </c>
      <c r="CD26" s="42">
        <v>0.10135213</v>
      </c>
      <c r="CE26" s="42">
        <v>0.31519627</v>
      </c>
      <c r="CF26" s="42"/>
      <c r="CG26" s="42">
        <v>32.018744099999999</v>
      </c>
      <c r="CH26" s="42">
        <v>3.7116905600000001</v>
      </c>
      <c r="CI26" s="42">
        <v>6.0885161700000001</v>
      </c>
      <c r="CJ26" s="42">
        <v>16.872914089999998</v>
      </c>
      <c r="CK26" s="42">
        <v>22.087305229999998</v>
      </c>
      <c r="CL26" s="42">
        <v>0.58378147000000002</v>
      </c>
      <c r="CM26" s="42">
        <v>6.8616274099999996</v>
      </c>
      <c r="CN26" s="42">
        <v>0.64494315000000002</v>
      </c>
      <c r="CO26" s="42">
        <v>12.54116496</v>
      </c>
      <c r="CP26" s="42">
        <v>22.569976879999999</v>
      </c>
      <c r="CQ26" s="42">
        <v>2.05737901</v>
      </c>
      <c r="CR26" s="42">
        <v>7.6609216599999996</v>
      </c>
      <c r="CS26" s="42">
        <v>11.855841079999999</v>
      </c>
      <c r="CT26" s="42">
        <v>18.31307748</v>
      </c>
      <c r="CU26" s="42">
        <v>38.519101040000002</v>
      </c>
      <c r="CV26" s="42">
        <v>30.099436570000002</v>
      </c>
      <c r="CW26" s="42">
        <v>1.6741748400000001</v>
      </c>
      <c r="CX26" s="42">
        <v>15.395030869999999</v>
      </c>
      <c r="CY26" s="42">
        <v>7.0001907799999996</v>
      </c>
      <c r="CZ26" s="42">
        <v>22.775755499999999</v>
      </c>
      <c r="DA26" s="42">
        <v>40.409631779999998</v>
      </c>
      <c r="DB26" s="42">
        <v>33.853278459999999</v>
      </c>
      <c r="DC26" s="42">
        <v>19.284471910000001</v>
      </c>
      <c r="DD26" s="42">
        <v>12.14910899</v>
      </c>
      <c r="DE26" s="42">
        <v>25.377743710000001</v>
      </c>
      <c r="DF26" s="42">
        <v>66.620221979999997</v>
      </c>
      <c r="DG26" s="42">
        <v>5.1128806400000002</v>
      </c>
      <c r="DH26" s="42">
        <v>57.792142820000002</v>
      </c>
      <c r="DI26" s="42">
        <v>59.75405662</v>
      </c>
      <c r="DJ26" s="42">
        <v>14.84407968</v>
      </c>
      <c r="DK26" s="42">
        <v>7.39274305</v>
      </c>
      <c r="DL26" s="42">
        <v>0.96654808999999997</v>
      </c>
      <c r="DM26" s="42">
        <v>39.579931240000001</v>
      </c>
      <c r="DN26" s="42">
        <v>5.7846166300000004</v>
      </c>
      <c r="DO26" s="42">
        <v>15.71799057</v>
      </c>
      <c r="DP26" s="42">
        <v>0.98201844000000005</v>
      </c>
      <c r="DQ26" s="42">
        <v>5.8375067500000002</v>
      </c>
      <c r="DR26" s="42">
        <v>63.03110496</v>
      </c>
      <c r="DS26" s="42">
        <v>11.59138864</v>
      </c>
      <c r="DT26" s="42">
        <v>26.04325</v>
      </c>
      <c r="DU26" s="42">
        <v>6.9961952800000002</v>
      </c>
      <c r="DV26" s="42">
        <v>3.0023475099999999</v>
      </c>
      <c r="DW26" s="42">
        <v>15.29706867</v>
      </c>
      <c r="DX26" s="42">
        <v>18.158353429999998</v>
      </c>
      <c r="DY26" s="42">
        <v>6.9888303399999998</v>
      </c>
      <c r="DZ26" s="42">
        <v>13.40691236</v>
      </c>
      <c r="EA26" s="42">
        <v>53.399797100000001</v>
      </c>
      <c r="EB26" s="42">
        <v>0.1154341</v>
      </c>
      <c r="EC26" s="42">
        <v>1.76053891</v>
      </c>
      <c r="ED26" s="42">
        <v>6.0723905800000004</v>
      </c>
      <c r="EE26" s="42">
        <v>6.2756763299999996</v>
      </c>
      <c r="EF26" s="42">
        <v>16.356840519999999</v>
      </c>
      <c r="EG26" s="42">
        <v>39.881097709999999</v>
      </c>
      <c r="EH26" s="42">
        <v>4.5140604199999999</v>
      </c>
      <c r="EI26" s="42">
        <v>8.9214065399999996</v>
      </c>
      <c r="EJ26" s="42">
        <v>5.8818304000000001</v>
      </c>
      <c r="EK26" s="42">
        <v>35.058499930000004</v>
      </c>
      <c r="EL26" s="42">
        <v>24.639291669999999</v>
      </c>
      <c r="EM26" s="42">
        <v>8.1411016099999998</v>
      </c>
      <c r="EN26" s="42">
        <v>11.03707232</v>
      </c>
      <c r="EO26" s="42">
        <v>62068.313408330003</v>
      </c>
      <c r="EP26" s="42">
        <v>11.13081397</v>
      </c>
      <c r="EQ26" s="42">
        <v>47248.003119599998</v>
      </c>
      <c r="ER26" s="42">
        <v>17.17792897</v>
      </c>
      <c r="ES26" s="42">
        <v>12.182607819999999</v>
      </c>
      <c r="ET26" s="42">
        <v>17.757739579999999</v>
      </c>
      <c r="EU26" s="42">
        <v>1.43255522</v>
      </c>
      <c r="EV26" s="42">
        <v>33.491999130000004</v>
      </c>
      <c r="EW26" s="42">
        <v>2.98154377</v>
      </c>
      <c r="EX26" s="42">
        <v>7.1385386400000002</v>
      </c>
      <c r="EY26" s="42">
        <v>8.0346059999999997E-2</v>
      </c>
      <c r="EZ26" s="42">
        <v>1.2196631200000001</v>
      </c>
      <c r="FA26" s="42">
        <v>46.719539529999999</v>
      </c>
      <c r="FB26" s="42">
        <v>40.490586389999997</v>
      </c>
      <c r="FC26" s="42">
        <v>27.658082319999998</v>
      </c>
      <c r="FD26" s="42">
        <v>59.995022089999999</v>
      </c>
      <c r="FE26" s="41" t="s">
        <v>1151</v>
      </c>
      <c r="FF26" s="42">
        <v>2.16103143</v>
      </c>
      <c r="FG26" s="42">
        <v>2.16103143</v>
      </c>
      <c r="FH26" s="42">
        <v>1.2952716099999999</v>
      </c>
      <c r="FI26" s="42">
        <v>1.2952716099999999</v>
      </c>
      <c r="FJ26" s="42">
        <v>53.840382820000002</v>
      </c>
      <c r="FK26" s="42">
        <v>0</v>
      </c>
      <c r="FL26" s="42">
        <v>0</v>
      </c>
      <c r="FM26" s="41" t="s">
        <v>1151</v>
      </c>
      <c r="FN26" s="42">
        <v>0.30072380999999998</v>
      </c>
      <c r="FO26" s="42">
        <v>0.50423388000000002</v>
      </c>
      <c r="FP26" s="42">
        <v>0.10210437</v>
      </c>
      <c r="FQ26" s="42">
        <v>0.10210437</v>
      </c>
      <c r="FR26" s="42">
        <v>56.690347610000003</v>
      </c>
      <c r="FS26" s="42">
        <v>0.20351006999999999</v>
      </c>
      <c r="FT26" s="42">
        <v>0</v>
      </c>
      <c r="FU26" s="41" t="s">
        <v>1151</v>
      </c>
      <c r="FV26" s="42">
        <v>1.45760778</v>
      </c>
      <c r="FW26" s="42">
        <v>1.45760778</v>
      </c>
      <c r="FX26" s="42">
        <v>0.98481308999999995</v>
      </c>
      <c r="FY26" s="42">
        <v>0.98481308999999995</v>
      </c>
      <c r="FZ26" s="42">
        <v>54.854264989999997</v>
      </c>
      <c r="GA26" s="42">
        <v>0</v>
      </c>
      <c r="GB26" s="42">
        <v>0</v>
      </c>
      <c r="GC26" s="41" t="s">
        <v>1150</v>
      </c>
      <c r="GD26" s="42">
        <v>0</v>
      </c>
      <c r="GE26" s="42">
        <v>0</v>
      </c>
      <c r="GF26" s="42">
        <v>0</v>
      </c>
      <c r="GG26" s="42">
        <v>0</v>
      </c>
      <c r="GH26" s="42">
        <v>57.296685859999997</v>
      </c>
      <c r="GI26" s="42">
        <v>0</v>
      </c>
      <c r="GJ26" s="42">
        <v>0</v>
      </c>
      <c r="GK26" s="41" t="s">
        <v>1151</v>
      </c>
      <c r="GL26" s="42">
        <v>27.108331740000001</v>
      </c>
      <c r="GM26" s="42">
        <v>27.108331740000001</v>
      </c>
      <c r="GN26" s="42">
        <v>0</v>
      </c>
      <c r="GO26" s="42">
        <v>0</v>
      </c>
      <c r="GP26" s="42">
        <v>30.18835412</v>
      </c>
      <c r="GQ26" s="42">
        <v>0</v>
      </c>
      <c r="GR26" s="42">
        <v>0</v>
      </c>
      <c r="GS26" s="41" t="s">
        <v>1151</v>
      </c>
      <c r="GT26" s="42">
        <v>3.78594667</v>
      </c>
      <c r="GU26" s="42">
        <v>4.2892822800000001</v>
      </c>
      <c r="GV26" s="42">
        <v>0.10210437</v>
      </c>
      <c r="GW26" s="42">
        <v>0.10210437</v>
      </c>
      <c r="GX26" s="42">
        <v>52.905299210000003</v>
      </c>
      <c r="GY26" s="42">
        <v>0.50333561000000004</v>
      </c>
      <c r="GZ26" s="42">
        <v>0</v>
      </c>
      <c r="HA26" s="41" t="s">
        <v>1150</v>
      </c>
      <c r="HB26" s="42">
        <v>16.400151050000002</v>
      </c>
      <c r="HC26" s="42">
        <v>16.400151050000002</v>
      </c>
      <c r="HD26" s="42">
        <v>2.2872176799999999</v>
      </c>
      <c r="HE26" s="42">
        <v>0.40452493</v>
      </c>
      <c r="HF26" s="42">
        <v>38.609317130000001</v>
      </c>
      <c r="HG26" s="42">
        <v>0</v>
      </c>
      <c r="HH26" s="42">
        <v>1.8826927499999999</v>
      </c>
      <c r="HI26" s="41" t="s">
        <v>1151</v>
      </c>
      <c r="HJ26" s="42">
        <v>5.5697776499999998</v>
      </c>
      <c r="HK26" s="42">
        <v>5.5697776499999998</v>
      </c>
      <c r="HL26" s="42">
        <v>0.26459304</v>
      </c>
      <c r="HM26" s="42">
        <v>0.26459304</v>
      </c>
      <c r="HN26" s="42">
        <v>51.462315169999997</v>
      </c>
      <c r="HO26" s="42">
        <v>0</v>
      </c>
      <c r="HP26" s="42">
        <v>0</v>
      </c>
      <c r="HQ26" s="41" t="s">
        <v>1151</v>
      </c>
      <c r="HR26" s="42">
        <v>15.145122130000001</v>
      </c>
      <c r="HS26" s="42">
        <v>15.6423694</v>
      </c>
      <c r="HT26" s="42">
        <v>1.78727558</v>
      </c>
      <c r="HU26" s="42">
        <v>1.78727558</v>
      </c>
      <c r="HV26" s="42">
        <v>39.867040879999998</v>
      </c>
      <c r="HW26" s="42">
        <v>0.49724727000000002</v>
      </c>
      <c r="HX26" s="42">
        <v>0</v>
      </c>
      <c r="HY26" s="41" t="s">
        <v>1151</v>
      </c>
      <c r="HZ26" s="42">
        <v>16.12984033</v>
      </c>
      <c r="IA26" s="42">
        <v>16.12984033</v>
      </c>
      <c r="IB26" s="42">
        <v>1.0769365799999999</v>
      </c>
      <c r="IC26" s="42">
        <v>1.0769365799999999</v>
      </c>
      <c r="ID26" s="42">
        <v>40.089908950000002</v>
      </c>
      <c r="IE26" s="42">
        <v>0</v>
      </c>
      <c r="IF26" s="42">
        <v>0</v>
      </c>
      <c r="IG26" s="41" t="s">
        <v>1151</v>
      </c>
      <c r="IH26" s="42">
        <v>6.5866799399999998</v>
      </c>
      <c r="II26" s="42">
        <v>6.5866799399999998</v>
      </c>
      <c r="IJ26" s="42">
        <v>0.97083987000000005</v>
      </c>
      <c r="IK26" s="42">
        <v>0.97083987000000005</v>
      </c>
      <c r="IL26" s="42">
        <v>49.739166050000001</v>
      </c>
      <c r="IM26" s="42">
        <v>0</v>
      </c>
      <c r="IN26" s="42">
        <v>0</v>
      </c>
      <c r="IO26" s="41" t="s">
        <v>1150</v>
      </c>
      <c r="IP26" s="42">
        <v>12.75643382</v>
      </c>
      <c r="IQ26" s="42">
        <v>13.82828018</v>
      </c>
      <c r="IR26" s="42">
        <v>2.92978709</v>
      </c>
      <c r="IS26" s="42">
        <v>1.0470943399999999</v>
      </c>
      <c r="IT26" s="42">
        <v>40.538618589999999</v>
      </c>
      <c r="IU26" s="42">
        <v>1.0718463600000001</v>
      </c>
      <c r="IV26" s="42">
        <v>1.8826927499999999</v>
      </c>
      <c r="IW26" s="41" t="s">
        <v>1150</v>
      </c>
      <c r="IX26" s="42">
        <v>16.749400179999999</v>
      </c>
      <c r="IY26" s="42">
        <v>16.749400179999999</v>
      </c>
      <c r="IZ26" s="42">
        <v>1.8826927499999999</v>
      </c>
      <c r="JA26" s="42">
        <v>0</v>
      </c>
      <c r="JB26" s="42">
        <v>38.664592929999998</v>
      </c>
      <c r="JC26" s="42">
        <v>0</v>
      </c>
      <c r="JD26" s="42">
        <v>1.8826927499999999</v>
      </c>
      <c r="JE26" s="41" t="s">
        <v>1150</v>
      </c>
      <c r="JF26" s="42">
        <v>0.52419563999999996</v>
      </c>
      <c r="JG26" s="42">
        <v>0.52419563999999996</v>
      </c>
      <c r="JH26" s="42">
        <v>1.21447364</v>
      </c>
      <c r="JI26" s="42">
        <v>0.57749410000000001</v>
      </c>
      <c r="JJ26" s="42">
        <v>55.55801658</v>
      </c>
      <c r="JK26" s="42">
        <v>0</v>
      </c>
      <c r="JL26" s="42">
        <v>0.63697954000000001</v>
      </c>
      <c r="JM26" s="41" t="s">
        <v>1150</v>
      </c>
      <c r="JN26" s="42">
        <v>0</v>
      </c>
      <c r="JO26" s="42">
        <v>0</v>
      </c>
      <c r="JP26" s="42">
        <v>1.44423342</v>
      </c>
      <c r="JQ26" s="42">
        <v>1.44423342</v>
      </c>
      <c r="JR26" s="42">
        <v>55.85245244</v>
      </c>
      <c r="JS26" s="42">
        <v>0</v>
      </c>
      <c r="JT26" s="42">
        <v>0</v>
      </c>
      <c r="JU26" s="41" t="s">
        <v>1151</v>
      </c>
      <c r="JV26" s="42">
        <v>3.5795512399999998</v>
      </c>
      <c r="JW26" s="42">
        <v>3.5795512399999998</v>
      </c>
      <c r="JX26" s="42">
        <v>1.3530982899999999</v>
      </c>
      <c r="JY26" s="42">
        <v>1.3530982899999999</v>
      </c>
      <c r="JZ26" s="42">
        <v>52.364036329999998</v>
      </c>
      <c r="KA26" s="42">
        <v>0</v>
      </c>
      <c r="KB26" s="42">
        <v>0</v>
      </c>
      <c r="KC26" s="41" t="s">
        <v>1150</v>
      </c>
      <c r="KD26" s="42">
        <v>1.2196631200000001</v>
      </c>
      <c r="KE26" s="42">
        <v>1.2196631200000001</v>
      </c>
      <c r="KF26" s="42">
        <v>1.34621149</v>
      </c>
      <c r="KG26" s="42">
        <v>1.34621149</v>
      </c>
      <c r="KH26" s="42">
        <v>54.730811250000002</v>
      </c>
      <c r="KI26" s="42">
        <v>0</v>
      </c>
      <c r="KJ26" s="42">
        <v>0</v>
      </c>
      <c r="KK26" s="42">
        <v>57.296685859999997</v>
      </c>
      <c r="KL26" s="42">
        <v>-4.559618E-2</v>
      </c>
      <c r="KM26" s="42">
        <v>-0.77035980999999998</v>
      </c>
      <c r="KN26" s="42">
        <v>7.1940835200000004</v>
      </c>
      <c r="KO26" s="41" t="s">
        <v>1206</v>
      </c>
      <c r="KP26" s="41" t="s">
        <v>1153</v>
      </c>
      <c r="KQ26" s="41" t="s">
        <v>1241</v>
      </c>
      <c r="KR26" s="42">
        <v>24.710681990000001</v>
      </c>
      <c r="KS26" s="42">
        <v>58.05120728</v>
      </c>
      <c r="KT26" s="42">
        <v>57.803801229999998</v>
      </c>
      <c r="KU26" s="42">
        <v>6.4321913704938272</v>
      </c>
      <c r="KV26" s="42">
        <v>5.9310183671604939</v>
      </c>
      <c r="KW26" s="42">
        <v>9.2481804899999993</v>
      </c>
      <c r="KX26" s="42">
        <v>23.84493874</v>
      </c>
      <c r="KY26" s="41"/>
      <c r="KZ26" s="42">
        <v>5.91881565</v>
      </c>
      <c r="LA26" s="42">
        <v>31.390215459795645</v>
      </c>
      <c r="LB26" s="42">
        <v>6.4809616917283952</v>
      </c>
      <c r="LC26" s="42">
        <v>11.111111111111111</v>
      </c>
      <c r="LD26" s="41" t="s">
        <v>461</v>
      </c>
      <c r="LE26" s="42">
        <v>10.971100760000001</v>
      </c>
      <c r="LF26" s="42">
        <v>16.197380030000001</v>
      </c>
      <c r="LG26" s="42">
        <v>7.6475587200000001</v>
      </c>
      <c r="LH26" s="42">
        <v>5.7623593199999998</v>
      </c>
      <c r="LI26" s="42">
        <v>3.48162919</v>
      </c>
      <c r="LJ26" s="42">
        <v>10.25795205</v>
      </c>
      <c r="LK26" s="42">
        <v>3.4858211699999999</v>
      </c>
      <c r="LL26" s="42">
        <v>42.196198770000002</v>
      </c>
      <c r="LM26" s="42">
        <v>4.7921461077777776</v>
      </c>
      <c r="LN26" s="42">
        <v>42.196198770000002</v>
      </c>
      <c r="LO26" s="42">
        <v>15.6719042</v>
      </c>
      <c r="LP26" s="42">
        <v>34.937813499999997</v>
      </c>
      <c r="LQ26" s="42">
        <v>5.9651458999999996</v>
      </c>
      <c r="LR26" s="42">
        <v>11.09062937</v>
      </c>
      <c r="LS26" s="41" t="s">
        <v>1164</v>
      </c>
      <c r="LT26" s="42">
        <v>5.6150506800000004</v>
      </c>
      <c r="LU26" s="42">
        <v>23.208028250000002</v>
      </c>
      <c r="LV26" s="43">
        <v>672</v>
      </c>
      <c r="LW26" s="43">
        <v>1</v>
      </c>
      <c r="LX26" s="43">
        <v>666</v>
      </c>
      <c r="LY26" s="41" t="s">
        <v>480</v>
      </c>
      <c r="LZ26" s="41" t="s">
        <v>1242</v>
      </c>
      <c r="MA26" s="44">
        <v>46203</v>
      </c>
      <c r="MB26" s="41" t="s">
        <v>1243</v>
      </c>
      <c r="MC26" s="43">
        <v>81</v>
      </c>
      <c r="MD26" s="41" t="s">
        <v>1244</v>
      </c>
      <c r="ME26" s="41" t="s">
        <v>1245</v>
      </c>
      <c r="MF26" s="42">
        <v>4.5471710400000003</v>
      </c>
      <c r="MG26" s="42">
        <v>23.5051436</v>
      </c>
      <c r="MH26" s="42">
        <v>5995420330.8481998</v>
      </c>
      <c r="MI26" s="42">
        <v>5.91881565</v>
      </c>
      <c r="MJ26" s="42">
        <v>31.390215459795645</v>
      </c>
      <c r="MK26" s="42">
        <v>11.111111111111111</v>
      </c>
      <c r="ML26" s="42">
        <v>5.2479833300000003</v>
      </c>
      <c r="MM26" s="41" t="s">
        <v>480</v>
      </c>
      <c r="MN26" s="42">
        <v>6.2742785300000001</v>
      </c>
      <c r="MO26" s="42">
        <v>0</v>
      </c>
      <c r="MP26" s="42">
        <v>0</v>
      </c>
      <c r="MQ26" s="42">
        <v>0</v>
      </c>
      <c r="MR26" s="42">
        <v>8.1135632799999993</v>
      </c>
      <c r="MS26" s="42">
        <v>0.24812459000000001</v>
      </c>
      <c r="MT26" s="42">
        <v>0</v>
      </c>
      <c r="MU26" s="42">
        <v>0</v>
      </c>
      <c r="MV26" s="42">
        <v>5.5927847899999996</v>
      </c>
      <c r="MW26" s="42">
        <v>5.3025409000000003</v>
      </c>
      <c r="MX26" s="42">
        <v>5.1688969599999997</v>
      </c>
      <c r="MY26" s="42">
        <v>0</v>
      </c>
      <c r="MZ26" s="42">
        <v>0</v>
      </c>
      <c r="NA26" s="42">
        <v>0</v>
      </c>
      <c r="NB26" s="42">
        <v>0</v>
      </c>
      <c r="NC26" s="42">
        <v>5.2123132200000004</v>
      </c>
      <c r="ND26" s="42">
        <v>0</v>
      </c>
      <c r="NE26" s="42">
        <v>0</v>
      </c>
      <c r="NF26" s="42">
        <v>0</v>
      </c>
      <c r="NG26" s="42">
        <v>0</v>
      </c>
      <c r="NH26" s="42">
        <v>0</v>
      </c>
      <c r="NI26" s="42">
        <v>0</v>
      </c>
      <c r="NJ26" s="42">
        <v>0</v>
      </c>
      <c r="NK26" s="42">
        <v>0</v>
      </c>
      <c r="NL26" s="42">
        <v>0</v>
      </c>
      <c r="NM26" s="42">
        <v>0</v>
      </c>
      <c r="NN26" s="42">
        <v>0</v>
      </c>
      <c r="NO26" s="42">
        <v>0</v>
      </c>
      <c r="NP26" s="42">
        <v>0</v>
      </c>
      <c r="NQ26" s="42">
        <v>0</v>
      </c>
      <c r="NR26" s="42">
        <v>5.0194826600000004</v>
      </c>
      <c r="NS26" s="42">
        <v>2.8414557600000001</v>
      </c>
      <c r="NT26" s="42">
        <v>0</v>
      </c>
      <c r="NU26" s="42">
        <v>0</v>
      </c>
      <c r="NV26" s="42">
        <v>1.941609E-2</v>
      </c>
      <c r="NW26" s="42">
        <v>0</v>
      </c>
      <c r="NX26" s="42">
        <v>2.3593794300000002</v>
      </c>
      <c r="NY26" s="42">
        <v>7.0108672099999998</v>
      </c>
      <c r="NZ26" s="42">
        <v>5.4192168000000001</v>
      </c>
      <c r="OA26" s="42">
        <v>2.4680711899999999</v>
      </c>
      <c r="OB26" s="42">
        <v>3.1037532300000001</v>
      </c>
      <c r="OC26" s="42">
        <v>0</v>
      </c>
      <c r="OD26" s="42">
        <v>0</v>
      </c>
      <c r="OE26" s="42">
        <v>0</v>
      </c>
      <c r="OF26" s="42">
        <v>0</v>
      </c>
      <c r="OG26" s="42">
        <v>0</v>
      </c>
      <c r="OH26" s="42">
        <v>1.70694868</v>
      </c>
      <c r="OI26" s="42">
        <v>0.35293181000000001</v>
      </c>
      <c r="OJ26" s="42">
        <v>1.958248</v>
      </c>
      <c r="OK26" s="42">
        <v>0</v>
      </c>
      <c r="OL26" s="42">
        <v>0.95846357999999998</v>
      </c>
      <c r="OM26" s="42">
        <v>17.599203559999999</v>
      </c>
      <c r="ON26" s="42">
        <v>0</v>
      </c>
      <c r="OO26" s="42">
        <v>0.26459304</v>
      </c>
      <c r="OP26" s="42">
        <v>0</v>
      </c>
      <c r="OQ26" s="42">
        <v>0</v>
      </c>
      <c r="OR26" s="42">
        <v>0</v>
      </c>
      <c r="OS26" s="42">
        <v>0.40113143000000001</v>
      </c>
      <c r="OT26" s="42">
        <v>1.2396248700000001</v>
      </c>
      <c r="OU26" s="42">
        <v>0.39474366999999999</v>
      </c>
      <c r="OV26" s="42">
        <v>0.39474366999999999</v>
      </c>
      <c r="OW26" s="42">
        <v>0.39474366999999999</v>
      </c>
      <c r="OX26" s="42">
        <v>0</v>
      </c>
      <c r="OY26" s="42">
        <v>0</v>
      </c>
      <c r="OZ26" s="42">
        <v>0</v>
      </c>
      <c r="PA26" s="42">
        <v>0</v>
      </c>
      <c r="PB26" s="42">
        <v>0</v>
      </c>
      <c r="PC26" s="42">
        <v>0</v>
      </c>
      <c r="PD26" s="42">
        <v>0</v>
      </c>
      <c r="PE26" s="42">
        <v>3.2955565500000001</v>
      </c>
      <c r="PF26" s="42">
        <v>0</v>
      </c>
      <c r="PG26" s="42">
        <v>0</v>
      </c>
      <c r="PH26" s="42">
        <v>0</v>
      </c>
      <c r="PI26" s="42">
        <v>0</v>
      </c>
      <c r="PJ26" s="42">
        <v>0</v>
      </c>
      <c r="PK26" s="42">
        <v>0</v>
      </c>
      <c r="PL26" s="42">
        <v>0</v>
      </c>
      <c r="PM26" s="42">
        <v>5.2523639900000001</v>
      </c>
      <c r="PN26" s="42">
        <v>3.3390024700000001</v>
      </c>
      <c r="PO26" s="42">
        <v>0.40522416</v>
      </c>
      <c r="PP26" s="42">
        <v>0.84530733999999996</v>
      </c>
      <c r="PQ26" s="42">
        <v>0.69387054000000004</v>
      </c>
      <c r="PR26" s="42">
        <v>0.26459304</v>
      </c>
      <c r="PS26" s="42">
        <v>5.3563989999999999E-2</v>
      </c>
      <c r="PT26" s="42">
        <v>0.15067881</v>
      </c>
      <c r="PU26" s="42">
        <v>0.10124896999999999</v>
      </c>
      <c r="PV26" s="42">
        <v>0</v>
      </c>
      <c r="PW26" s="42">
        <v>2.7515666699999999</v>
      </c>
      <c r="PX26" s="42">
        <v>0</v>
      </c>
      <c r="PY26" s="42">
        <v>8.6295170000000004E-2</v>
      </c>
      <c r="PZ26" s="42">
        <v>0.18145581</v>
      </c>
      <c r="QA26" s="42">
        <v>4.1958607499999996</v>
      </c>
      <c r="QB26" s="42">
        <v>0.53357765999999995</v>
      </c>
      <c r="QC26" s="42">
        <v>0</v>
      </c>
      <c r="QD26" s="42">
        <v>0</v>
      </c>
      <c r="QE26" s="42">
        <v>0</v>
      </c>
      <c r="QF26" s="42">
        <v>0.91923874000000005</v>
      </c>
      <c r="QG26" s="42">
        <v>4.3466717800000003</v>
      </c>
      <c r="QH26" s="42">
        <v>0</v>
      </c>
      <c r="QI26" s="42">
        <v>0</v>
      </c>
      <c r="QJ26" s="42">
        <v>0</v>
      </c>
      <c r="QK26" s="42">
        <v>5.3046363000000003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63F7-5583-404C-A732-88EC36B15ED0}">
  <sheetPr codeName="Sheet3"/>
  <dimension ref="A1:AS57"/>
  <sheetViews>
    <sheetView showGridLines="0" topLeftCell="I1" zoomScale="85" zoomScaleNormal="85" workbookViewId="0">
      <selection activeCell="P13" sqref="P13:Q18"/>
    </sheetView>
  </sheetViews>
  <sheetFormatPr defaultRowHeight="14.5" x14ac:dyDescent="0.35"/>
  <cols>
    <col min="2" max="2" width="14.26953125" customWidth="1"/>
    <col min="3" max="3" width="15.26953125" customWidth="1"/>
    <col min="4" max="4" width="12.54296875" customWidth="1"/>
    <col min="5" max="5" width="16.54296875" customWidth="1"/>
    <col min="6" max="6" width="56.7265625" customWidth="1"/>
    <col min="9" max="9" width="38.7265625" customWidth="1"/>
    <col min="16" max="16" width="17.26953125" customWidth="1"/>
    <col min="17" max="17" width="43" bestFit="1" customWidth="1"/>
    <col min="18" max="18" width="12.1796875" customWidth="1"/>
    <col min="20" max="20" width="2.54296875" style="26" customWidth="1"/>
    <col min="45" max="45" width="2.453125" style="26" customWidth="1"/>
  </cols>
  <sheetData>
    <row r="1" spans="1:44" x14ac:dyDescent="0.35">
      <c r="L1" s="1" t="s">
        <v>403</v>
      </c>
      <c r="M1" s="4">
        <v>3</v>
      </c>
      <c r="T1" s="25"/>
      <c r="U1" t="s">
        <v>460</v>
      </c>
    </row>
    <row r="2" spans="1:44" x14ac:dyDescent="0.35">
      <c r="P2" t="s">
        <v>608</v>
      </c>
      <c r="Q2" s="5" t="s">
        <v>428</v>
      </c>
      <c r="R2" s="6" t="s">
        <v>444</v>
      </c>
      <c r="U2" t="s">
        <v>461</v>
      </c>
      <c r="V2" t="s">
        <v>462</v>
      </c>
      <c r="W2" t="s">
        <v>463</v>
      </c>
      <c r="X2" t="s">
        <v>464</v>
      </c>
      <c r="Y2" t="s">
        <v>465</v>
      </c>
      <c r="Z2" t="s">
        <v>466</v>
      </c>
      <c r="AA2" t="s">
        <v>467</v>
      </c>
      <c r="AB2" t="s">
        <v>468</v>
      </c>
      <c r="AC2" t="s">
        <v>469</v>
      </c>
      <c r="AD2" t="s">
        <v>470</v>
      </c>
      <c r="AE2" t="s">
        <v>471</v>
      </c>
      <c r="AF2" t="s">
        <v>472</v>
      </c>
      <c r="AG2" t="s">
        <v>473</v>
      </c>
      <c r="AH2" t="s">
        <v>474</v>
      </c>
      <c r="AI2" t="s">
        <v>475</v>
      </c>
      <c r="AJ2" t="s">
        <v>476</v>
      </c>
      <c r="AK2" t="s">
        <v>477</v>
      </c>
      <c r="AL2" t="s">
        <v>478</v>
      </c>
      <c r="AM2" t="s">
        <v>479</v>
      </c>
      <c r="AN2" t="s">
        <v>480</v>
      </c>
      <c r="AO2" t="s">
        <v>481</v>
      </c>
      <c r="AP2" t="s">
        <v>482</v>
      </c>
      <c r="AQ2" t="s">
        <v>483</v>
      </c>
      <c r="AR2" t="s">
        <v>484</v>
      </c>
    </row>
    <row r="3" spans="1:44" ht="39" x14ac:dyDescent="0.35">
      <c r="A3" s="3" t="s">
        <v>0</v>
      </c>
      <c r="B3" s="3" t="s">
        <v>1</v>
      </c>
      <c r="C3" s="3" t="s">
        <v>3</v>
      </c>
      <c r="D3" s="3" t="s">
        <v>322</v>
      </c>
      <c r="E3" s="3" t="s">
        <v>323</v>
      </c>
      <c r="F3" s="3" t="s">
        <v>2</v>
      </c>
      <c r="G3" s="1" t="s">
        <v>398</v>
      </c>
      <c r="H3" s="1" t="s">
        <v>399</v>
      </c>
      <c r="I3" s="1" t="s">
        <v>428</v>
      </c>
      <c r="J3" s="16" t="s">
        <v>429</v>
      </c>
      <c r="P3" s="32" t="s">
        <v>545</v>
      </c>
      <c r="Q3" s="5" t="s">
        <v>430</v>
      </c>
      <c r="R3" s="33">
        <f ca="1">INDEX(INDIRECT("'"&amp;guia!$A$2&amp;"'!A:QK"),MATCH($P3,INDEX(INDIRECT("'"&amp;guia!$A$2&amp;"'!A:QK"),0,MATCH("FUND_ISIN",INDIRECT("'"&amp;guia!$A$2&amp;"'!1:1"),0)),0),MATCH("FUND_FINANCED_CARBON_EMISSIONS",INDIRECT("'"&amp;guia!$A$2&amp;"'!1:1"),0))</f>
        <v>111.51933579999999</v>
      </c>
      <c r="V3" t="s">
        <v>2</v>
      </c>
      <c r="W3" t="s">
        <v>485</v>
      </c>
      <c r="X3" t="s">
        <v>486</v>
      </c>
      <c r="Y3" t="s">
        <v>487</v>
      </c>
      <c r="Z3" t="s">
        <v>488</v>
      </c>
      <c r="AA3" t="s">
        <v>489</v>
      </c>
      <c r="AB3" t="s">
        <v>443</v>
      </c>
      <c r="AC3" t="s">
        <v>490</v>
      </c>
      <c r="AD3" t="s">
        <v>491</v>
      </c>
      <c r="AE3" t="s">
        <v>492</v>
      </c>
      <c r="AF3" t="s">
        <v>493</v>
      </c>
      <c r="AG3" t="s">
        <v>465</v>
      </c>
      <c r="AH3" t="s">
        <v>479</v>
      </c>
      <c r="AI3" t="s">
        <v>467</v>
      </c>
      <c r="AJ3" t="s">
        <v>494</v>
      </c>
      <c r="AK3" t="s">
        <v>495</v>
      </c>
      <c r="AL3" t="s">
        <v>496</v>
      </c>
      <c r="AM3" t="s">
        <v>497</v>
      </c>
      <c r="AN3" t="s">
        <v>498</v>
      </c>
      <c r="AO3" t="s">
        <v>499</v>
      </c>
      <c r="AP3" t="s">
        <v>500</v>
      </c>
      <c r="AQ3" t="s">
        <v>501</v>
      </c>
      <c r="AR3" t="s">
        <v>502</v>
      </c>
    </row>
    <row r="4" spans="1:44" x14ac:dyDescent="0.35">
      <c r="A4" s="6" t="s">
        <v>138</v>
      </c>
      <c r="B4" s="6" t="s">
        <v>139</v>
      </c>
      <c r="C4" s="6" t="s">
        <v>141</v>
      </c>
      <c r="D4" s="6" t="s">
        <v>367</v>
      </c>
      <c r="E4" s="6" t="s">
        <v>384</v>
      </c>
      <c r="F4" s="6" t="s">
        <v>140</v>
      </c>
      <c r="G4" s="8" t="s">
        <v>401</v>
      </c>
      <c r="H4" s="7" t="s">
        <v>546</v>
      </c>
      <c r="I4" s="5" t="s">
        <v>430</v>
      </c>
      <c r="J4" s="2">
        <f t="shared" ref="J4:J13" ca="1" si="0">INDEX($R$3:$R$12,MATCH(I4,$Q$3:$Q$12,0))</f>
        <v>111.51933579999999</v>
      </c>
      <c r="P4" s="32" t="s">
        <v>609</v>
      </c>
      <c r="Q4" s="5" t="s">
        <v>526</v>
      </c>
      <c r="R4" s="33">
        <f ca="1">INDEX(INDIRECT("'"&amp;guia!$A$2&amp;"'!A:QK"),MATCH($P4,INDEX(INDIRECT("'"&amp;guia!$A$2&amp;"'!A:QK"),0,MATCH("FUND_ISIN",INDIRECT("'"&amp;guia!$A$2&amp;"'!1:1"),0)),0),MATCH("FUND_FINANCED_CARBON_EMISSIONS",INDIRECT("'"&amp;guia!$A$2&amp;"'!1:1"),0))</f>
        <v>141.84888862</v>
      </c>
      <c r="V4" t="str">
        <f t="shared" ref="V4:V13" si="1">F4</f>
        <v>Moneda - Deuda Latam LCC</v>
      </c>
      <c r="W4" t="str">
        <f t="shared" ref="W4:W13" si="2">C4</f>
        <v>CL0002535525</v>
      </c>
      <c r="X4" t="str">
        <f t="shared" ref="X4:X13" si="3">B4</f>
        <v>5274822F3552</v>
      </c>
      <c r="AN4" s="27">
        <f t="shared" ref="AN4:AN13" ca="1" si="4">J4</f>
        <v>111.51933579999999</v>
      </c>
      <c r="AQ4" t="s">
        <v>404</v>
      </c>
      <c r="AR4" t="s">
        <v>504</v>
      </c>
    </row>
    <row r="5" spans="1:44" x14ac:dyDescent="0.35">
      <c r="A5" s="6" t="s">
        <v>138</v>
      </c>
      <c r="B5" s="6" t="s">
        <v>142</v>
      </c>
      <c r="C5" s="6" t="s">
        <v>144</v>
      </c>
      <c r="D5" s="6" t="s">
        <v>367</v>
      </c>
      <c r="E5" s="6" t="s">
        <v>385</v>
      </c>
      <c r="F5" s="6" t="s">
        <v>143</v>
      </c>
      <c r="G5" s="8" t="s">
        <v>401</v>
      </c>
      <c r="H5" s="7" t="s">
        <v>405</v>
      </c>
      <c r="I5" s="5" t="s">
        <v>430</v>
      </c>
      <c r="J5" s="2">
        <f t="shared" ca="1" si="0"/>
        <v>111.51933579999999</v>
      </c>
      <c r="P5" t="s">
        <v>650</v>
      </c>
      <c r="Q5" s="5" t="s">
        <v>651</v>
      </c>
      <c r="R5" s="33">
        <f ca="1">INDEX(INDIRECT("'"&amp;guia!$A$2&amp;"'!A:QK"),MATCH($P5,INDEX(INDIRECT("'"&amp;guia!$A$2&amp;"'!A:QK"),0,MATCH("FUND_ISIN",INDIRECT("'"&amp;guia!$A$2&amp;"'!1:1"),0)),0),MATCH("FUND_FINANCED_CARBON_EMISSIONS",INDIRECT("'"&amp;guia!$A$2&amp;"'!1:1"),0))</f>
        <v>98.072106099999999</v>
      </c>
      <c r="V5" t="str">
        <f t="shared" si="1"/>
        <v>Moneda S.A. Administradora General de Fondos - Deuda Latam</v>
      </c>
      <c r="W5" t="str">
        <f t="shared" si="2"/>
        <v>CL0002535517</v>
      </c>
      <c r="X5" t="str">
        <f t="shared" si="3"/>
        <v>5274822F3551</v>
      </c>
      <c r="AN5" s="27">
        <f t="shared" ca="1" si="4"/>
        <v>111.51933579999999</v>
      </c>
      <c r="AQ5" t="s">
        <v>404</v>
      </c>
      <c r="AR5" t="s">
        <v>504</v>
      </c>
    </row>
    <row r="6" spans="1:44" x14ac:dyDescent="0.35">
      <c r="A6" s="6" t="s">
        <v>138</v>
      </c>
      <c r="B6" s="6" t="s">
        <v>145</v>
      </c>
      <c r="C6" s="6" t="s">
        <v>147</v>
      </c>
      <c r="D6" s="6" t="s">
        <v>367</v>
      </c>
      <c r="E6" s="6" t="s">
        <v>386</v>
      </c>
      <c r="F6" s="6" t="s">
        <v>146</v>
      </c>
      <c r="G6" s="8" t="s">
        <v>401</v>
      </c>
      <c r="H6" s="7" t="s">
        <v>405</v>
      </c>
      <c r="I6" s="5" t="s">
        <v>430</v>
      </c>
      <c r="J6" s="2">
        <f t="shared" ca="1" si="0"/>
        <v>111.51933579999999</v>
      </c>
      <c r="P6" t="s">
        <v>655</v>
      </c>
      <c r="Q6" s="5" t="s">
        <v>654</v>
      </c>
      <c r="R6" s="33">
        <f ca="1">INDEX(INDIRECT("'"&amp;guia!$A$2&amp;"'!A:QK"),MATCH($P6,INDEX(INDIRECT("'"&amp;guia!$A$2&amp;"'!A:QK"),0,MATCH("FUND_ISIN",INDIRECT("'"&amp;guia!$A$2&amp;"'!1:1"),0)),0),MATCH("FUND_FINANCED_CARBON_EMISSIONS",INDIRECT("'"&amp;guia!$A$2&amp;"'!1:1"),0))</f>
        <v>10.13004703</v>
      </c>
      <c r="V6" t="str">
        <f t="shared" si="1"/>
        <v>Moneda - Latam High Yield</v>
      </c>
      <c r="W6" t="str">
        <f t="shared" si="2"/>
        <v>IE000NG9LZQ6</v>
      </c>
      <c r="X6" t="str">
        <f t="shared" si="3"/>
        <v>5277192F9LZQ</v>
      </c>
      <c r="AN6" s="27">
        <f t="shared" ca="1" si="4"/>
        <v>111.51933579999999</v>
      </c>
      <c r="AQ6" t="s">
        <v>404</v>
      </c>
      <c r="AR6" t="s">
        <v>504</v>
      </c>
    </row>
    <row r="7" spans="1:44" x14ac:dyDescent="0.35">
      <c r="A7" s="6" t="s">
        <v>138</v>
      </c>
      <c r="B7" s="6" t="s">
        <v>523</v>
      </c>
      <c r="C7" s="6" t="s">
        <v>524</v>
      </c>
      <c r="D7" s="6" t="s">
        <v>367</v>
      </c>
      <c r="E7" s="6"/>
      <c r="F7" s="6" t="s">
        <v>525</v>
      </c>
      <c r="G7" s="8" t="s">
        <v>401</v>
      </c>
      <c r="H7" s="7"/>
      <c r="I7" s="5" t="s">
        <v>526</v>
      </c>
      <c r="J7" s="2">
        <f t="shared" ca="1" si="0"/>
        <v>141.84888862</v>
      </c>
      <c r="P7" t="s">
        <v>657</v>
      </c>
      <c r="Q7" s="5" t="s">
        <v>701</v>
      </c>
      <c r="R7" s="33">
        <f ca="1">INDEX(INDIRECT("'"&amp;guia!$A$2&amp;"'!A:QK"),MATCH($P7,INDEX(INDIRECT("'"&amp;guia!$A$2&amp;"'!A:QK"),0,MATCH("FUND_ISIN",INDIRECT("'"&amp;guia!$A$2&amp;"'!1:1"),0)),0),MATCH("FUND_FINANCED_CARBON_EMISSIONS",INDIRECT("'"&amp;guia!$A$2&amp;"'!1:1"),0))</f>
        <v>42.84817236</v>
      </c>
      <c r="V7" t="str">
        <f t="shared" si="1"/>
        <v>Neuberger Berman - CLO Income Fund</v>
      </c>
      <c r="W7" t="str">
        <f t="shared" si="2"/>
        <v>IE00BF4NG566</v>
      </c>
      <c r="X7" t="str">
        <f t="shared" si="3"/>
        <v>5277312FNG56</v>
      </c>
      <c r="AN7" s="27">
        <f t="shared" ca="1" si="4"/>
        <v>141.84888862</v>
      </c>
      <c r="AQ7" t="s">
        <v>404</v>
      </c>
      <c r="AR7" t="s">
        <v>504</v>
      </c>
    </row>
    <row r="8" spans="1:44" x14ac:dyDescent="0.35">
      <c r="A8" s="6" t="s">
        <v>138</v>
      </c>
      <c r="B8" s="6" t="s">
        <v>643</v>
      </c>
      <c r="C8" s="6" t="s">
        <v>644</v>
      </c>
      <c r="D8" s="6" t="s">
        <v>388</v>
      </c>
      <c r="E8" s="6"/>
      <c r="F8" s="6" t="s">
        <v>645</v>
      </c>
      <c r="G8" s="8" t="s">
        <v>401</v>
      </c>
      <c r="H8" s="7" t="s">
        <v>653</v>
      </c>
      <c r="I8" s="5" t="s">
        <v>701</v>
      </c>
      <c r="J8" s="2">
        <f t="shared" ca="1" si="0"/>
        <v>42.84817236</v>
      </c>
      <c r="P8" s="32" t="s">
        <v>685</v>
      </c>
      <c r="Q8" s="5" t="s">
        <v>702</v>
      </c>
      <c r="R8" s="33">
        <f ca="1">INDEX(INDIRECT("'"&amp;guia!$A$2&amp;"'!A:QK"),MATCH($P8,INDEX(INDIRECT("'"&amp;guia!$A$2&amp;"'!A:QK"),0,MATCH("FUND_ISIN",INDIRECT("'"&amp;guia!$A$2&amp;"'!1:1"),0)),0),MATCH("FUND_FINANCED_CARBON_EMISSIONS",INDIRECT("'"&amp;guia!$A$2&amp;"'!1:1"),0))</f>
        <v>75.102934759999997</v>
      </c>
      <c r="V8" t="str">
        <f t="shared" si="1"/>
        <v>Janus Henderson - Horizon Euroland Fund</v>
      </c>
      <c r="W8" t="str">
        <f t="shared" si="2"/>
        <v>LU1136112601</v>
      </c>
      <c r="X8" t="str">
        <f t="shared" si="3"/>
        <v>5274244F1260</v>
      </c>
      <c r="AN8" s="27">
        <f t="shared" ca="1" si="4"/>
        <v>42.84817236</v>
      </c>
      <c r="AQ8" t="s">
        <v>404</v>
      </c>
      <c r="AR8" t="s">
        <v>504</v>
      </c>
    </row>
    <row r="9" spans="1:44" x14ac:dyDescent="0.35">
      <c r="A9" s="6" t="s">
        <v>138</v>
      </c>
      <c r="B9" s="6" t="s">
        <v>649</v>
      </c>
      <c r="C9" s="6" t="s">
        <v>648</v>
      </c>
      <c r="D9" s="6" t="s">
        <v>367</v>
      </c>
      <c r="E9" s="6"/>
      <c r="F9" s="6" t="s">
        <v>646</v>
      </c>
      <c r="G9" s="8" t="s">
        <v>401</v>
      </c>
      <c r="H9" s="7" t="s">
        <v>652</v>
      </c>
      <c r="I9" s="5" t="s">
        <v>651</v>
      </c>
      <c r="J9" s="2">
        <f t="shared" ca="1" si="0"/>
        <v>98.072106099999999</v>
      </c>
      <c r="V9" t="str">
        <f t="shared" si="1"/>
        <v>Arcano Fund - European Income Fund, ESG Selection</v>
      </c>
      <c r="W9" t="str">
        <f t="shared" si="2"/>
        <v>LU2343117433</v>
      </c>
      <c r="X9" t="str">
        <f t="shared" si="3"/>
        <v>5270604F1743</v>
      </c>
      <c r="AN9" s="27">
        <f t="shared" ca="1" si="4"/>
        <v>98.072106099999999</v>
      </c>
      <c r="AQ9" t="s">
        <v>404</v>
      </c>
      <c r="AR9" t="s">
        <v>504</v>
      </c>
    </row>
    <row r="10" spans="1:44" x14ac:dyDescent="0.35">
      <c r="A10" s="6" t="s">
        <v>138</v>
      </c>
      <c r="B10" s="6" t="s">
        <v>660</v>
      </c>
      <c r="C10" s="6" t="s">
        <v>659</v>
      </c>
      <c r="D10" s="6" t="s">
        <v>367</v>
      </c>
      <c r="E10" s="6"/>
      <c r="F10" s="6" t="s">
        <v>658</v>
      </c>
      <c r="G10" s="8" t="s">
        <v>401</v>
      </c>
      <c r="H10" s="7" t="s">
        <v>406</v>
      </c>
      <c r="I10" s="5" t="s">
        <v>654</v>
      </c>
      <c r="J10" s="2">
        <f t="shared" ca="1" si="0"/>
        <v>10.13004703</v>
      </c>
      <c r="V10" t="str">
        <f t="shared" si="1"/>
        <v>Global Evolution Funds - Frontier Markets Fund</v>
      </c>
      <c r="W10" t="str">
        <f t="shared" si="2"/>
        <v>LU1034966249</v>
      </c>
      <c r="X10" t="str">
        <f t="shared" si="3"/>
        <v>5274262F6624</v>
      </c>
      <c r="AN10" s="27">
        <f t="shared" ca="1" si="4"/>
        <v>10.13004703</v>
      </c>
      <c r="AQ10" t="s">
        <v>404</v>
      </c>
      <c r="AR10" t="s">
        <v>504</v>
      </c>
    </row>
    <row r="11" spans="1:44" x14ac:dyDescent="0.35">
      <c r="A11" s="6" t="s">
        <v>138</v>
      </c>
      <c r="B11" s="6" t="s">
        <v>676</v>
      </c>
      <c r="C11" s="6" t="s">
        <v>677</v>
      </c>
      <c r="D11" s="6" t="s">
        <v>367</v>
      </c>
      <c r="E11" s="6"/>
      <c r="F11" s="6" t="s">
        <v>646</v>
      </c>
      <c r="G11" s="8" t="s">
        <v>401</v>
      </c>
      <c r="H11" s="7" t="s">
        <v>652</v>
      </c>
      <c r="I11" s="5" t="s">
        <v>651</v>
      </c>
      <c r="J11" s="2">
        <f t="shared" ca="1" si="0"/>
        <v>98.072106099999999</v>
      </c>
      <c r="V11" t="str">
        <f t="shared" si="1"/>
        <v>Arcano Fund - European Income Fund, ESG Selection</v>
      </c>
      <c r="W11" t="str">
        <f t="shared" si="2"/>
        <v>LU0646914142</v>
      </c>
      <c r="X11" t="str">
        <f t="shared" si="3"/>
        <v>5270604F1414</v>
      </c>
      <c r="AN11" s="27">
        <f t="shared" ca="1" si="4"/>
        <v>98.072106099999999</v>
      </c>
      <c r="AQ11" t="s">
        <v>404</v>
      </c>
      <c r="AR11" t="s">
        <v>504</v>
      </c>
    </row>
    <row r="12" spans="1:44" x14ac:dyDescent="0.35">
      <c r="A12" s="6" t="s">
        <v>138</v>
      </c>
      <c r="B12" s="6" t="s">
        <v>678</v>
      </c>
      <c r="C12" s="6" t="s">
        <v>679</v>
      </c>
      <c r="D12" s="6" t="s">
        <v>367</v>
      </c>
      <c r="E12" s="6"/>
      <c r="F12" s="6" t="s">
        <v>525</v>
      </c>
      <c r="G12" s="8" t="s">
        <v>401</v>
      </c>
      <c r="H12" s="7"/>
      <c r="I12" s="5" t="s">
        <v>526</v>
      </c>
      <c r="J12" s="2">
        <f t="shared" ca="1" si="0"/>
        <v>141.84888862</v>
      </c>
      <c r="V12" t="str">
        <f t="shared" si="1"/>
        <v>Neuberger Berman - CLO Income Fund</v>
      </c>
      <c r="W12" t="str">
        <f t="shared" si="2"/>
        <v>IE00BHXGRM40</v>
      </c>
      <c r="X12" t="str">
        <f t="shared" si="3"/>
        <v>5277312FGRM4</v>
      </c>
      <c r="AN12" s="27">
        <f t="shared" ca="1" si="4"/>
        <v>141.84888862</v>
      </c>
      <c r="AQ12" t="s">
        <v>404</v>
      </c>
      <c r="AR12" t="s">
        <v>504</v>
      </c>
    </row>
    <row r="13" spans="1:44" x14ac:dyDescent="0.35">
      <c r="A13" s="6" t="s">
        <v>138</v>
      </c>
      <c r="B13" s="6" t="s">
        <v>680</v>
      </c>
      <c r="C13" s="6" t="s">
        <v>681</v>
      </c>
      <c r="D13" s="6" t="s">
        <v>388</v>
      </c>
      <c r="E13" s="6"/>
      <c r="F13" s="6" t="s">
        <v>682</v>
      </c>
      <c r="G13" s="8" t="s">
        <v>401</v>
      </c>
      <c r="H13" s="7"/>
      <c r="I13" s="5" t="s">
        <v>702</v>
      </c>
      <c r="J13" s="2">
        <f t="shared" ca="1" si="0"/>
        <v>75.102934759999997</v>
      </c>
      <c r="V13" t="str">
        <f t="shared" si="1"/>
        <v>Veritas - Asian Fund</v>
      </c>
      <c r="W13" t="str">
        <f t="shared" si="2"/>
        <v>IE00BD065N65</v>
      </c>
      <c r="X13" t="str">
        <f t="shared" si="3"/>
        <v>5274302F65N6</v>
      </c>
      <c r="AN13" s="27">
        <f t="shared" ca="1" si="4"/>
        <v>75.102934759999997</v>
      </c>
      <c r="AQ13" t="s">
        <v>404</v>
      </c>
      <c r="AR13" t="s">
        <v>504</v>
      </c>
    </row>
    <row r="14" spans="1:44" x14ac:dyDescent="0.35">
      <c r="AN14" s="27"/>
    </row>
    <row r="15" spans="1:44" x14ac:dyDescent="0.35">
      <c r="AN15" s="27"/>
    </row>
    <row r="16" spans="1:44" x14ac:dyDescent="0.35">
      <c r="AN16" s="27"/>
    </row>
    <row r="17" spans="40:40" x14ac:dyDescent="0.35">
      <c r="AN17" s="27"/>
    </row>
    <row r="18" spans="40:40" x14ac:dyDescent="0.35">
      <c r="AN18" s="27"/>
    </row>
    <row r="19" spans="40:40" x14ac:dyDescent="0.35">
      <c r="AN19" s="27"/>
    </row>
    <row r="20" spans="40:40" x14ac:dyDescent="0.35">
      <c r="AN20" s="27"/>
    </row>
    <row r="21" spans="40:40" x14ac:dyDescent="0.35">
      <c r="AN21" s="27"/>
    </row>
    <row r="22" spans="40:40" x14ac:dyDescent="0.35">
      <c r="AN22" s="27"/>
    </row>
    <row r="23" spans="40:40" x14ac:dyDescent="0.35">
      <c r="AN23" s="27"/>
    </row>
    <row r="24" spans="40:40" x14ac:dyDescent="0.35">
      <c r="AN24" s="27"/>
    </row>
    <row r="25" spans="40:40" x14ac:dyDescent="0.35">
      <c r="AN25" s="27"/>
    </row>
    <row r="26" spans="40:40" x14ac:dyDescent="0.35">
      <c r="AN26" s="27"/>
    </row>
    <row r="27" spans="40:40" x14ac:dyDescent="0.35">
      <c r="AN27" s="27"/>
    </row>
    <row r="28" spans="40:40" x14ac:dyDescent="0.35">
      <c r="AN28" s="27"/>
    </row>
    <row r="29" spans="40:40" x14ac:dyDescent="0.35">
      <c r="AN29" s="27"/>
    </row>
    <row r="30" spans="40:40" x14ac:dyDescent="0.35">
      <c r="AN30" s="27"/>
    </row>
    <row r="31" spans="40:40" x14ac:dyDescent="0.35">
      <c r="AN31" s="27"/>
    </row>
    <row r="32" spans="40:40" x14ac:dyDescent="0.35">
      <c r="AN32" s="27"/>
    </row>
    <row r="33" spans="40:40" x14ac:dyDescent="0.35">
      <c r="AN33" s="27"/>
    </row>
    <row r="34" spans="40:40" x14ac:dyDescent="0.35">
      <c r="AN34" s="27"/>
    </row>
    <row r="35" spans="40:40" x14ac:dyDescent="0.35">
      <c r="AN35" s="27"/>
    </row>
    <row r="36" spans="40:40" x14ac:dyDescent="0.35">
      <c r="AN36" s="27"/>
    </row>
    <row r="37" spans="40:40" x14ac:dyDescent="0.35">
      <c r="AN37" s="27"/>
    </row>
    <row r="38" spans="40:40" x14ac:dyDescent="0.35">
      <c r="AN38" s="27"/>
    </row>
    <row r="39" spans="40:40" x14ac:dyDescent="0.35">
      <c r="AN39" s="27"/>
    </row>
    <row r="40" spans="40:40" x14ac:dyDescent="0.35">
      <c r="AN40" s="27"/>
    </row>
    <row r="41" spans="40:40" x14ac:dyDescent="0.35">
      <c r="AN41" s="27"/>
    </row>
    <row r="42" spans="40:40" x14ac:dyDescent="0.35">
      <c r="AN42" s="27"/>
    </row>
    <row r="43" spans="40:40" x14ac:dyDescent="0.35">
      <c r="AN43" s="27"/>
    </row>
    <row r="44" spans="40:40" x14ac:dyDescent="0.35">
      <c r="AN44" s="27"/>
    </row>
    <row r="45" spans="40:40" x14ac:dyDescent="0.35">
      <c r="AN45" s="27"/>
    </row>
    <row r="46" spans="40:40" x14ac:dyDescent="0.35">
      <c r="AN46" s="27"/>
    </row>
    <row r="47" spans="40:40" x14ac:dyDescent="0.35">
      <c r="AN47" s="27"/>
    </row>
    <row r="48" spans="40:40" x14ac:dyDescent="0.35">
      <c r="AN48" s="27"/>
    </row>
    <row r="49" spans="40:40" x14ac:dyDescent="0.35">
      <c r="AN49" s="27"/>
    </row>
    <row r="50" spans="40:40" x14ac:dyDescent="0.35">
      <c r="AN50" s="27"/>
    </row>
    <row r="51" spans="40:40" x14ac:dyDescent="0.35">
      <c r="AN51" s="27"/>
    </row>
    <row r="52" spans="40:40" x14ac:dyDescent="0.35">
      <c r="AN52" s="27"/>
    </row>
    <row r="53" spans="40:40" x14ac:dyDescent="0.35">
      <c r="AN53" s="27"/>
    </row>
    <row r="54" spans="40:40" x14ac:dyDescent="0.35">
      <c r="AN54" s="27"/>
    </row>
    <row r="55" spans="40:40" x14ac:dyDescent="0.35">
      <c r="AN55" s="27"/>
    </row>
    <row r="56" spans="40:40" x14ac:dyDescent="0.35">
      <c r="AN56" s="27"/>
    </row>
    <row r="57" spans="40:40" x14ac:dyDescent="0.35">
      <c r="AN57" s="2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39FE-5AA3-4513-9FB7-A81D896C67DB}">
  <sheetPr codeName="Sheet4"/>
  <dimension ref="A1:AS57"/>
  <sheetViews>
    <sheetView showGridLines="0" topLeftCell="L8" zoomScale="70" zoomScaleNormal="70" workbookViewId="0">
      <selection activeCell="P15" sqref="P15:Q30"/>
    </sheetView>
  </sheetViews>
  <sheetFormatPr defaultRowHeight="14.5" x14ac:dyDescent="0.35"/>
  <cols>
    <col min="1" max="1" width="7.54296875" bestFit="1" customWidth="1"/>
    <col min="2" max="2" width="14" bestFit="1" customWidth="1"/>
    <col min="3" max="3" width="13.7265625" bestFit="1" customWidth="1"/>
    <col min="4" max="4" width="11.453125" bestFit="1" customWidth="1"/>
    <col min="5" max="5" width="40.453125" bestFit="1" customWidth="1"/>
    <col min="6" max="6" width="12.81640625" bestFit="1" customWidth="1"/>
    <col min="7" max="7" width="28.7265625" customWidth="1"/>
    <col min="8" max="8" width="40.453125" bestFit="1" customWidth="1"/>
    <col min="9" max="9" width="17.453125" customWidth="1"/>
    <col min="10" max="11" width="42.54296875" customWidth="1"/>
    <col min="12" max="12" width="19" customWidth="1"/>
    <col min="17" max="17" width="52.54296875" bestFit="1" customWidth="1"/>
    <col min="18" max="18" width="12.7265625" bestFit="1" customWidth="1"/>
    <col min="20" max="20" width="2.54296875" style="26" customWidth="1"/>
    <col min="45" max="45" width="2.453125" style="26" customWidth="1"/>
  </cols>
  <sheetData>
    <row r="1" spans="1:44" x14ac:dyDescent="0.35">
      <c r="A1" s="3" t="s">
        <v>0</v>
      </c>
      <c r="B1" s="3" t="s">
        <v>1</v>
      </c>
      <c r="C1" s="3" t="s">
        <v>3</v>
      </c>
      <c r="D1" s="3" t="s">
        <v>322</v>
      </c>
      <c r="E1" s="3" t="s">
        <v>323</v>
      </c>
      <c r="F1" s="3" t="s">
        <v>324</v>
      </c>
      <c r="G1" s="3" t="s">
        <v>325</v>
      </c>
      <c r="H1" s="3" t="s">
        <v>2</v>
      </c>
      <c r="I1" s="1" t="s">
        <v>398</v>
      </c>
      <c r="J1" s="1" t="s">
        <v>399</v>
      </c>
      <c r="K1" s="1" t="s">
        <v>427</v>
      </c>
      <c r="L1" s="1" t="s">
        <v>400</v>
      </c>
      <c r="N1" s="1" t="s">
        <v>403</v>
      </c>
      <c r="O1" s="4">
        <v>49</v>
      </c>
      <c r="T1" s="25"/>
      <c r="U1" t="s">
        <v>460</v>
      </c>
    </row>
    <row r="2" spans="1:44" x14ac:dyDescent="0.35">
      <c r="A2" s="4" t="s">
        <v>75</v>
      </c>
      <c r="B2" s="4" t="s">
        <v>76</v>
      </c>
      <c r="C2" s="4" t="s">
        <v>76</v>
      </c>
      <c r="D2" s="4" t="s">
        <v>326</v>
      </c>
      <c r="E2" s="4" t="s">
        <v>327</v>
      </c>
      <c r="F2" s="4" t="s">
        <v>328</v>
      </c>
      <c r="G2" s="4" t="s">
        <v>329</v>
      </c>
      <c r="H2" s="4" t="s">
        <v>77</v>
      </c>
      <c r="I2" s="2" t="s">
        <v>401</v>
      </c>
      <c r="J2" s="8" t="s">
        <v>407</v>
      </c>
      <c r="K2" s="2">
        <f t="shared" ref="K2:K33" ca="1" si="0">INDEX($R$4:$R$13,MATCH(J2,$Q$4:$Q$13,0))</f>
        <v>54.427446869999997</v>
      </c>
      <c r="L2" s="5"/>
      <c r="U2" s="28" t="s">
        <v>461</v>
      </c>
      <c r="V2" s="28" t="s">
        <v>462</v>
      </c>
      <c r="W2" s="28" t="s">
        <v>463</v>
      </c>
      <c r="X2" s="28" t="s">
        <v>464</v>
      </c>
      <c r="Y2" s="28" t="s">
        <v>465</v>
      </c>
      <c r="Z2" s="28" t="s">
        <v>466</v>
      </c>
      <c r="AA2" s="28" t="s">
        <v>467</v>
      </c>
      <c r="AB2" s="28" t="s">
        <v>468</v>
      </c>
      <c r="AC2" s="28" t="s">
        <v>469</v>
      </c>
      <c r="AD2" s="28" t="s">
        <v>470</v>
      </c>
      <c r="AE2" s="28" t="s">
        <v>471</v>
      </c>
      <c r="AF2" s="28" t="s">
        <v>472</v>
      </c>
      <c r="AG2" s="28" t="s">
        <v>473</v>
      </c>
      <c r="AH2" s="28" t="s">
        <v>474</v>
      </c>
      <c r="AI2" s="28" t="s">
        <v>475</v>
      </c>
      <c r="AJ2" s="28" t="s">
        <v>476</v>
      </c>
      <c r="AK2" s="28" t="s">
        <v>477</v>
      </c>
      <c r="AL2" s="28" t="s">
        <v>478</v>
      </c>
      <c r="AM2" s="28" t="s">
        <v>479</v>
      </c>
      <c r="AN2" s="28" t="s">
        <v>480</v>
      </c>
      <c r="AO2" s="28" t="s">
        <v>481</v>
      </c>
      <c r="AP2" s="28" t="s">
        <v>482</v>
      </c>
      <c r="AQ2" s="28" t="s">
        <v>483</v>
      </c>
      <c r="AR2" s="28" t="s">
        <v>484</v>
      </c>
    </row>
    <row r="3" spans="1:44" x14ac:dyDescent="0.35">
      <c r="A3" s="4" t="s">
        <v>92</v>
      </c>
      <c r="B3" s="4" t="s">
        <v>93</v>
      </c>
      <c r="C3" s="4" t="s">
        <v>95</v>
      </c>
      <c r="D3" s="4" t="s">
        <v>326</v>
      </c>
      <c r="E3" s="4" t="s">
        <v>330</v>
      </c>
      <c r="F3" s="4" t="s">
        <v>328</v>
      </c>
      <c r="G3" s="4" t="s">
        <v>329</v>
      </c>
      <c r="H3" s="4" t="s">
        <v>94</v>
      </c>
      <c r="I3" s="2" t="s">
        <v>401</v>
      </c>
      <c r="J3" s="8" t="s">
        <v>407</v>
      </c>
      <c r="K3" s="2">
        <f t="shared" ca="1" si="0"/>
        <v>54.427446869999997</v>
      </c>
      <c r="L3" s="4"/>
      <c r="P3" t="s">
        <v>608</v>
      </c>
      <c r="Q3" s="6" t="s">
        <v>428</v>
      </c>
      <c r="R3" s="6" t="s">
        <v>444</v>
      </c>
      <c r="U3" s="28"/>
      <c r="V3" s="28" t="s">
        <v>2</v>
      </c>
      <c r="W3" s="28" t="s">
        <v>485</v>
      </c>
      <c r="X3" s="28" t="s">
        <v>486</v>
      </c>
      <c r="Y3" s="28" t="s">
        <v>487</v>
      </c>
      <c r="Z3" s="28" t="s">
        <v>488</v>
      </c>
      <c r="AA3" s="28" t="s">
        <v>489</v>
      </c>
      <c r="AB3" s="28" t="s">
        <v>443</v>
      </c>
      <c r="AC3" s="28" t="s">
        <v>490</v>
      </c>
      <c r="AD3" s="28" t="s">
        <v>491</v>
      </c>
      <c r="AE3" s="28" t="s">
        <v>492</v>
      </c>
      <c r="AF3" s="28" t="s">
        <v>493</v>
      </c>
      <c r="AG3" s="28" t="s">
        <v>465</v>
      </c>
      <c r="AH3" s="28" t="s">
        <v>479</v>
      </c>
      <c r="AI3" s="28" t="s">
        <v>467</v>
      </c>
      <c r="AJ3" s="28" t="s">
        <v>494</v>
      </c>
      <c r="AK3" s="28" t="s">
        <v>495</v>
      </c>
      <c r="AL3" s="28" t="s">
        <v>496</v>
      </c>
      <c r="AM3" s="28" t="s">
        <v>497</v>
      </c>
      <c r="AN3" s="28" t="s">
        <v>498</v>
      </c>
      <c r="AO3" s="28" t="s">
        <v>499</v>
      </c>
      <c r="AP3" s="28" t="s">
        <v>500</v>
      </c>
      <c r="AQ3" s="28" t="s">
        <v>501</v>
      </c>
      <c r="AR3" s="28" t="s">
        <v>502</v>
      </c>
    </row>
    <row r="4" spans="1:44" x14ac:dyDescent="0.35">
      <c r="A4" s="4" t="s">
        <v>92</v>
      </c>
      <c r="B4" s="4" t="s">
        <v>96</v>
      </c>
      <c r="C4" s="4" t="s">
        <v>98</v>
      </c>
      <c r="D4" s="4" t="s">
        <v>326</v>
      </c>
      <c r="E4" s="4" t="s">
        <v>331</v>
      </c>
      <c r="F4" s="4" t="s">
        <v>328</v>
      </c>
      <c r="G4" s="4" t="s">
        <v>329</v>
      </c>
      <c r="H4" s="4" t="s">
        <v>97</v>
      </c>
      <c r="I4" s="2" t="s">
        <v>401</v>
      </c>
      <c r="J4" s="8" t="s">
        <v>407</v>
      </c>
      <c r="K4" s="2">
        <f t="shared" ca="1" si="0"/>
        <v>54.427446869999997</v>
      </c>
      <c r="L4" s="4"/>
      <c r="P4" s="32" t="s">
        <v>594</v>
      </c>
      <c r="Q4" s="6" t="s">
        <v>407</v>
      </c>
      <c r="R4" s="33">
        <f ca="1">INDEX(INDIRECT("'"&amp;guia!$A$2&amp;"'!A:QK"),MATCH($P4,INDEX(INDIRECT("'"&amp;guia!$A$2&amp;"'!A:QK"),0,MATCH("FUND_ISIN",INDIRECT("'"&amp;guia!$A$2&amp;"'!1:1"),0)),0),MATCH("FUND_FINANCED_CARBON_EMISSIONS",INDIRECT("'"&amp;guia!$A$2&amp;"'!1:1"),0))</f>
        <v>54.427446869999997</v>
      </c>
      <c r="V4" t="str">
        <f>H2</f>
        <v>Carlyle Peru</v>
      </c>
      <c r="W4" t="str">
        <f>C2</f>
        <v>4871412CLPEF</v>
      </c>
      <c r="X4" t="str">
        <f>B2</f>
        <v>4871412CLPEF</v>
      </c>
      <c r="AN4" s="27">
        <f t="shared" ref="AN4:AN35" ca="1" si="1">K2</f>
        <v>54.427446869999997</v>
      </c>
      <c r="AQ4" t="s">
        <v>404</v>
      </c>
      <c r="AR4" t="s">
        <v>503</v>
      </c>
    </row>
    <row r="5" spans="1:44" x14ac:dyDescent="0.35">
      <c r="A5" s="4" t="s">
        <v>92</v>
      </c>
      <c r="B5" s="4" t="s">
        <v>99</v>
      </c>
      <c r="C5" s="4" t="s">
        <v>101</v>
      </c>
      <c r="D5" s="4" t="s">
        <v>326</v>
      </c>
      <c r="E5" s="4" t="s">
        <v>332</v>
      </c>
      <c r="F5" s="4" t="s">
        <v>328</v>
      </c>
      <c r="G5" s="4" t="s">
        <v>333</v>
      </c>
      <c r="H5" s="4" t="s">
        <v>100</v>
      </c>
      <c r="I5" s="2" t="s">
        <v>401</v>
      </c>
      <c r="J5" s="8" t="s">
        <v>407</v>
      </c>
      <c r="K5" s="2">
        <f t="shared" ca="1" si="0"/>
        <v>54.427446869999997</v>
      </c>
      <c r="L5" s="4"/>
      <c r="P5" s="32" t="s">
        <v>537</v>
      </c>
      <c r="Q5" s="6" t="s">
        <v>456</v>
      </c>
      <c r="R5" s="33">
        <f ca="1">INDEX(INDIRECT("'"&amp;guia!$A$2&amp;"'!A:QK"),MATCH($P5,INDEX(INDIRECT("'"&amp;guia!$A$2&amp;"'!A:QK"),0,MATCH("FUND_ISIN",INDIRECT("'"&amp;guia!$A$2&amp;"'!1:1"),0)),0),MATCH("FUND_FINANCED_CARBON_EMISSIONS",INDIRECT("'"&amp;guia!$A$2&amp;"'!1:1"),0))</f>
        <v>22.262271330000001</v>
      </c>
      <c r="V5" t="str">
        <f t="shared" ref="V5:V53" si="2">H3</f>
        <v>Kandeo - II Private Equity</v>
      </c>
      <c r="W5" t="str">
        <f t="shared" ref="W5:W53" si="3">C3</f>
        <v>CVL795602F20</v>
      </c>
      <c r="X5" t="str">
        <f t="shared" ref="X5:X53" si="4">B3</f>
        <v>5111141KFIIP</v>
      </c>
      <c r="AN5" s="27">
        <f t="shared" ca="1" si="1"/>
        <v>54.427446869999997</v>
      </c>
      <c r="AQ5" t="s">
        <v>404</v>
      </c>
      <c r="AR5" t="s">
        <v>503</v>
      </c>
    </row>
    <row r="6" spans="1:44" x14ac:dyDescent="0.35">
      <c r="A6" s="4" t="s">
        <v>92</v>
      </c>
      <c r="B6" s="4" t="s">
        <v>102</v>
      </c>
      <c r="C6" s="4" t="s">
        <v>104</v>
      </c>
      <c r="D6" s="4" t="s">
        <v>326</v>
      </c>
      <c r="E6" s="4" t="s">
        <v>103</v>
      </c>
      <c r="F6" s="4" t="s">
        <v>328</v>
      </c>
      <c r="G6" s="4" t="s">
        <v>334</v>
      </c>
      <c r="H6" s="4" t="s">
        <v>103</v>
      </c>
      <c r="I6" s="2" t="s">
        <v>401</v>
      </c>
      <c r="J6" s="8" t="s">
        <v>407</v>
      </c>
      <c r="K6" s="2">
        <f t="shared" ca="1" si="0"/>
        <v>54.427446869999997</v>
      </c>
      <c r="L6" s="4"/>
      <c r="P6" s="32" t="s">
        <v>590</v>
      </c>
      <c r="Q6" s="6" t="s">
        <v>455</v>
      </c>
      <c r="R6" s="33">
        <f ca="1">INDEX(INDIRECT("'"&amp;guia!$A$2&amp;"'!A:QK"),MATCH($P6,INDEX(INDIRECT("'"&amp;guia!$A$2&amp;"'!A:QK"),0,MATCH("FUND_ISIN",INDIRECT("'"&amp;guia!$A$2&amp;"'!1:1"),0)),0),MATCH("FUND_FINANCED_CARBON_EMISSIONS",INDIRECT("'"&amp;guia!$A$2&amp;"'!1:1"),0))</f>
        <v>33.993810140000001</v>
      </c>
      <c r="V6" t="str">
        <f t="shared" si="2"/>
        <v>Macrocapitales - Fortaleza</v>
      </c>
      <c r="W6" t="str">
        <f t="shared" si="3"/>
        <v>CVL79560FI05</v>
      </c>
      <c r="X6" t="str">
        <f t="shared" si="4"/>
        <v>5111142FFOR1</v>
      </c>
      <c r="AN6" s="27">
        <f t="shared" ca="1" si="1"/>
        <v>54.427446869999997</v>
      </c>
      <c r="AQ6" t="s">
        <v>404</v>
      </c>
      <c r="AR6" t="s">
        <v>503</v>
      </c>
    </row>
    <row r="7" spans="1:44" x14ac:dyDescent="0.35">
      <c r="A7" s="4" t="s">
        <v>92</v>
      </c>
      <c r="B7" s="4" t="s">
        <v>105</v>
      </c>
      <c r="C7" s="4" t="s">
        <v>107</v>
      </c>
      <c r="D7" s="4" t="s">
        <v>326</v>
      </c>
      <c r="E7" s="4" t="s">
        <v>335</v>
      </c>
      <c r="F7" s="4" t="s">
        <v>328</v>
      </c>
      <c r="G7" s="4" t="s">
        <v>334</v>
      </c>
      <c r="H7" s="4" t="s">
        <v>106</v>
      </c>
      <c r="I7" s="2" t="s">
        <v>401</v>
      </c>
      <c r="J7" s="8" t="s">
        <v>407</v>
      </c>
      <c r="K7" s="2">
        <f t="shared" ca="1" si="0"/>
        <v>54.427446869999997</v>
      </c>
      <c r="L7" s="4"/>
      <c r="P7" s="32" t="s">
        <v>582</v>
      </c>
      <c r="Q7" s="6" t="s">
        <v>408</v>
      </c>
      <c r="R7" s="33">
        <f ca="1">INDEX(INDIRECT("'"&amp;guia!$A$2&amp;"'!A:QK"),MATCH($P7,INDEX(INDIRECT("'"&amp;guia!$A$2&amp;"'!A:QK"),0,MATCH("FUND_ISIN",INDIRECT("'"&amp;guia!$A$2&amp;"'!1:1"),0)),0),MATCH("FUND_FINANCED_CARBON_EMISSIONS",INDIRECT("'"&amp;guia!$A$2&amp;"'!1:1"),0))</f>
        <v>94.323511679999996</v>
      </c>
      <c r="V7" t="str">
        <f t="shared" si="2"/>
        <v>W Capital - Fondo Inmobiliario</v>
      </c>
      <c r="W7" t="str">
        <f t="shared" si="3"/>
        <v>CVL225501V53</v>
      </c>
      <c r="X7" t="str">
        <f t="shared" si="4"/>
        <v>5111181FDVI1</v>
      </c>
      <c r="AN7" s="27">
        <f t="shared" ca="1" si="1"/>
        <v>54.427446869999997</v>
      </c>
      <c r="AQ7" t="s">
        <v>404</v>
      </c>
      <c r="AR7" t="s">
        <v>503</v>
      </c>
    </row>
    <row r="8" spans="1:44" x14ac:dyDescent="0.35">
      <c r="A8" s="4" t="s">
        <v>92</v>
      </c>
      <c r="B8" s="4" t="s">
        <v>108</v>
      </c>
      <c r="C8" s="4" t="s">
        <v>110</v>
      </c>
      <c r="D8" s="4" t="s">
        <v>326</v>
      </c>
      <c r="E8" s="4" t="s">
        <v>336</v>
      </c>
      <c r="F8" s="4" t="s">
        <v>328</v>
      </c>
      <c r="G8" s="4" t="s">
        <v>333</v>
      </c>
      <c r="H8" s="4" t="s">
        <v>109</v>
      </c>
      <c r="I8" s="2" t="s">
        <v>401</v>
      </c>
      <c r="J8" s="8" t="s">
        <v>407</v>
      </c>
      <c r="K8" s="2">
        <f t="shared" ca="1" si="0"/>
        <v>54.427446869999997</v>
      </c>
      <c r="L8" s="4"/>
      <c r="P8" s="32" t="s">
        <v>598</v>
      </c>
      <c r="Q8" s="6" t="s">
        <v>458</v>
      </c>
      <c r="R8" s="33">
        <f ca="1">INDEX(INDIRECT("'"&amp;guia!$A$2&amp;"'!A:QK"),MATCH($P8,INDEX(INDIRECT("'"&amp;guia!$A$2&amp;"'!A:QK"),0,MATCH("FUND_ISIN",INDIRECT("'"&amp;guia!$A$2&amp;"'!1:1"),0)),0),MATCH("FUND_FINANCED_CARBON_EMISSIONS",INDIRECT("'"&amp;guia!$A$2&amp;"'!1:1"),0))</f>
        <v>91.455062609999999</v>
      </c>
      <c r="V8" t="str">
        <f t="shared" si="2"/>
        <v>Sura Credicorp Infraestructura</v>
      </c>
      <c r="W8" t="str">
        <f t="shared" si="3"/>
        <v>CVL79610C019</v>
      </c>
      <c r="X8" t="str">
        <f t="shared" si="4"/>
        <v>5111302INFAM</v>
      </c>
      <c r="AN8" s="27">
        <f t="shared" ca="1" si="1"/>
        <v>54.427446869999997</v>
      </c>
      <c r="AQ8" t="s">
        <v>404</v>
      </c>
      <c r="AR8" t="s">
        <v>503</v>
      </c>
    </row>
    <row r="9" spans="1:44" x14ac:dyDescent="0.35">
      <c r="A9" s="4" t="s">
        <v>92</v>
      </c>
      <c r="B9" s="4" t="s">
        <v>111</v>
      </c>
      <c r="C9" s="4" t="s">
        <v>113</v>
      </c>
      <c r="D9" s="4" t="s">
        <v>326</v>
      </c>
      <c r="E9" s="4" t="s">
        <v>335</v>
      </c>
      <c r="F9" s="4" t="s">
        <v>328</v>
      </c>
      <c r="G9" s="4" t="s">
        <v>334</v>
      </c>
      <c r="H9" s="4" t="s">
        <v>112</v>
      </c>
      <c r="I9" s="2" t="s">
        <v>401</v>
      </c>
      <c r="J9" s="8" t="s">
        <v>407</v>
      </c>
      <c r="K9" s="2">
        <f t="shared" ca="1" si="0"/>
        <v>54.427446869999997</v>
      </c>
      <c r="L9" s="4"/>
      <c r="P9" s="32" t="s">
        <v>606</v>
      </c>
      <c r="Q9" s="6" t="s">
        <v>459</v>
      </c>
      <c r="R9" s="33">
        <f ca="1">INDEX(INDIRECT("'"&amp;guia!$A$2&amp;"'!A:QK"),MATCH($P9,INDEX(INDIRECT("'"&amp;guia!$A$2&amp;"'!A:QK"),0,MATCH("FUND_ISIN",INDIRECT("'"&amp;guia!$A$2&amp;"'!1:1"),0)),0),MATCH("FUND_FINANCED_CARBON_EMISSIONS",INDIRECT("'"&amp;guia!$A$2&amp;"'!1:1"),0))</f>
        <v>178.67850795999999</v>
      </c>
      <c r="V9" t="str">
        <f t="shared" si="2"/>
        <v>AC Capitales - Infraestructura II</v>
      </c>
      <c r="W9" t="str">
        <f t="shared" si="3"/>
        <v>CVL79410FH16</v>
      </c>
      <c r="X9" t="str">
        <f t="shared" si="4"/>
        <v>5111042INF2A</v>
      </c>
      <c r="AN9" s="27">
        <f t="shared" ca="1" si="1"/>
        <v>54.427446869999997</v>
      </c>
      <c r="AQ9" t="s">
        <v>404</v>
      </c>
      <c r="AR9" t="s">
        <v>503</v>
      </c>
    </row>
    <row r="10" spans="1:44" x14ac:dyDescent="0.35">
      <c r="A10" s="4" t="s">
        <v>92</v>
      </c>
      <c r="B10" s="4" t="s">
        <v>114</v>
      </c>
      <c r="C10" s="4" t="s">
        <v>116</v>
      </c>
      <c r="D10" s="4" t="s">
        <v>326</v>
      </c>
      <c r="E10" s="4" t="s">
        <v>337</v>
      </c>
      <c r="F10" s="4" t="s">
        <v>328</v>
      </c>
      <c r="G10" s="4" t="s">
        <v>333</v>
      </c>
      <c r="H10" s="4" t="s">
        <v>115</v>
      </c>
      <c r="I10" s="2" t="s">
        <v>401</v>
      </c>
      <c r="J10" s="8" t="s">
        <v>407</v>
      </c>
      <c r="K10" s="2">
        <f t="shared" ca="1" si="0"/>
        <v>54.427446869999997</v>
      </c>
      <c r="L10" s="4"/>
      <c r="P10" s="32" t="s">
        <v>586</v>
      </c>
      <c r="Q10" s="6" t="s">
        <v>454</v>
      </c>
      <c r="R10" s="33">
        <f ca="1">INDEX(INDIRECT("'"&amp;guia!$A$2&amp;"'!A:QK"),MATCH($P10,INDEX(INDIRECT("'"&amp;guia!$A$2&amp;"'!A:QK"),0,MATCH("FUND_ISIN",INDIRECT("'"&amp;guia!$A$2&amp;"'!1:1"),0)),0),MATCH("FUND_FINANCED_CARBON_EMISSIONS",INDIRECT("'"&amp;guia!$A$2&amp;"'!1:1"),0))</f>
        <v>138.32673435000001</v>
      </c>
      <c r="V10" t="str">
        <f t="shared" si="2"/>
        <v>AC Capitales - Inmobiliario II</v>
      </c>
      <c r="W10" t="str">
        <f t="shared" si="3"/>
        <v>CVL79410FI80</v>
      </c>
      <c r="X10" t="str">
        <f t="shared" si="4"/>
        <v>5111042FINM2</v>
      </c>
      <c r="AN10" s="27">
        <f t="shared" ca="1" si="1"/>
        <v>54.427446869999997</v>
      </c>
      <c r="AQ10" t="s">
        <v>404</v>
      </c>
      <c r="AR10" t="s">
        <v>503</v>
      </c>
    </row>
    <row r="11" spans="1:44" x14ac:dyDescent="0.35">
      <c r="A11" s="4" t="s">
        <v>92</v>
      </c>
      <c r="B11" s="4" t="s">
        <v>117</v>
      </c>
      <c r="C11" s="4" t="s">
        <v>119</v>
      </c>
      <c r="D11" s="4" t="s">
        <v>326</v>
      </c>
      <c r="E11" s="4" t="s">
        <v>338</v>
      </c>
      <c r="F11" s="4" t="s">
        <v>328</v>
      </c>
      <c r="G11" s="4" t="s">
        <v>333</v>
      </c>
      <c r="H11" s="4" t="s">
        <v>118</v>
      </c>
      <c r="I11" s="2" t="s">
        <v>401</v>
      </c>
      <c r="J11" s="8" t="s">
        <v>407</v>
      </c>
      <c r="K11" s="2">
        <f t="shared" ca="1" si="0"/>
        <v>54.427446869999997</v>
      </c>
      <c r="L11" s="4"/>
      <c r="P11" s="32" t="s">
        <v>541</v>
      </c>
      <c r="Q11" s="6" t="s">
        <v>457</v>
      </c>
      <c r="R11" s="33">
        <f ca="1">INDEX(INDIRECT("'"&amp;guia!$A$2&amp;"'!A:QK"),MATCH($P11,INDEX(INDIRECT("'"&amp;guia!$A$2&amp;"'!A:QK"),0,MATCH("FUND_ISIN",INDIRECT("'"&amp;guia!$A$2&amp;"'!1:1"),0)),0),MATCH("FUND_FINANCED_CARBON_EMISSIONS",INDIRECT("'"&amp;guia!$A$2&amp;"'!1:1"),0))</f>
        <v>6.7813413599999999</v>
      </c>
      <c r="V11" t="str">
        <f t="shared" si="2"/>
        <v>AC Capitales - Infraestructura</v>
      </c>
      <c r="W11" t="str">
        <f t="shared" si="3"/>
        <v>CVL79410FI15</v>
      </c>
      <c r="X11" t="str">
        <f t="shared" si="4"/>
        <v>5111042INF1U</v>
      </c>
      <c r="AN11" s="27">
        <f t="shared" ca="1" si="1"/>
        <v>54.427446869999997</v>
      </c>
      <c r="AQ11" t="s">
        <v>404</v>
      </c>
      <c r="AR11" t="s">
        <v>503</v>
      </c>
    </row>
    <row r="12" spans="1:44" x14ac:dyDescent="0.35">
      <c r="A12" s="4" t="s">
        <v>92</v>
      </c>
      <c r="B12" s="4" t="s">
        <v>120</v>
      </c>
      <c r="C12" s="4" t="s">
        <v>122</v>
      </c>
      <c r="D12" s="4" t="s">
        <v>326</v>
      </c>
      <c r="E12" s="4" t="s">
        <v>121</v>
      </c>
      <c r="F12" s="4" t="s">
        <v>328</v>
      </c>
      <c r="G12" s="4" t="s">
        <v>329</v>
      </c>
      <c r="H12" s="4" t="s">
        <v>121</v>
      </c>
      <c r="I12" s="2" t="s">
        <v>401</v>
      </c>
      <c r="J12" s="8" t="s">
        <v>407</v>
      </c>
      <c r="K12" s="2">
        <f t="shared" ca="1" si="0"/>
        <v>54.427446869999997</v>
      </c>
      <c r="L12" s="4"/>
      <c r="P12" s="32" t="s">
        <v>602</v>
      </c>
      <c r="Q12" s="6" t="s">
        <v>453</v>
      </c>
      <c r="R12" s="33">
        <f ca="1">INDEX(INDIRECT("'"&amp;guia!$A$2&amp;"'!A:QK"),MATCH($P12,INDEX(INDIRECT("'"&amp;guia!$A$2&amp;"'!A:QK"),0,MATCH("FUND_ISIN",INDIRECT("'"&amp;guia!$A$2&amp;"'!1:1"),0)),0),MATCH("FUND_FINANCED_CARBON_EMISSIONS",INDIRECT("'"&amp;guia!$A$2&amp;"'!1:1"),0))</f>
        <v>7.0978034900000004</v>
      </c>
      <c r="V12" t="str">
        <f t="shared" si="2"/>
        <v>Compass - Inmobiliario B</v>
      </c>
      <c r="W12" t="str">
        <f t="shared" si="3"/>
        <v>CVL790409F59</v>
      </c>
      <c r="X12" t="str">
        <f t="shared" si="4"/>
        <v>5111022FINR2</v>
      </c>
      <c r="AN12" s="27">
        <f t="shared" ca="1" si="1"/>
        <v>54.427446869999997</v>
      </c>
      <c r="AQ12" t="s">
        <v>404</v>
      </c>
      <c r="AR12" t="s">
        <v>503</v>
      </c>
    </row>
    <row r="13" spans="1:44" x14ac:dyDescent="0.35">
      <c r="A13" s="4" t="s">
        <v>92</v>
      </c>
      <c r="B13" s="4" t="s">
        <v>123</v>
      </c>
      <c r="C13" s="4" t="s">
        <v>125</v>
      </c>
      <c r="D13" s="4" t="s">
        <v>326</v>
      </c>
      <c r="E13" s="4" t="s">
        <v>124</v>
      </c>
      <c r="F13" s="4" t="s">
        <v>328</v>
      </c>
      <c r="G13" s="4" t="s">
        <v>329</v>
      </c>
      <c r="H13" s="4" t="s">
        <v>124</v>
      </c>
      <c r="I13" s="2" t="s">
        <v>401</v>
      </c>
      <c r="J13" s="8" t="s">
        <v>407</v>
      </c>
      <c r="K13" s="2">
        <f t="shared" ca="1" si="0"/>
        <v>54.427446869999997</v>
      </c>
      <c r="L13" s="4"/>
      <c r="P13" s="32" t="s">
        <v>545</v>
      </c>
      <c r="Q13" s="6" t="s">
        <v>430</v>
      </c>
      <c r="R13" s="33">
        <f ca="1">INDEX(INDIRECT("'"&amp;guia!$A$2&amp;"'!A:QK"),MATCH($P13,INDEX(INDIRECT("'"&amp;guia!$A$2&amp;"'!A:QK"),0,MATCH("FUND_ISIN",INDIRECT("'"&amp;guia!$A$2&amp;"'!1:1"),0)),0),MATCH("FUND_FINANCED_CARBON_EMISSIONS",INDIRECT("'"&amp;guia!$A$2&amp;"'!1:1"),0))</f>
        <v>111.51933579999999</v>
      </c>
      <c r="V13" t="str">
        <f t="shared" si="2"/>
        <v>BCP Fondo Inmobiliario</v>
      </c>
      <c r="W13" t="str">
        <f t="shared" si="3"/>
        <v>CVL790801F46</v>
      </c>
      <c r="X13" t="str">
        <f t="shared" si="4"/>
        <v>5111011CCINM</v>
      </c>
      <c r="AN13" s="27">
        <f t="shared" ca="1" si="1"/>
        <v>54.427446869999997</v>
      </c>
      <c r="AQ13" t="s">
        <v>404</v>
      </c>
      <c r="AR13" t="s">
        <v>503</v>
      </c>
    </row>
    <row r="14" spans="1:44" x14ac:dyDescent="0.35">
      <c r="A14" s="4" t="s">
        <v>92</v>
      </c>
      <c r="B14" s="4" t="s">
        <v>126</v>
      </c>
      <c r="C14" s="4" t="s">
        <v>128</v>
      </c>
      <c r="D14" s="4" t="s">
        <v>326</v>
      </c>
      <c r="E14" s="4" t="s">
        <v>339</v>
      </c>
      <c r="F14" s="4" t="s">
        <v>328</v>
      </c>
      <c r="G14" s="4" t="s">
        <v>329</v>
      </c>
      <c r="H14" s="4" t="s">
        <v>127</v>
      </c>
      <c r="I14" s="2" t="s">
        <v>401</v>
      </c>
      <c r="J14" s="8" t="s">
        <v>407</v>
      </c>
      <c r="K14" s="2">
        <f t="shared" ca="1" si="0"/>
        <v>54.427446869999997</v>
      </c>
      <c r="L14" s="4"/>
      <c r="R14" s="24"/>
      <c r="V14" t="str">
        <f t="shared" si="2"/>
        <v>Enfoca - Descubridor 1</v>
      </c>
      <c r="W14" t="str">
        <f t="shared" si="3"/>
        <v>CVL79010FI43</v>
      </c>
      <c r="X14" t="str">
        <f t="shared" si="4"/>
        <v>5111072DES1B</v>
      </c>
      <c r="AN14" s="27">
        <f t="shared" ca="1" si="1"/>
        <v>54.427446869999997</v>
      </c>
      <c r="AQ14" t="s">
        <v>404</v>
      </c>
      <c r="AR14" t="s">
        <v>503</v>
      </c>
    </row>
    <row r="15" spans="1:44" x14ac:dyDescent="0.35">
      <c r="A15" s="4" t="s">
        <v>92</v>
      </c>
      <c r="B15" s="4" t="s">
        <v>129</v>
      </c>
      <c r="C15" s="4" t="s">
        <v>131</v>
      </c>
      <c r="D15" s="4" t="s">
        <v>326</v>
      </c>
      <c r="E15" s="4" t="s">
        <v>340</v>
      </c>
      <c r="F15" s="4" t="s">
        <v>328</v>
      </c>
      <c r="G15" s="4" t="s">
        <v>333</v>
      </c>
      <c r="H15" s="4" t="s">
        <v>130</v>
      </c>
      <c r="I15" s="2" t="s">
        <v>401</v>
      </c>
      <c r="J15" s="8" t="s">
        <v>407</v>
      </c>
      <c r="K15" s="2">
        <f t="shared" ca="1" si="0"/>
        <v>54.427446869999997</v>
      </c>
      <c r="L15" s="4"/>
      <c r="V15" t="str">
        <f t="shared" si="2"/>
        <v>Enfoca - Descubridor 2</v>
      </c>
      <c r="W15" t="str">
        <f t="shared" si="3"/>
        <v>CVL79010FO29</v>
      </c>
      <c r="X15" t="str">
        <f t="shared" si="4"/>
        <v>5111072DES2B</v>
      </c>
      <c r="AN15" s="27">
        <f t="shared" ca="1" si="1"/>
        <v>54.427446869999997</v>
      </c>
      <c r="AQ15" t="s">
        <v>404</v>
      </c>
      <c r="AR15" t="s">
        <v>503</v>
      </c>
    </row>
    <row r="16" spans="1:44" x14ac:dyDescent="0.35">
      <c r="A16" s="4" t="s">
        <v>92</v>
      </c>
      <c r="B16" s="4" t="s">
        <v>132</v>
      </c>
      <c r="C16" s="4" t="s">
        <v>134</v>
      </c>
      <c r="D16" s="4" t="s">
        <v>326</v>
      </c>
      <c r="E16" s="4" t="s">
        <v>341</v>
      </c>
      <c r="F16" s="4" t="s">
        <v>328</v>
      </c>
      <c r="G16" s="4" t="s">
        <v>333</v>
      </c>
      <c r="H16" s="4" t="s">
        <v>133</v>
      </c>
      <c r="I16" s="2" t="s">
        <v>401</v>
      </c>
      <c r="J16" s="8" t="s">
        <v>407</v>
      </c>
      <c r="K16" s="2">
        <f t="shared" ca="1" si="0"/>
        <v>54.427446869999997</v>
      </c>
      <c r="L16" s="4"/>
      <c r="V16" t="str">
        <f t="shared" si="2"/>
        <v xml:space="preserve">Faro Capital - Fondo de Inversión Retail </v>
      </c>
      <c r="W16" t="str">
        <f t="shared" si="3"/>
        <v>CVL793501F27</v>
      </c>
      <c r="X16" t="str">
        <f t="shared" si="4"/>
        <v>5111152FCRET</v>
      </c>
      <c r="AN16" s="27">
        <f t="shared" ca="1" si="1"/>
        <v>54.427446869999997</v>
      </c>
      <c r="AQ16" t="s">
        <v>404</v>
      </c>
      <c r="AR16" t="s">
        <v>503</v>
      </c>
    </row>
    <row r="17" spans="1:44" x14ac:dyDescent="0.35">
      <c r="A17" s="4" t="s">
        <v>92</v>
      </c>
      <c r="B17" s="4" t="s">
        <v>135</v>
      </c>
      <c r="C17" s="4" t="s">
        <v>137</v>
      </c>
      <c r="D17" s="4" t="s">
        <v>326</v>
      </c>
      <c r="E17" s="4" t="s">
        <v>342</v>
      </c>
      <c r="F17" s="4" t="s">
        <v>328</v>
      </c>
      <c r="G17" s="4" t="s">
        <v>334</v>
      </c>
      <c r="H17" s="4" t="s">
        <v>136</v>
      </c>
      <c r="I17" s="2" t="s">
        <v>401</v>
      </c>
      <c r="J17" s="8" t="s">
        <v>407</v>
      </c>
      <c r="K17" s="2">
        <f t="shared" ca="1" si="0"/>
        <v>54.427446869999997</v>
      </c>
      <c r="L17" s="4"/>
      <c r="V17" t="str">
        <f t="shared" si="2"/>
        <v>LarraínVial Colliers - Fibra III</v>
      </c>
      <c r="W17" t="str">
        <f t="shared" si="3"/>
        <v>CVL79033FI87</v>
      </c>
      <c r="X17" t="str">
        <f t="shared" si="4"/>
        <v>5111102FIBR3</v>
      </c>
      <c r="AN17" s="27">
        <f t="shared" ca="1" si="1"/>
        <v>54.427446869999997</v>
      </c>
      <c r="AQ17" t="s">
        <v>404</v>
      </c>
      <c r="AR17" t="s">
        <v>503</v>
      </c>
    </row>
    <row r="18" spans="1:44" x14ac:dyDescent="0.35">
      <c r="A18" s="4" t="s">
        <v>148</v>
      </c>
      <c r="B18" s="4" t="s">
        <v>149</v>
      </c>
      <c r="C18" s="4" t="s">
        <v>149</v>
      </c>
      <c r="D18" s="4" t="s">
        <v>326</v>
      </c>
      <c r="E18" s="4" t="s">
        <v>343</v>
      </c>
      <c r="F18" s="4" t="s">
        <v>344</v>
      </c>
      <c r="G18" s="4" t="s">
        <v>329</v>
      </c>
      <c r="H18" s="4" t="s">
        <v>150</v>
      </c>
      <c r="I18" s="2" t="s">
        <v>401</v>
      </c>
      <c r="J18" s="8" t="s">
        <v>455</v>
      </c>
      <c r="K18" s="2">
        <f t="shared" ca="1" si="0"/>
        <v>33.993810140000001</v>
      </c>
      <c r="L18" s="4"/>
      <c r="V18" t="str">
        <f t="shared" si="2"/>
        <v>LarraínVial Colliers - Fibra II</v>
      </c>
      <c r="W18" t="str">
        <f t="shared" si="3"/>
        <v>CVL79033FI61</v>
      </c>
      <c r="X18" t="str">
        <f t="shared" si="4"/>
        <v>5111102FIBR2</v>
      </c>
      <c r="AN18" s="27">
        <f t="shared" ca="1" si="1"/>
        <v>54.427446869999997</v>
      </c>
      <c r="AQ18" t="s">
        <v>404</v>
      </c>
      <c r="AR18" t="s">
        <v>503</v>
      </c>
    </row>
    <row r="19" spans="1:44" x14ac:dyDescent="0.35">
      <c r="A19" s="4" t="s">
        <v>148</v>
      </c>
      <c r="B19" s="4" t="s">
        <v>151</v>
      </c>
      <c r="C19" s="4" t="s">
        <v>153</v>
      </c>
      <c r="D19" s="4" t="s">
        <v>326</v>
      </c>
      <c r="E19" s="4" t="s">
        <v>345</v>
      </c>
      <c r="F19" s="4" t="s">
        <v>344</v>
      </c>
      <c r="G19" s="4" t="s">
        <v>329</v>
      </c>
      <c r="H19" s="4" t="s">
        <v>152</v>
      </c>
      <c r="I19" s="2" t="s">
        <v>401</v>
      </c>
      <c r="J19" s="19" t="s">
        <v>455</v>
      </c>
      <c r="K19" s="2">
        <f t="shared" ca="1" si="0"/>
        <v>33.993810140000001</v>
      </c>
      <c r="L19" s="4"/>
      <c r="V19" t="str">
        <f t="shared" si="2"/>
        <v>Sigma- Infraestructura</v>
      </c>
      <c r="W19" t="str">
        <f t="shared" si="3"/>
        <v>CVL79550FD69</v>
      </c>
      <c r="X19" t="str">
        <f t="shared" si="4"/>
        <v>5111052INFS1</v>
      </c>
      <c r="AN19" s="27">
        <f t="shared" ca="1" si="1"/>
        <v>54.427446869999997</v>
      </c>
      <c r="AQ19" t="s">
        <v>404</v>
      </c>
      <c r="AR19" t="s">
        <v>503</v>
      </c>
    </row>
    <row r="20" spans="1:44" x14ac:dyDescent="0.35">
      <c r="A20" s="4" t="s">
        <v>148</v>
      </c>
      <c r="B20" s="4" t="s">
        <v>154</v>
      </c>
      <c r="C20" s="4" t="s">
        <v>156</v>
      </c>
      <c r="D20" s="4" t="s">
        <v>326</v>
      </c>
      <c r="E20" s="4" t="s">
        <v>346</v>
      </c>
      <c r="F20" s="4" t="s">
        <v>344</v>
      </c>
      <c r="G20" s="4" t="s">
        <v>329</v>
      </c>
      <c r="H20" s="4" t="s">
        <v>155</v>
      </c>
      <c r="I20" s="2" t="s">
        <v>401</v>
      </c>
      <c r="J20" s="8" t="s">
        <v>456</v>
      </c>
      <c r="K20" s="2">
        <f t="shared" ca="1" si="0"/>
        <v>22.262271330000001</v>
      </c>
      <c r="L20" s="4"/>
      <c r="R20" s="5"/>
      <c r="V20" t="str">
        <f t="shared" si="2"/>
        <v>ASF VIII GP Limited</v>
      </c>
      <c r="W20" t="str">
        <f t="shared" si="3"/>
        <v>5358472ASF8G</v>
      </c>
      <c r="X20" t="str">
        <f t="shared" si="4"/>
        <v>5358472ASF8G</v>
      </c>
      <c r="AN20" s="27">
        <f t="shared" ca="1" si="1"/>
        <v>33.993810140000001</v>
      </c>
      <c r="AQ20" t="s">
        <v>404</v>
      </c>
      <c r="AR20" t="s">
        <v>503</v>
      </c>
    </row>
    <row r="21" spans="1:44" x14ac:dyDescent="0.35">
      <c r="A21" s="4" t="s">
        <v>148</v>
      </c>
      <c r="B21" s="4" t="s">
        <v>157</v>
      </c>
      <c r="C21" s="4" t="s">
        <v>159</v>
      </c>
      <c r="D21" s="4" t="s">
        <v>326</v>
      </c>
      <c r="E21" s="4" t="s">
        <v>347</v>
      </c>
      <c r="F21" s="4" t="s">
        <v>344</v>
      </c>
      <c r="G21" s="4" t="s">
        <v>348</v>
      </c>
      <c r="H21" s="4" t="s">
        <v>158</v>
      </c>
      <c r="I21" s="2" t="s">
        <v>401</v>
      </c>
      <c r="J21" s="8" t="s">
        <v>408</v>
      </c>
      <c r="K21" s="2">
        <f t="shared" ca="1" si="0"/>
        <v>94.323511679999996</v>
      </c>
      <c r="L21" s="4"/>
      <c r="V21" t="str">
        <f t="shared" si="2"/>
        <v>TRG Rohatyn - LAPEF I</v>
      </c>
      <c r="W21" t="str">
        <f t="shared" si="3"/>
        <v>PRIVATE1</v>
      </c>
      <c r="X21" t="str">
        <f t="shared" si="4"/>
        <v>5370862TRGL1</v>
      </c>
      <c r="AN21" s="27">
        <f t="shared" ca="1" si="1"/>
        <v>33.993810140000001</v>
      </c>
      <c r="AQ21" t="s">
        <v>404</v>
      </c>
      <c r="AR21" t="s">
        <v>503</v>
      </c>
    </row>
    <row r="22" spans="1:44" x14ac:dyDescent="0.35">
      <c r="A22" s="4" t="s">
        <v>148</v>
      </c>
      <c r="B22" s="4" t="s">
        <v>160</v>
      </c>
      <c r="C22" s="4" t="s">
        <v>162</v>
      </c>
      <c r="D22" s="4" t="s">
        <v>326</v>
      </c>
      <c r="E22" s="4" t="s">
        <v>349</v>
      </c>
      <c r="F22" s="4" t="s">
        <v>344</v>
      </c>
      <c r="G22" s="4" t="s">
        <v>329</v>
      </c>
      <c r="H22" s="4" t="s">
        <v>161</v>
      </c>
      <c r="I22" s="2" t="s">
        <v>401</v>
      </c>
      <c r="J22" s="20" t="s">
        <v>455</v>
      </c>
      <c r="K22" s="2">
        <f t="shared" ca="1" si="0"/>
        <v>33.993810140000001</v>
      </c>
      <c r="L22" s="4"/>
      <c r="V22" t="str">
        <f t="shared" si="2"/>
        <v>Partners - PGD 2009</v>
      </c>
      <c r="W22" t="str">
        <f t="shared" si="3"/>
        <v>PARTNERS1</v>
      </c>
      <c r="X22" t="str">
        <f t="shared" si="4"/>
        <v>5370904PGD09</v>
      </c>
      <c r="AN22" s="27">
        <f t="shared" ca="1" si="1"/>
        <v>22.262271330000001</v>
      </c>
      <c r="AQ22" t="s">
        <v>404</v>
      </c>
      <c r="AR22" t="s">
        <v>503</v>
      </c>
    </row>
    <row r="23" spans="1:44" x14ac:dyDescent="0.35">
      <c r="A23" s="4" t="s">
        <v>148</v>
      </c>
      <c r="B23" s="4" t="s">
        <v>163</v>
      </c>
      <c r="C23" s="4" t="s">
        <v>165</v>
      </c>
      <c r="D23" s="4" t="s">
        <v>326</v>
      </c>
      <c r="E23" s="4" t="s">
        <v>350</v>
      </c>
      <c r="F23" s="4" t="s">
        <v>328</v>
      </c>
      <c r="G23" s="4" t="s">
        <v>329</v>
      </c>
      <c r="H23" s="4" t="s">
        <v>164</v>
      </c>
      <c r="I23" s="2" t="s">
        <v>401</v>
      </c>
      <c r="J23" s="19" t="s">
        <v>455</v>
      </c>
      <c r="K23" s="2">
        <f t="shared" ca="1" si="0"/>
        <v>33.993810140000001</v>
      </c>
      <c r="L23" s="4"/>
      <c r="V23" t="str">
        <f t="shared" si="2"/>
        <v xml:space="preserve">PineBridge - Credit Opportunities II </v>
      </c>
      <c r="W23" t="str">
        <f t="shared" si="3"/>
        <v>PINEBRIDGE</v>
      </c>
      <c r="X23" t="str">
        <f t="shared" si="4"/>
        <v>5371072PBCR2</v>
      </c>
      <c r="AN23" s="27">
        <f t="shared" ca="1" si="1"/>
        <v>94.323511679999996</v>
      </c>
      <c r="AQ23" t="s">
        <v>404</v>
      </c>
      <c r="AR23" t="s">
        <v>503</v>
      </c>
    </row>
    <row r="24" spans="1:44" x14ac:dyDescent="0.35">
      <c r="A24" s="4" t="s">
        <v>148</v>
      </c>
      <c r="B24" s="4" t="s">
        <v>166</v>
      </c>
      <c r="C24" s="4" t="s">
        <v>168</v>
      </c>
      <c r="D24" s="4" t="s">
        <v>326</v>
      </c>
      <c r="E24" s="4" t="s">
        <v>351</v>
      </c>
      <c r="F24" s="4" t="s">
        <v>344</v>
      </c>
      <c r="G24" s="4" t="s">
        <v>329</v>
      </c>
      <c r="H24" s="4" t="s">
        <v>167</v>
      </c>
      <c r="I24" s="2" t="s">
        <v>401</v>
      </c>
      <c r="J24" s="8" t="s">
        <v>455</v>
      </c>
      <c r="K24" s="2">
        <f t="shared" ca="1" si="0"/>
        <v>33.993810140000001</v>
      </c>
      <c r="L24" s="4"/>
      <c r="V24" t="str">
        <f t="shared" si="2"/>
        <v>Pantheon - PASIA VI</v>
      </c>
      <c r="W24" t="str">
        <f t="shared" si="3"/>
        <v>PANTHEON</v>
      </c>
      <c r="X24" t="str">
        <f t="shared" si="4"/>
        <v>5371242PAVIL</v>
      </c>
      <c r="AN24" s="27">
        <f t="shared" ca="1" si="1"/>
        <v>33.993810140000001</v>
      </c>
      <c r="AQ24" t="s">
        <v>404</v>
      </c>
      <c r="AR24" t="s">
        <v>503</v>
      </c>
    </row>
    <row r="25" spans="1:44" x14ac:dyDescent="0.35">
      <c r="A25" s="4" t="s">
        <v>148</v>
      </c>
      <c r="B25" s="4" t="s">
        <v>169</v>
      </c>
      <c r="C25" s="4" t="s">
        <v>169</v>
      </c>
      <c r="D25" s="4" t="s">
        <v>326</v>
      </c>
      <c r="E25" s="4" t="s">
        <v>352</v>
      </c>
      <c r="F25" s="4" t="s">
        <v>344</v>
      </c>
      <c r="G25" s="4" t="s">
        <v>329</v>
      </c>
      <c r="H25" s="4" t="s">
        <v>170</v>
      </c>
      <c r="I25" s="2" t="s">
        <v>401</v>
      </c>
      <c r="J25" s="8" t="s">
        <v>455</v>
      </c>
      <c r="K25" s="2">
        <f t="shared" ca="1" si="0"/>
        <v>33.993810140000001</v>
      </c>
      <c r="L25" s="4"/>
      <c r="V25" t="str">
        <f t="shared" si="2"/>
        <v>ARCM - ARC Fund II</v>
      </c>
      <c r="W25" t="str">
        <f t="shared" si="3"/>
        <v>ARCFUNDII</v>
      </c>
      <c r="X25" t="str">
        <f t="shared" si="4"/>
        <v>5371262AGPII</v>
      </c>
      <c r="AN25" s="27">
        <f t="shared" ca="1" si="1"/>
        <v>33.993810140000001</v>
      </c>
      <c r="AQ25" t="s">
        <v>404</v>
      </c>
      <c r="AR25" t="s">
        <v>503</v>
      </c>
    </row>
    <row r="26" spans="1:44" x14ac:dyDescent="0.35">
      <c r="A26" s="4" t="s">
        <v>148</v>
      </c>
      <c r="B26" s="4" t="s">
        <v>171</v>
      </c>
      <c r="C26" s="4" t="s">
        <v>173</v>
      </c>
      <c r="D26" s="4" t="s">
        <v>326</v>
      </c>
      <c r="E26" s="4" t="s">
        <v>173</v>
      </c>
      <c r="F26" s="4" t="s">
        <v>344</v>
      </c>
      <c r="G26" s="4" t="s">
        <v>329</v>
      </c>
      <c r="H26" s="4" t="s">
        <v>172</v>
      </c>
      <c r="I26" s="2" t="s">
        <v>401</v>
      </c>
      <c r="J26" s="8" t="s">
        <v>455</v>
      </c>
      <c r="K26" s="2">
        <f t="shared" ca="1" si="0"/>
        <v>33.993810140000001</v>
      </c>
      <c r="L26" s="4"/>
      <c r="V26" t="str">
        <f t="shared" si="2"/>
        <v>Coller - Coller VI</v>
      </c>
      <c r="W26" t="str">
        <f t="shared" si="3"/>
        <v>COLLER</v>
      </c>
      <c r="X26" t="str">
        <f t="shared" si="4"/>
        <v>5371332COL6A</v>
      </c>
      <c r="AN26" s="27">
        <f t="shared" ca="1" si="1"/>
        <v>33.993810140000001</v>
      </c>
      <c r="AQ26" t="s">
        <v>404</v>
      </c>
      <c r="AR26" t="s">
        <v>503</v>
      </c>
    </row>
    <row r="27" spans="1:44" x14ac:dyDescent="0.35">
      <c r="A27" s="4" t="s">
        <v>148</v>
      </c>
      <c r="B27" s="4" t="s">
        <v>174</v>
      </c>
      <c r="C27" s="4" t="s">
        <v>174</v>
      </c>
      <c r="D27" s="4" t="s">
        <v>326</v>
      </c>
      <c r="E27" s="4" t="s">
        <v>353</v>
      </c>
      <c r="F27" s="4" t="s">
        <v>344</v>
      </c>
      <c r="G27" s="4" t="s">
        <v>329</v>
      </c>
      <c r="H27" s="4" t="s">
        <v>175</v>
      </c>
      <c r="I27" s="2" t="s">
        <v>401</v>
      </c>
      <c r="J27" s="8" t="s">
        <v>455</v>
      </c>
      <c r="K27" s="2">
        <f t="shared" ca="1" si="0"/>
        <v>33.993810140000001</v>
      </c>
      <c r="L27" s="4"/>
      <c r="V27" t="str">
        <f t="shared" si="2"/>
        <v>Partners - PG Secondary 2011</v>
      </c>
      <c r="W27" t="str">
        <f t="shared" si="3"/>
        <v>5371362PGS11</v>
      </c>
      <c r="X27" t="str">
        <f t="shared" si="4"/>
        <v>5371362PGS11</v>
      </c>
      <c r="AN27" s="27">
        <f t="shared" ca="1" si="1"/>
        <v>33.993810140000001</v>
      </c>
      <c r="AQ27" t="s">
        <v>404</v>
      </c>
      <c r="AR27" t="s">
        <v>503</v>
      </c>
    </row>
    <row r="28" spans="1:44" x14ac:dyDescent="0.35">
      <c r="A28" s="4" t="s">
        <v>148</v>
      </c>
      <c r="B28" s="4" t="s">
        <v>176</v>
      </c>
      <c r="C28" s="4" t="s">
        <v>178</v>
      </c>
      <c r="D28" s="4" t="s">
        <v>326</v>
      </c>
      <c r="E28" s="4" t="s">
        <v>177</v>
      </c>
      <c r="F28" s="4" t="s">
        <v>344</v>
      </c>
      <c r="G28" s="4" t="s">
        <v>348</v>
      </c>
      <c r="H28" s="4" t="s">
        <v>177</v>
      </c>
      <c r="I28" s="2" t="s">
        <v>401</v>
      </c>
      <c r="J28" s="8" t="s">
        <v>408</v>
      </c>
      <c r="K28" s="2">
        <f t="shared" ca="1" si="0"/>
        <v>94.323511679999996</v>
      </c>
      <c r="L28" s="4"/>
      <c r="V28" t="str">
        <f t="shared" si="2"/>
        <v>Apax VIII</v>
      </c>
      <c r="W28" t="str">
        <f t="shared" si="3"/>
        <v>APAX VIII</v>
      </c>
      <c r="X28" t="str">
        <f t="shared" si="4"/>
        <v>5371484A8AFE</v>
      </c>
      <c r="AN28" s="27">
        <f t="shared" ca="1" si="1"/>
        <v>33.993810140000001</v>
      </c>
      <c r="AQ28" t="s">
        <v>404</v>
      </c>
      <c r="AR28" t="s">
        <v>503</v>
      </c>
    </row>
    <row r="29" spans="1:44" x14ac:dyDescent="0.35">
      <c r="A29" s="4" t="s">
        <v>148</v>
      </c>
      <c r="B29" s="4" t="s">
        <v>179</v>
      </c>
      <c r="C29" s="4" t="s">
        <v>181</v>
      </c>
      <c r="D29" s="4" t="s">
        <v>326</v>
      </c>
      <c r="E29" s="4" t="s">
        <v>354</v>
      </c>
      <c r="F29" s="4" t="s">
        <v>344</v>
      </c>
      <c r="G29" s="4" t="s">
        <v>329</v>
      </c>
      <c r="H29" s="4" t="s">
        <v>180</v>
      </c>
      <c r="I29" s="2" t="s">
        <v>401</v>
      </c>
      <c r="J29" s="8" t="s">
        <v>455</v>
      </c>
      <c r="K29" s="2">
        <f t="shared" ca="1" si="0"/>
        <v>33.993810140000001</v>
      </c>
      <c r="L29" s="4"/>
      <c r="V29" t="str">
        <f t="shared" si="2"/>
        <v>Lexington Partners GP Holdings VIII LLC</v>
      </c>
      <c r="W29" t="str">
        <f t="shared" si="3"/>
        <v>5372842LCP8F</v>
      </c>
      <c r="X29" t="str">
        <f t="shared" si="4"/>
        <v>5372842LCP8F</v>
      </c>
      <c r="AN29" s="27">
        <f t="shared" ca="1" si="1"/>
        <v>33.993810140000001</v>
      </c>
      <c r="AQ29" t="s">
        <v>404</v>
      </c>
      <c r="AR29" t="s">
        <v>503</v>
      </c>
    </row>
    <row r="30" spans="1:44" x14ac:dyDescent="0.35">
      <c r="A30" s="4" t="s">
        <v>148</v>
      </c>
      <c r="B30" s="4" t="s">
        <v>182</v>
      </c>
      <c r="C30" s="4" t="s">
        <v>184</v>
      </c>
      <c r="D30" s="4" t="s">
        <v>326</v>
      </c>
      <c r="E30" s="4" t="s">
        <v>183</v>
      </c>
      <c r="F30" s="4" t="s">
        <v>344</v>
      </c>
      <c r="G30" s="4" t="s">
        <v>348</v>
      </c>
      <c r="H30" s="4" t="s">
        <v>183</v>
      </c>
      <c r="I30" s="2" t="s">
        <v>401</v>
      </c>
      <c r="J30" s="8" t="s">
        <v>408</v>
      </c>
      <c r="K30" s="2">
        <f t="shared" ca="1" si="0"/>
        <v>94.323511679999996</v>
      </c>
      <c r="L30" s="4"/>
      <c r="V30" t="str">
        <f t="shared" si="2"/>
        <v>Apollo Credit Opportunity III</v>
      </c>
      <c r="W30" t="str">
        <f t="shared" si="3"/>
        <v>APOLLO</v>
      </c>
      <c r="X30" t="str">
        <f t="shared" si="4"/>
        <v>5373382ACOA3</v>
      </c>
      <c r="AN30" s="27">
        <f t="shared" ca="1" si="1"/>
        <v>94.323511679999996</v>
      </c>
      <c r="AQ30" t="s">
        <v>404</v>
      </c>
      <c r="AR30" t="s">
        <v>503</v>
      </c>
    </row>
    <row r="31" spans="1:44" x14ac:dyDescent="0.35">
      <c r="A31" s="4" t="s">
        <v>148</v>
      </c>
      <c r="B31" s="4" t="s">
        <v>185</v>
      </c>
      <c r="C31" s="4" t="s">
        <v>185</v>
      </c>
      <c r="D31" s="4" t="s">
        <v>326</v>
      </c>
      <c r="E31" s="4" t="s">
        <v>355</v>
      </c>
      <c r="F31" s="4" t="s">
        <v>344</v>
      </c>
      <c r="G31" s="4" t="s">
        <v>348</v>
      </c>
      <c r="H31" s="4" t="s">
        <v>186</v>
      </c>
      <c r="I31" s="2" t="s">
        <v>401</v>
      </c>
      <c r="J31" s="8" t="s">
        <v>408</v>
      </c>
      <c r="K31" s="2">
        <f t="shared" ca="1" si="0"/>
        <v>94.323511679999996</v>
      </c>
      <c r="L31" s="4"/>
      <c r="V31" t="str">
        <f t="shared" si="2"/>
        <v>Partners - PG Secondary 2015</v>
      </c>
      <c r="W31" t="str">
        <f t="shared" si="3"/>
        <v>PGS15</v>
      </c>
      <c r="X31" t="str">
        <f t="shared" si="4"/>
        <v>5373542PGS15</v>
      </c>
      <c r="AN31" s="27">
        <f t="shared" ca="1" si="1"/>
        <v>33.993810140000001</v>
      </c>
      <c r="AQ31" t="s">
        <v>404</v>
      </c>
      <c r="AR31" t="s">
        <v>503</v>
      </c>
    </row>
    <row r="32" spans="1:44" x14ac:dyDescent="0.35">
      <c r="A32" s="4" t="s">
        <v>148</v>
      </c>
      <c r="B32" s="4" t="s">
        <v>187</v>
      </c>
      <c r="C32" s="4" t="s">
        <v>189</v>
      </c>
      <c r="D32" s="4" t="s">
        <v>326</v>
      </c>
      <c r="E32" s="4" t="s">
        <v>356</v>
      </c>
      <c r="F32" s="4" t="s">
        <v>344</v>
      </c>
      <c r="G32" s="4" t="s">
        <v>348</v>
      </c>
      <c r="H32" s="4" t="s">
        <v>188</v>
      </c>
      <c r="I32" s="2" t="s">
        <v>401</v>
      </c>
      <c r="J32" s="8" t="s">
        <v>408</v>
      </c>
      <c r="K32" s="2">
        <f t="shared" ca="1" si="0"/>
        <v>94.323511679999996</v>
      </c>
      <c r="L32" s="4"/>
      <c r="V32" t="str">
        <f t="shared" si="2"/>
        <v>Oaktree Principal Fund VI GP, L.P.</v>
      </c>
      <c r="W32" t="str">
        <f t="shared" si="3"/>
        <v>OPF6F</v>
      </c>
      <c r="X32" t="str">
        <f t="shared" si="4"/>
        <v>5373592OPF6F</v>
      </c>
      <c r="AN32" s="27">
        <f t="shared" ca="1" si="1"/>
        <v>94.323511679999996</v>
      </c>
      <c r="AQ32" t="s">
        <v>404</v>
      </c>
      <c r="AR32" t="s">
        <v>503</v>
      </c>
    </row>
    <row r="33" spans="1:44" x14ac:dyDescent="0.35">
      <c r="A33" s="4" t="s">
        <v>148</v>
      </c>
      <c r="B33" s="4" t="s">
        <v>190</v>
      </c>
      <c r="C33" s="4" t="s">
        <v>192</v>
      </c>
      <c r="D33" s="4" t="s">
        <v>326</v>
      </c>
      <c r="E33" s="4" t="s">
        <v>357</v>
      </c>
      <c r="F33" s="4" t="s">
        <v>344</v>
      </c>
      <c r="G33" s="4" t="s">
        <v>329</v>
      </c>
      <c r="H33" s="4" t="s">
        <v>191</v>
      </c>
      <c r="I33" s="2" t="s">
        <v>401</v>
      </c>
      <c r="J33" s="8" t="s">
        <v>455</v>
      </c>
      <c r="K33" s="2">
        <f t="shared" ca="1" si="0"/>
        <v>33.993810140000001</v>
      </c>
      <c r="L33" s="4"/>
      <c r="V33" t="str">
        <f t="shared" si="2"/>
        <v>ASSF - Operating Manager IV, LP</v>
      </c>
      <c r="W33" t="str">
        <f t="shared" si="3"/>
        <v>5373852ASSIV</v>
      </c>
      <c r="X33" t="str">
        <f t="shared" si="4"/>
        <v>5373852ASSIV</v>
      </c>
      <c r="AN33" s="27">
        <f t="shared" ca="1" si="1"/>
        <v>94.323511679999996</v>
      </c>
      <c r="AQ33" t="s">
        <v>404</v>
      </c>
      <c r="AR33" t="s">
        <v>503</v>
      </c>
    </row>
    <row r="34" spans="1:44" x14ac:dyDescent="0.35">
      <c r="A34" s="4" t="s">
        <v>148</v>
      </c>
      <c r="B34" s="4" t="s">
        <v>193</v>
      </c>
      <c r="C34" s="4" t="s">
        <v>193</v>
      </c>
      <c r="D34" s="4" t="s">
        <v>326</v>
      </c>
      <c r="E34" s="4" t="s">
        <v>358</v>
      </c>
      <c r="F34" s="4" t="s">
        <v>344</v>
      </c>
      <c r="G34" s="4" t="s">
        <v>329</v>
      </c>
      <c r="H34" s="4" t="s">
        <v>194</v>
      </c>
      <c r="I34" s="2" t="s">
        <v>401</v>
      </c>
      <c r="J34" s="8" t="s">
        <v>455</v>
      </c>
      <c r="K34" s="2">
        <f t="shared" ref="K34:K51" ca="1" si="5">INDEX($R$4:$R$13,MATCH(J34,$Q$4:$Q$13,0))</f>
        <v>33.993810140000001</v>
      </c>
      <c r="L34" s="4"/>
      <c r="V34" t="str">
        <f t="shared" si="2"/>
        <v>Avenue - Europe Capital Partners III, LLC</v>
      </c>
      <c r="W34" t="str">
        <f t="shared" si="3"/>
        <v>AESS3</v>
      </c>
      <c r="X34" t="str">
        <f t="shared" si="4"/>
        <v>5373892AESS3</v>
      </c>
      <c r="AN34" s="27">
        <f t="shared" ca="1" si="1"/>
        <v>94.323511679999996</v>
      </c>
      <c r="AQ34" t="s">
        <v>404</v>
      </c>
      <c r="AR34" t="s">
        <v>503</v>
      </c>
    </row>
    <row r="35" spans="1:44" x14ac:dyDescent="0.35">
      <c r="A35" s="4" t="s">
        <v>148</v>
      </c>
      <c r="B35" s="4" t="s">
        <v>195</v>
      </c>
      <c r="C35" s="4" t="s">
        <v>195</v>
      </c>
      <c r="D35" s="4" t="s">
        <v>326</v>
      </c>
      <c r="E35" s="4" t="s">
        <v>196</v>
      </c>
      <c r="F35" s="4" t="s">
        <v>344</v>
      </c>
      <c r="G35" s="4" t="s">
        <v>329</v>
      </c>
      <c r="H35" s="4" t="s">
        <v>196</v>
      </c>
      <c r="I35" s="2" t="s">
        <v>401</v>
      </c>
      <c r="J35" s="8" t="s">
        <v>456</v>
      </c>
      <c r="K35" s="2">
        <f t="shared" ca="1" si="5"/>
        <v>22.262271330000001</v>
      </c>
      <c r="L35" s="4"/>
      <c r="V35" t="str">
        <f t="shared" si="2"/>
        <v>Coller</v>
      </c>
      <c r="W35" t="str">
        <f t="shared" si="3"/>
        <v>COL7F</v>
      </c>
      <c r="X35" t="str">
        <f t="shared" si="4"/>
        <v>5373962COL7F</v>
      </c>
      <c r="AN35" s="27">
        <f t="shared" ca="1" si="1"/>
        <v>33.993810140000001</v>
      </c>
      <c r="AQ35" t="s">
        <v>404</v>
      </c>
      <c r="AR35" t="s">
        <v>503</v>
      </c>
    </row>
    <row r="36" spans="1:44" x14ac:dyDescent="0.35">
      <c r="A36" s="4" t="s">
        <v>148</v>
      </c>
      <c r="B36" s="4" t="s">
        <v>197</v>
      </c>
      <c r="C36" s="4" t="s">
        <v>197</v>
      </c>
      <c r="D36" s="4" t="s">
        <v>326</v>
      </c>
      <c r="E36" s="4" t="s">
        <v>198</v>
      </c>
      <c r="F36" s="4" t="s">
        <v>344</v>
      </c>
      <c r="G36" s="4" t="s">
        <v>329</v>
      </c>
      <c r="H36" s="4" t="s">
        <v>198</v>
      </c>
      <c r="I36" s="2" t="s">
        <v>401</v>
      </c>
      <c r="J36" s="8" t="s">
        <v>456</v>
      </c>
      <c r="K36" s="2">
        <f t="shared" ca="1" si="5"/>
        <v>22.262271330000001</v>
      </c>
      <c r="L36" s="4"/>
      <c r="V36" t="str">
        <f t="shared" si="2"/>
        <v xml:space="preserve">Apax IX </v>
      </c>
      <c r="W36" t="str">
        <f t="shared" si="3"/>
        <v>5374062AIXFE</v>
      </c>
      <c r="X36" t="str">
        <f t="shared" si="4"/>
        <v>5374062AIXFE</v>
      </c>
      <c r="AN36" s="27">
        <f t="shared" ref="AN36:AN53" ca="1" si="6">K34</f>
        <v>33.993810140000001</v>
      </c>
      <c r="AQ36" t="s">
        <v>404</v>
      </c>
      <c r="AR36" t="s">
        <v>503</v>
      </c>
    </row>
    <row r="37" spans="1:44" x14ac:dyDescent="0.35">
      <c r="A37" s="4" t="s">
        <v>148</v>
      </c>
      <c r="B37" s="4" t="s">
        <v>199</v>
      </c>
      <c r="C37" s="4" t="s">
        <v>199</v>
      </c>
      <c r="D37" s="4" t="s">
        <v>326</v>
      </c>
      <c r="E37" s="4" t="s">
        <v>359</v>
      </c>
      <c r="F37" s="4" t="s">
        <v>344</v>
      </c>
      <c r="G37" s="4" t="s">
        <v>329</v>
      </c>
      <c r="H37" s="4" t="s">
        <v>200</v>
      </c>
      <c r="I37" s="2" t="s">
        <v>401</v>
      </c>
      <c r="J37" s="21" t="s">
        <v>455</v>
      </c>
      <c r="K37" s="2">
        <f t="shared" ca="1" si="5"/>
        <v>33.993810140000001</v>
      </c>
      <c r="L37" s="4"/>
      <c r="V37" t="str">
        <f t="shared" si="2"/>
        <v>KKR</v>
      </c>
      <c r="W37" t="str">
        <f t="shared" si="3"/>
        <v>5374112KKR12</v>
      </c>
      <c r="X37" t="str">
        <f t="shared" si="4"/>
        <v>5374112KKR12</v>
      </c>
      <c r="AN37" s="27">
        <f t="shared" ca="1" si="6"/>
        <v>22.262271330000001</v>
      </c>
      <c r="AQ37" t="s">
        <v>404</v>
      </c>
      <c r="AR37" t="s">
        <v>503</v>
      </c>
    </row>
    <row r="38" spans="1:44" x14ac:dyDescent="0.35">
      <c r="A38" s="4" t="s">
        <v>148</v>
      </c>
      <c r="B38" s="4" t="s">
        <v>201</v>
      </c>
      <c r="C38" s="4" t="s">
        <v>201</v>
      </c>
      <c r="D38" s="4" t="s">
        <v>326</v>
      </c>
      <c r="E38" s="4" t="s">
        <v>360</v>
      </c>
      <c r="F38" s="4" t="s">
        <v>344</v>
      </c>
      <c r="G38" s="4" t="s">
        <v>333</v>
      </c>
      <c r="H38" s="4" t="s">
        <v>202</v>
      </c>
      <c r="I38" s="2" t="s">
        <v>401</v>
      </c>
      <c r="J38" s="8" t="s">
        <v>457</v>
      </c>
      <c r="K38" s="2">
        <f t="shared" ca="1" si="5"/>
        <v>6.7813413599999999</v>
      </c>
      <c r="L38" s="4"/>
      <c r="V38" t="str">
        <f t="shared" si="2"/>
        <v>HarbourVest Co-Investment Fund IV</v>
      </c>
      <c r="W38" t="str">
        <f t="shared" si="3"/>
        <v>5374192HCI4A</v>
      </c>
      <c r="X38" t="str">
        <f t="shared" si="4"/>
        <v>5374192HCI4A</v>
      </c>
      <c r="AN38" s="27">
        <f t="shared" ca="1" si="6"/>
        <v>22.262271330000001</v>
      </c>
      <c r="AQ38" t="s">
        <v>404</v>
      </c>
      <c r="AR38" t="s">
        <v>503</v>
      </c>
    </row>
    <row r="39" spans="1:44" x14ac:dyDescent="0.35">
      <c r="A39" s="4" t="s">
        <v>148</v>
      </c>
      <c r="B39" s="4" t="s">
        <v>203</v>
      </c>
      <c r="C39" s="4" t="s">
        <v>203</v>
      </c>
      <c r="D39" s="4" t="s">
        <v>326</v>
      </c>
      <c r="E39" s="4" t="s">
        <v>361</v>
      </c>
      <c r="F39" s="4" t="s">
        <v>344</v>
      </c>
      <c r="G39" s="4" t="s">
        <v>329</v>
      </c>
      <c r="H39" s="4" t="s">
        <v>204</v>
      </c>
      <c r="I39" s="2" t="s">
        <v>401</v>
      </c>
      <c r="J39" s="8" t="s">
        <v>456</v>
      </c>
      <c r="K39" s="2">
        <f t="shared" ca="1" si="5"/>
        <v>22.262271330000001</v>
      </c>
      <c r="L39" s="4"/>
      <c r="V39" t="str">
        <f t="shared" si="2"/>
        <v>CVC Capital Partners - VII Limited</v>
      </c>
      <c r="W39" t="str">
        <f t="shared" si="3"/>
        <v>5374204CVC7A</v>
      </c>
      <c r="X39" t="str">
        <f t="shared" si="4"/>
        <v>5374204CVC7A</v>
      </c>
      <c r="AN39" s="27">
        <f t="shared" ca="1" si="6"/>
        <v>33.993810140000001</v>
      </c>
      <c r="AQ39" t="s">
        <v>404</v>
      </c>
      <c r="AR39" t="s">
        <v>503</v>
      </c>
    </row>
    <row r="40" spans="1:44" x14ac:dyDescent="0.35">
      <c r="A40" s="4" t="s">
        <v>148</v>
      </c>
      <c r="B40" s="4" t="s">
        <v>205</v>
      </c>
      <c r="C40" s="4" t="s">
        <v>205</v>
      </c>
      <c r="D40" s="4" t="s">
        <v>326</v>
      </c>
      <c r="E40" s="4" t="s">
        <v>206</v>
      </c>
      <c r="F40" s="4" t="s">
        <v>344</v>
      </c>
      <c r="G40" s="4" t="s">
        <v>329</v>
      </c>
      <c r="H40" s="4" t="s">
        <v>206</v>
      </c>
      <c r="I40" s="2" t="s">
        <v>401</v>
      </c>
      <c r="J40" s="22" t="s">
        <v>455</v>
      </c>
      <c r="K40" s="2">
        <f t="shared" ca="1" si="5"/>
        <v>33.993810140000001</v>
      </c>
      <c r="L40" s="4"/>
      <c r="V40" t="str">
        <f t="shared" si="2"/>
        <v>Carlyle Realty Partners - VIII</v>
      </c>
      <c r="W40" t="str">
        <f t="shared" si="3"/>
        <v>5374272CRF8B</v>
      </c>
      <c r="X40" t="str">
        <f t="shared" si="4"/>
        <v>5374272CRF8B</v>
      </c>
      <c r="AN40" s="27">
        <f t="shared" ca="1" si="6"/>
        <v>6.7813413599999999</v>
      </c>
      <c r="AQ40" t="s">
        <v>404</v>
      </c>
      <c r="AR40" t="s">
        <v>503</v>
      </c>
    </row>
    <row r="41" spans="1:44" x14ac:dyDescent="0.35">
      <c r="A41" s="4" t="s">
        <v>148</v>
      </c>
      <c r="B41" s="4" t="s">
        <v>207</v>
      </c>
      <c r="C41" s="4" t="s">
        <v>207</v>
      </c>
      <c r="D41" s="4" t="s">
        <v>326</v>
      </c>
      <c r="E41" s="4" t="s">
        <v>206</v>
      </c>
      <c r="F41" s="4" t="s">
        <v>344</v>
      </c>
      <c r="G41" s="4" t="s">
        <v>329</v>
      </c>
      <c r="H41" s="4" t="s">
        <v>206</v>
      </c>
      <c r="I41" s="2" t="s">
        <v>401</v>
      </c>
      <c r="J41" s="22" t="s">
        <v>455</v>
      </c>
      <c r="K41" s="2">
        <f t="shared" ca="1" si="5"/>
        <v>33.993810140000001</v>
      </c>
      <c r="L41" s="4"/>
      <c r="V41" t="str">
        <f t="shared" si="2"/>
        <v>Carlyle Partners VII</v>
      </c>
      <c r="W41" t="str">
        <f t="shared" si="3"/>
        <v>5374342CPVII</v>
      </c>
      <c r="X41" t="str">
        <f t="shared" si="4"/>
        <v>5374342CPVII</v>
      </c>
      <c r="AN41" s="27">
        <f t="shared" ca="1" si="6"/>
        <v>22.262271330000001</v>
      </c>
      <c r="AQ41" t="s">
        <v>404</v>
      </c>
      <c r="AR41" t="s">
        <v>503</v>
      </c>
    </row>
    <row r="42" spans="1:44" x14ac:dyDescent="0.35">
      <c r="A42" s="4" t="s">
        <v>148</v>
      </c>
      <c r="B42" s="4" t="s">
        <v>208</v>
      </c>
      <c r="C42" s="4" t="s">
        <v>208</v>
      </c>
      <c r="D42" s="4" t="s">
        <v>326</v>
      </c>
      <c r="E42" s="4" t="s">
        <v>362</v>
      </c>
      <c r="F42" s="4" t="s">
        <v>344</v>
      </c>
      <c r="G42" s="4" t="s">
        <v>329</v>
      </c>
      <c r="H42" s="4" t="s">
        <v>209</v>
      </c>
      <c r="I42" s="2" t="s">
        <v>401</v>
      </c>
      <c r="J42" s="21" t="s">
        <v>455</v>
      </c>
      <c r="K42" s="2">
        <f t="shared" ca="1" si="5"/>
        <v>33.993810140000001</v>
      </c>
      <c r="L42" s="4"/>
      <c r="V42" t="str">
        <f t="shared" si="2"/>
        <v>PAI Europe VII</v>
      </c>
      <c r="W42" t="str">
        <f t="shared" si="3"/>
        <v>5374404P7SCS</v>
      </c>
      <c r="X42" t="str">
        <f t="shared" si="4"/>
        <v>5374404P7SCS</v>
      </c>
      <c r="AN42" s="27">
        <f t="shared" ca="1" si="6"/>
        <v>33.993810140000001</v>
      </c>
      <c r="AQ42" t="s">
        <v>404</v>
      </c>
      <c r="AR42" t="s">
        <v>503</v>
      </c>
    </row>
    <row r="43" spans="1:44" x14ac:dyDescent="0.35">
      <c r="A43" s="4" t="s">
        <v>148</v>
      </c>
      <c r="B43" s="4" t="s">
        <v>210</v>
      </c>
      <c r="C43" s="4" t="s">
        <v>212</v>
      </c>
      <c r="D43" s="4" t="s">
        <v>326</v>
      </c>
      <c r="E43" s="4" t="s">
        <v>211</v>
      </c>
      <c r="F43" s="4" t="s">
        <v>344</v>
      </c>
      <c r="G43" s="4" t="s">
        <v>329</v>
      </c>
      <c r="H43" s="4" t="s">
        <v>211</v>
      </c>
      <c r="I43" s="2" t="s">
        <v>401</v>
      </c>
      <c r="J43" s="8" t="s">
        <v>455</v>
      </c>
      <c r="K43" s="2">
        <f t="shared" ca="1" si="5"/>
        <v>33.993810140000001</v>
      </c>
      <c r="L43" s="4"/>
      <c r="V43" t="str">
        <f t="shared" si="2"/>
        <v>PAI Europe VII</v>
      </c>
      <c r="W43" t="str">
        <f t="shared" si="3"/>
        <v>5374414P7SLP</v>
      </c>
      <c r="X43" t="str">
        <f t="shared" si="4"/>
        <v>5374414P7SLP</v>
      </c>
      <c r="AN43" s="27">
        <f t="shared" ca="1" si="6"/>
        <v>33.993810140000001</v>
      </c>
      <c r="AQ43" t="s">
        <v>404</v>
      </c>
      <c r="AR43" t="s">
        <v>503</v>
      </c>
    </row>
    <row r="44" spans="1:44" x14ac:dyDescent="0.35">
      <c r="A44" s="4" t="s">
        <v>148</v>
      </c>
      <c r="B44" s="4" t="s">
        <v>213</v>
      </c>
      <c r="C44" s="4" t="s">
        <v>213</v>
      </c>
      <c r="D44" s="4" t="s">
        <v>326</v>
      </c>
      <c r="E44" s="4" t="s">
        <v>214</v>
      </c>
      <c r="F44" s="4" t="s">
        <v>344</v>
      </c>
      <c r="G44" s="4" t="s">
        <v>329</v>
      </c>
      <c r="H44" s="4" t="s">
        <v>214</v>
      </c>
      <c r="I44" s="2" t="s">
        <v>401</v>
      </c>
      <c r="J44" s="8" t="s">
        <v>455</v>
      </c>
      <c r="K44" s="2">
        <f t="shared" ca="1" si="5"/>
        <v>33.993810140000001</v>
      </c>
      <c r="L44" s="4"/>
      <c r="V44" t="str">
        <f t="shared" si="2"/>
        <v>CEP V LUX</v>
      </c>
      <c r="W44" t="str">
        <f t="shared" si="3"/>
        <v>5374434CEPVF</v>
      </c>
      <c r="X44" t="str">
        <f t="shared" si="4"/>
        <v>5374434CEPVF</v>
      </c>
      <c r="AN44" s="27">
        <f t="shared" ca="1" si="6"/>
        <v>33.993810140000001</v>
      </c>
      <c r="AQ44" t="s">
        <v>404</v>
      </c>
      <c r="AR44" t="s">
        <v>503</v>
      </c>
    </row>
    <row r="45" spans="1:44" x14ac:dyDescent="0.35">
      <c r="A45" s="4" t="s">
        <v>148</v>
      </c>
      <c r="B45" s="4" t="s">
        <v>215</v>
      </c>
      <c r="C45" s="4" t="s">
        <v>215</v>
      </c>
      <c r="D45" s="4" t="s">
        <v>326</v>
      </c>
      <c r="E45" s="4" t="s">
        <v>363</v>
      </c>
      <c r="F45" s="4" t="s">
        <v>344</v>
      </c>
      <c r="G45" s="4" t="s">
        <v>329</v>
      </c>
      <c r="H45" s="4" t="s">
        <v>216</v>
      </c>
      <c r="I45" s="2" t="s">
        <v>401</v>
      </c>
      <c r="J45" s="8" t="s">
        <v>455</v>
      </c>
      <c r="K45" s="2">
        <f t="shared" ca="1" si="5"/>
        <v>33.993810140000001</v>
      </c>
      <c r="L45" s="4"/>
      <c r="V45" t="str">
        <f t="shared" si="2"/>
        <v>PRIVFAELCPIX</v>
      </c>
      <c r="W45" t="str">
        <f t="shared" si="3"/>
        <v>LCPIX</v>
      </c>
      <c r="X45" t="str">
        <f t="shared" si="4"/>
        <v>5374482LCPIX</v>
      </c>
      <c r="AN45" s="27">
        <f t="shared" ca="1" si="6"/>
        <v>33.993810140000001</v>
      </c>
      <c r="AQ45" t="s">
        <v>404</v>
      </c>
      <c r="AR45" t="s">
        <v>503</v>
      </c>
    </row>
    <row r="46" spans="1:44" x14ac:dyDescent="0.35">
      <c r="A46" s="4" t="s">
        <v>148</v>
      </c>
      <c r="B46" s="4" t="s">
        <v>217</v>
      </c>
      <c r="C46" s="4" t="s">
        <v>217</v>
      </c>
      <c r="D46" s="4" t="s">
        <v>326</v>
      </c>
      <c r="E46" s="4" t="s">
        <v>364</v>
      </c>
      <c r="F46" s="4" t="s">
        <v>344</v>
      </c>
      <c r="G46" s="4" t="s">
        <v>329</v>
      </c>
      <c r="H46" s="4" t="s">
        <v>218</v>
      </c>
      <c r="I46" s="2" t="s">
        <v>401</v>
      </c>
      <c r="J46" s="8" t="s">
        <v>455</v>
      </c>
      <c r="K46" s="2">
        <f t="shared" ca="1" si="5"/>
        <v>33.993810140000001</v>
      </c>
      <c r="L46" s="4"/>
      <c r="V46" t="str">
        <f t="shared" si="2"/>
        <v>Hellman &amp; Friedman</v>
      </c>
      <c r="W46" t="str">
        <f t="shared" si="3"/>
        <v>5374552HFCP9</v>
      </c>
      <c r="X46" t="str">
        <f t="shared" si="4"/>
        <v>5374552HFCP9</v>
      </c>
      <c r="AN46" s="27">
        <f t="shared" ca="1" si="6"/>
        <v>33.993810140000001</v>
      </c>
      <c r="AQ46" t="s">
        <v>404</v>
      </c>
      <c r="AR46" t="s">
        <v>503</v>
      </c>
    </row>
    <row r="47" spans="1:44" x14ac:dyDescent="0.35">
      <c r="A47" s="4" t="s">
        <v>148</v>
      </c>
      <c r="B47" s="4" t="s">
        <v>219</v>
      </c>
      <c r="C47" s="4" t="s">
        <v>219</v>
      </c>
      <c r="D47" s="4" t="s">
        <v>326</v>
      </c>
      <c r="E47" s="4" t="s">
        <v>365</v>
      </c>
      <c r="F47" s="4" t="s">
        <v>344</v>
      </c>
      <c r="G47" s="4" t="s">
        <v>329</v>
      </c>
      <c r="H47" s="4" t="s">
        <v>220</v>
      </c>
      <c r="I47" s="2" t="s">
        <v>401</v>
      </c>
      <c r="J47" s="8" t="s">
        <v>455</v>
      </c>
      <c r="K47" s="2">
        <f t="shared" ca="1" si="5"/>
        <v>33.993810140000001</v>
      </c>
      <c r="L47" s="4"/>
      <c r="V47" t="str">
        <f t="shared" si="2"/>
        <v>Coller - Coller VIII</v>
      </c>
      <c r="W47" t="str">
        <f t="shared" si="3"/>
        <v>5374632COL8F</v>
      </c>
      <c r="X47" t="str">
        <f t="shared" si="4"/>
        <v>5374632COL8F</v>
      </c>
      <c r="AN47" s="27">
        <f t="shared" ca="1" si="6"/>
        <v>33.993810140000001</v>
      </c>
      <c r="AQ47" t="s">
        <v>404</v>
      </c>
      <c r="AR47" t="s">
        <v>503</v>
      </c>
    </row>
    <row r="48" spans="1:44" x14ac:dyDescent="0.35">
      <c r="A48" s="4" t="s">
        <v>148</v>
      </c>
      <c r="B48" s="4" t="s">
        <v>221</v>
      </c>
      <c r="C48" s="4" t="s">
        <v>221</v>
      </c>
      <c r="D48" s="4" t="s">
        <v>326</v>
      </c>
      <c r="E48" s="4" t="s">
        <v>222</v>
      </c>
      <c r="F48" s="4" t="s">
        <v>344</v>
      </c>
      <c r="G48" s="4" t="s">
        <v>334</v>
      </c>
      <c r="H48" s="4" t="s">
        <v>222</v>
      </c>
      <c r="I48" s="2" t="s">
        <v>401</v>
      </c>
      <c r="J48" s="8" t="s">
        <v>454</v>
      </c>
      <c r="K48" s="2">
        <f t="shared" ca="1" si="5"/>
        <v>138.32673435000001</v>
      </c>
      <c r="L48" s="4"/>
      <c r="V48" t="str">
        <f t="shared" si="2"/>
        <v>Vista Equity Partners Fund VII GP, L.P.</v>
      </c>
      <c r="W48" t="str">
        <f t="shared" si="3"/>
        <v>5374652VEP7A</v>
      </c>
      <c r="X48" t="str">
        <f t="shared" si="4"/>
        <v>5374652VEP7A</v>
      </c>
      <c r="AN48" s="27">
        <f t="shared" ca="1" si="6"/>
        <v>33.993810140000001</v>
      </c>
      <c r="AQ48" t="s">
        <v>404</v>
      </c>
      <c r="AR48" t="s">
        <v>503</v>
      </c>
    </row>
    <row r="49" spans="1:44" x14ac:dyDescent="0.35">
      <c r="A49" s="4" t="s">
        <v>148</v>
      </c>
      <c r="B49" s="4" t="s">
        <v>223</v>
      </c>
      <c r="C49" s="4" t="s">
        <v>223</v>
      </c>
      <c r="D49" s="4" t="s">
        <v>326</v>
      </c>
      <c r="E49" s="4" t="s">
        <v>224</v>
      </c>
      <c r="F49" s="4" t="s">
        <v>344</v>
      </c>
      <c r="G49" s="4" t="s">
        <v>333</v>
      </c>
      <c r="H49" s="4" t="s">
        <v>224</v>
      </c>
      <c r="I49" s="2" t="s">
        <v>401</v>
      </c>
      <c r="J49" s="8" t="s">
        <v>453</v>
      </c>
      <c r="K49" s="2">
        <f t="shared" ca="1" si="5"/>
        <v>7.0978034900000004</v>
      </c>
      <c r="L49" s="4"/>
      <c r="V49" t="str">
        <f t="shared" si="2"/>
        <v>Apax X</v>
      </c>
      <c r="W49" t="str">
        <f t="shared" si="3"/>
        <v>5374782A10FE</v>
      </c>
      <c r="X49" t="str">
        <f t="shared" si="4"/>
        <v>5374782A10FE</v>
      </c>
      <c r="AN49" s="27">
        <f t="shared" ca="1" si="6"/>
        <v>33.993810140000001</v>
      </c>
      <c r="AQ49" t="s">
        <v>404</v>
      </c>
      <c r="AR49" t="s">
        <v>503</v>
      </c>
    </row>
    <row r="50" spans="1:44" x14ac:dyDescent="0.35">
      <c r="A50" s="4" t="s">
        <v>148</v>
      </c>
      <c r="B50" s="4" t="s">
        <v>225</v>
      </c>
      <c r="C50" s="4" t="s">
        <v>225</v>
      </c>
      <c r="D50" s="4" t="s">
        <v>326</v>
      </c>
      <c r="E50" s="4" t="s">
        <v>226</v>
      </c>
      <c r="F50" s="4" t="s">
        <v>344</v>
      </c>
      <c r="G50" s="4" t="s">
        <v>329</v>
      </c>
      <c r="H50" s="4" t="s">
        <v>226</v>
      </c>
      <c r="I50" s="2" t="s">
        <v>401</v>
      </c>
      <c r="J50" s="8" t="s">
        <v>455</v>
      </c>
      <c r="K50" s="2">
        <f t="shared" ca="1" si="5"/>
        <v>33.993810140000001</v>
      </c>
      <c r="L50" s="4"/>
      <c r="V50" t="str">
        <f t="shared" si="2"/>
        <v>Global Infrastructure GP IV, L.P.</v>
      </c>
      <c r="W50" t="str">
        <f t="shared" si="3"/>
        <v>5374792GIP4F</v>
      </c>
      <c r="X50" t="str">
        <f t="shared" si="4"/>
        <v>5374792GIP4F</v>
      </c>
      <c r="AN50" s="27">
        <f t="shared" ca="1" si="6"/>
        <v>138.32673435000001</v>
      </c>
      <c r="AQ50" t="s">
        <v>404</v>
      </c>
      <c r="AR50" t="s">
        <v>503</v>
      </c>
    </row>
    <row r="51" spans="1:44" x14ac:dyDescent="0.35">
      <c r="A51" s="4" t="s">
        <v>148</v>
      </c>
      <c r="B51" s="4" t="s">
        <v>227</v>
      </c>
      <c r="C51" s="4" t="s">
        <v>229</v>
      </c>
      <c r="D51" s="4" t="s">
        <v>326</v>
      </c>
      <c r="E51" s="4" t="s">
        <v>366</v>
      </c>
      <c r="F51" s="4" t="s">
        <v>328</v>
      </c>
      <c r="G51" s="4" t="s">
        <v>329</v>
      </c>
      <c r="H51" s="4" t="s">
        <v>228</v>
      </c>
      <c r="I51" s="2" t="s">
        <v>401</v>
      </c>
      <c r="J51" s="8" t="s">
        <v>455</v>
      </c>
      <c r="K51" s="2">
        <f t="shared" ca="1" si="5"/>
        <v>33.993810140000001</v>
      </c>
      <c r="L51" s="4"/>
      <c r="V51" t="str">
        <f t="shared" si="2"/>
        <v>Blackstone Real Estate Associates Europe VI</v>
      </c>
      <c r="W51" t="str">
        <f t="shared" si="3"/>
        <v>5374842BREVI</v>
      </c>
      <c r="X51" t="str">
        <f t="shared" si="4"/>
        <v>5374842BREVI</v>
      </c>
      <c r="AN51" s="27">
        <f t="shared" ca="1" si="6"/>
        <v>7.0978034900000004</v>
      </c>
      <c r="AQ51" t="s">
        <v>404</v>
      </c>
      <c r="AR51" t="s">
        <v>503</v>
      </c>
    </row>
    <row r="52" spans="1:44" x14ac:dyDescent="0.35">
      <c r="V52" t="str">
        <f t="shared" si="2"/>
        <v>ASF Cosmos Co-Invest L.P.</v>
      </c>
      <c r="W52" t="str">
        <f t="shared" si="3"/>
        <v>5374872ASFCC</v>
      </c>
      <c r="X52" t="str">
        <f t="shared" si="4"/>
        <v>5374872ASFCC</v>
      </c>
      <c r="AN52" s="27">
        <f t="shared" ca="1" si="6"/>
        <v>33.993810140000001</v>
      </c>
      <c r="AQ52" t="s">
        <v>404</v>
      </c>
      <c r="AR52" t="s">
        <v>503</v>
      </c>
    </row>
    <row r="53" spans="1:44" x14ac:dyDescent="0.35">
      <c r="V53" t="str">
        <f t="shared" si="2"/>
        <v>LarraínVial - Energía I</v>
      </c>
      <c r="W53" t="str">
        <f t="shared" si="3"/>
        <v>CVL79033FI20</v>
      </c>
      <c r="X53" t="str">
        <f t="shared" si="4"/>
        <v>5311082FIEAM</v>
      </c>
      <c r="AN53" s="27">
        <f t="shared" ca="1" si="6"/>
        <v>33.993810140000001</v>
      </c>
      <c r="AQ53" t="s">
        <v>404</v>
      </c>
      <c r="AR53" t="s">
        <v>503</v>
      </c>
    </row>
    <row r="54" spans="1:44" x14ac:dyDescent="0.35">
      <c r="AN54" s="27"/>
    </row>
    <row r="55" spans="1:44" x14ac:dyDescent="0.35">
      <c r="AN55" s="27"/>
    </row>
    <row r="56" spans="1:44" x14ac:dyDescent="0.35">
      <c r="AN56" s="27"/>
    </row>
    <row r="57" spans="1:44" x14ac:dyDescent="0.35">
      <c r="AN57" s="2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76A-B06F-4213-82A9-54D03632F99F}">
  <sheetPr codeName="Sheet5"/>
  <dimension ref="A1:AR100"/>
  <sheetViews>
    <sheetView showGridLines="0" topLeftCell="L1" zoomScale="85" zoomScaleNormal="85" workbookViewId="0">
      <pane ySplit="1" topLeftCell="A29" activePane="bottomLeft" state="frozen"/>
      <selection pane="bottomLeft" activeCell="P19" sqref="P19:Q45"/>
    </sheetView>
  </sheetViews>
  <sheetFormatPr defaultRowHeight="14.5" x14ac:dyDescent="0.35"/>
  <cols>
    <col min="1" max="1" width="8" bestFit="1" customWidth="1"/>
    <col min="2" max="2" width="14.26953125" bestFit="1" customWidth="1"/>
    <col min="3" max="3" width="14.7265625" bestFit="1" customWidth="1"/>
    <col min="4" max="4" width="15.453125" bestFit="1" customWidth="1"/>
    <col min="5" max="5" width="23" bestFit="1" customWidth="1"/>
    <col min="6" max="6" width="57.7265625" bestFit="1" customWidth="1"/>
    <col min="7" max="7" width="13.453125" customWidth="1"/>
    <col min="8" max="8" width="22.54296875" bestFit="1" customWidth="1"/>
    <col min="9" max="9" width="45.1796875" bestFit="1" customWidth="1"/>
    <col min="10" max="10" width="13.81640625" customWidth="1"/>
    <col min="15" max="15" width="42.54296875" bestFit="1" customWidth="1"/>
    <col min="16" max="16" width="13.08984375" bestFit="1" customWidth="1"/>
    <col min="17" max="17" width="45.1796875" bestFit="1" customWidth="1"/>
    <col min="18" max="18" width="12.7265625" bestFit="1" customWidth="1"/>
    <col min="19" max="19" width="2.54296875" style="26" customWidth="1"/>
    <col min="44" max="44" width="2.453125" style="26" customWidth="1"/>
  </cols>
  <sheetData>
    <row r="1" spans="1:43" x14ac:dyDescent="0.35">
      <c r="A1" s="3" t="s">
        <v>0</v>
      </c>
      <c r="B1" s="3" t="s">
        <v>1</v>
      </c>
      <c r="C1" s="3" t="s">
        <v>3</v>
      </c>
      <c r="D1" s="3" t="s">
        <v>322</v>
      </c>
      <c r="E1" s="3" t="s">
        <v>323</v>
      </c>
      <c r="F1" s="3" t="s">
        <v>2</v>
      </c>
      <c r="G1" s="1" t="s">
        <v>398</v>
      </c>
      <c r="H1" s="1" t="s">
        <v>425</v>
      </c>
      <c r="I1" s="16" t="s">
        <v>428</v>
      </c>
      <c r="J1" s="16" t="s">
        <v>426</v>
      </c>
      <c r="P1" s="45"/>
      <c r="S1" s="25"/>
      <c r="T1" t="s">
        <v>460</v>
      </c>
    </row>
    <row r="2" spans="1:43" x14ac:dyDescent="0.35">
      <c r="A2" s="17" t="s">
        <v>230</v>
      </c>
      <c r="B2" s="17" t="s">
        <v>231</v>
      </c>
      <c r="C2" s="17" t="s">
        <v>233</v>
      </c>
      <c r="D2" s="17" t="s">
        <v>367</v>
      </c>
      <c r="E2" s="17" t="s">
        <v>368</v>
      </c>
      <c r="F2" s="17" t="s">
        <v>232</v>
      </c>
      <c r="G2" s="18" t="s">
        <v>402</v>
      </c>
      <c r="H2" s="17" t="s">
        <v>431</v>
      </c>
      <c r="I2" s="6" t="str">
        <f t="shared" ref="I2:I33" si="0">INDEX(Q$4:Q$14,MATCH($H2,$O$4:$O$14,0))</f>
        <v>iShares Global Energy ETF</v>
      </c>
      <c r="J2" s="6">
        <f t="shared" ref="J2:J33" si="1">INDEX(R$4:R$14,MATCH($H2,$O$4:$O$14,0))</f>
        <v>208.75900278</v>
      </c>
      <c r="L2" s="9" t="s">
        <v>402</v>
      </c>
      <c r="M2" s="4">
        <f>+COUNTIF($G:$G,"Riesgos")</f>
        <v>19</v>
      </c>
      <c r="T2" s="28" t="s">
        <v>461</v>
      </c>
      <c r="U2" s="28" t="s">
        <v>462</v>
      </c>
      <c r="V2" s="28" t="s">
        <v>463</v>
      </c>
      <c r="W2" s="28" t="s">
        <v>464</v>
      </c>
      <c r="X2" s="28" t="s">
        <v>465</v>
      </c>
      <c r="Y2" s="28" t="s">
        <v>466</v>
      </c>
      <c r="Z2" s="28" t="s">
        <v>467</v>
      </c>
      <c r="AA2" s="28" t="s">
        <v>468</v>
      </c>
      <c r="AB2" s="28" t="s">
        <v>469</v>
      </c>
      <c r="AC2" s="28" t="s">
        <v>470</v>
      </c>
      <c r="AD2" s="28" t="s">
        <v>471</v>
      </c>
      <c r="AE2" s="28" t="s">
        <v>472</v>
      </c>
      <c r="AF2" s="28" t="s">
        <v>473</v>
      </c>
      <c r="AG2" s="28" t="s">
        <v>474</v>
      </c>
      <c r="AH2" s="28" t="s">
        <v>475</v>
      </c>
      <c r="AI2" s="28" t="s">
        <v>476</v>
      </c>
      <c r="AJ2" s="28" t="s">
        <v>477</v>
      </c>
      <c r="AK2" s="28" t="s">
        <v>478</v>
      </c>
      <c r="AL2" s="28" t="s">
        <v>479</v>
      </c>
      <c r="AM2" s="28" t="s">
        <v>480</v>
      </c>
      <c r="AN2" s="28" t="s">
        <v>481</v>
      </c>
      <c r="AO2" s="28" t="s">
        <v>482</v>
      </c>
      <c r="AP2" s="28" t="s">
        <v>483</v>
      </c>
      <c r="AQ2" s="28" t="s">
        <v>484</v>
      </c>
    </row>
    <row r="3" spans="1:43" ht="15" thickBot="1" x14ac:dyDescent="0.4">
      <c r="A3" s="6" t="s">
        <v>4</v>
      </c>
      <c r="B3" s="6" t="s">
        <v>5</v>
      </c>
      <c r="C3" s="6" t="s">
        <v>7</v>
      </c>
      <c r="D3" s="6" t="s">
        <v>367</v>
      </c>
      <c r="E3" s="6" t="s">
        <v>369</v>
      </c>
      <c r="F3" s="6" t="s">
        <v>6</v>
      </c>
      <c r="G3" s="7" t="s">
        <v>401</v>
      </c>
      <c r="H3" s="6" t="s">
        <v>449</v>
      </c>
      <c r="I3" s="6" t="str">
        <f t="shared" si="0"/>
        <v>iShares Global Industrials ETF</v>
      </c>
      <c r="J3" s="6">
        <f t="shared" si="1"/>
        <v>29.225820110000001</v>
      </c>
      <c r="L3" s="12" t="s">
        <v>404</v>
      </c>
      <c r="M3" s="13">
        <f>+M4-M2</f>
        <v>28</v>
      </c>
      <c r="O3" s="6" t="s">
        <v>443</v>
      </c>
      <c r="P3" t="s">
        <v>608</v>
      </c>
      <c r="Q3" s="6" t="s">
        <v>428</v>
      </c>
      <c r="R3" s="6" t="s">
        <v>444</v>
      </c>
      <c r="T3" s="28"/>
      <c r="U3" s="28" t="s">
        <v>2</v>
      </c>
      <c r="V3" s="28" t="s">
        <v>485</v>
      </c>
      <c r="W3" s="28" t="s">
        <v>486</v>
      </c>
      <c r="X3" s="28" t="s">
        <v>487</v>
      </c>
      <c r="Y3" s="28" t="s">
        <v>488</v>
      </c>
      <c r="Z3" s="28" t="s">
        <v>489</v>
      </c>
      <c r="AA3" s="28" t="s">
        <v>443</v>
      </c>
      <c r="AB3" s="28" t="s">
        <v>490</v>
      </c>
      <c r="AC3" s="28" t="s">
        <v>491</v>
      </c>
      <c r="AD3" s="28" t="s">
        <v>492</v>
      </c>
      <c r="AE3" s="28" t="s">
        <v>493</v>
      </c>
      <c r="AF3" s="28" t="s">
        <v>465</v>
      </c>
      <c r="AG3" s="28" t="s">
        <v>479</v>
      </c>
      <c r="AH3" s="28" t="s">
        <v>467</v>
      </c>
      <c r="AI3" s="28" t="s">
        <v>494</v>
      </c>
      <c r="AJ3" s="28" t="s">
        <v>495</v>
      </c>
      <c r="AK3" s="28" t="s">
        <v>496</v>
      </c>
      <c r="AL3" s="28" t="s">
        <v>497</v>
      </c>
      <c r="AM3" s="28" t="s">
        <v>498</v>
      </c>
      <c r="AN3" s="28" t="s">
        <v>499</v>
      </c>
      <c r="AO3" s="28" t="s">
        <v>500</v>
      </c>
      <c r="AP3" s="28" t="s">
        <v>501</v>
      </c>
      <c r="AQ3" s="28" t="s">
        <v>502</v>
      </c>
    </row>
    <row r="4" spans="1:43" ht="15" thickTop="1" x14ac:dyDescent="0.35">
      <c r="A4" s="6" t="s">
        <v>234</v>
      </c>
      <c r="B4" s="6" t="s">
        <v>235</v>
      </c>
      <c r="C4" s="6" t="s">
        <v>237</v>
      </c>
      <c r="D4" s="6" t="s">
        <v>367</v>
      </c>
      <c r="E4" s="6" t="s">
        <v>238</v>
      </c>
      <c r="F4" s="6" t="s">
        <v>236</v>
      </c>
      <c r="G4" s="7" t="s">
        <v>402</v>
      </c>
      <c r="H4" s="6" t="s">
        <v>432</v>
      </c>
      <c r="I4" s="6" t="str">
        <f t="shared" si="0"/>
        <v>iShares Global Financials ETF</v>
      </c>
      <c r="J4" s="6">
        <f t="shared" si="1"/>
        <v>3.5338920200000001</v>
      </c>
      <c r="L4" s="10" t="s">
        <v>403</v>
      </c>
      <c r="M4" s="11">
        <v>47</v>
      </c>
      <c r="O4" s="6" t="s">
        <v>445</v>
      </c>
      <c r="P4" s="32" t="s">
        <v>562</v>
      </c>
      <c r="Q4" s="6" t="s">
        <v>433</v>
      </c>
      <c r="R4" s="33">
        <f ca="1">INDEX(INDIRECT("'"&amp;guia!$A$2&amp;"'!A:QK"),MATCH($P4,INDEX(INDIRECT("'"&amp;guia!$A$2&amp;"'!A:QK"),0,MATCH("FUND_ISIN",INDIRECT("'"&amp;guia!$A$2&amp;"'!1:1"),0)),0),MATCH("FUND_FINANCED_CARBON_EMISSIONS",INDIRECT("'"&amp;guia!$A$2&amp;"'!1:1"),0))</f>
        <v>3.9577318099999999</v>
      </c>
      <c r="U4" t="str">
        <f>F2</f>
        <v>Inkia Energy Limited</v>
      </c>
      <c r="V4" t="str">
        <f>C2</f>
        <v>USG4808VAC49</v>
      </c>
      <c r="W4" t="str">
        <f>B2</f>
        <v>1252802VAC49</v>
      </c>
      <c r="AM4" s="27">
        <f>J2</f>
        <v>208.75900278</v>
      </c>
      <c r="AP4" t="s">
        <v>404</v>
      </c>
      <c r="AQ4" t="s">
        <v>505</v>
      </c>
    </row>
    <row r="5" spans="1:43" x14ac:dyDescent="0.35">
      <c r="A5" s="6" t="s">
        <v>234</v>
      </c>
      <c r="B5" s="6" t="s">
        <v>239</v>
      </c>
      <c r="C5" s="6" t="s">
        <v>241</v>
      </c>
      <c r="D5" s="6" t="s">
        <v>367</v>
      </c>
      <c r="E5" s="6" t="s">
        <v>242</v>
      </c>
      <c r="F5" s="6" t="s">
        <v>240</v>
      </c>
      <c r="G5" s="7" t="s">
        <v>402</v>
      </c>
      <c r="H5" s="6" t="s">
        <v>432</v>
      </c>
      <c r="I5" s="6" t="str">
        <f t="shared" si="0"/>
        <v>iShares Global Financials ETF</v>
      </c>
      <c r="J5" s="6">
        <f t="shared" si="1"/>
        <v>3.5338920200000001</v>
      </c>
      <c r="O5" s="6" t="s">
        <v>446</v>
      </c>
      <c r="P5" s="32" t="s">
        <v>566</v>
      </c>
      <c r="Q5" s="6" t="s">
        <v>434</v>
      </c>
      <c r="R5" s="33">
        <f>+_xlfn.XLOOKUP(P5,'202607'!$C:$C,'202607'!$G:$G,,0)</f>
        <v>11.680975009999999</v>
      </c>
      <c r="U5" t="str">
        <f t="shared" ref="U5:U68" si="2">F3</f>
        <v>Línea Amarilla S.A.C.</v>
      </c>
      <c r="V5" t="str">
        <f t="shared" ref="V5:V68" si="3">C3</f>
        <v>XS0799645816</v>
      </c>
      <c r="W5" t="str">
        <f t="shared" ref="W5:W68" si="4">B3</f>
        <v>182096345816</v>
      </c>
      <c r="AM5" s="27">
        <f t="shared" ref="AM5:AM68" si="5">J3</f>
        <v>29.225820110000001</v>
      </c>
      <c r="AP5" t="s">
        <v>404</v>
      </c>
      <c r="AQ5" t="s">
        <v>505</v>
      </c>
    </row>
    <row r="6" spans="1:43" x14ac:dyDescent="0.35">
      <c r="A6" s="6" t="s">
        <v>8</v>
      </c>
      <c r="B6" s="6" t="s">
        <v>243</v>
      </c>
      <c r="C6" s="6" t="s">
        <v>245</v>
      </c>
      <c r="D6" s="6" t="s">
        <v>367</v>
      </c>
      <c r="E6" s="6" t="s">
        <v>370</v>
      </c>
      <c r="F6" s="6" t="s">
        <v>244</v>
      </c>
      <c r="G6" s="7" t="s">
        <v>402</v>
      </c>
      <c r="H6" s="6" t="s">
        <v>449</v>
      </c>
      <c r="I6" s="6" t="str">
        <f t="shared" si="0"/>
        <v>iShares Global Industrials ETF</v>
      </c>
      <c r="J6" s="6">
        <f t="shared" si="1"/>
        <v>29.225820110000001</v>
      </c>
      <c r="O6" s="6" t="s">
        <v>447</v>
      </c>
      <c r="P6" s="32" t="s">
        <v>569</v>
      </c>
      <c r="Q6" s="6" t="s">
        <v>435</v>
      </c>
      <c r="R6" s="33">
        <f>+_xlfn.XLOOKUP(P6,'202607'!$C:$C,'202607'!$G:$G,,0)</f>
        <v>20.599526010000002</v>
      </c>
      <c r="U6" t="str">
        <f t="shared" si="2"/>
        <v>Interseguro</v>
      </c>
      <c r="V6" t="str">
        <f t="shared" si="3"/>
        <v>PEP66450D056</v>
      </c>
      <c r="W6" t="str">
        <f t="shared" si="4"/>
        <v>21015121901U</v>
      </c>
      <c r="AM6" s="27">
        <f t="shared" si="5"/>
        <v>3.5338920200000001</v>
      </c>
      <c r="AP6" t="s">
        <v>404</v>
      </c>
      <c r="AQ6" t="s">
        <v>505</v>
      </c>
    </row>
    <row r="7" spans="1:43" x14ac:dyDescent="0.35">
      <c r="A7" s="6" t="s">
        <v>8</v>
      </c>
      <c r="B7" s="6" t="s">
        <v>9</v>
      </c>
      <c r="C7" s="6" t="s">
        <v>11</v>
      </c>
      <c r="D7" s="6" t="s">
        <v>367</v>
      </c>
      <c r="E7" s="6" t="s">
        <v>246</v>
      </c>
      <c r="F7" s="6" t="s">
        <v>10</v>
      </c>
      <c r="G7" s="7" t="s">
        <v>401</v>
      </c>
      <c r="H7" s="6" t="s">
        <v>449</v>
      </c>
      <c r="I7" s="6" t="str">
        <f t="shared" si="0"/>
        <v>iShares Global Industrials ETF</v>
      </c>
      <c r="J7" s="6">
        <f t="shared" si="1"/>
        <v>29.225820110000001</v>
      </c>
      <c r="O7" s="6" t="s">
        <v>431</v>
      </c>
      <c r="P7" s="32" t="s">
        <v>548</v>
      </c>
      <c r="Q7" s="6" t="s">
        <v>436</v>
      </c>
      <c r="R7" s="33">
        <f>+_xlfn.XLOOKUP(P7,'202607'!$C:$C,'202607'!$G:$G,,0)</f>
        <v>208.75900278</v>
      </c>
      <c r="U7" t="str">
        <f t="shared" si="2"/>
        <v>Banco Interamericano de Finanzas</v>
      </c>
      <c r="V7" t="str">
        <f t="shared" si="3"/>
        <v>PEP12100D292</v>
      </c>
      <c r="W7" t="str">
        <f t="shared" si="4"/>
        <v>21003811902A</v>
      </c>
      <c r="AM7" s="27">
        <f t="shared" si="5"/>
        <v>3.5338920200000001</v>
      </c>
      <c r="AP7" t="s">
        <v>404</v>
      </c>
      <c r="AQ7" t="s">
        <v>505</v>
      </c>
    </row>
    <row r="8" spans="1:43" x14ac:dyDescent="0.35">
      <c r="A8" s="6" t="s">
        <v>8</v>
      </c>
      <c r="B8" s="6" t="s">
        <v>247</v>
      </c>
      <c r="C8" s="6" t="s">
        <v>249</v>
      </c>
      <c r="D8" s="6" t="s">
        <v>367</v>
      </c>
      <c r="E8" s="6" t="s">
        <v>250</v>
      </c>
      <c r="F8" s="6" t="s">
        <v>248</v>
      </c>
      <c r="G8" s="7" t="s">
        <v>402</v>
      </c>
      <c r="H8" s="6" t="s">
        <v>446</v>
      </c>
      <c r="I8" s="6" t="str">
        <f t="shared" si="0"/>
        <v>iShares Global Consumer Disc ETF</v>
      </c>
      <c r="J8" s="6">
        <f t="shared" si="1"/>
        <v>11.680975009999999</v>
      </c>
      <c r="O8" s="6" t="s">
        <v>432</v>
      </c>
      <c r="P8" s="32" t="s">
        <v>551</v>
      </c>
      <c r="Q8" s="6" t="s">
        <v>437</v>
      </c>
      <c r="R8" s="33">
        <f>+_xlfn.XLOOKUP(P8,'202607'!$C:$C,'202607'!$G:$G,,0)</f>
        <v>3.5338920200000001</v>
      </c>
      <c r="U8" t="str">
        <f t="shared" si="2"/>
        <v>San Miguel Industrias Pet S.A.</v>
      </c>
      <c r="V8" t="str">
        <f t="shared" si="3"/>
        <v>USP84527AA17</v>
      </c>
      <c r="W8" t="str">
        <f t="shared" si="4"/>
        <v>22211027AA17</v>
      </c>
      <c r="AM8" s="27">
        <f t="shared" si="5"/>
        <v>29.225820110000001</v>
      </c>
      <c r="AP8" t="s">
        <v>404</v>
      </c>
      <c r="AQ8" t="s">
        <v>505</v>
      </c>
    </row>
    <row r="9" spans="1:43" x14ac:dyDescent="0.35">
      <c r="A9" s="6" t="s">
        <v>8</v>
      </c>
      <c r="B9" s="6" t="s">
        <v>12</v>
      </c>
      <c r="C9" s="6" t="s">
        <v>14</v>
      </c>
      <c r="D9" s="6" t="s">
        <v>367</v>
      </c>
      <c r="E9" s="6" t="s">
        <v>251</v>
      </c>
      <c r="F9" s="6" t="s">
        <v>13</v>
      </c>
      <c r="G9" s="47" t="s">
        <v>401</v>
      </c>
      <c r="H9" s="6" t="s">
        <v>446</v>
      </c>
      <c r="I9" s="6" t="str">
        <f t="shared" si="0"/>
        <v>iShares Global Consumer Disc ETF</v>
      </c>
      <c r="J9" s="6">
        <f t="shared" si="1"/>
        <v>11.680975009999999</v>
      </c>
      <c r="O9" s="6" t="s">
        <v>448</v>
      </c>
      <c r="P9" s="32" t="s">
        <v>554</v>
      </c>
      <c r="Q9" s="6" t="s">
        <v>438</v>
      </c>
      <c r="R9" s="33">
        <f>+_xlfn.XLOOKUP(P9,'202607'!$C:$C,'202607'!$G:$G,,0)</f>
        <v>2.7511170800000002</v>
      </c>
      <c r="U9" t="str">
        <f t="shared" si="2"/>
        <v>Norvial</v>
      </c>
      <c r="V9" t="str">
        <f t="shared" si="3"/>
        <v>PEP74850M025</v>
      </c>
      <c r="W9" t="str">
        <f t="shared" si="4"/>
        <v>22212211502U</v>
      </c>
      <c r="AM9" s="27">
        <f t="shared" si="5"/>
        <v>29.225820110000001</v>
      </c>
      <c r="AP9" t="s">
        <v>404</v>
      </c>
      <c r="AQ9" t="s">
        <v>505</v>
      </c>
    </row>
    <row r="10" spans="1:43" x14ac:dyDescent="0.35">
      <c r="A10" s="6" t="s">
        <v>8</v>
      </c>
      <c r="B10" s="6" t="s">
        <v>15</v>
      </c>
      <c r="C10" s="6" t="s">
        <v>16</v>
      </c>
      <c r="D10" s="6" t="s">
        <v>367</v>
      </c>
      <c r="E10" s="6" t="s">
        <v>252</v>
      </c>
      <c r="F10" s="6" t="s">
        <v>13</v>
      </c>
      <c r="G10" s="48"/>
      <c r="H10" s="6" t="s">
        <v>446</v>
      </c>
      <c r="I10" s="6" t="str">
        <f t="shared" si="0"/>
        <v>iShares Global Consumer Disc ETF</v>
      </c>
      <c r="J10" s="6">
        <f t="shared" si="1"/>
        <v>11.680975009999999</v>
      </c>
      <c r="O10" s="6" t="s">
        <v>449</v>
      </c>
      <c r="P10" s="32" t="s">
        <v>572</v>
      </c>
      <c r="Q10" s="6" t="s">
        <v>439</v>
      </c>
      <c r="R10" s="33">
        <f>+_xlfn.XLOOKUP(P10,'202607'!$C:$C,'202607'!$G:$G,,0)</f>
        <v>29.225820110000001</v>
      </c>
      <c r="U10" t="str">
        <f t="shared" si="2"/>
        <v>Falabella Perú</v>
      </c>
      <c r="V10" t="str">
        <f t="shared" si="3"/>
        <v>PEP74190M042</v>
      </c>
      <c r="W10" t="str">
        <f t="shared" si="4"/>
        <v>22212311701A</v>
      </c>
      <c r="AM10" s="27">
        <f t="shared" si="5"/>
        <v>11.680975009999999</v>
      </c>
      <c r="AP10" t="s">
        <v>404</v>
      </c>
      <c r="AQ10" t="s">
        <v>505</v>
      </c>
    </row>
    <row r="11" spans="1:43" x14ac:dyDescent="0.35">
      <c r="A11" s="6" t="s">
        <v>8</v>
      </c>
      <c r="B11" s="6" t="s">
        <v>17</v>
      </c>
      <c r="C11" s="6" t="s">
        <v>19</v>
      </c>
      <c r="D11" s="6" t="s">
        <v>367</v>
      </c>
      <c r="E11" s="6" t="s">
        <v>371</v>
      </c>
      <c r="F11" s="6" t="s">
        <v>18</v>
      </c>
      <c r="G11" s="47" t="s">
        <v>401</v>
      </c>
      <c r="H11" s="6" t="s">
        <v>449</v>
      </c>
      <c r="I11" s="6" t="str">
        <f t="shared" si="0"/>
        <v>iShares Global Industrials ETF</v>
      </c>
      <c r="J11" s="6">
        <f t="shared" si="1"/>
        <v>29.225820110000001</v>
      </c>
      <c r="O11" s="6" t="s">
        <v>450</v>
      </c>
      <c r="P11" s="32" t="s">
        <v>578</v>
      </c>
      <c r="Q11" s="6" t="s">
        <v>440</v>
      </c>
      <c r="R11" s="33">
        <f>+_xlfn.XLOOKUP(P11,'202607'!$C:$C,'202607'!$G:$G,,0)</f>
        <v>207.42773632000001</v>
      </c>
      <c r="U11" t="str">
        <f t="shared" si="2"/>
        <v>Jockey Plaza</v>
      </c>
      <c r="V11" t="str">
        <f t="shared" si="3"/>
        <v>PEP71320M014</v>
      </c>
      <c r="W11" t="str">
        <f t="shared" si="4"/>
        <v>22212521501A</v>
      </c>
      <c r="AM11" s="27">
        <f t="shared" si="5"/>
        <v>11.680975009999999</v>
      </c>
      <c r="AP11" t="s">
        <v>404</v>
      </c>
      <c r="AQ11" t="s">
        <v>505</v>
      </c>
    </row>
    <row r="12" spans="1:43" x14ac:dyDescent="0.35">
      <c r="A12" s="6" t="s">
        <v>8</v>
      </c>
      <c r="B12" s="6" t="s">
        <v>20</v>
      </c>
      <c r="C12" s="6" t="s">
        <v>21</v>
      </c>
      <c r="D12" s="6" t="s">
        <v>367</v>
      </c>
      <c r="E12" s="6" t="s">
        <v>372</v>
      </c>
      <c r="F12" s="6" t="s">
        <v>18</v>
      </c>
      <c r="G12" s="48"/>
      <c r="H12" s="6" t="s">
        <v>449</v>
      </c>
      <c r="I12" s="6" t="str">
        <f t="shared" si="0"/>
        <v>iShares Global Industrials ETF</v>
      </c>
      <c r="J12" s="6">
        <f t="shared" si="1"/>
        <v>29.225820110000001</v>
      </c>
      <c r="O12" s="6" t="s">
        <v>451</v>
      </c>
      <c r="P12" s="32" t="s">
        <v>558</v>
      </c>
      <c r="Q12" s="6" t="s">
        <v>441</v>
      </c>
      <c r="R12" s="33">
        <f>+_xlfn.XLOOKUP(P12,'202607'!$C:$C,'202607'!$G:$G,,0)</f>
        <v>7.9125585799999998</v>
      </c>
      <c r="U12" t="str">
        <f t="shared" si="2"/>
        <v>Jockey Plaza</v>
      </c>
      <c r="V12" t="str">
        <f t="shared" si="3"/>
        <v>PEP71320M030</v>
      </c>
      <c r="W12" t="str">
        <f t="shared" si="4"/>
        <v>22212511603A</v>
      </c>
      <c r="AM12" s="27">
        <f t="shared" si="5"/>
        <v>11.680975009999999</v>
      </c>
      <c r="AP12" t="s">
        <v>404</v>
      </c>
      <c r="AQ12" t="s">
        <v>505</v>
      </c>
    </row>
    <row r="13" spans="1:43" x14ac:dyDescent="0.35">
      <c r="A13" s="6" t="s">
        <v>8</v>
      </c>
      <c r="B13" s="6" t="s">
        <v>253</v>
      </c>
      <c r="C13" s="6" t="s">
        <v>255</v>
      </c>
      <c r="D13" s="6" t="s">
        <v>367</v>
      </c>
      <c r="E13" s="6" t="s">
        <v>256</v>
      </c>
      <c r="F13" s="6" t="s">
        <v>254</v>
      </c>
      <c r="G13" s="7" t="s">
        <v>402</v>
      </c>
      <c r="H13" s="6" t="s">
        <v>431</v>
      </c>
      <c r="I13" s="6" t="str">
        <f t="shared" si="0"/>
        <v>iShares Global Energy ETF</v>
      </c>
      <c r="J13" s="6">
        <f t="shared" si="1"/>
        <v>208.75900278</v>
      </c>
      <c r="O13" s="6" t="s">
        <v>452</v>
      </c>
      <c r="P13" s="32" t="s">
        <v>575</v>
      </c>
      <c r="Q13" s="6" t="s">
        <v>442</v>
      </c>
      <c r="R13" s="33">
        <f>+_xlfn.XLOOKUP(P13,'202607'!$C:$C,'202607'!$G:$G,,0)</f>
        <v>250.75648330000001</v>
      </c>
      <c r="U13" t="str">
        <f t="shared" si="2"/>
        <v xml:space="preserve">Concesionario Trasvase Olmos </v>
      </c>
      <c r="V13" t="str">
        <f t="shared" si="3"/>
        <v>PEP72900M046</v>
      </c>
      <c r="W13" t="str">
        <f t="shared" si="4"/>
        <v>22207130704A</v>
      </c>
      <c r="AM13" s="27">
        <f t="shared" si="5"/>
        <v>29.225820110000001</v>
      </c>
      <c r="AP13" t="s">
        <v>404</v>
      </c>
      <c r="AQ13" t="s">
        <v>505</v>
      </c>
    </row>
    <row r="14" spans="1:43" x14ac:dyDescent="0.35">
      <c r="A14" s="6" t="s">
        <v>8</v>
      </c>
      <c r="B14" s="6" t="s">
        <v>507</v>
      </c>
      <c r="C14" s="6" t="s">
        <v>509</v>
      </c>
      <c r="D14" s="6" t="s">
        <v>367</v>
      </c>
      <c r="E14" s="6" t="s">
        <v>511</v>
      </c>
      <c r="F14" s="6" t="s">
        <v>254</v>
      </c>
      <c r="G14" s="7" t="s">
        <v>402</v>
      </c>
      <c r="H14" s="6" t="s">
        <v>431</v>
      </c>
      <c r="I14" s="6" t="str">
        <f t="shared" si="0"/>
        <v>iShares Global Energy ETF</v>
      </c>
      <c r="J14" s="6">
        <f t="shared" si="1"/>
        <v>208.75900278</v>
      </c>
      <c r="O14" s="6" t="s">
        <v>407</v>
      </c>
      <c r="P14" s="32" t="s">
        <v>594</v>
      </c>
      <c r="Q14" s="6" t="s">
        <v>407</v>
      </c>
      <c r="R14" s="33">
        <f>+_xlfn.XLOOKUP(P14,'202607'!$C:$C,'202607'!$G:$G,,0)</f>
        <v>19.591038730000001</v>
      </c>
      <c r="U14" t="str">
        <f t="shared" si="2"/>
        <v xml:space="preserve">Concesionario Trasvase Olmos </v>
      </c>
      <c r="V14" t="str">
        <f t="shared" si="3"/>
        <v>PEP72900M038</v>
      </c>
      <c r="W14" t="str">
        <f t="shared" si="4"/>
        <v>22207130603A</v>
      </c>
      <c r="AM14" s="27">
        <f t="shared" si="5"/>
        <v>29.225820110000001</v>
      </c>
      <c r="AP14" t="s">
        <v>404</v>
      </c>
      <c r="AQ14" t="s">
        <v>505</v>
      </c>
    </row>
    <row r="15" spans="1:43" x14ac:dyDescent="0.35">
      <c r="A15" s="6" t="s">
        <v>8</v>
      </c>
      <c r="B15" s="6" t="s">
        <v>508</v>
      </c>
      <c r="C15" s="6" t="s">
        <v>510</v>
      </c>
      <c r="D15" s="6" t="s">
        <v>367</v>
      </c>
      <c r="E15" s="6" t="s">
        <v>512</v>
      </c>
      <c r="F15" s="6" t="s">
        <v>254</v>
      </c>
      <c r="G15" s="7" t="s">
        <v>402</v>
      </c>
      <c r="H15" s="6" t="s">
        <v>431</v>
      </c>
      <c r="I15" s="6" t="str">
        <f t="shared" si="0"/>
        <v>iShares Global Energy ETF</v>
      </c>
      <c r="J15" s="6">
        <f t="shared" si="1"/>
        <v>208.75900278</v>
      </c>
      <c r="P15" s="23"/>
      <c r="Q15" s="23"/>
      <c r="R15" s="24"/>
      <c r="U15" t="str">
        <f t="shared" si="2"/>
        <v>Primax</v>
      </c>
      <c r="V15" t="str">
        <f t="shared" si="3"/>
        <v>PEP73125M049</v>
      </c>
      <c r="W15" t="str">
        <f t="shared" si="4"/>
        <v>22582511801A</v>
      </c>
      <c r="AM15" s="27">
        <f t="shared" si="5"/>
        <v>208.75900278</v>
      </c>
      <c r="AP15" t="s">
        <v>404</v>
      </c>
      <c r="AQ15" t="s">
        <v>505</v>
      </c>
    </row>
    <row r="16" spans="1:43" x14ac:dyDescent="0.35">
      <c r="A16" s="6" t="s">
        <v>8</v>
      </c>
      <c r="B16" s="6" t="s">
        <v>22</v>
      </c>
      <c r="C16" s="6" t="s">
        <v>24</v>
      </c>
      <c r="D16" s="6" t="s">
        <v>367</v>
      </c>
      <c r="E16" s="6" t="s">
        <v>257</v>
      </c>
      <c r="F16" s="6" t="s">
        <v>23</v>
      </c>
      <c r="G16" s="7" t="s">
        <v>401</v>
      </c>
      <c r="H16" s="6" t="s">
        <v>449</v>
      </c>
      <c r="I16" s="6" t="str">
        <f t="shared" si="0"/>
        <v>iShares Global Industrials ETF</v>
      </c>
      <c r="J16" s="6">
        <f t="shared" si="1"/>
        <v>29.225820110000001</v>
      </c>
      <c r="U16" t="str">
        <f t="shared" si="2"/>
        <v>Primax</v>
      </c>
      <c r="V16" t="str">
        <f t="shared" si="3"/>
        <v>PEP73125M031</v>
      </c>
      <c r="W16" t="str">
        <f t="shared" si="4"/>
        <v>22582511603A</v>
      </c>
      <c r="AM16" s="27">
        <f t="shared" si="5"/>
        <v>208.75900278</v>
      </c>
      <c r="AP16" t="s">
        <v>404</v>
      </c>
      <c r="AQ16" t="s">
        <v>505</v>
      </c>
    </row>
    <row r="17" spans="1:43" x14ac:dyDescent="0.35">
      <c r="A17" s="6" t="s">
        <v>8</v>
      </c>
      <c r="B17" s="6" t="s">
        <v>25</v>
      </c>
      <c r="C17" s="6" t="s">
        <v>27</v>
      </c>
      <c r="D17" s="6" t="s">
        <v>367</v>
      </c>
      <c r="E17" s="6" t="s">
        <v>258</v>
      </c>
      <c r="F17" s="6" t="s">
        <v>26</v>
      </c>
      <c r="G17" s="7" t="s">
        <v>401</v>
      </c>
      <c r="H17" s="6" t="s">
        <v>449</v>
      </c>
      <c r="I17" s="6" t="str">
        <f t="shared" si="0"/>
        <v>iShares Global Industrials ETF</v>
      </c>
      <c r="J17" s="6">
        <f t="shared" si="1"/>
        <v>29.225820110000001</v>
      </c>
      <c r="U17" t="str">
        <f t="shared" si="2"/>
        <v>Primax</v>
      </c>
      <c r="V17" t="str">
        <f t="shared" si="3"/>
        <v>PEP73125M056</v>
      </c>
      <c r="W17" t="str">
        <f t="shared" si="4"/>
        <v>22582511802A</v>
      </c>
      <c r="AM17" s="27">
        <f t="shared" si="5"/>
        <v>208.75900278</v>
      </c>
      <c r="AP17" t="s">
        <v>404</v>
      </c>
      <c r="AQ17" t="s">
        <v>505</v>
      </c>
    </row>
    <row r="18" spans="1:43" x14ac:dyDescent="0.35">
      <c r="A18" s="6" t="s">
        <v>8</v>
      </c>
      <c r="B18" s="6" t="s">
        <v>28</v>
      </c>
      <c r="C18" s="6" t="s">
        <v>30</v>
      </c>
      <c r="D18" s="6" t="s">
        <v>367</v>
      </c>
      <c r="E18" s="6" t="s">
        <v>373</v>
      </c>
      <c r="F18" s="6" t="s">
        <v>29</v>
      </c>
      <c r="G18" s="7" t="s">
        <v>401</v>
      </c>
      <c r="H18" s="6" t="s">
        <v>448</v>
      </c>
      <c r="I18" s="6" t="str">
        <f t="shared" si="0"/>
        <v>iShares Global Healthcare ETF</v>
      </c>
      <c r="J18" s="6">
        <f t="shared" si="1"/>
        <v>2.7511170800000002</v>
      </c>
      <c r="U18" t="str">
        <f t="shared" si="2"/>
        <v>Hermes</v>
      </c>
      <c r="V18" t="str">
        <f t="shared" si="3"/>
        <v>PEP73668M014</v>
      </c>
      <c r="W18" t="str">
        <f t="shared" si="4"/>
        <v>22582811701A</v>
      </c>
      <c r="AM18" s="27">
        <f>J16</f>
        <v>29.225820110000001</v>
      </c>
      <c r="AP18" t="s">
        <v>404</v>
      </c>
      <c r="AQ18" t="s">
        <v>505</v>
      </c>
    </row>
    <row r="19" spans="1:43" x14ac:dyDescent="0.35">
      <c r="A19" s="6" t="s">
        <v>8</v>
      </c>
      <c r="B19" s="6" t="s">
        <v>259</v>
      </c>
      <c r="C19" s="6" t="s">
        <v>261</v>
      </c>
      <c r="D19" s="6" t="s">
        <v>367</v>
      </c>
      <c r="E19" s="6" t="s">
        <v>262</v>
      </c>
      <c r="F19" s="6" t="s">
        <v>260</v>
      </c>
      <c r="G19" s="7" t="s">
        <v>402</v>
      </c>
      <c r="H19" s="6" t="s">
        <v>446</v>
      </c>
      <c r="I19" s="6" t="str">
        <f t="shared" si="0"/>
        <v>iShares Global Consumer Disc ETF</v>
      </c>
      <c r="J19" s="6">
        <f t="shared" si="1"/>
        <v>11.680975009999999</v>
      </c>
      <c r="U19" t="str">
        <f t="shared" si="2"/>
        <v>Inca Rail</v>
      </c>
      <c r="V19" t="str">
        <f t="shared" si="3"/>
        <v>CVL14017HL12</v>
      </c>
      <c r="W19" t="str">
        <f t="shared" si="4"/>
        <v>22583521701U</v>
      </c>
      <c r="AM19" s="27">
        <f t="shared" si="5"/>
        <v>29.225820110000001</v>
      </c>
      <c r="AP19" t="s">
        <v>404</v>
      </c>
      <c r="AQ19" t="s">
        <v>505</v>
      </c>
    </row>
    <row r="20" spans="1:43" x14ac:dyDescent="0.35">
      <c r="A20" s="6" t="s">
        <v>8</v>
      </c>
      <c r="B20" s="6" t="s">
        <v>31</v>
      </c>
      <c r="C20" s="6" t="s">
        <v>33</v>
      </c>
      <c r="D20" s="6" t="s">
        <v>367</v>
      </c>
      <c r="E20" s="6" t="s">
        <v>263</v>
      </c>
      <c r="F20" s="6" t="s">
        <v>32</v>
      </c>
      <c r="G20" s="7" t="s">
        <v>401</v>
      </c>
      <c r="H20" s="6" t="s">
        <v>451</v>
      </c>
      <c r="I20" s="6" t="str">
        <f t="shared" si="0"/>
        <v>iShares Global Technology ETF</v>
      </c>
      <c r="J20" s="6">
        <f t="shared" si="1"/>
        <v>7.9125585799999998</v>
      </c>
      <c r="U20" t="str">
        <f t="shared" si="2"/>
        <v>InRetail Pharma</v>
      </c>
      <c r="V20" t="str">
        <f t="shared" si="3"/>
        <v>CVL11000A018</v>
      </c>
      <c r="W20" t="str">
        <f t="shared" si="4"/>
        <v>22583911801U</v>
      </c>
      <c r="AM20" s="27">
        <f t="shared" si="5"/>
        <v>2.7511170800000002</v>
      </c>
      <c r="AP20" t="s">
        <v>404</v>
      </c>
      <c r="AQ20" t="s">
        <v>505</v>
      </c>
    </row>
    <row r="21" spans="1:43" x14ac:dyDescent="0.35">
      <c r="A21" s="6" t="s">
        <v>8</v>
      </c>
      <c r="B21" s="6" t="s">
        <v>34</v>
      </c>
      <c r="C21" s="6" t="s">
        <v>36</v>
      </c>
      <c r="D21" s="6" t="s">
        <v>367</v>
      </c>
      <c r="E21" s="6" t="s">
        <v>264</v>
      </c>
      <c r="F21" s="6" t="s">
        <v>35</v>
      </c>
      <c r="G21" s="7" t="s">
        <v>401</v>
      </c>
      <c r="H21" s="6" t="s">
        <v>446</v>
      </c>
      <c r="I21" s="6" t="str">
        <f t="shared" si="0"/>
        <v>iShares Global Consumer Disc ETF</v>
      </c>
      <c r="J21" s="6">
        <f t="shared" si="1"/>
        <v>11.680975009999999</v>
      </c>
      <c r="U21" t="str">
        <f t="shared" si="2"/>
        <v>Inversiones Nacionales de Turismo S.A.</v>
      </c>
      <c r="V21" t="str">
        <f t="shared" si="3"/>
        <v>CVL74200B016</v>
      </c>
      <c r="W21" t="str">
        <f t="shared" si="4"/>
        <v>22584221801U</v>
      </c>
      <c r="AM21" s="27">
        <f t="shared" si="5"/>
        <v>11.680975009999999</v>
      </c>
      <c r="AP21" t="s">
        <v>404</v>
      </c>
      <c r="AQ21" t="s">
        <v>505</v>
      </c>
    </row>
    <row r="22" spans="1:43" x14ac:dyDescent="0.35">
      <c r="A22" s="6" t="s">
        <v>8</v>
      </c>
      <c r="B22" s="6" t="s">
        <v>37</v>
      </c>
      <c r="C22" s="6" t="s">
        <v>39</v>
      </c>
      <c r="D22" s="6" t="s">
        <v>367</v>
      </c>
      <c r="E22" s="6" t="s">
        <v>374</v>
      </c>
      <c r="F22" s="6" t="s">
        <v>38</v>
      </c>
      <c r="G22" s="7" t="s">
        <v>401</v>
      </c>
      <c r="H22" s="6" t="s">
        <v>445</v>
      </c>
      <c r="I22" s="6" t="str">
        <f t="shared" si="0"/>
        <v>iShares Global Comm Svcs ETF</v>
      </c>
      <c r="J22" s="6">
        <f ca="1">INDEX(R$4:R$14,MATCH($H22,$O$4:$O$14,0))</f>
        <v>3.9577318099999999</v>
      </c>
      <c r="U22" t="str">
        <f t="shared" si="2"/>
        <v>Palo Alto</v>
      </c>
      <c r="V22" t="str">
        <f t="shared" si="3"/>
        <v>CVL71370PA16</v>
      </c>
      <c r="W22" t="str">
        <f t="shared" si="4"/>
        <v>22585911901A</v>
      </c>
      <c r="AM22" s="27">
        <f t="shared" si="5"/>
        <v>7.9125585799999998</v>
      </c>
      <c r="AP22" t="s">
        <v>404</v>
      </c>
      <c r="AQ22" t="s">
        <v>505</v>
      </c>
    </row>
    <row r="23" spans="1:43" x14ac:dyDescent="0.35">
      <c r="A23" s="6" t="s">
        <v>8</v>
      </c>
      <c r="B23" s="6" t="s">
        <v>265</v>
      </c>
      <c r="C23" s="6" t="s">
        <v>266</v>
      </c>
      <c r="D23" s="6" t="s">
        <v>367</v>
      </c>
      <c r="E23" s="6" t="s">
        <v>375</v>
      </c>
      <c r="F23" s="6" t="s">
        <v>376</v>
      </c>
      <c r="G23" s="47" t="s">
        <v>402</v>
      </c>
      <c r="H23" s="6" t="s">
        <v>446</v>
      </c>
      <c r="I23" s="6" t="str">
        <f t="shared" si="0"/>
        <v>iShares Global Consumer Disc ETF</v>
      </c>
      <c r="J23" s="6">
        <f t="shared" si="1"/>
        <v>11.680975009999999</v>
      </c>
      <c r="U23" t="str">
        <f t="shared" si="2"/>
        <v>Tecsup</v>
      </c>
      <c r="V23" t="str">
        <f t="shared" si="3"/>
        <v>CVL75840TB14</v>
      </c>
      <c r="W23" t="str">
        <f t="shared" si="4"/>
        <v>22586511901A</v>
      </c>
      <c r="AM23" s="27">
        <f t="shared" si="5"/>
        <v>11.680975009999999</v>
      </c>
      <c r="AP23" t="s">
        <v>404</v>
      </c>
      <c r="AQ23" t="s">
        <v>505</v>
      </c>
    </row>
    <row r="24" spans="1:43" x14ac:dyDescent="0.35">
      <c r="A24" s="6" t="s">
        <v>8</v>
      </c>
      <c r="B24" s="6" t="s">
        <v>267</v>
      </c>
      <c r="C24" s="6" t="s">
        <v>268</v>
      </c>
      <c r="D24" s="6" t="s">
        <v>367</v>
      </c>
      <c r="E24" s="6" t="s">
        <v>269</v>
      </c>
      <c r="F24" s="6" t="s">
        <v>376</v>
      </c>
      <c r="G24" s="49"/>
      <c r="H24" s="6" t="s">
        <v>446</v>
      </c>
      <c r="I24" s="6" t="str">
        <f t="shared" si="0"/>
        <v>iShares Global Consumer Disc ETF</v>
      </c>
      <c r="J24" s="6">
        <f t="shared" si="1"/>
        <v>11.680975009999999</v>
      </c>
      <c r="U24" t="str">
        <f t="shared" si="2"/>
        <v>Site del Perú</v>
      </c>
      <c r="V24" t="str">
        <f t="shared" si="3"/>
        <v>XS2693815156</v>
      </c>
      <c r="W24" t="str">
        <f t="shared" si="4"/>
        <v>225917115156</v>
      </c>
      <c r="AM24" s="27">
        <f ca="1">J22</f>
        <v>3.9577318099999999</v>
      </c>
      <c r="AP24" t="s">
        <v>404</v>
      </c>
      <c r="AQ24" t="s">
        <v>505</v>
      </c>
    </row>
    <row r="25" spans="1:43" x14ac:dyDescent="0.35">
      <c r="A25" s="6" t="s">
        <v>8</v>
      </c>
      <c r="B25" s="6" t="s">
        <v>40</v>
      </c>
      <c r="C25" s="6" t="s">
        <v>41</v>
      </c>
      <c r="D25" s="6" t="s">
        <v>367</v>
      </c>
      <c r="E25" s="6" t="s">
        <v>270</v>
      </c>
      <c r="F25" s="6" t="s">
        <v>376</v>
      </c>
      <c r="G25" s="48"/>
      <c r="H25" s="6" t="s">
        <v>446</v>
      </c>
      <c r="I25" s="6" t="str">
        <f t="shared" si="0"/>
        <v>iShares Global Consumer Disc ETF</v>
      </c>
      <c r="J25" s="6">
        <f t="shared" si="1"/>
        <v>11.680975009999999</v>
      </c>
      <c r="U25" t="str">
        <f t="shared" si="2"/>
        <v xml:space="preserve">Alicorp </v>
      </c>
      <c r="V25" t="str">
        <f t="shared" si="3"/>
        <v>USP0161KDW01</v>
      </c>
      <c r="W25" t="str">
        <f t="shared" si="4"/>
        <v>2220111KDW01</v>
      </c>
      <c r="AM25" s="27">
        <f t="shared" si="5"/>
        <v>11.680975009999999</v>
      </c>
      <c r="AP25" t="s">
        <v>404</v>
      </c>
      <c r="AQ25" t="s">
        <v>505</v>
      </c>
    </row>
    <row r="26" spans="1:43" x14ac:dyDescent="0.35">
      <c r="A26" s="6" t="s">
        <v>8</v>
      </c>
      <c r="B26" s="6" t="s">
        <v>271</v>
      </c>
      <c r="C26" s="6" t="s">
        <v>273</v>
      </c>
      <c r="D26" s="6" t="s">
        <v>367</v>
      </c>
      <c r="E26" s="6" t="s">
        <v>377</v>
      </c>
      <c r="F26" s="6" t="s">
        <v>272</v>
      </c>
      <c r="G26" s="47" t="s">
        <v>402</v>
      </c>
      <c r="H26" s="6" t="s">
        <v>445</v>
      </c>
      <c r="I26" s="6" t="str">
        <f t="shared" si="0"/>
        <v>iShares Global Comm Svcs ETF</v>
      </c>
      <c r="J26" s="6">
        <f ca="1">INDEX(R$4:R$14,MATCH($H26,$O$4:$O$14,0))</f>
        <v>3.9577318099999999</v>
      </c>
      <c r="U26" t="str">
        <f t="shared" si="2"/>
        <v xml:space="preserve">Alicorp </v>
      </c>
      <c r="V26" t="str">
        <f t="shared" si="3"/>
        <v>PEP21400M064</v>
      </c>
      <c r="W26" t="str">
        <f t="shared" si="4"/>
        <v>22201111502A</v>
      </c>
      <c r="AM26" s="27">
        <f t="shared" si="5"/>
        <v>11.680975009999999</v>
      </c>
      <c r="AP26" t="s">
        <v>404</v>
      </c>
      <c r="AQ26" t="s">
        <v>505</v>
      </c>
    </row>
    <row r="27" spans="1:43" x14ac:dyDescent="0.35">
      <c r="A27" s="6" t="s">
        <v>8</v>
      </c>
      <c r="B27" s="6" t="s">
        <v>274</v>
      </c>
      <c r="C27" s="6" t="s">
        <v>275</v>
      </c>
      <c r="D27" s="6" t="s">
        <v>367</v>
      </c>
      <c r="E27" s="6" t="s">
        <v>276</v>
      </c>
      <c r="F27" s="6" t="s">
        <v>272</v>
      </c>
      <c r="G27" s="49"/>
      <c r="H27" s="6" t="s">
        <v>445</v>
      </c>
      <c r="I27" s="6" t="str">
        <f t="shared" si="0"/>
        <v>iShares Global Comm Svcs ETF</v>
      </c>
      <c r="J27" s="6">
        <f ca="1">INDEX(R$4:R$14,MATCH($H27,$O$4:$O$14,0))</f>
        <v>3.9577318099999999</v>
      </c>
      <c r="U27" t="str">
        <f t="shared" si="2"/>
        <v xml:space="preserve">Alicorp </v>
      </c>
      <c r="V27" t="str">
        <f t="shared" si="3"/>
        <v>PEP21400M106</v>
      </c>
      <c r="W27" t="str">
        <f t="shared" si="4"/>
        <v>22201111801A</v>
      </c>
      <c r="AM27" s="27">
        <f t="shared" si="5"/>
        <v>11.680975009999999</v>
      </c>
      <c r="AP27" t="s">
        <v>404</v>
      </c>
      <c r="AQ27" t="s">
        <v>505</v>
      </c>
    </row>
    <row r="28" spans="1:43" x14ac:dyDescent="0.35">
      <c r="A28" s="6" t="s">
        <v>8</v>
      </c>
      <c r="B28" s="6" t="s">
        <v>277</v>
      </c>
      <c r="C28" s="6" t="s">
        <v>278</v>
      </c>
      <c r="D28" s="6" t="s">
        <v>367</v>
      </c>
      <c r="E28" s="6" t="s">
        <v>279</v>
      </c>
      <c r="F28" s="6" t="s">
        <v>272</v>
      </c>
      <c r="G28" s="49"/>
      <c r="H28" s="6" t="s">
        <v>445</v>
      </c>
      <c r="I28" s="6" t="str">
        <f t="shared" si="0"/>
        <v>iShares Global Comm Svcs ETF</v>
      </c>
      <c r="J28" s="6">
        <f ca="1">INDEX(R$4:R$14,MATCH($H28,$O$4:$O$14,0))</f>
        <v>3.9577318099999999</v>
      </c>
      <c r="U28" t="str">
        <f t="shared" si="2"/>
        <v xml:space="preserve">Telefónica del Perú </v>
      </c>
      <c r="V28" t="str">
        <f t="shared" si="3"/>
        <v>USP9T36GAR67</v>
      </c>
      <c r="W28" t="str">
        <f t="shared" si="4"/>
        <v>2223041GAR67</v>
      </c>
      <c r="AM28" s="27">
        <f ca="1">J26</f>
        <v>3.9577318099999999</v>
      </c>
      <c r="AP28" t="s">
        <v>404</v>
      </c>
      <c r="AQ28" t="s">
        <v>505</v>
      </c>
    </row>
    <row r="29" spans="1:43" x14ac:dyDescent="0.35">
      <c r="A29" s="6" t="s">
        <v>8</v>
      </c>
      <c r="B29" s="6" t="s">
        <v>280</v>
      </c>
      <c r="C29" s="6" t="s">
        <v>281</v>
      </c>
      <c r="D29" s="6" t="s">
        <v>367</v>
      </c>
      <c r="E29" s="6" t="s">
        <v>282</v>
      </c>
      <c r="F29" s="6" t="s">
        <v>272</v>
      </c>
      <c r="G29" s="49"/>
      <c r="H29" s="6" t="s">
        <v>445</v>
      </c>
      <c r="I29" s="6" t="str">
        <f t="shared" si="0"/>
        <v>iShares Global Comm Svcs ETF</v>
      </c>
      <c r="J29" s="6">
        <f ca="1">INDEX(R$4:R$14,MATCH($H29,$O$4:$O$14,0))</f>
        <v>3.9577318099999999</v>
      </c>
      <c r="U29" t="str">
        <f t="shared" si="2"/>
        <v xml:space="preserve">Telefónica del Perú </v>
      </c>
      <c r="V29" t="str">
        <f t="shared" si="3"/>
        <v>PEP70500M764</v>
      </c>
      <c r="W29" t="str">
        <f t="shared" si="4"/>
        <v>22230411715A</v>
      </c>
      <c r="AM29" s="27">
        <f ca="1">J27</f>
        <v>3.9577318099999999</v>
      </c>
      <c r="AP29" t="s">
        <v>404</v>
      </c>
      <c r="AQ29" t="s">
        <v>505</v>
      </c>
    </row>
    <row r="30" spans="1:43" x14ac:dyDescent="0.35">
      <c r="A30" s="6" t="s">
        <v>8</v>
      </c>
      <c r="B30" s="6" t="s">
        <v>283</v>
      </c>
      <c r="C30" s="6" t="s">
        <v>284</v>
      </c>
      <c r="D30" s="6" t="s">
        <v>367</v>
      </c>
      <c r="E30" s="6" t="s">
        <v>285</v>
      </c>
      <c r="F30" s="6" t="s">
        <v>272</v>
      </c>
      <c r="G30" s="48"/>
      <c r="H30" s="6" t="s">
        <v>445</v>
      </c>
      <c r="I30" s="6" t="str">
        <f t="shared" si="0"/>
        <v>iShares Global Comm Svcs ETF</v>
      </c>
      <c r="J30" s="6">
        <f ca="1">INDEX(R$4:R$14,MATCH($H30,$O$4:$O$14,0))</f>
        <v>3.9577318099999999</v>
      </c>
      <c r="U30" t="str">
        <f t="shared" si="2"/>
        <v xml:space="preserve">Telefónica del Perú </v>
      </c>
      <c r="V30" t="str">
        <f t="shared" si="3"/>
        <v>CVL70500T015</v>
      </c>
      <c r="W30" t="str">
        <f t="shared" si="4"/>
        <v>22230411801A</v>
      </c>
      <c r="AM30" s="27">
        <f ca="1">J28</f>
        <v>3.9577318099999999</v>
      </c>
      <c r="AP30" t="s">
        <v>404</v>
      </c>
      <c r="AQ30" t="s">
        <v>505</v>
      </c>
    </row>
    <row r="31" spans="1:43" x14ac:dyDescent="0.35">
      <c r="A31" s="6" t="s">
        <v>8</v>
      </c>
      <c r="B31" s="6" t="s">
        <v>286</v>
      </c>
      <c r="C31" s="6" t="s">
        <v>288</v>
      </c>
      <c r="D31" s="6" t="s">
        <v>367</v>
      </c>
      <c r="E31" s="6" t="s">
        <v>378</v>
      </c>
      <c r="F31" s="6" t="s">
        <v>287</v>
      </c>
      <c r="G31" s="7" t="s">
        <v>402</v>
      </c>
      <c r="H31" s="6" t="s">
        <v>431</v>
      </c>
      <c r="I31" s="6" t="str">
        <f t="shared" si="0"/>
        <v>iShares Global Energy ETF</v>
      </c>
      <c r="J31" s="6">
        <f t="shared" si="1"/>
        <v>208.75900278</v>
      </c>
      <c r="U31" t="str">
        <f t="shared" si="2"/>
        <v xml:space="preserve">Telefónica del Perú </v>
      </c>
      <c r="V31" t="str">
        <f t="shared" si="3"/>
        <v>PEP70500M459</v>
      </c>
      <c r="W31" t="str">
        <f t="shared" si="4"/>
        <v>22230430819C</v>
      </c>
      <c r="AM31" s="27">
        <f ca="1">J29</f>
        <v>3.9577318099999999</v>
      </c>
      <c r="AP31" t="s">
        <v>404</v>
      </c>
      <c r="AQ31" t="s">
        <v>505</v>
      </c>
    </row>
    <row r="32" spans="1:43" x14ac:dyDescent="0.35">
      <c r="A32" s="6" t="s">
        <v>289</v>
      </c>
      <c r="B32" s="6" t="s">
        <v>290</v>
      </c>
      <c r="C32" s="6" t="s">
        <v>292</v>
      </c>
      <c r="D32" s="6" t="s">
        <v>367</v>
      </c>
      <c r="E32" s="6" t="s">
        <v>293</v>
      </c>
      <c r="F32" s="6" t="s">
        <v>291</v>
      </c>
      <c r="G32" s="7" t="s">
        <v>402</v>
      </c>
      <c r="H32" s="6" t="s">
        <v>432</v>
      </c>
      <c r="I32" s="6" t="str">
        <f t="shared" si="0"/>
        <v>iShares Global Financials ETF</v>
      </c>
      <c r="J32" s="6">
        <f t="shared" si="1"/>
        <v>3.5338920200000001</v>
      </c>
      <c r="U32" t="str">
        <f t="shared" si="2"/>
        <v xml:space="preserve">Telefónica del Perú </v>
      </c>
      <c r="V32" t="str">
        <f t="shared" si="3"/>
        <v>PEP70500M335</v>
      </c>
      <c r="W32" t="str">
        <f t="shared" si="4"/>
        <v>22230430719A</v>
      </c>
      <c r="AM32" s="27">
        <f ca="1">J30</f>
        <v>3.9577318099999999</v>
      </c>
      <c r="AP32" t="s">
        <v>404</v>
      </c>
      <c r="AQ32" t="s">
        <v>505</v>
      </c>
    </row>
    <row r="33" spans="1:43" x14ac:dyDescent="0.35">
      <c r="A33" s="6" t="s">
        <v>42</v>
      </c>
      <c r="B33" s="6" t="s">
        <v>43</v>
      </c>
      <c r="C33" s="6" t="s">
        <v>45</v>
      </c>
      <c r="D33" s="6" t="s">
        <v>367</v>
      </c>
      <c r="E33" s="6" t="s">
        <v>379</v>
      </c>
      <c r="F33" s="6" t="s">
        <v>44</v>
      </c>
      <c r="G33" s="29" t="s">
        <v>401</v>
      </c>
      <c r="H33" s="6" t="s">
        <v>452</v>
      </c>
      <c r="I33" s="6" t="str">
        <f t="shared" si="0"/>
        <v>iShares Global Utilities ETF</v>
      </c>
      <c r="J33" s="6">
        <f t="shared" si="1"/>
        <v>250.75648330000001</v>
      </c>
      <c r="U33" t="str">
        <f t="shared" si="2"/>
        <v>Orazen</v>
      </c>
      <c r="V33" t="str">
        <f t="shared" si="3"/>
        <v>USP7372BAA19</v>
      </c>
      <c r="W33" t="str">
        <f t="shared" si="4"/>
        <v>2220472BAA19</v>
      </c>
      <c r="AM33" s="27">
        <f t="shared" si="5"/>
        <v>208.75900278</v>
      </c>
      <c r="AP33" t="s">
        <v>404</v>
      </c>
      <c r="AQ33" t="s">
        <v>505</v>
      </c>
    </row>
    <row r="34" spans="1:43" x14ac:dyDescent="0.35">
      <c r="A34" s="6" t="s">
        <v>42</v>
      </c>
      <c r="B34" s="6" t="s">
        <v>46</v>
      </c>
      <c r="C34" s="6" t="s">
        <v>47</v>
      </c>
      <c r="D34" s="6" t="s">
        <v>367</v>
      </c>
      <c r="E34" s="6" t="s">
        <v>379</v>
      </c>
      <c r="F34" s="6" t="s">
        <v>44</v>
      </c>
      <c r="G34" s="31"/>
      <c r="H34" s="6" t="s">
        <v>452</v>
      </c>
      <c r="I34" s="6" t="str">
        <f t="shared" ref="I34:I65" si="6">INDEX(Q$4:Q$14,MATCH($H34,$O$4:$O$14,0))</f>
        <v>iShares Global Utilities ETF</v>
      </c>
      <c r="J34" s="6">
        <f t="shared" ref="J34:J65" si="7">INDEX(R$4:R$14,MATCH($H34,$O$4:$O$14,0))</f>
        <v>250.75648330000001</v>
      </c>
      <c r="U34" t="str">
        <f t="shared" si="2"/>
        <v>COFIDE</v>
      </c>
      <c r="V34" t="str">
        <f t="shared" si="3"/>
        <v>PEP11100M245</v>
      </c>
      <c r="W34" t="str">
        <f t="shared" si="4"/>
        <v>25008611209A</v>
      </c>
      <c r="AM34" s="27">
        <f t="shared" si="5"/>
        <v>3.5338920200000001</v>
      </c>
      <c r="AP34" t="s">
        <v>404</v>
      </c>
      <c r="AQ34" t="s">
        <v>505</v>
      </c>
    </row>
    <row r="35" spans="1:43" x14ac:dyDescent="0.35">
      <c r="A35" s="6" t="s">
        <v>42</v>
      </c>
      <c r="B35" s="6" t="s">
        <v>48</v>
      </c>
      <c r="C35" s="6" t="s">
        <v>50</v>
      </c>
      <c r="D35" s="6" t="s">
        <v>367</v>
      </c>
      <c r="E35" s="6" t="s">
        <v>380</v>
      </c>
      <c r="F35" s="6" t="s">
        <v>49</v>
      </c>
      <c r="G35" s="7" t="s">
        <v>401</v>
      </c>
      <c r="H35" s="6" t="s">
        <v>452</v>
      </c>
      <c r="I35" s="6" t="str">
        <f t="shared" si="6"/>
        <v>iShares Global Utilities ETF</v>
      </c>
      <c r="J35" s="6">
        <f t="shared" si="7"/>
        <v>250.75648330000001</v>
      </c>
      <c r="O35" t="s">
        <v>647</v>
      </c>
      <c r="U35" t="str">
        <f t="shared" si="2"/>
        <v>Huascacocha Finance Limited</v>
      </c>
      <c r="V35" t="str">
        <f t="shared" si="3"/>
        <v>XS0511096355</v>
      </c>
      <c r="W35" t="str">
        <f t="shared" si="4"/>
        <v>274325396355</v>
      </c>
      <c r="AM35" s="27">
        <f t="shared" si="5"/>
        <v>250.75648330000001</v>
      </c>
      <c r="AP35" t="s">
        <v>404</v>
      </c>
      <c r="AQ35" t="s">
        <v>505</v>
      </c>
    </row>
    <row r="36" spans="1:43" x14ac:dyDescent="0.35">
      <c r="A36" s="6" t="s">
        <v>42</v>
      </c>
      <c r="B36" s="6" t="s">
        <v>51</v>
      </c>
      <c r="C36" s="6" t="s">
        <v>53</v>
      </c>
      <c r="D36" s="6" t="s">
        <v>367</v>
      </c>
      <c r="E36" s="6" t="s">
        <v>294</v>
      </c>
      <c r="F36" s="6" t="s">
        <v>52</v>
      </c>
      <c r="G36" s="7" t="s">
        <v>401</v>
      </c>
      <c r="H36" s="6" t="s">
        <v>449</v>
      </c>
      <c r="I36" s="6" t="str">
        <f t="shared" si="6"/>
        <v>iShares Global Industrials ETF</v>
      </c>
      <c r="J36" s="6">
        <f t="shared" si="7"/>
        <v>29.225820110000001</v>
      </c>
      <c r="U36" t="str">
        <f t="shared" si="2"/>
        <v>Huascacocha Finance Limited</v>
      </c>
      <c r="V36" t="str">
        <f t="shared" si="3"/>
        <v>XS0511095894</v>
      </c>
      <c r="W36" t="str">
        <f t="shared" si="4"/>
        <v>274325395894</v>
      </c>
      <c r="AM36" s="27">
        <f t="shared" si="5"/>
        <v>250.75648330000001</v>
      </c>
      <c r="AP36" t="s">
        <v>404</v>
      </c>
      <c r="AQ36" t="s">
        <v>505</v>
      </c>
    </row>
    <row r="37" spans="1:43" x14ac:dyDescent="0.35">
      <c r="A37" s="6" t="s">
        <v>42</v>
      </c>
      <c r="B37" s="6" t="s">
        <v>54</v>
      </c>
      <c r="C37" s="6" t="s">
        <v>56</v>
      </c>
      <c r="D37" s="6" t="s">
        <v>367</v>
      </c>
      <c r="E37" s="6" t="s">
        <v>295</v>
      </c>
      <c r="F37" s="6" t="s">
        <v>55</v>
      </c>
      <c r="G37" s="7" t="s">
        <v>401</v>
      </c>
      <c r="H37" s="6" t="s">
        <v>446</v>
      </c>
      <c r="I37" s="6" t="str">
        <f t="shared" si="6"/>
        <v>iShares Global Consumer Disc ETF</v>
      </c>
      <c r="J37" s="6">
        <f t="shared" si="7"/>
        <v>11.680975009999999</v>
      </c>
      <c r="U37" t="str">
        <f t="shared" si="2"/>
        <v>Taboada Finance Limited</v>
      </c>
      <c r="V37" t="str">
        <f t="shared" si="3"/>
        <v>XS0601857609</v>
      </c>
      <c r="W37" t="str">
        <f t="shared" si="4"/>
        <v>274329357609</v>
      </c>
      <c r="AM37" s="27">
        <f t="shared" si="5"/>
        <v>250.75648330000001</v>
      </c>
      <c r="AP37" t="s">
        <v>404</v>
      </c>
      <c r="AQ37" t="s">
        <v>505</v>
      </c>
    </row>
    <row r="38" spans="1:43" x14ac:dyDescent="0.35">
      <c r="A38" s="6" t="s">
        <v>42</v>
      </c>
      <c r="B38" s="6" t="s">
        <v>57</v>
      </c>
      <c r="C38" s="6" t="s">
        <v>58</v>
      </c>
      <c r="D38" s="6" t="s">
        <v>367</v>
      </c>
      <c r="E38" s="6" t="s">
        <v>296</v>
      </c>
      <c r="F38" s="6" t="s">
        <v>55</v>
      </c>
      <c r="G38" s="7" t="s">
        <v>401</v>
      </c>
      <c r="H38" s="6" t="s">
        <v>446</v>
      </c>
      <c r="I38" s="6" t="str">
        <f t="shared" si="6"/>
        <v>iShares Global Consumer Disc ETF</v>
      </c>
      <c r="J38" s="6">
        <f t="shared" si="7"/>
        <v>11.680975009999999</v>
      </c>
      <c r="U38" t="str">
        <f t="shared" si="2"/>
        <v>ADP</v>
      </c>
      <c r="V38" t="str">
        <f t="shared" si="3"/>
        <v>CVL80050A019</v>
      </c>
      <c r="W38" t="str">
        <f t="shared" si="4"/>
        <v>2702021ADP1A</v>
      </c>
      <c r="AM38" s="27">
        <f t="shared" si="5"/>
        <v>29.225820110000001</v>
      </c>
      <c r="AP38" t="s">
        <v>404</v>
      </c>
      <c r="AQ38" t="s">
        <v>505</v>
      </c>
    </row>
    <row r="39" spans="1:43" x14ac:dyDescent="0.35">
      <c r="A39" s="6" t="s">
        <v>42</v>
      </c>
      <c r="B39" s="6" t="s">
        <v>59</v>
      </c>
      <c r="C39" s="6" t="s">
        <v>60</v>
      </c>
      <c r="D39" s="6" t="s">
        <v>367</v>
      </c>
      <c r="E39" s="6" t="s">
        <v>297</v>
      </c>
      <c r="F39" s="15" t="s">
        <v>506</v>
      </c>
      <c r="G39" s="14" t="s">
        <v>401</v>
      </c>
      <c r="H39" s="6" t="s">
        <v>446</v>
      </c>
      <c r="I39" s="6" t="str">
        <f t="shared" si="6"/>
        <v>iShares Global Consumer Disc ETF</v>
      </c>
      <c r="J39" s="6">
        <f t="shared" si="7"/>
        <v>11.680975009999999</v>
      </c>
      <c r="U39" t="str">
        <f t="shared" si="2"/>
        <v>Colegios Peruanos - Internacional de Titulos Soc. Titulizadora</v>
      </c>
      <c r="V39" t="str">
        <f t="shared" si="3"/>
        <v>CVL800702P33</v>
      </c>
      <c r="W39" t="str">
        <f t="shared" si="4"/>
        <v>2702011INS3U</v>
      </c>
      <c r="AM39" s="27">
        <f t="shared" si="5"/>
        <v>11.680975009999999</v>
      </c>
      <c r="AP39" t="s">
        <v>404</v>
      </c>
      <c r="AQ39" t="s">
        <v>505</v>
      </c>
    </row>
    <row r="40" spans="1:43" x14ac:dyDescent="0.35">
      <c r="A40" s="6" t="s">
        <v>42</v>
      </c>
      <c r="B40" s="6" t="s">
        <v>298</v>
      </c>
      <c r="C40" s="6" t="s">
        <v>300</v>
      </c>
      <c r="D40" s="6" t="s">
        <v>367</v>
      </c>
      <c r="E40" s="6" t="s">
        <v>381</v>
      </c>
      <c r="F40" s="6" t="s">
        <v>299</v>
      </c>
      <c r="G40" s="7" t="s">
        <v>402</v>
      </c>
      <c r="H40" s="6" t="s">
        <v>446</v>
      </c>
      <c r="I40" s="6" t="str">
        <f t="shared" si="6"/>
        <v>iShares Global Consumer Disc ETF</v>
      </c>
      <c r="J40" s="6">
        <f t="shared" si="7"/>
        <v>11.680975009999999</v>
      </c>
      <c r="U40" t="str">
        <f t="shared" si="2"/>
        <v>Colegios Peruanos - Internacional de Titulos Soc. Titulizadora</v>
      </c>
      <c r="V40" t="str">
        <f t="shared" si="3"/>
        <v>PEP80070F166</v>
      </c>
      <c r="W40" t="str">
        <f t="shared" si="4"/>
        <v>2702011IS11A</v>
      </c>
      <c r="AM40" s="27">
        <f t="shared" si="5"/>
        <v>11.680975009999999</v>
      </c>
      <c r="AP40" t="s">
        <v>404</v>
      </c>
      <c r="AQ40" t="s">
        <v>505</v>
      </c>
    </row>
    <row r="41" spans="1:43" x14ac:dyDescent="0.35">
      <c r="A41" s="6" t="s">
        <v>78</v>
      </c>
      <c r="B41" s="6" t="s">
        <v>79</v>
      </c>
      <c r="C41" s="6" t="s">
        <v>81</v>
      </c>
      <c r="D41" s="6" t="s">
        <v>367</v>
      </c>
      <c r="E41" s="6" t="s">
        <v>80</v>
      </c>
      <c r="F41" s="6" t="s">
        <v>80</v>
      </c>
      <c r="G41" s="7" t="s">
        <v>401</v>
      </c>
      <c r="H41" s="2" t="s">
        <v>407</v>
      </c>
      <c r="I41" s="6" t="str">
        <f t="shared" si="6"/>
        <v>iShares MSCI Peru and Global Exposure ETF (EPU)</v>
      </c>
      <c r="J41" s="6">
        <f t="shared" si="7"/>
        <v>19.591038730000001</v>
      </c>
      <c r="U41" t="str">
        <f t="shared" si="2"/>
        <v>Internacional de Titulos Soc. Titulizadora- Innova</v>
      </c>
      <c r="V41" t="str">
        <f t="shared" si="3"/>
        <v>CVL800703P16</v>
      </c>
      <c r="W41" t="str">
        <f t="shared" si="4"/>
        <v>2702011INSC2</v>
      </c>
      <c r="AM41" s="27">
        <f t="shared" si="5"/>
        <v>11.680975009999999</v>
      </c>
      <c r="AP41" t="s">
        <v>404</v>
      </c>
      <c r="AQ41" t="s">
        <v>505</v>
      </c>
    </row>
    <row r="42" spans="1:43" x14ac:dyDescent="0.35">
      <c r="A42" s="6" t="s">
        <v>78</v>
      </c>
      <c r="B42" s="6" t="s">
        <v>82</v>
      </c>
      <c r="C42" s="6" t="s">
        <v>84</v>
      </c>
      <c r="D42" s="6" t="s">
        <v>367</v>
      </c>
      <c r="E42" s="6" t="s">
        <v>382</v>
      </c>
      <c r="F42" s="6" t="s">
        <v>83</v>
      </c>
      <c r="G42" s="7" t="s">
        <v>401</v>
      </c>
      <c r="H42" s="2" t="s">
        <v>407</v>
      </c>
      <c r="I42" s="6" t="str">
        <f t="shared" si="6"/>
        <v>iShares MSCI Peru and Global Exposure ETF (EPU)</v>
      </c>
      <c r="J42" s="6">
        <f t="shared" si="7"/>
        <v>19.591038730000001</v>
      </c>
      <c r="U42" t="str">
        <f t="shared" si="2"/>
        <v>Casa Andina (Scotia Sociedad Titulizadora)</v>
      </c>
      <c r="V42" t="str">
        <f t="shared" si="3"/>
        <v>CVL80200F308</v>
      </c>
      <c r="W42" t="str">
        <f t="shared" si="4"/>
        <v>2702042CA11U</v>
      </c>
      <c r="AM42" s="27">
        <f t="shared" si="5"/>
        <v>11.680975009999999</v>
      </c>
      <c r="AP42" t="s">
        <v>404</v>
      </c>
      <c r="AQ42" t="s">
        <v>505</v>
      </c>
    </row>
    <row r="43" spans="1:43" x14ac:dyDescent="0.35">
      <c r="A43" s="6" t="s">
        <v>78</v>
      </c>
      <c r="B43" s="6" t="s">
        <v>85</v>
      </c>
      <c r="C43" s="6" t="s">
        <v>87</v>
      </c>
      <c r="D43" s="6" t="s">
        <v>367</v>
      </c>
      <c r="E43" s="6" t="s">
        <v>383</v>
      </c>
      <c r="F43" s="6" t="s">
        <v>86</v>
      </c>
      <c r="G43" s="7" t="s">
        <v>401</v>
      </c>
      <c r="H43" s="2" t="s">
        <v>407</v>
      </c>
      <c r="I43" s="6" t="str">
        <f t="shared" si="6"/>
        <v>iShares MSCI Peru and Global Exposure ETF (EPU)</v>
      </c>
      <c r="J43" s="6">
        <f t="shared" si="7"/>
        <v>19.591038730000001</v>
      </c>
      <c r="U43" t="str">
        <f t="shared" si="2"/>
        <v>Macrocapitales SAFI S.A.</v>
      </c>
      <c r="V43" t="str">
        <f t="shared" si="3"/>
        <v>CVL79560FI39</v>
      </c>
      <c r="W43" t="str">
        <f t="shared" si="4"/>
        <v>4911141MIND1</v>
      </c>
      <c r="AM43" s="27">
        <f t="shared" si="5"/>
        <v>19.591038730000001</v>
      </c>
      <c r="AP43" t="s">
        <v>404</v>
      </c>
      <c r="AQ43" t="s">
        <v>505</v>
      </c>
    </row>
    <row r="44" spans="1:43" x14ac:dyDescent="0.35">
      <c r="A44" s="6" t="s">
        <v>318</v>
      </c>
      <c r="B44" s="6" t="s">
        <v>319</v>
      </c>
      <c r="C44" s="6" t="s">
        <v>321</v>
      </c>
      <c r="D44" s="6" t="s">
        <v>367</v>
      </c>
      <c r="E44" s="6" t="s">
        <v>387</v>
      </c>
      <c r="F44" s="6" t="s">
        <v>320</v>
      </c>
      <c r="G44" s="7" t="s">
        <v>402</v>
      </c>
      <c r="H44" s="2" t="s">
        <v>407</v>
      </c>
      <c r="I44" s="6" t="str">
        <f t="shared" si="6"/>
        <v>iShares MSCI Peru and Global Exposure ETF (EPU)</v>
      </c>
      <c r="J44" s="6">
        <f t="shared" si="7"/>
        <v>19.591038730000001</v>
      </c>
      <c r="U44" t="str">
        <f t="shared" si="2"/>
        <v>BD Capital - Senior Loans C</v>
      </c>
      <c r="V44" t="str">
        <f t="shared" si="3"/>
        <v>CVL79590GA30</v>
      </c>
      <c r="W44" t="str">
        <f t="shared" si="4"/>
        <v>4974252SCBDC</v>
      </c>
      <c r="AM44" s="27">
        <f t="shared" si="5"/>
        <v>19.591038730000001</v>
      </c>
      <c r="AP44" t="s">
        <v>404</v>
      </c>
      <c r="AQ44" t="s">
        <v>505</v>
      </c>
    </row>
    <row r="45" spans="1:43" x14ac:dyDescent="0.35">
      <c r="A45" s="6" t="s">
        <v>301</v>
      </c>
      <c r="B45" s="6" t="s">
        <v>302</v>
      </c>
      <c r="C45" s="6" t="s">
        <v>304</v>
      </c>
      <c r="D45" s="6" t="s">
        <v>388</v>
      </c>
      <c r="E45" s="6" t="s">
        <v>389</v>
      </c>
      <c r="F45" s="6" t="s">
        <v>303</v>
      </c>
      <c r="G45" s="29" t="s">
        <v>402</v>
      </c>
      <c r="H45" s="6" t="s">
        <v>449</v>
      </c>
      <c r="I45" s="6" t="str">
        <f t="shared" si="6"/>
        <v>iShares Global Industrials ETF</v>
      </c>
      <c r="J45" s="6">
        <f t="shared" si="7"/>
        <v>29.225820110000001</v>
      </c>
      <c r="U45" t="str">
        <f t="shared" si="2"/>
        <v>Sigma - Leasing Operativo</v>
      </c>
      <c r="V45" t="str">
        <f t="shared" si="3"/>
        <v>CVL795509FD6</v>
      </c>
      <c r="W45" t="str">
        <f t="shared" si="4"/>
        <v>491105206SI1</v>
      </c>
      <c r="AM45" s="27">
        <f t="shared" si="5"/>
        <v>19.591038730000001</v>
      </c>
      <c r="AP45" t="s">
        <v>404</v>
      </c>
      <c r="AQ45" t="s">
        <v>505</v>
      </c>
    </row>
    <row r="46" spans="1:43" x14ac:dyDescent="0.35">
      <c r="A46" s="6" t="s">
        <v>301</v>
      </c>
      <c r="B46" s="6" t="s">
        <v>302</v>
      </c>
      <c r="C46" s="6" t="s">
        <v>304</v>
      </c>
      <c r="D46" s="6" t="s">
        <v>388</v>
      </c>
      <c r="E46" s="6" t="s">
        <v>389</v>
      </c>
      <c r="F46" s="6" t="s">
        <v>303</v>
      </c>
      <c r="G46" s="30"/>
      <c r="H46" s="6" t="s">
        <v>449</v>
      </c>
      <c r="I46" s="6" t="str">
        <f t="shared" si="6"/>
        <v>iShares Global Industrials ETF</v>
      </c>
      <c r="J46" s="6">
        <f t="shared" si="7"/>
        <v>29.225820110000001</v>
      </c>
      <c r="U46" t="str">
        <f t="shared" si="2"/>
        <v>Empresas Públicas Medellin</v>
      </c>
      <c r="V46" t="str">
        <f t="shared" si="3"/>
        <v>USP9379RAZ03</v>
      </c>
      <c r="W46" t="str">
        <f t="shared" si="4"/>
        <v>595132FRAZ03</v>
      </c>
      <c r="AM46" s="27">
        <f t="shared" si="5"/>
        <v>19.591038730000001</v>
      </c>
      <c r="AP46" t="s">
        <v>404</v>
      </c>
      <c r="AQ46" t="s">
        <v>505</v>
      </c>
    </row>
    <row r="47" spans="1:43" x14ac:dyDescent="0.35">
      <c r="A47" s="6" t="s">
        <v>301</v>
      </c>
      <c r="B47" s="6" t="s">
        <v>302</v>
      </c>
      <c r="C47" s="6" t="s">
        <v>304</v>
      </c>
      <c r="D47" s="6" t="s">
        <v>388</v>
      </c>
      <c r="E47" s="6" t="s">
        <v>389</v>
      </c>
      <c r="F47" s="6" t="s">
        <v>303</v>
      </c>
      <c r="G47" s="31"/>
      <c r="H47" s="6" t="s">
        <v>449</v>
      </c>
      <c r="I47" s="6" t="str">
        <f t="shared" si="6"/>
        <v>iShares Global Industrials ETF</v>
      </c>
      <c r="J47" s="6">
        <f t="shared" si="7"/>
        <v>29.225820110000001</v>
      </c>
      <c r="U47" t="str">
        <f t="shared" si="2"/>
        <v>Ferreyros S.A.A.</v>
      </c>
      <c r="V47" t="str">
        <f t="shared" si="3"/>
        <v>PEP736001004</v>
      </c>
      <c r="W47" t="str">
        <f t="shared" si="4"/>
        <v>302107100001</v>
      </c>
      <c r="AM47" s="27">
        <f t="shared" si="5"/>
        <v>29.225820110000001</v>
      </c>
      <c r="AP47" t="s">
        <v>404</v>
      </c>
      <c r="AQ47" t="s">
        <v>505</v>
      </c>
    </row>
    <row r="48" spans="1:43" x14ac:dyDescent="0.35">
      <c r="A48" s="6" t="s">
        <v>301</v>
      </c>
      <c r="B48" s="6" t="s">
        <v>305</v>
      </c>
      <c r="C48" s="6" t="s">
        <v>306</v>
      </c>
      <c r="D48" s="6" t="s">
        <v>388</v>
      </c>
      <c r="E48" s="6" t="s">
        <v>390</v>
      </c>
      <c r="F48" s="6" t="s">
        <v>391</v>
      </c>
      <c r="G48" s="29" t="s">
        <v>402</v>
      </c>
      <c r="H48" s="6" t="s">
        <v>446</v>
      </c>
      <c r="I48" s="6" t="str">
        <f t="shared" si="6"/>
        <v>iShares Global Consumer Disc ETF</v>
      </c>
      <c r="J48" s="6">
        <f t="shared" si="7"/>
        <v>11.680975009999999</v>
      </c>
      <c r="U48" t="str">
        <f t="shared" si="2"/>
        <v>Ferreyros S.A.A.</v>
      </c>
      <c r="V48" t="str">
        <f t="shared" si="3"/>
        <v>PEP736001004</v>
      </c>
      <c r="W48" t="str">
        <f t="shared" si="4"/>
        <v>302107100001</v>
      </c>
      <c r="AM48" s="27">
        <f t="shared" si="5"/>
        <v>29.225820110000001</v>
      </c>
      <c r="AP48" t="s">
        <v>404</v>
      </c>
      <c r="AQ48" t="s">
        <v>505</v>
      </c>
    </row>
    <row r="49" spans="1:43" x14ac:dyDescent="0.35">
      <c r="A49" s="6" t="s">
        <v>301</v>
      </c>
      <c r="B49" s="6" t="s">
        <v>305</v>
      </c>
      <c r="C49" s="6" t="s">
        <v>306</v>
      </c>
      <c r="D49" s="6" t="s">
        <v>388</v>
      </c>
      <c r="E49" s="6" t="s">
        <v>390</v>
      </c>
      <c r="F49" s="6" t="s">
        <v>391</v>
      </c>
      <c r="G49" s="30"/>
      <c r="H49" s="6" t="s">
        <v>446</v>
      </c>
      <c r="I49" s="6" t="str">
        <f t="shared" si="6"/>
        <v>iShares Global Consumer Disc ETF</v>
      </c>
      <c r="J49" s="6">
        <f t="shared" si="7"/>
        <v>11.680975009999999</v>
      </c>
      <c r="U49" t="str">
        <f t="shared" si="2"/>
        <v>Ferreyros S.A.A.</v>
      </c>
      <c r="V49" t="str">
        <f t="shared" si="3"/>
        <v>PEP736001004</v>
      </c>
      <c r="W49" t="str">
        <f t="shared" si="4"/>
        <v>302107100001</v>
      </c>
      <c r="AM49" s="27">
        <f t="shared" si="5"/>
        <v>29.225820110000001</v>
      </c>
      <c r="AP49" t="s">
        <v>404</v>
      </c>
      <c r="AQ49" t="s">
        <v>505</v>
      </c>
    </row>
    <row r="50" spans="1:43" x14ac:dyDescent="0.35">
      <c r="A50" s="6" t="s">
        <v>301</v>
      </c>
      <c r="B50" s="6" t="s">
        <v>305</v>
      </c>
      <c r="C50" s="6" t="s">
        <v>306</v>
      </c>
      <c r="D50" s="6" t="s">
        <v>388</v>
      </c>
      <c r="E50" s="6" t="s">
        <v>390</v>
      </c>
      <c r="F50" s="6" t="s">
        <v>391</v>
      </c>
      <c r="G50" s="30"/>
      <c r="H50" s="6" t="s">
        <v>446</v>
      </c>
      <c r="I50" s="6" t="str">
        <f t="shared" si="6"/>
        <v>iShares Global Consumer Disc ETF</v>
      </c>
      <c r="J50" s="6">
        <f t="shared" si="7"/>
        <v>11.680975009999999</v>
      </c>
      <c r="U50" t="str">
        <f t="shared" si="2"/>
        <v>Alicorp S.A.</v>
      </c>
      <c r="V50" t="str">
        <f t="shared" si="3"/>
        <v>PEP214001005</v>
      </c>
      <c r="W50" t="str">
        <f t="shared" si="4"/>
        <v>302011100001</v>
      </c>
      <c r="AM50" s="27">
        <f t="shared" si="5"/>
        <v>11.680975009999999</v>
      </c>
      <c r="AP50" t="s">
        <v>404</v>
      </c>
      <c r="AQ50" t="s">
        <v>505</v>
      </c>
    </row>
    <row r="51" spans="1:43" x14ac:dyDescent="0.35">
      <c r="A51" s="6" t="s">
        <v>301</v>
      </c>
      <c r="B51" s="6" t="s">
        <v>307</v>
      </c>
      <c r="C51" s="6" t="s">
        <v>308</v>
      </c>
      <c r="D51" s="6" t="s">
        <v>388</v>
      </c>
      <c r="E51" s="6" t="s">
        <v>392</v>
      </c>
      <c r="F51" s="6" t="s">
        <v>391</v>
      </c>
      <c r="G51" s="30"/>
      <c r="H51" s="6" t="s">
        <v>446</v>
      </c>
      <c r="I51" s="6" t="str">
        <f t="shared" si="6"/>
        <v>iShares Global Consumer Disc ETF</v>
      </c>
      <c r="J51" s="6">
        <f t="shared" si="7"/>
        <v>11.680975009999999</v>
      </c>
      <c r="U51" t="str">
        <f t="shared" si="2"/>
        <v>Alicorp S.A.</v>
      </c>
      <c r="V51" t="str">
        <f t="shared" si="3"/>
        <v>PEP214001005</v>
      </c>
      <c r="W51" t="str">
        <f t="shared" si="4"/>
        <v>302011100001</v>
      </c>
      <c r="AM51" s="27">
        <f t="shared" si="5"/>
        <v>11.680975009999999</v>
      </c>
      <c r="AP51" t="s">
        <v>404</v>
      </c>
      <c r="AQ51" t="s">
        <v>505</v>
      </c>
    </row>
    <row r="52" spans="1:43" x14ac:dyDescent="0.35">
      <c r="A52" s="6" t="s">
        <v>301</v>
      </c>
      <c r="B52" s="6" t="s">
        <v>307</v>
      </c>
      <c r="C52" s="6" t="s">
        <v>308</v>
      </c>
      <c r="D52" s="6" t="s">
        <v>388</v>
      </c>
      <c r="E52" s="6" t="s">
        <v>392</v>
      </c>
      <c r="F52" s="6" t="s">
        <v>391</v>
      </c>
      <c r="G52" s="31"/>
      <c r="H52" s="6" t="s">
        <v>446</v>
      </c>
      <c r="I52" s="6" t="str">
        <f t="shared" si="6"/>
        <v>iShares Global Consumer Disc ETF</v>
      </c>
      <c r="J52" s="6">
        <f t="shared" si="7"/>
        <v>11.680975009999999</v>
      </c>
      <c r="U52" t="str">
        <f t="shared" si="2"/>
        <v>Alicorp S.A.</v>
      </c>
      <c r="V52" t="str">
        <f t="shared" si="3"/>
        <v>PEP214001005</v>
      </c>
      <c r="W52" t="str">
        <f t="shared" si="4"/>
        <v>302011100001</v>
      </c>
      <c r="AM52" s="27">
        <f t="shared" si="5"/>
        <v>11.680975009999999</v>
      </c>
      <c r="AP52" t="s">
        <v>404</v>
      </c>
      <c r="AQ52" t="s">
        <v>505</v>
      </c>
    </row>
    <row r="53" spans="1:43" x14ac:dyDescent="0.35">
      <c r="A53" s="6" t="s">
        <v>301</v>
      </c>
      <c r="B53" s="6" t="s">
        <v>309</v>
      </c>
      <c r="C53" s="6" t="s">
        <v>311</v>
      </c>
      <c r="D53" s="6" t="s">
        <v>388</v>
      </c>
      <c r="E53" s="6" t="s">
        <v>312</v>
      </c>
      <c r="F53" s="6" t="s">
        <v>310</v>
      </c>
      <c r="G53" s="29" t="s">
        <v>402</v>
      </c>
      <c r="H53" s="6" t="s">
        <v>450</v>
      </c>
      <c r="I53" s="6" t="str">
        <f t="shared" si="6"/>
        <v>iShares Global Materials ETF</v>
      </c>
      <c r="J53" s="6">
        <f t="shared" si="7"/>
        <v>207.42773632000001</v>
      </c>
      <c r="U53" t="str">
        <f t="shared" si="2"/>
        <v>Alicorp S.A.</v>
      </c>
      <c r="V53" t="str">
        <f t="shared" si="3"/>
        <v>PEP608001108</v>
      </c>
      <c r="W53" t="str">
        <f t="shared" si="4"/>
        <v>302048100001</v>
      </c>
      <c r="AM53" s="27">
        <f t="shared" si="5"/>
        <v>11.680975009999999</v>
      </c>
      <c r="AP53" t="s">
        <v>404</v>
      </c>
      <c r="AQ53" t="s">
        <v>505</v>
      </c>
    </row>
    <row r="54" spans="1:43" x14ac:dyDescent="0.35">
      <c r="A54" s="6" t="s">
        <v>301</v>
      </c>
      <c r="B54" s="6" t="s">
        <v>309</v>
      </c>
      <c r="C54" s="6" t="s">
        <v>311</v>
      </c>
      <c r="D54" s="6" t="s">
        <v>388</v>
      </c>
      <c r="E54" s="6" t="s">
        <v>312</v>
      </c>
      <c r="F54" s="6" t="s">
        <v>310</v>
      </c>
      <c r="G54" s="30"/>
      <c r="H54" s="6" t="s">
        <v>450</v>
      </c>
      <c r="I54" s="6" t="str">
        <f t="shared" si="6"/>
        <v>iShares Global Materials ETF</v>
      </c>
      <c r="J54" s="6">
        <f t="shared" si="7"/>
        <v>207.42773632000001</v>
      </c>
      <c r="U54" t="str">
        <f t="shared" si="2"/>
        <v>Alicorp S.A.</v>
      </c>
      <c r="V54" t="str">
        <f t="shared" si="3"/>
        <v>PEP608001108</v>
      </c>
      <c r="W54" t="str">
        <f t="shared" si="4"/>
        <v>302048100001</v>
      </c>
      <c r="AM54" s="27">
        <f t="shared" si="5"/>
        <v>11.680975009999999</v>
      </c>
      <c r="AP54" t="s">
        <v>404</v>
      </c>
      <c r="AQ54" t="s">
        <v>505</v>
      </c>
    </row>
    <row r="55" spans="1:43" x14ac:dyDescent="0.35">
      <c r="A55" s="6" t="s">
        <v>301</v>
      </c>
      <c r="B55" s="6" t="s">
        <v>309</v>
      </c>
      <c r="C55" s="6" t="s">
        <v>311</v>
      </c>
      <c r="D55" s="6" t="s">
        <v>388</v>
      </c>
      <c r="E55" s="6" t="s">
        <v>312</v>
      </c>
      <c r="F55" s="6" t="s">
        <v>310</v>
      </c>
      <c r="G55" s="31"/>
      <c r="H55" s="6" t="s">
        <v>450</v>
      </c>
      <c r="I55" s="6" t="str">
        <f t="shared" si="6"/>
        <v>iShares Global Materials ETF</v>
      </c>
      <c r="J55" s="6">
        <f t="shared" si="7"/>
        <v>207.42773632000001</v>
      </c>
      <c r="U55" t="str">
        <f t="shared" si="2"/>
        <v>Sociedad Minera Cerro Verde S.A.A.</v>
      </c>
      <c r="V55" t="str">
        <f t="shared" si="3"/>
        <v>PEP646501002</v>
      </c>
      <c r="W55" t="str">
        <f t="shared" si="4"/>
        <v>302072200001</v>
      </c>
      <c r="AM55" s="27">
        <f t="shared" si="5"/>
        <v>207.42773632000001</v>
      </c>
      <c r="AP55" t="s">
        <v>404</v>
      </c>
      <c r="AQ55" t="s">
        <v>505</v>
      </c>
    </row>
    <row r="56" spans="1:43" x14ac:dyDescent="0.35">
      <c r="A56" s="6" t="s">
        <v>301</v>
      </c>
      <c r="B56" s="6" t="s">
        <v>313</v>
      </c>
      <c r="C56" s="6" t="s">
        <v>315</v>
      </c>
      <c r="D56" s="6" t="s">
        <v>388</v>
      </c>
      <c r="E56" s="6" t="s">
        <v>393</v>
      </c>
      <c r="F56" s="6" t="s">
        <v>314</v>
      </c>
      <c r="G56" s="29" t="s">
        <v>402</v>
      </c>
      <c r="H56" s="6" t="s">
        <v>449</v>
      </c>
      <c r="I56" s="6" t="str">
        <f t="shared" si="6"/>
        <v>iShares Global Industrials ETF</v>
      </c>
      <c r="J56" s="6">
        <f t="shared" si="7"/>
        <v>29.225820110000001</v>
      </c>
      <c r="U56" t="str">
        <f t="shared" si="2"/>
        <v>Sociedad Minera Cerro Verde S.A.A.</v>
      </c>
      <c r="V56" t="str">
        <f t="shared" si="3"/>
        <v>PEP646501002</v>
      </c>
      <c r="W56" t="str">
        <f t="shared" si="4"/>
        <v>302072200001</v>
      </c>
      <c r="AM56" s="27">
        <f t="shared" si="5"/>
        <v>207.42773632000001</v>
      </c>
      <c r="AP56" t="s">
        <v>404</v>
      </c>
      <c r="AQ56" t="s">
        <v>505</v>
      </c>
    </row>
    <row r="57" spans="1:43" x14ac:dyDescent="0.35">
      <c r="A57" s="6" t="s">
        <v>301</v>
      </c>
      <c r="B57" s="6" t="s">
        <v>313</v>
      </c>
      <c r="C57" s="6" t="s">
        <v>315</v>
      </c>
      <c r="D57" s="6" t="s">
        <v>388</v>
      </c>
      <c r="E57" s="6" t="s">
        <v>393</v>
      </c>
      <c r="F57" s="6" t="s">
        <v>314</v>
      </c>
      <c r="G57" s="30"/>
      <c r="H57" s="6" t="s">
        <v>449</v>
      </c>
      <c r="I57" s="6" t="str">
        <f t="shared" si="6"/>
        <v>iShares Global Industrials ETF</v>
      </c>
      <c r="J57" s="6">
        <f t="shared" si="7"/>
        <v>29.225820110000001</v>
      </c>
      <c r="U57" t="str">
        <f t="shared" si="2"/>
        <v>Sociedad Minera Cerro Verde S.A.A.</v>
      </c>
      <c r="V57" t="str">
        <f t="shared" si="3"/>
        <v>PEP646501002</v>
      </c>
      <c r="W57" t="str">
        <f t="shared" si="4"/>
        <v>302072200001</v>
      </c>
      <c r="AM57" s="27">
        <f t="shared" si="5"/>
        <v>207.42773632000001</v>
      </c>
      <c r="AP57" t="s">
        <v>404</v>
      </c>
      <c r="AQ57" t="s">
        <v>505</v>
      </c>
    </row>
    <row r="58" spans="1:43" x14ac:dyDescent="0.35">
      <c r="A58" s="6" t="s">
        <v>301</v>
      </c>
      <c r="B58" s="6" t="s">
        <v>313</v>
      </c>
      <c r="C58" s="6" t="s">
        <v>315</v>
      </c>
      <c r="D58" s="6" t="s">
        <v>388</v>
      </c>
      <c r="E58" s="6" t="s">
        <v>393</v>
      </c>
      <c r="F58" s="6" t="s">
        <v>314</v>
      </c>
      <c r="G58" s="31"/>
      <c r="H58" s="6" t="s">
        <v>449</v>
      </c>
      <c r="I58" s="6" t="str">
        <f t="shared" si="6"/>
        <v>iShares Global Industrials ETF</v>
      </c>
      <c r="J58" s="6">
        <f t="shared" si="7"/>
        <v>29.225820110000001</v>
      </c>
      <c r="U58" t="str">
        <f t="shared" si="2"/>
        <v>Graña y Montero S.A.A.</v>
      </c>
      <c r="V58" t="str">
        <f t="shared" si="3"/>
        <v>PEP736581005</v>
      </c>
      <c r="W58" t="str">
        <f t="shared" si="4"/>
        <v>302029100001</v>
      </c>
      <c r="AM58" s="27">
        <f t="shared" si="5"/>
        <v>29.225820110000001</v>
      </c>
      <c r="AP58" t="s">
        <v>404</v>
      </c>
      <c r="AQ58" t="s">
        <v>505</v>
      </c>
    </row>
    <row r="59" spans="1:43" x14ac:dyDescent="0.35">
      <c r="A59" s="6" t="s">
        <v>61</v>
      </c>
      <c r="B59" s="6" t="s">
        <v>62</v>
      </c>
      <c r="C59" s="6" t="s">
        <v>64</v>
      </c>
      <c r="D59" s="6" t="s">
        <v>388</v>
      </c>
      <c r="E59" s="6" t="s">
        <v>394</v>
      </c>
      <c r="F59" s="6" t="s">
        <v>63</v>
      </c>
      <c r="G59" s="29" t="s">
        <v>401</v>
      </c>
      <c r="H59" s="6" t="s">
        <v>445</v>
      </c>
      <c r="I59" s="6" t="str">
        <f t="shared" si="6"/>
        <v>iShares Global Comm Svcs ETF</v>
      </c>
      <c r="J59" s="6">
        <f ca="1">INDEX(R$4:R$14,MATCH($H59,$O$4:$O$14,0))</f>
        <v>3.9577318099999999</v>
      </c>
      <c r="U59" t="str">
        <f t="shared" si="2"/>
        <v>Graña y Montero S.A.A.</v>
      </c>
      <c r="V59" t="str">
        <f t="shared" si="3"/>
        <v>PEP736581005</v>
      </c>
      <c r="W59" t="str">
        <f t="shared" si="4"/>
        <v>302029100001</v>
      </c>
      <c r="AM59" s="27">
        <f t="shared" si="5"/>
        <v>29.225820110000001</v>
      </c>
      <c r="AP59" t="s">
        <v>404</v>
      </c>
      <c r="AQ59" t="s">
        <v>505</v>
      </c>
    </row>
    <row r="60" spans="1:43" x14ac:dyDescent="0.35">
      <c r="A60" s="6" t="s">
        <v>61</v>
      </c>
      <c r="B60" s="6" t="s">
        <v>62</v>
      </c>
      <c r="C60" s="6" t="s">
        <v>64</v>
      </c>
      <c r="D60" s="6" t="s">
        <v>388</v>
      </c>
      <c r="E60" s="6" t="s">
        <v>394</v>
      </c>
      <c r="F60" s="6" t="s">
        <v>63</v>
      </c>
      <c r="G60" s="30"/>
      <c r="H60" s="6" t="s">
        <v>445</v>
      </c>
      <c r="I60" s="6" t="str">
        <f t="shared" si="6"/>
        <v>iShares Global Comm Svcs ETF</v>
      </c>
      <c r="J60" s="6">
        <f ca="1">INDEX(R$4:R$14,MATCH($H60,$O$4:$O$14,0))</f>
        <v>3.9577318099999999</v>
      </c>
      <c r="U60" t="str">
        <f t="shared" si="2"/>
        <v>Graña y Montero S.A.A.</v>
      </c>
      <c r="V60" t="str">
        <f t="shared" si="3"/>
        <v>PEP736581005</v>
      </c>
      <c r="W60" t="str">
        <f t="shared" si="4"/>
        <v>302029100001</v>
      </c>
      <c r="AM60" s="27">
        <f t="shared" si="5"/>
        <v>29.225820110000001</v>
      </c>
      <c r="AP60" t="s">
        <v>404</v>
      </c>
      <c r="AQ60" t="s">
        <v>505</v>
      </c>
    </row>
    <row r="61" spans="1:43" x14ac:dyDescent="0.35">
      <c r="A61" s="6" t="s">
        <v>61</v>
      </c>
      <c r="B61" s="6" t="s">
        <v>62</v>
      </c>
      <c r="C61" s="6" t="s">
        <v>64</v>
      </c>
      <c r="D61" s="6" t="s">
        <v>388</v>
      </c>
      <c r="E61" s="6" t="s">
        <v>394</v>
      </c>
      <c r="F61" s="6" t="s">
        <v>63</v>
      </c>
      <c r="G61" s="31"/>
      <c r="H61" s="6" t="s">
        <v>445</v>
      </c>
      <c r="I61" s="6" t="str">
        <f t="shared" si="6"/>
        <v>iShares Global Comm Svcs ETF</v>
      </c>
      <c r="J61" s="6">
        <f ca="1">INDEX(R$4:R$14,MATCH($H61,$O$4:$O$14,0))</f>
        <v>3.9577318099999999</v>
      </c>
      <c r="U61" t="str">
        <f t="shared" si="2"/>
        <v>El Comercio</v>
      </c>
      <c r="V61" t="str">
        <f t="shared" si="3"/>
        <v>PEP294015008</v>
      </c>
      <c r="W61" t="str">
        <f t="shared" si="4"/>
        <v>312025100001</v>
      </c>
      <c r="AM61" s="27">
        <f ca="1">J59</f>
        <v>3.9577318099999999</v>
      </c>
      <c r="AP61" t="s">
        <v>404</v>
      </c>
      <c r="AQ61" t="s">
        <v>505</v>
      </c>
    </row>
    <row r="62" spans="1:43" x14ac:dyDescent="0.35">
      <c r="A62" s="6" t="s">
        <v>65</v>
      </c>
      <c r="B62" s="6" t="s">
        <v>66</v>
      </c>
      <c r="C62" s="6" t="s">
        <v>68</v>
      </c>
      <c r="D62" s="6" t="s">
        <v>388</v>
      </c>
      <c r="E62" s="6" t="s">
        <v>395</v>
      </c>
      <c r="F62" s="6" t="s">
        <v>67</v>
      </c>
      <c r="G62" s="29" t="s">
        <v>401</v>
      </c>
      <c r="H62" s="6" t="s">
        <v>450</v>
      </c>
      <c r="I62" s="6" t="str">
        <f t="shared" si="6"/>
        <v>iShares Global Materials ETF</v>
      </c>
      <c r="J62" s="6">
        <f t="shared" si="7"/>
        <v>207.42773632000001</v>
      </c>
      <c r="U62" t="str">
        <f t="shared" si="2"/>
        <v>El Comercio</v>
      </c>
      <c r="V62" t="str">
        <f t="shared" si="3"/>
        <v>PEP294015008</v>
      </c>
      <c r="W62" t="str">
        <f t="shared" si="4"/>
        <v>312025100001</v>
      </c>
      <c r="AM62" s="27">
        <f ca="1">J60</f>
        <v>3.9577318099999999</v>
      </c>
      <c r="AP62" t="s">
        <v>404</v>
      </c>
      <c r="AQ62" t="s">
        <v>505</v>
      </c>
    </row>
    <row r="63" spans="1:43" x14ac:dyDescent="0.35">
      <c r="A63" s="6" t="s">
        <v>65</v>
      </c>
      <c r="B63" s="6" t="s">
        <v>66</v>
      </c>
      <c r="C63" s="6" t="s">
        <v>68</v>
      </c>
      <c r="D63" s="6" t="s">
        <v>388</v>
      </c>
      <c r="E63" s="6" t="s">
        <v>395</v>
      </c>
      <c r="F63" s="6" t="s">
        <v>67</v>
      </c>
      <c r="G63" s="30"/>
      <c r="H63" s="6" t="s">
        <v>450</v>
      </c>
      <c r="I63" s="6" t="str">
        <f t="shared" si="6"/>
        <v>iShares Global Materials ETF</v>
      </c>
      <c r="J63" s="6">
        <f t="shared" si="7"/>
        <v>207.42773632000001</v>
      </c>
      <c r="U63" t="str">
        <f t="shared" si="2"/>
        <v>El Comercio</v>
      </c>
      <c r="V63" t="str">
        <f t="shared" si="3"/>
        <v>PEP294015008</v>
      </c>
      <c r="W63" t="str">
        <f t="shared" si="4"/>
        <v>312025100001</v>
      </c>
      <c r="AM63" s="27">
        <f ca="1">J61</f>
        <v>3.9577318099999999</v>
      </c>
      <c r="AP63" t="s">
        <v>404</v>
      </c>
      <c r="AQ63" t="s">
        <v>505</v>
      </c>
    </row>
    <row r="64" spans="1:43" x14ac:dyDescent="0.35">
      <c r="A64" s="6" t="s">
        <v>65</v>
      </c>
      <c r="B64" s="6" t="s">
        <v>66</v>
      </c>
      <c r="C64" s="6" t="s">
        <v>68</v>
      </c>
      <c r="D64" s="6" t="s">
        <v>388</v>
      </c>
      <c r="E64" s="6" t="s">
        <v>395</v>
      </c>
      <c r="F64" s="6" t="s">
        <v>67</v>
      </c>
      <c r="G64" s="31"/>
      <c r="H64" s="6" t="s">
        <v>450</v>
      </c>
      <c r="I64" s="6" t="str">
        <f t="shared" si="6"/>
        <v>iShares Global Materials ETF</v>
      </c>
      <c r="J64" s="6">
        <f t="shared" si="7"/>
        <v>207.42773632000001</v>
      </c>
      <c r="U64" t="str">
        <f t="shared" si="2"/>
        <v>Fossal SA</v>
      </c>
      <c r="V64" t="str">
        <f t="shared" si="3"/>
        <v>US34988L5049</v>
      </c>
      <c r="W64" t="str">
        <f t="shared" si="4"/>
        <v>3221282L1089</v>
      </c>
      <c r="AM64" s="27">
        <f t="shared" si="5"/>
        <v>207.42773632000001</v>
      </c>
      <c r="AP64" t="s">
        <v>404</v>
      </c>
      <c r="AQ64" t="s">
        <v>505</v>
      </c>
    </row>
    <row r="65" spans="1:43" x14ac:dyDescent="0.35">
      <c r="A65" s="6" t="s">
        <v>69</v>
      </c>
      <c r="B65" s="6" t="s">
        <v>70</v>
      </c>
      <c r="C65" s="6" t="s">
        <v>71</v>
      </c>
      <c r="D65" s="6" t="s">
        <v>388</v>
      </c>
      <c r="E65" s="6" t="s">
        <v>316</v>
      </c>
      <c r="F65" s="6" t="s">
        <v>396</v>
      </c>
      <c r="G65" s="29" t="s">
        <v>401</v>
      </c>
      <c r="H65" s="6" t="s">
        <v>448</v>
      </c>
      <c r="I65" s="6" t="str">
        <f t="shared" si="6"/>
        <v>iShares Global Healthcare ETF</v>
      </c>
      <c r="J65" s="6">
        <f t="shared" si="7"/>
        <v>2.7511170800000002</v>
      </c>
      <c r="U65" t="str">
        <f t="shared" si="2"/>
        <v>Fossal SA</v>
      </c>
      <c r="V65" t="str">
        <f t="shared" si="3"/>
        <v>US34988L5049</v>
      </c>
      <c r="W65" t="str">
        <f t="shared" si="4"/>
        <v>3221282L1089</v>
      </c>
      <c r="AM65" s="27">
        <f t="shared" si="5"/>
        <v>207.42773632000001</v>
      </c>
      <c r="AP65" t="s">
        <v>404</v>
      </c>
      <c r="AQ65" t="s">
        <v>505</v>
      </c>
    </row>
    <row r="66" spans="1:43" x14ac:dyDescent="0.35">
      <c r="A66" s="6" t="s">
        <v>69</v>
      </c>
      <c r="B66" s="6" t="s">
        <v>70</v>
      </c>
      <c r="C66" s="6" t="s">
        <v>71</v>
      </c>
      <c r="D66" s="6" t="s">
        <v>388</v>
      </c>
      <c r="E66" s="6" t="s">
        <v>316</v>
      </c>
      <c r="F66" s="6" t="s">
        <v>396</v>
      </c>
      <c r="G66" s="30"/>
      <c r="H66" s="6" t="s">
        <v>448</v>
      </c>
      <c r="I66" s="6" t="str">
        <f t="shared" ref="I66:I92" si="8">INDEX(Q$4:Q$14,MATCH($H66,$O$4:$O$14,0))</f>
        <v>iShares Global Healthcare ETF</v>
      </c>
      <c r="J66" s="6">
        <f t="shared" ref="J66:J92" si="9">INDEX(R$4:R$14,MATCH($H66,$O$4:$O$14,0))</f>
        <v>2.7511170800000002</v>
      </c>
      <c r="U66" t="str">
        <f t="shared" si="2"/>
        <v>Fossal SA</v>
      </c>
      <c r="V66" t="str">
        <f t="shared" si="3"/>
        <v>US34988L5049</v>
      </c>
      <c r="W66" t="str">
        <f t="shared" si="4"/>
        <v>3221282L1089</v>
      </c>
      <c r="AM66" s="27">
        <f t="shared" si="5"/>
        <v>207.42773632000001</v>
      </c>
      <c r="AP66" t="s">
        <v>404</v>
      </c>
      <c r="AQ66" t="s">
        <v>505</v>
      </c>
    </row>
    <row r="67" spans="1:43" x14ac:dyDescent="0.35">
      <c r="A67" s="6" t="s">
        <v>69</v>
      </c>
      <c r="B67" s="6" t="s">
        <v>70</v>
      </c>
      <c r="C67" s="6" t="s">
        <v>71</v>
      </c>
      <c r="D67" s="6" t="s">
        <v>388</v>
      </c>
      <c r="E67" s="6" t="s">
        <v>316</v>
      </c>
      <c r="F67" s="6" t="s">
        <v>396</v>
      </c>
      <c r="G67" s="31"/>
      <c r="H67" s="6" t="s">
        <v>448</v>
      </c>
      <c r="I67" s="6" t="str">
        <f t="shared" si="8"/>
        <v>iShares Global Healthcare ETF</v>
      </c>
      <c r="J67" s="6">
        <f t="shared" si="9"/>
        <v>2.7511170800000002</v>
      </c>
      <c r="U67" t="str">
        <f t="shared" si="2"/>
        <v>AUNA SA</v>
      </c>
      <c r="V67" t="str">
        <f t="shared" si="3"/>
        <v>LU2791994721</v>
      </c>
      <c r="W67" t="str">
        <f t="shared" si="4"/>
        <v>345874294721</v>
      </c>
      <c r="AM67" s="27">
        <f t="shared" si="5"/>
        <v>2.7511170800000002</v>
      </c>
      <c r="AP67" t="s">
        <v>404</v>
      </c>
      <c r="AQ67" t="s">
        <v>505</v>
      </c>
    </row>
    <row r="68" spans="1:43" x14ac:dyDescent="0.35">
      <c r="A68" s="6" t="s">
        <v>69</v>
      </c>
      <c r="B68" s="6" t="s">
        <v>72</v>
      </c>
      <c r="C68" s="6" t="s">
        <v>74</v>
      </c>
      <c r="D68" s="6" t="s">
        <v>388</v>
      </c>
      <c r="E68" s="6" t="s">
        <v>317</v>
      </c>
      <c r="F68" s="6" t="s">
        <v>73</v>
      </c>
      <c r="G68" s="29" t="s">
        <v>401</v>
      </c>
      <c r="H68" s="6" t="s">
        <v>450</v>
      </c>
      <c r="I68" s="6" t="str">
        <f t="shared" si="8"/>
        <v>iShares Global Materials ETF</v>
      </c>
      <c r="J68" s="6">
        <f t="shared" si="9"/>
        <v>207.42773632000001</v>
      </c>
      <c r="U68" t="str">
        <f t="shared" si="2"/>
        <v>AUNA SA</v>
      </c>
      <c r="V68" t="str">
        <f t="shared" si="3"/>
        <v>LU2791994721</v>
      </c>
      <c r="W68" t="str">
        <f t="shared" si="4"/>
        <v>345874294721</v>
      </c>
      <c r="AM68" s="27">
        <f t="shared" si="5"/>
        <v>2.7511170800000002</v>
      </c>
      <c r="AP68" t="s">
        <v>404</v>
      </c>
      <c r="AQ68" t="s">
        <v>505</v>
      </c>
    </row>
    <row r="69" spans="1:43" x14ac:dyDescent="0.35">
      <c r="A69" s="6" t="s">
        <v>69</v>
      </c>
      <c r="B69" s="6" t="s">
        <v>72</v>
      </c>
      <c r="C69" s="6" t="s">
        <v>74</v>
      </c>
      <c r="D69" s="6" t="s">
        <v>388</v>
      </c>
      <c r="E69" s="6" t="s">
        <v>317</v>
      </c>
      <c r="F69" s="6" t="s">
        <v>73</v>
      </c>
      <c r="G69" s="30"/>
      <c r="H69" s="6" t="s">
        <v>450</v>
      </c>
      <c r="I69" s="6" t="str">
        <f t="shared" si="8"/>
        <v>iShares Global Materials ETF</v>
      </c>
      <c r="J69" s="6">
        <f t="shared" si="9"/>
        <v>207.42773632000001</v>
      </c>
      <c r="U69" t="str">
        <f t="shared" ref="U69:U81" si="10">F67</f>
        <v>AUNA SA</v>
      </c>
      <c r="V69" t="str">
        <f t="shared" ref="V69:V81" si="11">C67</f>
        <v>LU2791994721</v>
      </c>
      <c r="W69" t="str">
        <f t="shared" ref="W69:W81" si="12">B67</f>
        <v>345874294721</v>
      </c>
      <c r="AM69" s="27">
        <f t="shared" ref="AM69:AM81" si="13">J67</f>
        <v>2.7511170800000002</v>
      </c>
      <c r="AP69" t="s">
        <v>404</v>
      </c>
      <c r="AQ69" t="s">
        <v>505</v>
      </c>
    </row>
    <row r="70" spans="1:43" x14ac:dyDescent="0.35">
      <c r="A70" s="6" t="s">
        <v>69</v>
      </c>
      <c r="B70" s="6" t="s">
        <v>72</v>
      </c>
      <c r="C70" s="6" t="s">
        <v>74</v>
      </c>
      <c r="D70" s="6" t="s">
        <v>388</v>
      </c>
      <c r="E70" s="6" t="s">
        <v>317</v>
      </c>
      <c r="F70" s="6" t="s">
        <v>73</v>
      </c>
      <c r="G70" s="31"/>
      <c r="H70" s="6" t="s">
        <v>450</v>
      </c>
      <c r="I70" s="6" t="str">
        <f t="shared" si="8"/>
        <v>iShares Global Materials ETF</v>
      </c>
      <c r="J70" s="6">
        <f t="shared" si="9"/>
        <v>207.42773632000001</v>
      </c>
      <c r="U70" t="str">
        <f t="shared" si="10"/>
        <v>Aclara Resources Inc.</v>
      </c>
      <c r="V70" t="str">
        <f t="shared" si="11"/>
        <v>CA00461M1032</v>
      </c>
      <c r="W70" t="str">
        <f t="shared" si="12"/>
        <v>3458857M1032</v>
      </c>
      <c r="AM70" s="27">
        <f t="shared" si="13"/>
        <v>207.42773632000001</v>
      </c>
      <c r="AP70" t="s">
        <v>404</v>
      </c>
      <c r="AQ70" t="s">
        <v>505</v>
      </c>
    </row>
    <row r="71" spans="1:43" x14ac:dyDescent="0.35">
      <c r="A71" s="6" t="s">
        <v>88</v>
      </c>
      <c r="B71" s="6" t="s">
        <v>89</v>
      </c>
      <c r="C71" s="6" t="s">
        <v>91</v>
      </c>
      <c r="D71" s="6" t="s">
        <v>388</v>
      </c>
      <c r="E71" s="6" t="s">
        <v>397</v>
      </c>
      <c r="F71" s="6" t="s">
        <v>90</v>
      </c>
      <c r="G71" s="7" t="s">
        <v>401</v>
      </c>
      <c r="H71" s="2" t="s">
        <v>407</v>
      </c>
      <c r="I71" s="6" t="str">
        <f t="shared" si="8"/>
        <v>iShares MSCI Peru and Global Exposure ETF (EPU)</v>
      </c>
      <c r="J71" s="6">
        <f t="shared" si="9"/>
        <v>19.591038730000001</v>
      </c>
      <c r="U71" t="str">
        <f t="shared" si="10"/>
        <v>Aclara Resources Inc.</v>
      </c>
      <c r="V71" t="str">
        <f t="shared" si="11"/>
        <v>CA00461M1032</v>
      </c>
      <c r="W71" t="str">
        <f t="shared" si="12"/>
        <v>3458857M1032</v>
      </c>
      <c r="AM71" s="27">
        <f t="shared" si="13"/>
        <v>207.42773632000001</v>
      </c>
      <c r="AP71" t="s">
        <v>404</v>
      </c>
      <c r="AQ71" t="s">
        <v>505</v>
      </c>
    </row>
    <row r="72" spans="1:43" x14ac:dyDescent="0.35">
      <c r="A72" s="6" t="s">
        <v>234</v>
      </c>
      <c r="B72" s="6" t="s">
        <v>412</v>
      </c>
      <c r="C72" s="6" t="s">
        <v>420</v>
      </c>
      <c r="D72" s="6" t="s">
        <v>367</v>
      </c>
      <c r="E72" s="6" t="s">
        <v>421</v>
      </c>
      <c r="F72" s="6" t="s">
        <v>409</v>
      </c>
      <c r="G72" s="7" t="s">
        <v>401</v>
      </c>
      <c r="H72" s="6" t="s">
        <v>432</v>
      </c>
      <c r="I72" s="6" t="str">
        <f t="shared" si="8"/>
        <v>iShares Global Financials ETF</v>
      </c>
      <c r="J72" s="6">
        <f t="shared" si="9"/>
        <v>3.5338920200000001</v>
      </c>
      <c r="U72" t="str">
        <f t="shared" si="10"/>
        <v>Aclara Resources Inc.</v>
      </c>
      <c r="V72" t="str">
        <f t="shared" si="11"/>
        <v>CA00461M1032</v>
      </c>
      <c r="W72" t="str">
        <f t="shared" si="12"/>
        <v>3458857M1032</v>
      </c>
      <c r="AM72" s="27">
        <f t="shared" si="13"/>
        <v>207.42773632000001</v>
      </c>
      <c r="AP72" t="s">
        <v>404</v>
      </c>
      <c r="AQ72" t="s">
        <v>505</v>
      </c>
    </row>
    <row r="73" spans="1:43" x14ac:dyDescent="0.35">
      <c r="A73" s="6" t="s">
        <v>301</v>
      </c>
      <c r="B73" s="6" t="s">
        <v>413</v>
      </c>
      <c r="C73" s="6" t="s">
        <v>418</v>
      </c>
      <c r="D73" s="6" t="s">
        <v>388</v>
      </c>
      <c r="E73" s="6" t="s">
        <v>423</v>
      </c>
      <c r="F73" s="6" t="s">
        <v>410</v>
      </c>
      <c r="G73" s="7" t="s">
        <v>401</v>
      </c>
      <c r="H73" s="6" t="s">
        <v>449</v>
      </c>
      <c r="I73" s="6" t="str">
        <f t="shared" si="8"/>
        <v>iShares Global Industrials ETF</v>
      </c>
      <c r="J73" s="6">
        <f t="shared" si="9"/>
        <v>29.225820110000001</v>
      </c>
      <c r="U73" t="str">
        <f t="shared" si="10"/>
        <v>Van Eck - El Dorado Peru</v>
      </c>
      <c r="V73" t="str">
        <f t="shared" si="11"/>
        <v>PEP798008004</v>
      </c>
      <c r="W73" t="str">
        <f t="shared" si="12"/>
        <v>5076822E0800</v>
      </c>
      <c r="AM73" s="27">
        <f t="shared" si="13"/>
        <v>19.591038730000001</v>
      </c>
      <c r="AP73" t="s">
        <v>404</v>
      </c>
      <c r="AQ73" t="s">
        <v>505</v>
      </c>
    </row>
    <row r="74" spans="1:43" x14ac:dyDescent="0.35">
      <c r="A74" s="6" t="s">
        <v>301</v>
      </c>
      <c r="B74" s="6" t="s">
        <v>414</v>
      </c>
      <c r="C74" s="6" t="s">
        <v>419</v>
      </c>
      <c r="D74" s="6" t="s">
        <v>388</v>
      </c>
      <c r="E74" s="6" t="s">
        <v>424</v>
      </c>
      <c r="F74" s="6" t="s">
        <v>411</v>
      </c>
      <c r="G74" s="7" t="s">
        <v>401</v>
      </c>
      <c r="H74" s="6" t="s">
        <v>449</v>
      </c>
      <c r="I74" s="6" t="str">
        <f t="shared" si="8"/>
        <v>iShares Global Industrials ETF</v>
      </c>
      <c r="J74" s="6">
        <f t="shared" si="9"/>
        <v>29.225820110000001</v>
      </c>
      <c r="U74" t="str">
        <f t="shared" si="10"/>
        <v>Banco de la Nación</v>
      </c>
      <c r="V74" t="str">
        <f t="shared" si="11"/>
        <v>PEP12030D010</v>
      </c>
      <c r="W74" t="str">
        <f t="shared" si="12"/>
        <v>21001811601A</v>
      </c>
      <c r="AM74" s="27">
        <f t="shared" si="13"/>
        <v>3.5338920200000001</v>
      </c>
      <c r="AP74" t="s">
        <v>404</v>
      </c>
      <c r="AQ74" t="s">
        <v>505</v>
      </c>
    </row>
    <row r="75" spans="1:43" x14ac:dyDescent="0.35">
      <c r="A75" s="6" t="s">
        <v>301</v>
      </c>
      <c r="B75" s="6" t="s">
        <v>415</v>
      </c>
      <c r="C75" s="6" t="s">
        <v>416</v>
      </c>
      <c r="D75" s="6" t="s">
        <v>388</v>
      </c>
      <c r="E75" s="6" t="s">
        <v>422</v>
      </c>
      <c r="F75" s="6" t="s">
        <v>417</v>
      </c>
      <c r="G75" s="7" t="s">
        <v>401</v>
      </c>
      <c r="H75" s="6" t="s">
        <v>452</v>
      </c>
      <c r="I75" s="6" t="str">
        <f t="shared" si="8"/>
        <v>iShares Global Utilities ETF</v>
      </c>
      <c r="J75" s="6">
        <f t="shared" si="9"/>
        <v>250.75648330000001</v>
      </c>
      <c r="U75" t="str">
        <f t="shared" si="10"/>
        <v>Inversiones Portuarias Chancay A</v>
      </c>
      <c r="V75" t="str">
        <f t="shared" si="11"/>
        <v>PEP746351100</v>
      </c>
      <c r="W75" t="str">
        <f t="shared" si="12"/>
        <v>305923100001</v>
      </c>
      <c r="AM75" s="27">
        <f t="shared" si="13"/>
        <v>29.225820110000001</v>
      </c>
      <c r="AP75" t="s">
        <v>404</v>
      </c>
      <c r="AQ75" t="s">
        <v>505</v>
      </c>
    </row>
    <row r="76" spans="1:43" x14ac:dyDescent="0.35">
      <c r="A76" s="6" t="s">
        <v>8</v>
      </c>
      <c r="B76" s="6" t="s">
        <v>513</v>
      </c>
      <c r="C76" s="6" t="s">
        <v>514</v>
      </c>
      <c r="D76" s="6" t="s">
        <v>367</v>
      </c>
      <c r="E76" s="6" t="s">
        <v>515</v>
      </c>
      <c r="F76" s="6" t="s">
        <v>516</v>
      </c>
      <c r="G76" s="7" t="s">
        <v>401</v>
      </c>
      <c r="H76" s="6" t="s">
        <v>431</v>
      </c>
      <c r="I76" s="6" t="str">
        <f t="shared" si="8"/>
        <v>iShares Global Energy ETF</v>
      </c>
      <c r="J76" s="6">
        <f t="shared" si="9"/>
        <v>208.75900278</v>
      </c>
      <c r="U76" t="str">
        <f t="shared" si="10"/>
        <v>Inversiones Portuarias Chancay B</v>
      </c>
      <c r="V76" t="str">
        <f t="shared" si="11"/>
        <v>PEP746354203</v>
      </c>
      <c r="W76" t="str">
        <f t="shared" si="12"/>
        <v>305923100002</v>
      </c>
      <c r="AM76" s="27">
        <f t="shared" si="13"/>
        <v>29.225820110000001</v>
      </c>
      <c r="AP76" t="s">
        <v>404</v>
      </c>
      <c r="AQ76" t="s">
        <v>505</v>
      </c>
    </row>
    <row r="77" spans="1:43" x14ac:dyDescent="0.35">
      <c r="A77" s="6" t="s">
        <v>518</v>
      </c>
      <c r="B77" s="6" t="s">
        <v>519</v>
      </c>
      <c r="C77" s="6" t="s">
        <v>520</v>
      </c>
      <c r="D77" s="6" t="s">
        <v>522</v>
      </c>
      <c r="E77" s="6" t="s">
        <v>521</v>
      </c>
      <c r="F77" s="6" t="s">
        <v>517</v>
      </c>
      <c r="G77" s="7" t="s">
        <v>401</v>
      </c>
      <c r="H77" s="6" t="s">
        <v>449</v>
      </c>
      <c r="I77" s="6" t="str">
        <f t="shared" si="8"/>
        <v>iShares Global Industrials ETF</v>
      </c>
      <c r="J77" s="6">
        <f t="shared" si="9"/>
        <v>29.225820110000001</v>
      </c>
      <c r="U77" t="str">
        <f t="shared" si="10"/>
        <v>Orygen</v>
      </c>
      <c r="V77" t="str">
        <f t="shared" si="11"/>
        <v>PEP700511004</v>
      </c>
      <c r="W77" t="str">
        <f t="shared" si="12"/>
        <v>302032100002</v>
      </c>
      <c r="AM77" s="27">
        <f t="shared" si="13"/>
        <v>250.75648330000001</v>
      </c>
      <c r="AP77" t="s">
        <v>404</v>
      </c>
      <c r="AQ77" t="s">
        <v>505</v>
      </c>
    </row>
    <row r="78" spans="1:43" x14ac:dyDescent="0.35">
      <c r="A78" s="6" t="s">
        <v>612</v>
      </c>
      <c r="B78" s="6" t="s">
        <v>613</v>
      </c>
      <c r="C78" s="6" t="s">
        <v>619</v>
      </c>
      <c r="D78" s="6" t="s">
        <v>367</v>
      </c>
      <c r="E78" s="6" t="s">
        <v>625</v>
      </c>
      <c r="F78" s="6" t="s">
        <v>631</v>
      </c>
      <c r="G78" s="7" t="s">
        <v>401</v>
      </c>
      <c r="H78" s="6" t="s">
        <v>432</v>
      </c>
      <c r="I78" s="6" t="str">
        <f t="shared" si="8"/>
        <v>iShares Global Financials ETF</v>
      </c>
      <c r="J78" s="6">
        <f t="shared" si="9"/>
        <v>3.5338920200000001</v>
      </c>
      <c r="U78" t="str">
        <f t="shared" si="10"/>
        <v>Hunt Oil</v>
      </c>
      <c r="V78" t="str">
        <f t="shared" si="11"/>
        <v>USP5300PAC79</v>
      </c>
      <c r="W78" t="str">
        <f t="shared" si="12"/>
        <v>2258402PAC79</v>
      </c>
      <c r="AM78" s="27">
        <f t="shared" si="13"/>
        <v>208.75900278</v>
      </c>
      <c r="AP78" t="s">
        <v>404</v>
      </c>
      <c r="AQ78" t="s">
        <v>505</v>
      </c>
    </row>
    <row r="79" spans="1:43" x14ac:dyDescent="0.35">
      <c r="A79" s="6" t="s">
        <v>612</v>
      </c>
      <c r="B79" s="6" t="s">
        <v>614</v>
      </c>
      <c r="C79" s="6" t="s">
        <v>620</v>
      </c>
      <c r="D79" s="6" t="s">
        <v>367</v>
      </c>
      <c r="E79" s="6" t="s">
        <v>626</v>
      </c>
      <c r="F79" s="6" t="s">
        <v>631</v>
      </c>
      <c r="G79" s="7" t="s">
        <v>401</v>
      </c>
      <c r="H79" s="6" t="s">
        <v>432</v>
      </c>
      <c r="I79" s="6" t="str">
        <f t="shared" si="8"/>
        <v>iShares Global Financials ETF</v>
      </c>
      <c r="J79" s="6">
        <f t="shared" si="9"/>
        <v>3.5338920200000001</v>
      </c>
      <c r="U79" t="str">
        <f t="shared" si="10"/>
        <v>Aenza</v>
      </c>
      <c r="V79" t="str">
        <f t="shared" si="11"/>
        <v>PEP736586145</v>
      </c>
      <c r="W79" t="str">
        <f t="shared" si="12"/>
        <v>402029100004</v>
      </c>
      <c r="AM79" s="27">
        <f t="shared" si="13"/>
        <v>29.225820110000001</v>
      </c>
      <c r="AP79" t="s">
        <v>404</v>
      </c>
      <c r="AQ79" t="s">
        <v>505</v>
      </c>
    </row>
    <row r="80" spans="1:43" x14ac:dyDescent="0.35">
      <c r="A80" s="6" t="s">
        <v>612</v>
      </c>
      <c r="B80" s="6" t="s">
        <v>615</v>
      </c>
      <c r="C80" s="6" t="s">
        <v>621</v>
      </c>
      <c r="D80" s="6" t="s">
        <v>367</v>
      </c>
      <c r="E80" s="6" t="s">
        <v>627</v>
      </c>
      <c r="F80" s="6" t="s">
        <v>631</v>
      </c>
      <c r="G80" s="7" t="s">
        <v>401</v>
      </c>
      <c r="H80" s="6" t="s">
        <v>432</v>
      </c>
      <c r="I80" s="6" t="str">
        <f t="shared" si="8"/>
        <v>iShares Global Financials ETF</v>
      </c>
      <c r="J80" s="6">
        <f t="shared" si="9"/>
        <v>3.5338920200000001</v>
      </c>
      <c r="U80" t="str">
        <f t="shared" si="10"/>
        <v>Edpyme Santander Consumo Perú</v>
      </c>
      <c r="V80" t="str">
        <f t="shared" si="11"/>
        <v>PEP16997V307</v>
      </c>
      <c r="W80" t="str">
        <f t="shared" si="12"/>
        <v>23583412503C</v>
      </c>
      <c r="AM80" s="27">
        <f t="shared" si="13"/>
        <v>3.5338920200000001</v>
      </c>
      <c r="AP80" t="s">
        <v>404</v>
      </c>
      <c r="AQ80" t="s">
        <v>505</v>
      </c>
    </row>
    <row r="81" spans="1:43" x14ac:dyDescent="0.35">
      <c r="A81" s="6" t="s">
        <v>612</v>
      </c>
      <c r="B81" s="6" t="s">
        <v>616</v>
      </c>
      <c r="C81" s="6" t="s">
        <v>622</v>
      </c>
      <c r="D81" s="6" t="s">
        <v>367</v>
      </c>
      <c r="E81" s="6" t="s">
        <v>628</v>
      </c>
      <c r="F81" s="6" t="s">
        <v>631</v>
      </c>
      <c r="G81" s="7" t="s">
        <v>401</v>
      </c>
      <c r="H81" s="6" t="s">
        <v>432</v>
      </c>
      <c r="I81" s="6" t="str">
        <f t="shared" si="8"/>
        <v>iShares Global Financials ETF</v>
      </c>
      <c r="J81" s="6">
        <f t="shared" si="9"/>
        <v>3.5338920200000001</v>
      </c>
      <c r="U81" t="str">
        <f t="shared" si="10"/>
        <v>Edpyme Santander Consumo Perú</v>
      </c>
      <c r="V81" t="str">
        <f t="shared" si="11"/>
        <v>PEP16997V281</v>
      </c>
      <c r="W81" t="str">
        <f t="shared" si="12"/>
        <v>23583412403A</v>
      </c>
      <c r="AM81" s="27">
        <f t="shared" si="13"/>
        <v>3.5338920200000001</v>
      </c>
      <c r="AP81" t="s">
        <v>404</v>
      </c>
      <c r="AQ81" t="s">
        <v>505</v>
      </c>
    </row>
    <row r="82" spans="1:43" x14ac:dyDescent="0.35">
      <c r="A82" s="6" t="s">
        <v>612</v>
      </c>
      <c r="B82" s="6" t="s">
        <v>617</v>
      </c>
      <c r="C82" s="6" t="s">
        <v>623</v>
      </c>
      <c r="D82" s="6" t="s">
        <v>367</v>
      </c>
      <c r="E82" s="6" t="s">
        <v>629</v>
      </c>
      <c r="F82" s="6" t="s">
        <v>631</v>
      </c>
      <c r="G82" s="7" t="s">
        <v>401</v>
      </c>
      <c r="H82" s="6" t="s">
        <v>432</v>
      </c>
      <c r="I82" s="6" t="str">
        <f t="shared" si="8"/>
        <v>iShares Global Financials ETF</v>
      </c>
      <c r="J82" s="6">
        <f t="shared" si="9"/>
        <v>3.5338920200000001</v>
      </c>
      <c r="U82" t="str">
        <f t="shared" ref="U82:U88" si="14">F80</f>
        <v>Edpyme Santander Consumo Perú</v>
      </c>
      <c r="V82" t="str">
        <f t="shared" ref="V82:V88" si="15">C80</f>
        <v>PEP16997V265</v>
      </c>
      <c r="W82" t="str">
        <f t="shared" ref="W82:W88" si="16">B80</f>
        <v>23583412402C</v>
      </c>
      <c r="AM82" s="27">
        <f t="shared" ref="AM82:AM88" si="17">J80</f>
        <v>3.5338920200000001</v>
      </c>
      <c r="AP82" t="s">
        <v>404</v>
      </c>
      <c r="AQ82" t="s">
        <v>505</v>
      </c>
    </row>
    <row r="83" spans="1:43" x14ac:dyDescent="0.35">
      <c r="A83" s="6" t="s">
        <v>612</v>
      </c>
      <c r="B83" s="6" t="s">
        <v>618</v>
      </c>
      <c r="C83" s="6" t="s">
        <v>624</v>
      </c>
      <c r="D83" s="6" t="s">
        <v>367</v>
      </c>
      <c r="E83" s="6" t="s">
        <v>630</v>
      </c>
      <c r="F83" s="6" t="s">
        <v>631</v>
      </c>
      <c r="G83" s="7" t="s">
        <v>401</v>
      </c>
      <c r="H83" s="6" t="s">
        <v>432</v>
      </c>
      <c r="I83" s="6" t="str">
        <f t="shared" si="8"/>
        <v>iShares Global Financials ETF</v>
      </c>
      <c r="J83" s="6">
        <f t="shared" si="9"/>
        <v>3.5338920200000001</v>
      </c>
      <c r="U83" t="str">
        <f t="shared" si="14"/>
        <v>Edpyme Santander Consumo Perú</v>
      </c>
      <c r="V83" t="str">
        <f t="shared" si="15"/>
        <v>PEP16997V273</v>
      </c>
      <c r="W83" t="str">
        <f t="shared" si="16"/>
        <v>23583412402D</v>
      </c>
      <c r="AM83" s="27">
        <f t="shared" si="17"/>
        <v>3.5338920200000001</v>
      </c>
      <c r="AP83" t="s">
        <v>404</v>
      </c>
      <c r="AQ83" t="s">
        <v>505</v>
      </c>
    </row>
    <row r="84" spans="1:43" x14ac:dyDescent="0.35">
      <c r="A84" s="6" t="s">
        <v>612</v>
      </c>
      <c r="B84" s="6" t="s">
        <v>632</v>
      </c>
      <c r="C84" s="6" t="s">
        <v>633</v>
      </c>
      <c r="D84" s="6" t="s">
        <v>367</v>
      </c>
      <c r="E84" s="6" t="s">
        <v>634</v>
      </c>
      <c r="F84" s="6" t="s">
        <v>291</v>
      </c>
      <c r="G84" s="7" t="s">
        <v>401</v>
      </c>
      <c r="H84" s="6" t="s">
        <v>432</v>
      </c>
      <c r="I84" s="6" t="str">
        <f t="shared" si="8"/>
        <v>iShares Global Financials ETF</v>
      </c>
      <c r="J84" s="6">
        <f t="shared" si="9"/>
        <v>3.5338920200000001</v>
      </c>
      <c r="U84" t="str">
        <f t="shared" si="14"/>
        <v>Edpyme Santander Consumo Perú</v>
      </c>
      <c r="V84" t="str">
        <f t="shared" si="15"/>
        <v>PEP16997V257</v>
      </c>
      <c r="W84" t="str">
        <f t="shared" si="16"/>
        <v>23583412401H</v>
      </c>
      <c r="AM84" s="27">
        <f t="shared" si="17"/>
        <v>3.5338920200000001</v>
      </c>
      <c r="AP84" t="s">
        <v>404</v>
      </c>
      <c r="AQ84" t="s">
        <v>505</v>
      </c>
    </row>
    <row r="85" spans="1:43" x14ac:dyDescent="0.35">
      <c r="A85" s="6" t="s">
        <v>301</v>
      </c>
      <c r="B85" s="6" t="s">
        <v>635</v>
      </c>
      <c r="C85" s="6" t="s">
        <v>636</v>
      </c>
      <c r="D85" s="6" t="s">
        <v>388</v>
      </c>
      <c r="E85" s="6" t="s">
        <v>637</v>
      </c>
      <c r="F85" s="6" t="s">
        <v>638</v>
      </c>
      <c r="G85" s="7" t="s">
        <v>401</v>
      </c>
      <c r="H85" s="6" t="s">
        <v>452</v>
      </c>
      <c r="I85" s="6" t="str">
        <f t="shared" si="8"/>
        <v>iShares Global Utilities ETF</v>
      </c>
      <c r="J85" s="6">
        <f t="shared" si="9"/>
        <v>250.75648330000001</v>
      </c>
      <c r="U85" t="str">
        <f t="shared" si="14"/>
        <v>Edpyme Santander Consumo Perú</v>
      </c>
      <c r="V85" t="str">
        <f t="shared" si="15"/>
        <v>PEP16997V299</v>
      </c>
      <c r="W85" t="str">
        <f t="shared" si="16"/>
        <v>23583412403B</v>
      </c>
      <c r="AM85" s="27">
        <f t="shared" si="17"/>
        <v>3.5338920200000001</v>
      </c>
      <c r="AP85" t="s">
        <v>404</v>
      </c>
      <c r="AQ85" t="s">
        <v>505</v>
      </c>
    </row>
    <row r="86" spans="1:43" x14ac:dyDescent="0.35">
      <c r="A86" s="6" t="s">
        <v>301</v>
      </c>
      <c r="B86" s="6" t="s">
        <v>639</v>
      </c>
      <c r="C86" s="6" t="s">
        <v>640</v>
      </c>
      <c r="D86" s="6" t="s">
        <v>388</v>
      </c>
      <c r="E86" s="6" t="s">
        <v>641</v>
      </c>
      <c r="F86" s="6" t="s">
        <v>642</v>
      </c>
      <c r="G86" s="7" t="s">
        <v>401</v>
      </c>
      <c r="H86" s="6" t="s">
        <v>452</v>
      </c>
      <c r="I86" s="6" t="str">
        <f t="shared" si="8"/>
        <v>iShares Global Utilities ETF</v>
      </c>
      <c r="J86" s="6">
        <f t="shared" si="9"/>
        <v>250.75648330000001</v>
      </c>
      <c r="U86" t="str">
        <f t="shared" si="14"/>
        <v>COFIDE</v>
      </c>
      <c r="V86" t="str">
        <f t="shared" si="15"/>
        <v>PEP11100V196</v>
      </c>
      <c r="W86" t="str">
        <f t="shared" si="16"/>
        <v>23008612403A</v>
      </c>
      <c r="AM86" s="27">
        <f t="shared" si="17"/>
        <v>3.5338920200000001</v>
      </c>
      <c r="AP86" t="s">
        <v>404</v>
      </c>
      <c r="AQ86" t="s">
        <v>505</v>
      </c>
    </row>
    <row r="87" spans="1:43" x14ac:dyDescent="0.35">
      <c r="A87" s="6" t="s">
        <v>667</v>
      </c>
      <c r="B87" s="6" t="s">
        <v>668</v>
      </c>
      <c r="C87" s="6" t="s">
        <v>669</v>
      </c>
      <c r="D87" s="6" t="s">
        <v>367</v>
      </c>
      <c r="E87" s="6"/>
      <c r="F87" s="6" t="s">
        <v>670</v>
      </c>
      <c r="G87" s="7" t="s">
        <v>401</v>
      </c>
      <c r="H87" s="6" t="s">
        <v>432</v>
      </c>
      <c r="I87" s="6" t="str">
        <f t="shared" si="8"/>
        <v>iShares Global Financials ETF</v>
      </c>
      <c r="J87" s="6">
        <f t="shared" si="9"/>
        <v>3.5338920200000001</v>
      </c>
      <c r="U87" t="str">
        <f t="shared" si="14"/>
        <v>Pluz Energía</v>
      </c>
      <c r="V87" t="str">
        <f t="shared" si="15"/>
        <v>PEP701011004</v>
      </c>
      <c r="W87" t="str">
        <f t="shared" si="16"/>
        <v>302030100001</v>
      </c>
      <c r="AM87" s="27">
        <f t="shared" si="17"/>
        <v>250.75648330000001</v>
      </c>
      <c r="AP87" t="s">
        <v>404</v>
      </c>
      <c r="AQ87" t="s">
        <v>505</v>
      </c>
    </row>
    <row r="88" spans="1:43" x14ac:dyDescent="0.35">
      <c r="A88" s="6" t="s">
        <v>8</v>
      </c>
      <c r="B88" s="6" t="s">
        <v>671</v>
      </c>
      <c r="C88" s="6" t="s">
        <v>672</v>
      </c>
      <c r="D88" s="6" t="s">
        <v>367</v>
      </c>
      <c r="E88" s="6"/>
      <c r="F88" s="6" t="s">
        <v>516</v>
      </c>
      <c r="G88" s="7" t="s">
        <v>401</v>
      </c>
      <c r="H88" s="6" t="s">
        <v>431</v>
      </c>
      <c r="I88" s="6" t="str">
        <f t="shared" si="8"/>
        <v>iShares Global Energy ETF</v>
      </c>
      <c r="J88" s="6">
        <f t="shared" si="9"/>
        <v>208.75900278</v>
      </c>
      <c r="U88" t="str">
        <f t="shared" si="14"/>
        <v>Engie</v>
      </c>
      <c r="V88" t="str">
        <f t="shared" si="15"/>
        <v>PEP702101002</v>
      </c>
      <c r="W88" t="str">
        <f t="shared" si="16"/>
        <v>302061100001</v>
      </c>
      <c r="AM88" s="27">
        <f t="shared" si="17"/>
        <v>250.75648330000001</v>
      </c>
      <c r="AP88" t="s">
        <v>404</v>
      </c>
      <c r="AQ88" t="s">
        <v>505</v>
      </c>
    </row>
    <row r="89" spans="1:43" x14ac:dyDescent="0.35">
      <c r="A89" s="6" t="s">
        <v>8</v>
      </c>
      <c r="B89" s="6" t="s">
        <v>673</v>
      </c>
      <c r="C89" s="6" t="s">
        <v>674</v>
      </c>
      <c r="D89" s="6" t="s">
        <v>367</v>
      </c>
      <c r="E89" s="6"/>
      <c r="F89" s="6" t="s">
        <v>287</v>
      </c>
      <c r="G89" s="7" t="s">
        <v>401</v>
      </c>
      <c r="H89" s="6" t="s">
        <v>452</v>
      </c>
      <c r="I89" s="6" t="str">
        <f t="shared" si="8"/>
        <v>iShares Global Utilities ETF</v>
      </c>
      <c r="J89" s="6">
        <f t="shared" si="9"/>
        <v>250.75648330000001</v>
      </c>
      <c r="U89" t="str">
        <f>F88</f>
        <v>Hunt Oil</v>
      </c>
      <c r="V89" t="str">
        <f>C88</f>
        <v>USP5300PAE36</v>
      </c>
      <c r="W89" t="str">
        <f>B88</f>
        <v>2258402PAE36</v>
      </c>
      <c r="AM89" s="27">
        <f>J88</f>
        <v>208.75900278</v>
      </c>
      <c r="AP89" t="s">
        <v>404</v>
      </c>
      <c r="AQ89" t="s">
        <v>505</v>
      </c>
    </row>
    <row r="90" spans="1:43" x14ac:dyDescent="0.35">
      <c r="A90" s="6" t="s">
        <v>65</v>
      </c>
      <c r="B90" s="6" t="s">
        <v>66</v>
      </c>
      <c r="C90" s="6" t="s">
        <v>675</v>
      </c>
      <c r="D90" s="6" t="s">
        <v>388</v>
      </c>
      <c r="E90" s="6"/>
      <c r="F90" s="6" t="s">
        <v>67</v>
      </c>
      <c r="G90" s="7" t="s">
        <v>401</v>
      </c>
      <c r="H90" s="6" t="s">
        <v>450</v>
      </c>
      <c r="I90" s="6" t="str">
        <f t="shared" si="8"/>
        <v>iShares Global Materials ETF</v>
      </c>
      <c r="J90" s="6">
        <f t="shared" si="9"/>
        <v>207.42773632000001</v>
      </c>
      <c r="U90" t="str">
        <f>F89</f>
        <v>Orazen</v>
      </c>
      <c r="V90" t="str">
        <f>C89</f>
        <v>USP73906AA03</v>
      </c>
      <c r="W90" t="str">
        <f>B89</f>
        <v>22204726AA03</v>
      </c>
      <c r="AM90" s="27">
        <f>J89</f>
        <v>250.75648330000001</v>
      </c>
      <c r="AP90" t="s">
        <v>404</v>
      </c>
      <c r="AQ90" t="s">
        <v>505</v>
      </c>
    </row>
    <row r="91" spans="1:43" x14ac:dyDescent="0.35">
      <c r="A91" t="s">
        <v>301</v>
      </c>
      <c r="B91" s="6" t="s">
        <v>697</v>
      </c>
      <c r="C91" s="6" t="s">
        <v>698</v>
      </c>
      <c r="D91" s="6" t="s">
        <v>388</v>
      </c>
      <c r="E91" t="s">
        <v>699</v>
      </c>
      <c r="F91" t="s">
        <v>695</v>
      </c>
      <c r="G91" s="7" t="s">
        <v>401</v>
      </c>
      <c r="H91" s="6" t="s">
        <v>449</v>
      </c>
      <c r="I91" s="6" t="str">
        <f t="shared" si="8"/>
        <v>iShares Global Industrials ETF</v>
      </c>
      <c r="J91" s="6">
        <f t="shared" si="9"/>
        <v>29.225820110000001</v>
      </c>
      <c r="U91" t="str">
        <f>F90</f>
        <v>Fossal SA</v>
      </c>
      <c r="V91" t="str">
        <f>C90</f>
        <v>US34988L7029</v>
      </c>
      <c r="W91" t="str">
        <f>B90</f>
        <v>3221282L1089</v>
      </c>
      <c r="AM91" s="27">
        <f>J90</f>
        <v>207.42773632000001</v>
      </c>
      <c r="AP91" t="s">
        <v>404</v>
      </c>
      <c r="AQ91" t="s">
        <v>505</v>
      </c>
    </row>
    <row r="92" spans="1:43" x14ac:dyDescent="0.35">
      <c r="A92" s="6" t="s">
        <v>65</v>
      </c>
      <c r="B92" s="6" t="s">
        <v>66</v>
      </c>
      <c r="C92" s="6" t="s">
        <v>696</v>
      </c>
      <c r="D92" s="6" t="s">
        <v>388</v>
      </c>
      <c r="E92" s="6" t="s">
        <v>395</v>
      </c>
      <c r="F92" s="6" t="s">
        <v>67</v>
      </c>
      <c r="G92" s="7" t="s">
        <v>401</v>
      </c>
      <c r="H92" s="6" t="s">
        <v>450</v>
      </c>
      <c r="I92" s="6" t="str">
        <f t="shared" si="8"/>
        <v>iShares Global Materials ETF</v>
      </c>
      <c r="J92" s="6">
        <f t="shared" si="9"/>
        <v>207.42773632000001</v>
      </c>
      <c r="U92" t="str">
        <f>F91</f>
        <v>Cumbra Holdings S.A.A.</v>
      </c>
      <c r="V92" t="str">
        <f>C91</f>
        <v>CVL800901007</v>
      </c>
      <c r="W92" t="str">
        <f>B91</f>
        <v>305962100001</v>
      </c>
      <c r="AM92" s="27">
        <f>J91</f>
        <v>29.225820110000001</v>
      </c>
      <c r="AP92" t="s">
        <v>404</v>
      </c>
      <c r="AQ92" t="s">
        <v>505</v>
      </c>
    </row>
    <row r="93" spans="1:43" x14ac:dyDescent="0.35">
      <c r="AM93" s="27"/>
    </row>
    <row r="94" spans="1:43" x14ac:dyDescent="0.35">
      <c r="AM94" s="27"/>
    </row>
    <row r="95" spans="1:43" x14ac:dyDescent="0.35">
      <c r="AM95" s="27"/>
    </row>
    <row r="96" spans="1:43" x14ac:dyDescent="0.35">
      <c r="AM96" s="27"/>
    </row>
    <row r="97" spans="39:39" x14ac:dyDescent="0.35">
      <c r="AM97" s="27"/>
    </row>
    <row r="98" spans="39:39" x14ac:dyDescent="0.35">
      <c r="AM98" s="27"/>
    </row>
    <row r="99" spans="39:39" x14ac:dyDescent="0.35">
      <c r="AM99" s="27"/>
    </row>
    <row r="100" spans="39:39" x14ac:dyDescent="0.35">
      <c r="AM100" s="27"/>
    </row>
  </sheetData>
  <autoFilter ref="A1:J90" xr:uid="{B170776A-B06F-4213-82A9-54D03632F99F}"/>
  <mergeCells count="4">
    <mergeCell ref="G9:G10"/>
    <mergeCell ref="G11:G12"/>
    <mergeCell ref="G23:G25"/>
    <mergeCell ref="G26:G3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B472-600A-4CAB-BA48-91A8FBFA00C5}">
  <sheetPr codeName="Sheet6"/>
  <dimension ref="A5:J14"/>
  <sheetViews>
    <sheetView showGridLines="0" zoomScale="115" zoomScaleNormal="115" workbookViewId="0">
      <selection activeCell="C7" sqref="C7:F7"/>
    </sheetView>
  </sheetViews>
  <sheetFormatPr defaultRowHeight="14.5" x14ac:dyDescent="0.35"/>
  <cols>
    <col min="1" max="1" width="10" customWidth="1"/>
    <col min="2" max="2" width="26.54296875" customWidth="1"/>
    <col min="3" max="6" width="25.453125" customWidth="1"/>
  </cols>
  <sheetData>
    <row r="5" spans="1:10" ht="15" thickBot="1" x14ac:dyDescent="0.4"/>
    <row r="6" spans="1:10" ht="45" customHeight="1" thickBot="1" x14ac:dyDescent="0.4">
      <c r="A6" s="50" t="s">
        <v>505</v>
      </c>
      <c r="B6" s="36" t="s">
        <v>687</v>
      </c>
      <c r="C6" s="50" t="s">
        <v>688</v>
      </c>
      <c r="D6" s="50"/>
      <c r="E6" s="50"/>
      <c r="F6" s="50"/>
      <c r="G6" s="35"/>
      <c r="H6" s="35"/>
      <c r="I6" s="35"/>
      <c r="J6" s="35"/>
    </row>
    <row r="7" spans="1:10" ht="45" customHeight="1" thickBot="1" x14ac:dyDescent="0.4">
      <c r="A7" s="50"/>
      <c r="B7" s="37" t="s">
        <v>689</v>
      </c>
      <c r="C7" s="53" t="s">
        <v>407</v>
      </c>
      <c r="D7" s="53"/>
      <c r="E7" s="53"/>
      <c r="F7" s="53"/>
      <c r="G7" s="35"/>
      <c r="H7" s="35"/>
      <c r="I7" s="35"/>
      <c r="J7" s="35"/>
    </row>
    <row r="8" spans="1:10" ht="45" customHeight="1" thickBot="1" x14ac:dyDescent="0.4">
      <c r="A8" s="50" t="s">
        <v>504</v>
      </c>
      <c r="B8" s="50" t="s">
        <v>690</v>
      </c>
      <c r="C8" s="50"/>
      <c r="D8" s="50"/>
      <c r="E8" s="50"/>
      <c r="F8" s="50"/>
      <c r="G8" s="35"/>
      <c r="H8" s="35"/>
      <c r="I8" s="35"/>
      <c r="J8" s="35"/>
    </row>
    <row r="9" spans="1:10" ht="45" customHeight="1" thickBot="1" x14ac:dyDescent="0.4">
      <c r="A9" s="50"/>
      <c r="B9" s="53" t="s">
        <v>691</v>
      </c>
      <c r="C9" s="53"/>
      <c r="D9" s="53"/>
      <c r="E9" s="53"/>
      <c r="F9" s="53"/>
      <c r="G9" s="35"/>
      <c r="H9" s="35"/>
      <c r="I9" s="35"/>
      <c r="J9" s="35"/>
    </row>
    <row r="10" spans="1:10" ht="30" customHeight="1" thickBot="1" x14ac:dyDescent="0.4">
      <c r="A10" s="50" t="s">
        <v>503</v>
      </c>
      <c r="B10" s="50" t="s">
        <v>692</v>
      </c>
      <c r="C10" s="50" t="s">
        <v>693</v>
      </c>
      <c r="D10" s="50"/>
      <c r="E10" s="50"/>
      <c r="F10" s="50"/>
      <c r="G10" s="35"/>
      <c r="H10" s="35"/>
      <c r="I10" s="35"/>
      <c r="J10" s="35"/>
    </row>
    <row r="11" spans="1:10" ht="15" thickBot="1" x14ac:dyDescent="0.4">
      <c r="A11" s="50"/>
      <c r="B11" s="50"/>
      <c r="C11" s="36" t="s">
        <v>694</v>
      </c>
      <c r="D11" s="36" t="s">
        <v>348</v>
      </c>
      <c r="E11" s="36" t="s">
        <v>333</v>
      </c>
      <c r="F11" s="36" t="s">
        <v>334</v>
      </c>
      <c r="G11" s="35"/>
      <c r="H11" s="35"/>
      <c r="I11" s="35"/>
      <c r="J11" s="35"/>
    </row>
    <row r="12" spans="1:10" ht="19.5" thickBot="1" x14ac:dyDescent="0.4">
      <c r="A12" s="50"/>
      <c r="B12" s="51" t="s">
        <v>407</v>
      </c>
      <c r="C12" s="37" t="s">
        <v>456</v>
      </c>
      <c r="D12" s="37" t="s">
        <v>408</v>
      </c>
      <c r="E12" s="37" t="s">
        <v>457</v>
      </c>
      <c r="F12" s="37" t="s">
        <v>459</v>
      </c>
      <c r="G12" s="35"/>
      <c r="H12" s="35"/>
      <c r="I12" s="35"/>
      <c r="J12" s="35"/>
    </row>
    <row r="13" spans="1:10" ht="19.5" thickBot="1" x14ac:dyDescent="0.4">
      <c r="A13" s="50"/>
      <c r="B13" s="52"/>
      <c r="C13" s="37" t="s">
        <v>455</v>
      </c>
      <c r="D13" s="37" t="s">
        <v>458</v>
      </c>
      <c r="E13" s="37" t="s">
        <v>453</v>
      </c>
      <c r="F13" s="37" t="s">
        <v>454</v>
      </c>
      <c r="G13" s="35"/>
      <c r="H13" s="35"/>
      <c r="I13" s="35"/>
      <c r="J13" s="35"/>
    </row>
    <row r="14" spans="1:10" x14ac:dyDescent="0.35">
      <c r="A14" s="35"/>
      <c r="B14" s="35"/>
      <c r="C14" s="35"/>
      <c r="D14" s="35"/>
      <c r="E14" s="35"/>
      <c r="F14" s="35"/>
      <c r="G14" s="35"/>
      <c r="H14" s="35"/>
      <c r="I14" s="35"/>
      <c r="J14" s="35"/>
    </row>
  </sheetData>
  <mergeCells count="10">
    <mergeCell ref="C10:F10"/>
    <mergeCell ref="B10:B11"/>
    <mergeCell ref="A10:A13"/>
    <mergeCell ref="B12:B13"/>
    <mergeCell ref="A6:A7"/>
    <mergeCell ref="C6:F6"/>
    <mergeCell ref="C7:F7"/>
    <mergeCell ref="A8:A9"/>
    <mergeCell ref="B8:F8"/>
    <mergeCell ref="B9:F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guia</vt:lpstr>
      <vt:lpstr>202606</vt:lpstr>
      <vt:lpstr>202607</vt:lpstr>
      <vt:lpstr>Reporte ASG Mensual</vt:lpstr>
      <vt:lpstr>202608</vt:lpstr>
      <vt:lpstr>TD</vt:lpstr>
      <vt:lpstr>Alts</vt:lpstr>
      <vt:lpstr>BU</vt:lpstr>
      <vt:lpstr>Formato BD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José Sosa Tovar</dc:creator>
  <cp:lastModifiedBy>Franco Olivares Untiveros</cp:lastModifiedBy>
  <dcterms:created xsi:type="dcterms:W3CDTF">2024-06-11T15:04:22Z</dcterms:created>
  <dcterms:modified xsi:type="dcterms:W3CDTF">2026-07-27T22:29:07Z</dcterms:modified>
</cp:coreProperties>
</file>