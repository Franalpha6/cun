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48546\Documents\"/>
    </mc:Choice>
  </mc:AlternateContent>
  <xr:revisionPtr revIDLastSave="0" documentId="8_{A5324DB4-51C1-4054-87A0-EBE91CD00041}" xr6:coauthVersionLast="47" xr6:coauthVersionMax="47" xr10:uidLastSave="{00000000-0000-0000-0000-000000000000}"/>
  <bookViews>
    <workbookView xWindow="-120" yWindow="-120" windowWidth="29040" windowHeight="15720" xr2:uid="{4A5F12D7-E323-4479-944C-879099A625AE}"/>
  </bookViews>
  <sheets>
    <sheet name="DQ_IN" sheetId="1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TQ9" i="1" l="1"/>
  <c r="ATP9" i="1"/>
  <c r="ATO9" i="1"/>
  <c r="ATN9" i="1"/>
  <c r="ATM9" i="1"/>
  <c r="ATL9" i="1"/>
  <c r="ATK9" i="1"/>
  <c r="ATJ9" i="1"/>
  <c r="ATI9" i="1"/>
  <c r="ATH9" i="1"/>
  <c r="ATG9" i="1"/>
  <c r="ATF9" i="1"/>
  <c r="ATE9" i="1"/>
  <c r="ATD9" i="1"/>
  <c r="ATC9" i="1"/>
  <c r="ATB9" i="1"/>
  <c r="ATA9" i="1"/>
  <c r="ASZ9" i="1"/>
  <c r="ASY9" i="1"/>
  <c r="ASX9" i="1"/>
  <c r="ASW9" i="1"/>
  <c r="ASV9" i="1"/>
  <c r="ASU9" i="1"/>
  <c r="AST9" i="1"/>
  <c r="ASS9" i="1"/>
  <c r="ASR9" i="1"/>
  <c r="ASQ9" i="1"/>
  <c r="ASP9" i="1"/>
  <c r="ASO9" i="1"/>
  <c r="ASN9" i="1"/>
  <c r="ASM9" i="1"/>
  <c r="ASL9" i="1"/>
  <c r="ASK9" i="1"/>
  <c r="ASJ9" i="1"/>
  <c r="ASI9" i="1"/>
  <c r="ASH9" i="1"/>
  <c r="ASG9" i="1"/>
  <c r="ASF9" i="1"/>
  <c r="ASE9" i="1"/>
  <c r="ASD9" i="1"/>
  <c r="ASC9" i="1"/>
  <c r="ASB9" i="1"/>
  <c r="ASA9" i="1"/>
  <c r="ARZ9" i="1"/>
  <c r="ARY9" i="1"/>
  <c r="ARX9" i="1"/>
  <c r="ARW9" i="1"/>
  <c r="ARV9" i="1"/>
  <c r="ARU9" i="1"/>
  <c r="ART9" i="1"/>
  <c r="ARS9" i="1"/>
  <c r="ARR9" i="1"/>
  <c r="ARQ9" i="1"/>
  <c r="ARP9" i="1"/>
  <c r="ARO9" i="1"/>
  <c r="ARN9" i="1"/>
  <c r="ARM9" i="1"/>
  <c r="ARL9" i="1"/>
  <c r="ARK9" i="1"/>
  <c r="ARJ9" i="1"/>
  <c r="ARI9" i="1"/>
  <c r="ARH9" i="1"/>
  <c r="ARG9" i="1"/>
  <c r="ARF9" i="1"/>
  <c r="ARE9" i="1"/>
  <c r="ARD9" i="1"/>
  <c r="ARC9" i="1"/>
  <c r="ARB9" i="1"/>
  <c r="ARA9" i="1"/>
  <c r="AQZ9" i="1"/>
  <c r="AQY9" i="1"/>
  <c r="AQX9" i="1"/>
  <c r="AQW9" i="1"/>
  <c r="AQV9" i="1"/>
  <c r="AQU9" i="1"/>
  <c r="AQT9" i="1"/>
  <c r="AQS9" i="1"/>
  <c r="AQR9" i="1"/>
  <c r="AQQ9" i="1"/>
  <c r="AQP9" i="1"/>
  <c r="AQO9" i="1"/>
  <c r="AQN9" i="1"/>
  <c r="AQM9" i="1"/>
  <c r="AQL9" i="1"/>
  <c r="AQK9" i="1"/>
  <c r="AQJ9" i="1"/>
  <c r="AQI9" i="1"/>
  <c r="AQH9" i="1"/>
  <c r="AQG9" i="1"/>
  <c r="AQF9" i="1"/>
  <c r="AQE9" i="1"/>
  <c r="AQD9" i="1"/>
  <c r="AQC9" i="1"/>
  <c r="AQB9" i="1"/>
  <c r="AQA9" i="1"/>
  <c r="APZ9" i="1"/>
  <c r="APY9" i="1"/>
  <c r="APX9" i="1"/>
  <c r="APW9" i="1"/>
  <c r="APV9" i="1"/>
  <c r="APU9" i="1"/>
  <c r="APT9" i="1"/>
  <c r="APS9" i="1"/>
  <c r="APR9" i="1"/>
  <c r="APQ9" i="1"/>
  <c r="APP9" i="1"/>
  <c r="APO9" i="1"/>
  <c r="APN9" i="1"/>
  <c r="APM9" i="1"/>
  <c r="APL9" i="1"/>
  <c r="APK9" i="1"/>
  <c r="APJ9" i="1"/>
  <c r="API9" i="1"/>
  <c r="APH9" i="1"/>
  <c r="APG9" i="1"/>
  <c r="APF9" i="1"/>
  <c r="APE9" i="1"/>
  <c r="APD9" i="1"/>
  <c r="APC9" i="1"/>
  <c r="APB9" i="1"/>
  <c r="APA9" i="1"/>
  <c r="AOZ9" i="1"/>
  <c r="AOY9" i="1"/>
  <c r="AOX9" i="1"/>
  <c r="AOW9" i="1"/>
  <c r="AOV9" i="1"/>
  <c r="AOU9" i="1"/>
  <c r="AOT9" i="1"/>
  <c r="AOS9" i="1"/>
  <c r="AOR9" i="1"/>
  <c r="AOQ9" i="1"/>
  <c r="AOP9" i="1"/>
  <c r="AOO9" i="1"/>
  <c r="AON9" i="1"/>
  <c r="AOM9" i="1"/>
  <c r="AOL9" i="1"/>
  <c r="AOK9" i="1"/>
  <c r="AOJ9" i="1"/>
  <c r="AOI9" i="1"/>
  <c r="AOH9" i="1"/>
  <c r="AOG9" i="1"/>
  <c r="AOF9" i="1"/>
  <c r="AOE9" i="1"/>
  <c r="AOD9" i="1"/>
  <c r="AOC9" i="1"/>
  <c r="AOB9" i="1"/>
  <c r="AOA9" i="1"/>
  <c r="ANZ9" i="1"/>
  <c r="ANY9" i="1"/>
  <c r="ANX9" i="1"/>
  <c r="ANW9" i="1"/>
  <c r="ANV9" i="1"/>
  <c r="ANU9" i="1"/>
  <c r="ANT9" i="1"/>
  <c r="ANS9" i="1"/>
  <c r="ANR9" i="1"/>
  <c r="ANQ9" i="1"/>
  <c r="ANP9" i="1"/>
  <c r="ANO9" i="1"/>
  <c r="ANN9" i="1"/>
  <c r="ANM9" i="1"/>
  <c r="ANL9" i="1"/>
  <c r="ANK9" i="1"/>
  <c r="ANJ9" i="1"/>
  <c r="ANI9" i="1"/>
  <c r="ANH9" i="1"/>
  <c r="ANG9" i="1"/>
  <c r="ANF9" i="1"/>
  <c r="ANE9" i="1"/>
  <c r="AND9" i="1"/>
  <c r="ANC9" i="1"/>
  <c r="ANB9" i="1"/>
  <c r="ANA9" i="1"/>
  <c r="AMZ9" i="1"/>
  <c r="AMY9" i="1"/>
  <c r="AMX9" i="1"/>
  <c r="AMW9" i="1"/>
  <c r="AMV9" i="1"/>
  <c r="AMU9" i="1"/>
  <c r="AMT9" i="1"/>
  <c r="AMS9" i="1"/>
  <c r="AMR9" i="1"/>
  <c r="AMQ9" i="1"/>
  <c r="AMP9" i="1"/>
  <c r="AMO9" i="1"/>
  <c r="AMN9" i="1"/>
  <c r="AMM9" i="1"/>
  <c r="AML9" i="1"/>
  <c r="AMK9" i="1"/>
  <c r="AMJ9" i="1"/>
  <c r="AMI9" i="1"/>
  <c r="AMH9" i="1"/>
  <c r="AMG9" i="1"/>
  <c r="AMF9" i="1"/>
  <c r="AME9" i="1"/>
  <c r="AMD9" i="1"/>
  <c r="AMC9" i="1"/>
  <c r="AMB9" i="1"/>
  <c r="AMA9" i="1"/>
  <c r="ALZ9" i="1"/>
  <c r="ALY9" i="1"/>
  <c r="ALX9" i="1"/>
  <c r="ALW9" i="1"/>
  <c r="ALV9" i="1"/>
  <c r="ALU9" i="1"/>
  <c r="ALT9" i="1"/>
  <c r="ALS9" i="1"/>
  <c r="ALR9" i="1"/>
  <c r="ALQ9" i="1"/>
  <c r="ALP9" i="1"/>
  <c r="ALO9" i="1"/>
  <c r="ALN9" i="1"/>
  <c r="ALM9" i="1"/>
  <c r="ALL9" i="1"/>
  <c r="ALK9" i="1"/>
  <c r="ALJ9" i="1"/>
  <c r="ALI9" i="1"/>
  <c r="ALH9" i="1"/>
  <c r="ALG9" i="1"/>
  <c r="ALF9" i="1"/>
  <c r="ALE9" i="1"/>
  <c r="ALD9" i="1"/>
  <c r="ALC9" i="1"/>
  <c r="ALB9" i="1"/>
  <c r="ALA9" i="1"/>
  <c r="AKZ9" i="1"/>
  <c r="AKY9" i="1"/>
  <c r="AKX9" i="1"/>
  <c r="AKW9" i="1"/>
  <c r="AKV9" i="1"/>
  <c r="AKU9" i="1"/>
  <c r="AKT9" i="1"/>
  <c r="AKS9" i="1"/>
  <c r="AKR9" i="1"/>
  <c r="AKQ9" i="1"/>
  <c r="AKP9" i="1"/>
  <c r="AKO9" i="1"/>
  <c r="AKN9" i="1"/>
  <c r="AKM9" i="1"/>
  <c r="AKL9" i="1"/>
  <c r="AKK9" i="1"/>
  <c r="AKJ9" i="1"/>
  <c r="AKI9" i="1"/>
  <c r="AKH9" i="1"/>
  <c r="AKG9" i="1"/>
  <c r="AKF9" i="1"/>
  <c r="AKE9" i="1"/>
  <c r="AKD9" i="1"/>
  <c r="AKC9" i="1"/>
  <c r="AKB9" i="1"/>
  <c r="AKA9" i="1"/>
  <c r="AJZ9" i="1"/>
  <c r="AJY9" i="1"/>
  <c r="AJX9" i="1"/>
  <c r="AJW9" i="1"/>
  <c r="AJV9" i="1"/>
  <c r="AJU9" i="1"/>
  <c r="AJT9" i="1"/>
  <c r="AJS9" i="1"/>
  <c r="AJR9" i="1"/>
  <c r="AJQ9" i="1"/>
  <c r="AJP9" i="1"/>
  <c r="AJO9" i="1"/>
  <c r="AJN9" i="1"/>
  <c r="AJM9" i="1"/>
  <c r="AJL9" i="1"/>
  <c r="AJK9" i="1"/>
  <c r="AJJ9" i="1"/>
  <c r="AJI9" i="1"/>
  <c r="AJH9" i="1"/>
  <c r="AJG9" i="1"/>
  <c r="AJF9" i="1"/>
  <c r="AJE9" i="1"/>
  <c r="AJD9" i="1"/>
  <c r="AJC9" i="1"/>
  <c r="AJB9" i="1"/>
  <c r="AJA9" i="1"/>
  <c r="AIZ9" i="1"/>
  <c r="AIY9" i="1"/>
  <c r="AIX9" i="1"/>
  <c r="AIW9" i="1"/>
  <c r="AIV9" i="1"/>
  <c r="AIU9" i="1"/>
  <c r="AIT9" i="1"/>
  <c r="AIS9" i="1"/>
  <c r="AIR9" i="1"/>
  <c r="AIQ9" i="1"/>
  <c r="AIP9" i="1"/>
  <c r="AIO9" i="1"/>
  <c r="AIN9" i="1"/>
  <c r="AIM9" i="1"/>
  <c r="AIL9" i="1"/>
  <c r="AIK9" i="1"/>
  <c r="AIJ9" i="1"/>
  <c r="AII9" i="1"/>
  <c r="AIH9" i="1"/>
  <c r="AIG9" i="1"/>
  <c r="AIF9" i="1"/>
  <c r="AIE9" i="1"/>
  <c r="AID9" i="1"/>
  <c r="AIC9" i="1"/>
  <c r="AIB9" i="1"/>
  <c r="AIA9" i="1"/>
  <c r="AHZ9" i="1"/>
  <c r="AHY9" i="1"/>
  <c r="AHX9" i="1"/>
  <c r="AHW9" i="1"/>
  <c r="AHV9" i="1"/>
  <c r="AHU9" i="1"/>
  <c r="AHT9" i="1"/>
  <c r="AHS9" i="1"/>
  <c r="AHR9" i="1"/>
  <c r="AHQ9" i="1"/>
  <c r="AHP9" i="1"/>
  <c r="AHO9" i="1"/>
  <c r="AHN9" i="1"/>
  <c r="AHM9" i="1"/>
  <c r="AHL9" i="1"/>
  <c r="AHK9" i="1"/>
  <c r="AHJ9" i="1"/>
  <c r="AHI9" i="1"/>
  <c r="AHH9" i="1"/>
  <c r="AHG9" i="1"/>
  <c r="AHF9" i="1"/>
  <c r="AHE9" i="1"/>
  <c r="AHD9" i="1"/>
  <c r="AHC9" i="1"/>
  <c r="AHB9" i="1"/>
  <c r="AHA9" i="1"/>
  <c r="AGZ9" i="1"/>
  <c r="AGY9" i="1"/>
  <c r="AGX9" i="1"/>
  <c r="AGW9" i="1"/>
  <c r="AGV9" i="1"/>
  <c r="AGU9" i="1"/>
  <c r="AGT9" i="1"/>
  <c r="AGS9" i="1"/>
  <c r="AGR9" i="1"/>
  <c r="AGQ9" i="1"/>
  <c r="AGP9" i="1"/>
  <c r="AGO9" i="1"/>
  <c r="AGN9" i="1"/>
  <c r="AGM9" i="1"/>
  <c r="AGL9" i="1"/>
  <c r="AGK9" i="1"/>
  <c r="AGJ9" i="1"/>
  <c r="AGI9" i="1"/>
  <c r="AGH9" i="1"/>
  <c r="AGG9" i="1"/>
  <c r="AGF9" i="1"/>
  <c r="AGE9" i="1"/>
  <c r="AGD9" i="1"/>
  <c r="AGC9" i="1"/>
  <c r="AGB9" i="1"/>
  <c r="AGA9" i="1"/>
  <c r="AFZ9" i="1"/>
  <c r="AFY9" i="1"/>
  <c r="AFX9" i="1"/>
  <c r="AFW9" i="1"/>
  <c r="AFV9" i="1"/>
  <c r="AFU9" i="1"/>
  <c r="AFT9" i="1"/>
  <c r="AFS9" i="1"/>
  <c r="AFR9" i="1"/>
  <c r="AFQ9" i="1"/>
  <c r="AFP9" i="1"/>
  <c r="AFO9" i="1"/>
  <c r="AFN9" i="1"/>
  <c r="AFM9" i="1"/>
  <c r="AFL9" i="1"/>
  <c r="AFK9" i="1"/>
  <c r="AFJ9" i="1"/>
  <c r="AFI9" i="1"/>
  <c r="AFH9" i="1"/>
  <c r="AFG9" i="1"/>
  <c r="AFF9" i="1"/>
  <c r="AFE9" i="1"/>
  <c r="AFD9" i="1"/>
  <c r="AFC9" i="1"/>
  <c r="AFB9" i="1"/>
  <c r="AFA9" i="1"/>
  <c r="AEZ9" i="1"/>
  <c r="AEY9" i="1"/>
  <c r="AEX9" i="1"/>
  <c r="AEW9" i="1"/>
  <c r="AEV9" i="1"/>
  <c r="AEU9" i="1"/>
  <c r="AET9" i="1"/>
  <c r="AES9" i="1"/>
  <c r="AER9" i="1"/>
  <c r="AEQ9" i="1"/>
  <c r="AEP9" i="1"/>
  <c r="AEO9" i="1"/>
  <c r="AEN9" i="1"/>
  <c r="AEM9" i="1"/>
  <c r="AEL9" i="1"/>
  <c r="AEK9" i="1"/>
  <c r="AEJ9" i="1"/>
  <c r="AEI9" i="1"/>
  <c r="AEH9" i="1"/>
  <c r="AEG9" i="1"/>
  <c r="AEF9" i="1"/>
  <c r="AEE9" i="1"/>
  <c r="AED9" i="1"/>
  <c r="AEC9" i="1"/>
  <c r="AEB9" i="1"/>
  <c r="AEA9" i="1"/>
  <c r="ADZ9" i="1"/>
  <c r="ADY9" i="1"/>
  <c r="ADX9" i="1"/>
  <c r="ADW9" i="1"/>
  <c r="ADV9" i="1"/>
  <c r="ADU9" i="1"/>
  <c r="ADT9" i="1"/>
  <c r="ADS9" i="1"/>
  <c r="ADR9" i="1"/>
  <c r="ADQ9" i="1"/>
  <c r="ADP9" i="1"/>
  <c r="ADO9" i="1"/>
  <c r="ADN9" i="1"/>
  <c r="ADM9" i="1"/>
  <c r="ADL9" i="1"/>
  <c r="ADK9" i="1"/>
  <c r="ADJ9" i="1"/>
  <c r="ADI9" i="1"/>
  <c r="ADH9" i="1"/>
  <c r="ADG9" i="1"/>
  <c r="ADF9" i="1"/>
  <c r="ADE9" i="1"/>
  <c r="ADD9" i="1"/>
  <c r="ADC9" i="1"/>
  <c r="ADB9" i="1"/>
  <c r="ADA9" i="1"/>
  <c r="ACZ9" i="1"/>
  <c r="ACY9" i="1"/>
  <c r="ACX9" i="1"/>
  <c r="ACW9" i="1"/>
  <c r="ACV9" i="1"/>
  <c r="ACU9" i="1"/>
  <c r="ACT9" i="1"/>
  <c r="ACS9" i="1"/>
  <c r="ACR9" i="1"/>
  <c r="ACQ9" i="1"/>
  <c r="ACP9" i="1"/>
  <c r="ACO9" i="1"/>
  <c r="ACN9" i="1"/>
  <c r="ACM9" i="1"/>
  <c r="ACL9" i="1"/>
  <c r="ACK9" i="1"/>
  <c r="ACJ9" i="1"/>
  <c r="ACI9" i="1"/>
  <c r="ACH9" i="1"/>
  <c r="ACG9" i="1"/>
  <c r="ACF9" i="1"/>
  <c r="ACE9" i="1"/>
  <c r="ACD9" i="1"/>
  <c r="ACC9" i="1"/>
  <c r="ACB9" i="1"/>
  <c r="ACA9" i="1"/>
  <c r="ABZ9" i="1"/>
  <c r="ABY9" i="1"/>
  <c r="ABX9" i="1"/>
  <c r="ABW9" i="1"/>
  <c r="ABV9" i="1"/>
  <c r="ABU9" i="1"/>
  <c r="ABT9" i="1"/>
  <c r="ABS9" i="1"/>
  <c r="ABR9" i="1"/>
  <c r="ABQ9" i="1"/>
  <c r="ABP9" i="1"/>
  <c r="ABO9" i="1"/>
  <c r="ABN9" i="1"/>
  <c r="ABM9" i="1"/>
  <c r="ABL9" i="1"/>
  <c r="ABK9" i="1"/>
  <c r="ABJ9" i="1"/>
  <c r="ABI9" i="1"/>
  <c r="ABH9" i="1"/>
  <c r="ABG9" i="1"/>
  <c r="ABF9" i="1"/>
  <c r="ABE9" i="1"/>
  <c r="ABD9" i="1"/>
  <c r="ABC9" i="1"/>
  <c r="ABB9" i="1"/>
  <c r="ABA9" i="1"/>
  <c r="AAZ9" i="1"/>
  <c r="AAY9" i="1"/>
  <c r="AAX9" i="1"/>
  <c r="AAW9" i="1"/>
  <c r="AAV9" i="1"/>
  <c r="AAU9" i="1"/>
  <c r="AAT9" i="1"/>
  <c r="AAS9" i="1"/>
  <c r="AAR9" i="1"/>
  <c r="AAQ9" i="1"/>
  <c r="AAP9" i="1"/>
  <c r="AAO9" i="1"/>
  <c r="AAN9" i="1"/>
  <c r="AAM9" i="1"/>
  <c r="AAL9" i="1"/>
  <c r="AAK9" i="1"/>
  <c r="AAJ9" i="1"/>
  <c r="AAI9" i="1"/>
  <c r="AAH9" i="1"/>
  <c r="AAG9" i="1"/>
  <c r="AAF9" i="1"/>
  <c r="AAE9" i="1"/>
  <c r="AAD9" i="1"/>
  <c r="AAC9" i="1"/>
  <c r="AAB9" i="1"/>
  <c r="AAA9" i="1"/>
  <c r="ZZ9" i="1"/>
  <c r="ZY9" i="1"/>
  <c r="ZX9" i="1"/>
  <c r="ZW9" i="1"/>
  <c r="ZV9" i="1"/>
  <c r="ZU9" i="1"/>
  <c r="ZT9" i="1"/>
  <c r="ZS9" i="1"/>
  <c r="ZR9" i="1"/>
  <c r="ZQ9" i="1"/>
  <c r="ZP9" i="1"/>
  <c r="ZO9" i="1"/>
  <c r="ZN9" i="1"/>
  <c r="ZM9" i="1"/>
  <c r="ZL9" i="1"/>
  <c r="ZK9" i="1"/>
  <c r="ZJ9" i="1"/>
  <c r="ZI9" i="1"/>
  <c r="ZH9" i="1"/>
  <c r="ZG9" i="1"/>
  <c r="ZF9" i="1"/>
  <c r="ZE9" i="1"/>
  <c r="ZD9" i="1"/>
  <c r="ZC9" i="1"/>
  <c r="ZB9" i="1"/>
  <c r="ZA9" i="1"/>
  <c r="YZ9" i="1"/>
  <c r="YY9" i="1"/>
  <c r="YX9" i="1"/>
  <c r="YW9" i="1"/>
  <c r="YV9" i="1"/>
  <c r="YU9" i="1"/>
  <c r="YT9" i="1"/>
  <c r="YS9" i="1"/>
  <c r="YR9" i="1"/>
  <c r="YQ9" i="1"/>
  <c r="YP9" i="1"/>
  <c r="YO9" i="1"/>
  <c r="YN9" i="1"/>
  <c r="YM9" i="1"/>
  <c r="YL9" i="1"/>
  <c r="YK9" i="1"/>
  <c r="YJ9" i="1"/>
  <c r="YI9" i="1"/>
  <c r="YH9" i="1"/>
  <c r="YG9" i="1"/>
  <c r="YF9" i="1"/>
  <c r="YE9" i="1"/>
  <c r="YD9" i="1"/>
  <c r="YC9" i="1"/>
  <c r="YB9" i="1"/>
  <c r="YA9" i="1"/>
  <c r="XZ9" i="1"/>
  <c r="XY9" i="1"/>
  <c r="XX9" i="1"/>
  <c r="XW9" i="1"/>
  <c r="XV9" i="1"/>
  <c r="XU9" i="1"/>
  <c r="XT9" i="1"/>
  <c r="XS9" i="1"/>
  <c r="XR9" i="1"/>
  <c r="XQ9" i="1"/>
  <c r="XP9" i="1"/>
  <c r="XO9" i="1"/>
  <c r="XN9" i="1"/>
  <c r="XM9" i="1"/>
  <c r="XL9" i="1"/>
  <c r="XK9" i="1"/>
  <c r="XJ9" i="1"/>
  <c r="XI9" i="1"/>
  <c r="XH9" i="1"/>
  <c r="XG9" i="1"/>
  <c r="XF9" i="1"/>
  <c r="XE9" i="1"/>
  <c r="XD9" i="1"/>
  <c r="XC9" i="1"/>
  <c r="XB9" i="1"/>
  <c r="XA9" i="1"/>
  <c r="WZ9" i="1"/>
  <c r="WY9" i="1"/>
  <c r="WX9" i="1"/>
  <c r="WW9" i="1"/>
  <c r="WV9" i="1"/>
  <c r="WU9" i="1"/>
  <c r="WT9" i="1"/>
  <c r="WS9" i="1"/>
  <c r="WR9" i="1"/>
  <c r="WQ9" i="1"/>
  <c r="WP9" i="1"/>
  <c r="WO9" i="1"/>
  <c r="WN9" i="1"/>
  <c r="WM9" i="1"/>
  <c r="WL9" i="1"/>
  <c r="WK9" i="1"/>
  <c r="WJ9" i="1"/>
  <c r="WI9" i="1"/>
  <c r="WH9" i="1"/>
  <c r="WG9" i="1"/>
  <c r="WF9" i="1"/>
  <c r="WE9" i="1"/>
  <c r="WD9" i="1"/>
  <c r="WC9" i="1"/>
  <c r="WB9" i="1"/>
  <c r="WA9" i="1"/>
  <c r="VZ9" i="1"/>
  <c r="VY9" i="1"/>
  <c r="VX9" i="1"/>
  <c r="VW9" i="1"/>
  <c r="VV9" i="1"/>
  <c r="VU9" i="1"/>
  <c r="VT9" i="1"/>
  <c r="VS9" i="1"/>
  <c r="VR9" i="1"/>
  <c r="VQ9" i="1"/>
  <c r="VP9" i="1"/>
  <c r="VO9" i="1"/>
  <c r="VN9" i="1"/>
  <c r="VM9" i="1"/>
  <c r="VL9" i="1"/>
  <c r="VK9" i="1"/>
  <c r="VJ9" i="1"/>
  <c r="VI9" i="1"/>
  <c r="VH9" i="1"/>
  <c r="VG9" i="1"/>
  <c r="VF9" i="1"/>
  <c r="VE9" i="1"/>
  <c r="VD9" i="1"/>
  <c r="VC9" i="1"/>
  <c r="VB9" i="1"/>
  <c r="VA9" i="1"/>
  <c r="UZ9" i="1"/>
  <c r="UY9" i="1"/>
  <c r="UX9" i="1"/>
  <c r="UW9" i="1"/>
  <c r="UV9" i="1"/>
  <c r="UU9" i="1"/>
  <c r="UT9" i="1"/>
  <c r="US9" i="1"/>
  <c r="UR9" i="1"/>
  <c r="UQ9" i="1"/>
  <c r="UP9" i="1"/>
  <c r="UO9" i="1"/>
  <c r="UN9" i="1"/>
  <c r="UM9" i="1"/>
  <c r="UL9" i="1"/>
  <c r="UK9" i="1"/>
  <c r="UJ9" i="1"/>
  <c r="UI9" i="1"/>
  <c r="UH9" i="1"/>
  <c r="UG9" i="1"/>
  <c r="UF9" i="1"/>
  <c r="UE9" i="1"/>
  <c r="UD9" i="1"/>
  <c r="UC9" i="1"/>
  <c r="UB9" i="1"/>
  <c r="UA9" i="1"/>
  <c r="TZ9" i="1"/>
  <c r="TY9" i="1"/>
  <c r="TX9" i="1"/>
  <c r="TW9" i="1"/>
  <c r="TV9" i="1"/>
  <c r="TU9" i="1"/>
  <c r="TT9" i="1"/>
  <c r="TS9" i="1"/>
  <c r="TR9" i="1"/>
  <c r="TQ9" i="1"/>
  <c r="TP9" i="1"/>
  <c r="TO9" i="1"/>
  <c r="TN9" i="1"/>
  <c r="TM9" i="1"/>
  <c r="TL9" i="1"/>
  <c r="TK9" i="1"/>
  <c r="TJ9" i="1"/>
  <c r="TI9" i="1"/>
  <c r="TH9" i="1"/>
  <c r="TG9" i="1"/>
  <c r="TF9" i="1"/>
  <c r="TE9" i="1"/>
  <c r="TD9" i="1"/>
  <c r="TC9" i="1"/>
  <c r="TB9" i="1"/>
  <c r="TA9" i="1"/>
  <c r="SZ9" i="1"/>
  <c r="SY9" i="1"/>
  <c r="SX9" i="1"/>
  <c r="SW9" i="1"/>
  <c r="SV9" i="1"/>
  <c r="SU9" i="1"/>
  <c r="ST9" i="1"/>
  <c r="SS9" i="1"/>
  <c r="SR9" i="1"/>
  <c r="SQ9" i="1"/>
  <c r="SP9" i="1"/>
  <c r="SO9" i="1"/>
  <c r="SN9" i="1"/>
  <c r="SM9" i="1"/>
  <c r="SL9" i="1"/>
  <c r="SK9" i="1"/>
  <c r="SJ9" i="1"/>
  <c r="SI9" i="1"/>
  <c r="SH9" i="1"/>
  <c r="SG9" i="1"/>
  <c r="SF9" i="1"/>
  <c r="SE9" i="1"/>
  <c r="SD9" i="1"/>
  <c r="SC9" i="1"/>
  <c r="SB9" i="1"/>
  <c r="SA9" i="1"/>
  <c r="RZ9" i="1"/>
  <c r="RY9" i="1"/>
  <c r="RX9" i="1"/>
  <c r="RW9" i="1"/>
  <c r="RV9" i="1"/>
  <c r="RU9" i="1"/>
  <c r="RT9" i="1"/>
  <c r="RS9" i="1"/>
  <c r="RR9" i="1"/>
  <c r="RQ9" i="1"/>
  <c r="RP9" i="1"/>
  <c r="RO9" i="1"/>
  <c r="RN9" i="1"/>
  <c r="RM9" i="1"/>
  <c r="RL9" i="1"/>
  <c r="RK9" i="1"/>
  <c r="RJ9" i="1"/>
  <c r="RI9" i="1"/>
  <c r="RH9" i="1"/>
  <c r="RG9" i="1"/>
  <c r="RF9" i="1"/>
  <c r="RE9" i="1"/>
  <c r="RD9" i="1"/>
  <c r="RC9" i="1"/>
  <c r="RB9" i="1"/>
  <c r="RA9" i="1"/>
  <c r="QZ9" i="1"/>
  <c r="QY9" i="1"/>
  <c r="QX9" i="1"/>
  <c r="QW9" i="1"/>
  <c r="QV9" i="1"/>
  <c r="QU9" i="1"/>
  <c r="QT9" i="1"/>
  <c r="QS9" i="1"/>
  <c r="QR9" i="1"/>
  <c r="QQ9" i="1"/>
  <c r="QP9" i="1"/>
  <c r="QO9" i="1"/>
  <c r="QN9" i="1"/>
  <c r="QM9" i="1"/>
  <c r="QL9" i="1"/>
  <c r="QK9" i="1"/>
  <c r="QJ9" i="1"/>
  <c r="QI9" i="1"/>
  <c r="QH9" i="1"/>
  <c r="QG9" i="1"/>
  <c r="QF9" i="1"/>
  <c r="QE9" i="1"/>
  <c r="QD9" i="1"/>
  <c r="QC9" i="1"/>
  <c r="QB9" i="1"/>
  <c r="QA9" i="1"/>
  <c r="PZ9" i="1"/>
  <c r="PY9" i="1"/>
  <c r="PX9" i="1"/>
  <c r="PW9" i="1"/>
  <c r="PV9" i="1"/>
  <c r="PU9" i="1"/>
  <c r="PT9" i="1"/>
  <c r="PS9" i="1"/>
  <c r="PR9" i="1"/>
  <c r="PQ9" i="1"/>
  <c r="PP9" i="1"/>
  <c r="PO9" i="1"/>
  <c r="PN9" i="1"/>
  <c r="PM9" i="1"/>
  <c r="PL9" i="1"/>
  <c r="PK9" i="1"/>
  <c r="PJ9" i="1"/>
  <c r="PI9" i="1"/>
  <c r="PH9" i="1"/>
  <c r="PG9" i="1"/>
  <c r="PF9" i="1"/>
  <c r="PE9" i="1"/>
  <c r="PD9" i="1"/>
  <c r="PC9" i="1"/>
  <c r="PB9" i="1"/>
  <c r="PA9" i="1"/>
  <c r="OZ9" i="1"/>
  <c r="OY9" i="1"/>
  <c r="OX9" i="1"/>
  <c r="OW9" i="1"/>
  <c r="OV9" i="1"/>
  <c r="OU9" i="1"/>
  <c r="OT9" i="1"/>
  <c r="OS9" i="1"/>
  <c r="OR9" i="1"/>
  <c r="OQ9" i="1"/>
  <c r="OP9" i="1"/>
  <c r="OO9" i="1"/>
  <c r="ON9" i="1"/>
  <c r="OM9" i="1"/>
  <c r="OL9" i="1"/>
  <c r="OK9" i="1"/>
  <c r="OJ9" i="1"/>
  <c r="OI9" i="1"/>
  <c r="OH9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TQ8" i="1"/>
  <c r="ATP8" i="1"/>
  <c r="ATO8" i="1"/>
  <c r="ATN8" i="1"/>
  <c r="ATM8" i="1"/>
  <c r="ATL8" i="1"/>
  <c r="ATK8" i="1"/>
  <c r="ATJ8" i="1"/>
  <c r="ATI8" i="1"/>
  <c r="ATH8" i="1"/>
  <c r="ATG8" i="1"/>
  <c r="ATF8" i="1"/>
  <c r="ATE8" i="1"/>
  <c r="ATD8" i="1"/>
  <c r="ATC8" i="1"/>
  <c r="ATB8" i="1"/>
  <c r="ATA8" i="1"/>
  <c r="ASZ8" i="1"/>
  <c r="ASY8" i="1"/>
  <c r="ASX8" i="1"/>
  <c r="ASW8" i="1"/>
  <c r="ASV8" i="1"/>
  <c r="ASU8" i="1"/>
  <c r="AST8" i="1"/>
  <c r="ASS8" i="1"/>
  <c r="ASR8" i="1"/>
  <c r="ASQ8" i="1"/>
  <c r="ASP8" i="1"/>
  <c r="ASO8" i="1"/>
  <c r="ASN8" i="1"/>
  <c r="ASM8" i="1"/>
  <c r="ASL8" i="1"/>
  <c r="ASK8" i="1"/>
  <c r="ASJ8" i="1"/>
  <c r="ASI8" i="1"/>
  <c r="ASH8" i="1"/>
  <c r="ASG8" i="1"/>
  <c r="ASF8" i="1"/>
  <c r="ASE8" i="1"/>
  <c r="ASD8" i="1"/>
  <c r="ASC8" i="1"/>
  <c r="ASB8" i="1"/>
  <c r="ASA8" i="1"/>
  <c r="ARZ8" i="1"/>
  <c r="ARY8" i="1"/>
  <c r="ARX8" i="1"/>
  <c r="ARW8" i="1"/>
  <c r="ARV8" i="1"/>
  <c r="ARU8" i="1"/>
  <c r="ART8" i="1"/>
  <c r="ARS8" i="1"/>
  <c r="ARR8" i="1"/>
  <c r="ARQ8" i="1"/>
  <c r="ARP8" i="1"/>
  <c r="ARO8" i="1"/>
  <c r="ARN8" i="1"/>
  <c r="ARM8" i="1"/>
  <c r="ARL8" i="1"/>
  <c r="ARK8" i="1"/>
  <c r="ARJ8" i="1"/>
  <c r="ARI8" i="1"/>
  <c r="ARH8" i="1"/>
  <c r="ARG8" i="1"/>
  <c r="ARF8" i="1"/>
  <c r="ARE8" i="1"/>
  <c r="ARD8" i="1"/>
  <c r="ARC8" i="1"/>
  <c r="ARB8" i="1"/>
  <c r="ARA8" i="1"/>
  <c r="AQZ8" i="1"/>
  <c r="AQY8" i="1"/>
  <c r="AQX8" i="1"/>
  <c r="AQW8" i="1"/>
  <c r="AQV8" i="1"/>
  <c r="AQU8" i="1"/>
  <c r="AQT8" i="1"/>
  <c r="AQS8" i="1"/>
  <c r="AQR8" i="1"/>
  <c r="AQQ8" i="1"/>
  <c r="AQP8" i="1"/>
  <c r="AQO8" i="1"/>
  <c r="AQN8" i="1"/>
  <c r="AQM8" i="1"/>
  <c r="AQL8" i="1"/>
  <c r="AQK8" i="1"/>
  <c r="AQJ8" i="1"/>
  <c r="AQI8" i="1"/>
  <c r="AQH8" i="1"/>
  <c r="AQG8" i="1"/>
  <c r="AQF8" i="1"/>
  <c r="AQE8" i="1"/>
  <c r="AQD8" i="1"/>
  <c r="AQC8" i="1"/>
  <c r="AQB8" i="1"/>
  <c r="AQA8" i="1"/>
  <c r="APZ8" i="1"/>
  <c r="APY8" i="1"/>
  <c r="APX8" i="1"/>
  <c r="APW8" i="1"/>
  <c r="APV8" i="1"/>
  <c r="APU8" i="1"/>
  <c r="APT8" i="1"/>
  <c r="APS8" i="1"/>
  <c r="APR8" i="1"/>
  <c r="APQ8" i="1"/>
  <c r="APP8" i="1"/>
  <c r="APO8" i="1"/>
  <c r="APN8" i="1"/>
  <c r="APM8" i="1"/>
  <c r="APL8" i="1"/>
  <c r="APK8" i="1"/>
  <c r="APJ8" i="1"/>
  <c r="API8" i="1"/>
  <c r="APH8" i="1"/>
  <c r="APG8" i="1"/>
  <c r="APF8" i="1"/>
  <c r="APE8" i="1"/>
  <c r="APD8" i="1"/>
  <c r="APC8" i="1"/>
  <c r="APB8" i="1"/>
  <c r="APA8" i="1"/>
  <c r="AOZ8" i="1"/>
  <c r="AOY8" i="1"/>
  <c r="AOX8" i="1"/>
  <c r="AOW8" i="1"/>
  <c r="AOV8" i="1"/>
  <c r="AOU8" i="1"/>
  <c r="AOT8" i="1"/>
  <c r="AOS8" i="1"/>
  <c r="AOR8" i="1"/>
  <c r="AOQ8" i="1"/>
  <c r="AOP8" i="1"/>
  <c r="AOO8" i="1"/>
  <c r="AON8" i="1"/>
  <c r="AOM8" i="1"/>
  <c r="AOL8" i="1"/>
  <c r="AOK8" i="1"/>
  <c r="AOJ8" i="1"/>
  <c r="AOI8" i="1"/>
  <c r="AOH8" i="1"/>
  <c r="AOG8" i="1"/>
  <c r="AOF8" i="1"/>
  <c r="AOE8" i="1"/>
  <c r="AOD8" i="1"/>
  <c r="AOC8" i="1"/>
  <c r="AOB8" i="1"/>
  <c r="AOA8" i="1"/>
  <c r="ANZ8" i="1"/>
  <c r="ANY8" i="1"/>
  <c r="ANX8" i="1"/>
  <c r="ANW8" i="1"/>
  <c r="ANV8" i="1"/>
  <c r="ANU8" i="1"/>
  <c r="ANT8" i="1"/>
  <c r="ANS8" i="1"/>
  <c r="ANR8" i="1"/>
  <c r="ANQ8" i="1"/>
  <c r="ANP8" i="1"/>
  <c r="ANO8" i="1"/>
  <c r="ANN8" i="1"/>
  <c r="ANM8" i="1"/>
  <c r="ANL8" i="1"/>
  <c r="ANK8" i="1"/>
  <c r="ANJ8" i="1"/>
  <c r="ANI8" i="1"/>
  <c r="ANH8" i="1"/>
  <c r="ANG8" i="1"/>
  <c r="ANF8" i="1"/>
  <c r="ANE8" i="1"/>
  <c r="AND8" i="1"/>
  <c r="ANC8" i="1"/>
  <c r="ANB8" i="1"/>
  <c r="ANA8" i="1"/>
  <c r="AMZ8" i="1"/>
  <c r="AMY8" i="1"/>
  <c r="AMX8" i="1"/>
  <c r="AMW8" i="1"/>
  <c r="AMV8" i="1"/>
  <c r="AMU8" i="1"/>
  <c r="AMT8" i="1"/>
  <c r="AMS8" i="1"/>
  <c r="AMR8" i="1"/>
  <c r="AMQ8" i="1"/>
  <c r="AMP8" i="1"/>
  <c r="AMO8" i="1"/>
  <c r="AMN8" i="1"/>
  <c r="AMM8" i="1"/>
  <c r="AML8" i="1"/>
  <c r="AMK8" i="1"/>
  <c r="AMJ8" i="1"/>
  <c r="AMI8" i="1"/>
  <c r="AMH8" i="1"/>
  <c r="AMG8" i="1"/>
  <c r="AMF8" i="1"/>
  <c r="AME8" i="1"/>
  <c r="AMD8" i="1"/>
  <c r="AMC8" i="1"/>
  <c r="AMB8" i="1"/>
  <c r="AMA8" i="1"/>
  <c r="ALZ8" i="1"/>
  <c r="ALY8" i="1"/>
  <c r="ALX8" i="1"/>
  <c r="ALW8" i="1"/>
  <c r="ALV8" i="1"/>
  <c r="ALU8" i="1"/>
  <c r="ALT8" i="1"/>
  <c r="ALS8" i="1"/>
  <c r="ALR8" i="1"/>
  <c r="ALQ8" i="1"/>
  <c r="ALP8" i="1"/>
  <c r="ALO8" i="1"/>
  <c r="ALN8" i="1"/>
  <c r="ALM8" i="1"/>
  <c r="ALL8" i="1"/>
  <c r="ALK8" i="1"/>
  <c r="ALJ8" i="1"/>
  <c r="ALI8" i="1"/>
  <c r="ALH8" i="1"/>
  <c r="ALG8" i="1"/>
  <c r="ALF8" i="1"/>
  <c r="ALE8" i="1"/>
  <c r="ALD8" i="1"/>
  <c r="ALC8" i="1"/>
  <c r="ALB8" i="1"/>
  <c r="ALA8" i="1"/>
  <c r="AKZ8" i="1"/>
  <c r="AKY8" i="1"/>
  <c r="AKX8" i="1"/>
  <c r="AKW8" i="1"/>
  <c r="AKV8" i="1"/>
  <c r="AKU8" i="1"/>
  <c r="AKT8" i="1"/>
  <c r="AKS8" i="1"/>
  <c r="AKR8" i="1"/>
  <c r="AKQ8" i="1"/>
  <c r="AKP8" i="1"/>
  <c r="AKO8" i="1"/>
  <c r="AKN8" i="1"/>
  <c r="AKM8" i="1"/>
  <c r="AKL8" i="1"/>
  <c r="AKK8" i="1"/>
  <c r="AKJ8" i="1"/>
  <c r="AKI8" i="1"/>
  <c r="AKH8" i="1"/>
  <c r="AKG8" i="1"/>
  <c r="AKF8" i="1"/>
  <c r="AKE8" i="1"/>
  <c r="AKD8" i="1"/>
  <c r="AKC8" i="1"/>
  <c r="AKB8" i="1"/>
  <c r="AKA8" i="1"/>
  <c r="AJZ8" i="1"/>
  <c r="AJY8" i="1"/>
  <c r="AJX8" i="1"/>
  <c r="AJW8" i="1"/>
  <c r="AJV8" i="1"/>
  <c r="AJU8" i="1"/>
  <c r="AJT8" i="1"/>
  <c r="AJS8" i="1"/>
  <c r="AJR8" i="1"/>
  <c r="AJQ8" i="1"/>
  <c r="AJP8" i="1"/>
  <c r="AJO8" i="1"/>
  <c r="AJN8" i="1"/>
  <c r="AJM8" i="1"/>
  <c r="AJL8" i="1"/>
  <c r="AJK8" i="1"/>
  <c r="AJJ8" i="1"/>
  <c r="AJI8" i="1"/>
  <c r="AJH8" i="1"/>
  <c r="AJG8" i="1"/>
  <c r="AJF8" i="1"/>
  <c r="AJE8" i="1"/>
  <c r="AJD8" i="1"/>
  <c r="AJC8" i="1"/>
  <c r="AJB8" i="1"/>
  <c r="AJA8" i="1"/>
  <c r="AIZ8" i="1"/>
  <c r="AIY8" i="1"/>
  <c r="AIX8" i="1"/>
  <c r="AIW8" i="1"/>
  <c r="AIV8" i="1"/>
  <c r="AIU8" i="1"/>
  <c r="AIT8" i="1"/>
  <c r="AIS8" i="1"/>
  <c r="AIR8" i="1"/>
  <c r="AIQ8" i="1"/>
  <c r="AIP8" i="1"/>
  <c r="AIO8" i="1"/>
  <c r="AIN8" i="1"/>
  <c r="AIM8" i="1"/>
  <c r="AIL8" i="1"/>
  <c r="AIK8" i="1"/>
  <c r="AIJ8" i="1"/>
  <c r="AII8" i="1"/>
  <c r="AIH8" i="1"/>
  <c r="AIG8" i="1"/>
  <c r="AIF8" i="1"/>
  <c r="AIE8" i="1"/>
  <c r="AID8" i="1"/>
  <c r="AIC8" i="1"/>
  <c r="AIB8" i="1"/>
  <c r="AIA8" i="1"/>
  <c r="AHZ8" i="1"/>
  <c r="AHY8" i="1"/>
  <c r="AHX8" i="1"/>
  <c r="AHW8" i="1"/>
  <c r="AHV8" i="1"/>
  <c r="AHU8" i="1"/>
  <c r="AHT8" i="1"/>
  <c r="AHS8" i="1"/>
  <c r="AHR8" i="1"/>
  <c r="AHQ8" i="1"/>
  <c r="AHP8" i="1"/>
  <c r="AHO8" i="1"/>
  <c r="AHN8" i="1"/>
  <c r="AHM8" i="1"/>
  <c r="AHL8" i="1"/>
  <c r="AHK8" i="1"/>
  <c r="AHJ8" i="1"/>
  <c r="AHI8" i="1"/>
  <c r="AHH8" i="1"/>
  <c r="AHG8" i="1"/>
  <c r="AHF8" i="1"/>
  <c r="AHE8" i="1"/>
  <c r="AHD8" i="1"/>
  <c r="AHC8" i="1"/>
  <c r="AHB8" i="1"/>
  <c r="AHA8" i="1"/>
  <c r="AGZ8" i="1"/>
  <c r="AGY8" i="1"/>
  <c r="AGX8" i="1"/>
  <c r="AGW8" i="1"/>
  <c r="AGV8" i="1"/>
  <c r="AGU8" i="1"/>
  <c r="AGT8" i="1"/>
  <c r="AGS8" i="1"/>
  <c r="AGR8" i="1"/>
  <c r="AGQ8" i="1"/>
  <c r="AGP8" i="1"/>
  <c r="AGO8" i="1"/>
  <c r="AGN8" i="1"/>
  <c r="AGM8" i="1"/>
  <c r="AGL8" i="1"/>
  <c r="AGK8" i="1"/>
  <c r="AGJ8" i="1"/>
  <c r="AGI8" i="1"/>
  <c r="AGH8" i="1"/>
  <c r="AGG8" i="1"/>
  <c r="AGF8" i="1"/>
  <c r="AGE8" i="1"/>
  <c r="AGD8" i="1"/>
  <c r="AGC8" i="1"/>
  <c r="AGB8" i="1"/>
  <c r="AGA8" i="1"/>
  <c r="AFZ8" i="1"/>
  <c r="AFY8" i="1"/>
  <c r="AFX8" i="1"/>
  <c r="AFW8" i="1"/>
  <c r="AFV8" i="1"/>
  <c r="AFU8" i="1"/>
  <c r="AFT8" i="1"/>
  <c r="AFS8" i="1"/>
  <c r="AFR8" i="1"/>
  <c r="AFQ8" i="1"/>
  <c r="AFP8" i="1"/>
  <c r="AFO8" i="1"/>
  <c r="AFN8" i="1"/>
  <c r="AFM8" i="1"/>
  <c r="AFL8" i="1"/>
  <c r="AFK8" i="1"/>
  <c r="AFJ8" i="1"/>
  <c r="AFI8" i="1"/>
  <c r="AFH8" i="1"/>
  <c r="AFG8" i="1"/>
  <c r="AFF8" i="1"/>
  <c r="AFE8" i="1"/>
  <c r="AFD8" i="1"/>
  <c r="AFC8" i="1"/>
  <c r="AFB8" i="1"/>
  <c r="AFA8" i="1"/>
  <c r="AEZ8" i="1"/>
  <c r="AEY8" i="1"/>
  <c r="AEX8" i="1"/>
  <c r="AEW8" i="1"/>
  <c r="AEV8" i="1"/>
  <c r="AEU8" i="1"/>
  <c r="AET8" i="1"/>
  <c r="AES8" i="1"/>
  <c r="AER8" i="1"/>
  <c r="AEQ8" i="1"/>
  <c r="AEP8" i="1"/>
  <c r="AEO8" i="1"/>
  <c r="AEN8" i="1"/>
  <c r="AEM8" i="1"/>
  <c r="AEL8" i="1"/>
  <c r="AEK8" i="1"/>
  <c r="AEJ8" i="1"/>
  <c r="AEI8" i="1"/>
  <c r="AEH8" i="1"/>
  <c r="AEG8" i="1"/>
  <c r="AEF8" i="1"/>
  <c r="AEE8" i="1"/>
  <c r="AED8" i="1"/>
  <c r="AEC8" i="1"/>
  <c r="AEB8" i="1"/>
  <c r="AEA8" i="1"/>
  <c r="ADZ8" i="1"/>
  <c r="ADY8" i="1"/>
  <c r="ADX8" i="1"/>
  <c r="ADW8" i="1"/>
  <c r="ADV8" i="1"/>
  <c r="ADU8" i="1"/>
  <c r="ADT8" i="1"/>
  <c r="ADS8" i="1"/>
  <c r="ADR8" i="1"/>
  <c r="ADQ8" i="1"/>
  <c r="ADP8" i="1"/>
  <c r="ADO8" i="1"/>
  <c r="ADN8" i="1"/>
  <c r="ADM8" i="1"/>
  <c r="ADL8" i="1"/>
  <c r="ADK8" i="1"/>
  <c r="ADJ8" i="1"/>
  <c r="ADI8" i="1"/>
  <c r="ADH8" i="1"/>
  <c r="ADG8" i="1"/>
  <c r="ADF8" i="1"/>
  <c r="ADE8" i="1"/>
  <c r="ADD8" i="1"/>
  <c r="ADC8" i="1"/>
  <c r="ADB8" i="1"/>
  <c r="ADA8" i="1"/>
  <c r="ACZ8" i="1"/>
  <c r="ACY8" i="1"/>
  <c r="ACX8" i="1"/>
  <c r="ACW8" i="1"/>
  <c r="ACV8" i="1"/>
  <c r="ACU8" i="1"/>
  <c r="ACT8" i="1"/>
  <c r="ACS8" i="1"/>
  <c r="ACR8" i="1"/>
  <c r="ACQ8" i="1"/>
  <c r="ACP8" i="1"/>
  <c r="ACO8" i="1"/>
  <c r="ACN8" i="1"/>
  <c r="ACM8" i="1"/>
  <c r="ACL8" i="1"/>
  <c r="ACK8" i="1"/>
  <c r="ACJ8" i="1"/>
  <c r="ACI8" i="1"/>
  <c r="ACH8" i="1"/>
  <c r="ACG8" i="1"/>
  <c r="ACF8" i="1"/>
  <c r="ACE8" i="1"/>
  <c r="ACD8" i="1"/>
  <c r="ACC8" i="1"/>
  <c r="ACB8" i="1"/>
  <c r="ACA8" i="1"/>
  <c r="ABZ8" i="1"/>
  <c r="ABY8" i="1"/>
  <c r="ABX8" i="1"/>
  <c r="ABW8" i="1"/>
  <c r="ABV8" i="1"/>
  <c r="ABU8" i="1"/>
  <c r="ABT8" i="1"/>
  <c r="ABS8" i="1"/>
  <c r="ABR8" i="1"/>
  <c r="ABQ8" i="1"/>
  <c r="ABP8" i="1"/>
  <c r="ABO8" i="1"/>
  <c r="ABN8" i="1"/>
  <c r="ABM8" i="1"/>
  <c r="ABL8" i="1"/>
  <c r="ABK8" i="1"/>
  <c r="ABJ8" i="1"/>
  <c r="ABI8" i="1"/>
  <c r="ABH8" i="1"/>
  <c r="ABG8" i="1"/>
  <c r="ABF8" i="1"/>
  <c r="ABE8" i="1"/>
  <c r="ABD8" i="1"/>
  <c r="ABC8" i="1"/>
  <c r="ABB8" i="1"/>
  <c r="ABA8" i="1"/>
  <c r="AAZ8" i="1"/>
  <c r="AAY8" i="1"/>
  <c r="AAX8" i="1"/>
  <c r="AAW8" i="1"/>
  <c r="AAV8" i="1"/>
  <c r="AAU8" i="1"/>
  <c r="AAT8" i="1"/>
  <c r="AAS8" i="1"/>
  <c r="AAR8" i="1"/>
  <c r="AAQ8" i="1"/>
  <c r="AAP8" i="1"/>
  <c r="AAO8" i="1"/>
  <c r="AAN8" i="1"/>
  <c r="AAM8" i="1"/>
  <c r="AAL8" i="1"/>
  <c r="AAK8" i="1"/>
  <c r="AAJ8" i="1"/>
  <c r="AAI8" i="1"/>
  <c r="AAH8" i="1"/>
  <c r="AAG8" i="1"/>
  <c r="AAF8" i="1"/>
  <c r="AAE8" i="1"/>
  <c r="AAD8" i="1"/>
  <c r="AAC8" i="1"/>
  <c r="AAB8" i="1"/>
  <c r="AAA8" i="1"/>
  <c r="ZZ8" i="1"/>
  <c r="ZY8" i="1"/>
  <c r="ZX8" i="1"/>
  <c r="ZW8" i="1"/>
  <c r="ZV8" i="1"/>
  <c r="ZU8" i="1"/>
  <c r="ZT8" i="1"/>
  <c r="ZS8" i="1"/>
  <c r="ZR8" i="1"/>
  <c r="ZQ8" i="1"/>
  <c r="ZP8" i="1"/>
  <c r="ZO8" i="1"/>
  <c r="ZN8" i="1"/>
  <c r="ZM8" i="1"/>
  <c r="ZL8" i="1"/>
  <c r="ZK8" i="1"/>
  <c r="ZJ8" i="1"/>
  <c r="ZI8" i="1"/>
  <c r="ZH8" i="1"/>
  <c r="ZG8" i="1"/>
  <c r="ZF8" i="1"/>
  <c r="ZE8" i="1"/>
  <c r="ZD8" i="1"/>
  <c r="ZC8" i="1"/>
  <c r="ZB8" i="1"/>
  <c r="ZA8" i="1"/>
  <c r="YZ8" i="1"/>
  <c r="YY8" i="1"/>
  <c r="YX8" i="1"/>
  <c r="YW8" i="1"/>
  <c r="YV8" i="1"/>
  <c r="YU8" i="1"/>
  <c r="YT8" i="1"/>
  <c r="YS8" i="1"/>
  <c r="YR8" i="1"/>
  <c r="YQ8" i="1"/>
  <c r="YP8" i="1"/>
  <c r="YO8" i="1"/>
  <c r="YN8" i="1"/>
  <c r="YM8" i="1"/>
  <c r="YL8" i="1"/>
  <c r="YK8" i="1"/>
  <c r="YJ8" i="1"/>
  <c r="YI8" i="1"/>
  <c r="YH8" i="1"/>
  <c r="YG8" i="1"/>
  <c r="YF8" i="1"/>
  <c r="YE8" i="1"/>
  <c r="YD8" i="1"/>
  <c r="YC8" i="1"/>
  <c r="YB8" i="1"/>
  <c r="YA8" i="1"/>
  <c r="XZ8" i="1"/>
  <c r="XY8" i="1"/>
  <c r="XX8" i="1"/>
  <c r="XW8" i="1"/>
  <c r="XV8" i="1"/>
  <c r="XU8" i="1"/>
  <c r="XT8" i="1"/>
  <c r="XS8" i="1"/>
  <c r="XR8" i="1"/>
  <c r="XQ8" i="1"/>
  <c r="XP8" i="1"/>
  <c r="XO8" i="1"/>
  <c r="XN8" i="1"/>
  <c r="XM8" i="1"/>
  <c r="XL8" i="1"/>
  <c r="XK8" i="1"/>
  <c r="XJ8" i="1"/>
  <c r="XI8" i="1"/>
  <c r="XH8" i="1"/>
  <c r="XG8" i="1"/>
  <c r="XF8" i="1"/>
  <c r="XE8" i="1"/>
  <c r="XD8" i="1"/>
  <c r="XC8" i="1"/>
  <c r="XB8" i="1"/>
  <c r="XA8" i="1"/>
  <c r="WZ8" i="1"/>
  <c r="WY8" i="1"/>
  <c r="WX8" i="1"/>
  <c r="WW8" i="1"/>
  <c r="WV8" i="1"/>
  <c r="WU8" i="1"/>
  <c r="WT8" i="1"/>
  <c r="WS8" i="1"/>
  <c r="WR8" i="1"/>
  <c r="WQ8" i="1"/>
  <c r="WP8" i="1"/>
  <c r="WO8" i="1"/>
  <c r="WN8" i="1"/>
  <c r="WM8" i="1"/>
  <c r="WL8" i="1"/>
  <c r="WK8" i="1"/>
  <c r="WJ8" i="1"/>
  <c r="WI8" i="1"/>
  <c r="WH8" i="1"/>
  <c r="WG8" i="1"/>
  <c r="WF8" i="1"/>
  <c r="WE8" i="1"/>
  <c r="WD8" i="1"/>
  <c r="WC8" i="1"/>
  <c r="WB8" i="1"/>
  <c r="WA8" i="1"/>
  <c r="VZ8" i="1"/>
  <c r="VY8" i="1"/>
  <c r="VX8" i="1"/>
  <c r="VW8" i="1"/>
  <c r="VV8" i="1"/>
  <c r="VU8" i="1"/>
  <c r="VT8" i="1"/>
  <c r="VS8" i="1"/>
  <c r="VR8" i="1"/>
  <c r="VQ8" i="1"/>
  <c r="VP8" i="1"/>
  <c r="VO8" i="1"/>
  <c r="VN8" i="1"/>
  <c r="VM8" i="1"/>
  <c r="VL8" i="1"/>
  <c r="VK8" i="1"/>
  <c r="VJ8" i="1"/>
  <c r="VI8" i="1"/>
  <c r="VH8" i="1"/>
  <c r="VG8" i="1"/>
  <c r="VF8" i="1"/>
  <c r="VE8" i="1"/>
  <c r="VD8" i="1"/>
  <c r="VC8" i="1"/>
  <c r="VB8" i="1"/>
  <c r="VA8" i="1"/>
  <c r="UZ8" i="1"/>
  <c r="UY8" i="1"/>
  <c r="UX8" i="1"/>
  <c r="UW8" i="1"/>
  <c r="UV8" i="1"/>
  <c r="UU8" i="1"/>
  <c r="UT8" i="1"/>
  <c r="US8" i="1"/>
  <c r="UR8" i="1"/>
  <c r="UQ8" i="1"/>
  <c r="UP8" i="1"/>
  <c r="UO8" i="1"/>
  <c r="UN8" i="1"/>
  <c r="UM8" i="1"/>
  <c r="UL8" i="1"/>
  <c r="UK8" i="1"/>
  <c r="UJ8" i="1"/>
  <c r="UI8" i="1"/>
  <c r="UH8" i="1"/>
  <c r="UG8" i="1"/>
  <c r="UF8" i="1"/>
  <c r="UE8" i="1"/>
  <c r="UD8" i="1"/>
  <c r="UC8" i="1"/>
  <c r="UB8" i="1"/>
  <c r="UA8" i="1"/>
  <c r="TZ8" i="1"/>
  <c r="TY8" i="1"/>
  <c r="TX8" i="1"/>
  <c r="TW8" i="1"/>
  <c r="TV8" i="1"/>
  <c r="TU8" i="1"/>
  <c r="TT8" i="1"/>
  <c r="TS8" i="1"/>
  <c r="TR8" i="1"/>
  <c r="TQ8" i="1"/>
  <c r="TP8" i="1"/>
  <c r="TO8" i="1"/>
  <c r="TN8" i="1"/>
  <c r="TM8" i="1"/>
  <c r="TL8" i="1"/>
  <c r="TK8" i="1"/>
  <c r="TJ8" i="1"/>
  <c r="TI8" i="1"/>
  <c r="TH8" i="1"/>
  <c r="TG8" i="1"/>
  <c r="TF8" i="1"/>
  <c r="TE8" i="1"/>
  <c r="TD8" i="1"/>
  <c r="TC8" i="1"/>
  <c r="TB8" i="1"/>
  <c r="TA8" i="1"/>
  <c r="SZ8" i="1"/>
  <c r="SY8" i="1"/>
  <c r="SX8" i="1"/>
  <c r="SW8" i="1"/>
  <c r="SV8" i="1"/>
  <c r="SU8" i="1"/>
  <c r="ST8" i="1"/>
  <c r="SS8" i="1"/>
  <c r="SR8" i="1"/>
  <c r="SQ8" i="1"/>
  <c r="SP8" i="1"/>
  <c r="SO8" i="1"/>
  <c r="SN8" i="1"/>
  <c r="SM8" i="1"/>
  <c r="SL8" i="1"/>
  <c r="SK8" i="1"/>
  <c r="SJ8" i="1"/>
  <c r="SI8" i="1"/>
  <c r="SH8" i="1"/>
  <c r="SG8" i="1"/>
  <c r="SF8" i="1"/>
  <c r="SE8" i="1"/>
  <c r="SD8" i="1"/>
  <c r="SC8" i="1"/>
  <c r="SB8" i="1"/>
  <c r="SA8" i="1"/>
  <c r="RZ8" i="1"/>
  <c r="RY8" i="1"/>
  <c r="RX8" i="1"/>
  <c r="RW8" i="1"/>
  <c r="RV8" i="1"/>
  <c r="RU8" i="1"/>
  <c r="RT8" i="1"/>
  <c r="RS8" i="1"/>
  <c r="RR8" i="1"/>
  <c r="RQ8" i="1"/>
  <c r="RP8" i="1"/>
  <c r="RO8" i="1"/>
  <c r="RN8" i="1"/>
  <c r="RM8" i="1"/>
  <c r="RL8" i="1"/>
  <c r="RK8" i="1"/>
  <c r="RJ8" i="1"/>
  <c r="RI8" i="1"/>
  <c r="RH8" i="1"/>
  <c r="RG8" i="1"/>
  <c r="RF8" i="1"/>
  <c r="RE8" i="1"/>
  <c r="RD8" i="1"/>
  <c r="RC8" i="1"/>
  <c r="RB8" i="1"/>
  <c r="RA8" i="1"/>
  <c r="QZ8" i="1"/>
  <c r="QY8" i="1"/>
  <c r="QX8" i="1"/>
  <c r="QW8" i="1"/>
  <c r="QV8" i="1"/>
  <c r="QU8" i="1"/>
  <c r="QT8" i="1"/>
  <c r="QS8" i="1"/>
  <c r="QR8" i="1"/>
  <c r="QQ8" i="1"/>
  <c r="QP8" i="1"/>
  <c r="QO8" i="1"/>
  <c r="QN8" i="1"/>
  <c r="QM8" i="1"/>
  <c r="QL8" i="1"/>
  <c r="QK8" i="1"/>
  <c r="QJ8" i="1"/>
  <c r="QI8" i="1"/>
  <c r="QH8" i="1"/>
  <c r="QG8" i="1"/>
  <c r="QF8" i="1"/>
  <c r="QE8" i="1"/>
  <c r="QD8" i="1"/>
  <c r="QC8" i="1"/>
  <c r="QB8" i="1"/>
  <c r="QA8" i="1"/>
  <c r="PZ8" i="1"/>
  <c r="PY8" i="1"/>
  <c r="PX8" i="1"/>
  <c r="PW8" i="1"/>
  <c r="PV8" i="1"/>
  <c r="PU8" i="1"/>
  <c r="PT8" i="1"/>
  <c r="PS8" i="1"/>
  <c r="PR8" i="1"/>
  <c r="PQ8" i="1"/>
  <c r="PP8" i="1"/>
  <c r="PO8" i="1"/>
  <c r="PN8" i="1"/>
  <c r="PM8" i="1"/>
  <c r="PL8" i="1"/>
  <c r="PK8" i="1"/>
  <c r="PJ8" i="1"/>
  <c r="PI8" i="1"/>
  <c r="PH8" i="1"/>
  <c r="PG8" i="1"/>
  <c r="PF8" i="1"/>
  <c r="PE8" i="1"/>
  <c r="PD8" i="1"/>
  <c r="PC8" i="1"/>
  <c r="PB8" i="1"/>
  <c r="PA8" i="1"/>
  <c r="OZ8" i="1"/>
  <c r="OY8" i="1"/>
  <c r="OX8" i="1"/>
  <c r="OW8" i="1"/>
  <c r="OV8" i="1"/>
  <c r="OU8" i="1"/>
  <c r="OT8" i="1"/>
  <c r="OS8" i="1"/>
  <c r="OR8" i="1"/>
  <c r="OQ8" i="1"/>
  <c r="OP8" i="1"/>
  <c r="OO8" i="1"/>
  <c r="ON8" i="1"/>
  <c r="OM8" i="1"/>
  <c r="OL8" i="1"/>
  <c r="OK8" i="1"/>
  <c r="OJ8" i="1"/>
  <c r="OI8" i="1"/>
  <c r="OH8" i="1"/>
  <c r="OG8" i="1"/>
  <c r="OF8" i="1"/>
  <c r="OE8" i="1"/>
  <c r="OD8" i="1"/>
  <c r="OC8" i="1"/>
  <c r="OB8" i="1"/>
  <c r="OA8" i="1"/>
  <c r="NZ8" i="1"/>
  <c r="NY8" i="1"/>
  <c r="NX8" i="1"/>
  <c r="NW8" i="1"/>
  <c r="NV8" i="1"/>
  <c r="NU8" i="1"/>
  <c r="NT8" i="1"/>
  <c r="NS8" i="1"/>
  <c r="NR8" i="1"/>
  <c r="NQ8" i="1"/>
  <c r="NP8" i="1"/>
  <c r="NO8" i="1"/>
  <c r="NN8" i="1"/>
  <c r="NM8" i="1"/>
  <c r="NL8" i="1"/>
  <c r="NK8" i="1"/>
  <c r="NJ8" i="1"/>
  <c r="NI8" i="1"/>
  <c r="NH8" i="1"/>
  <c r="NG8" i="1"/>
  <c r="NF8" i="1"/>
  <c r="NE8" i="1"/>
  <c r="ND8" i="1"/>
  <c r="NC8" i="1"/>
  <c r="NB8" i="1"/>
  <c r="NA8" i="1"/>
  <c r="MZ8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TQ7" i="1"/>
  <c r="ATP7" i="1"/>
  <c r="ATO7" i="1"/>
  <c r="ATN7" i="1"/>
  <c r="ATM7" i="1"/>
  <c r="ATL7" i="1"/>
  <c r="ATK7" i="1"/>
  <c r="ATJ7" i="1"/>
  <c r="ATI7" i="1"/>
  <c r="ATH7" i="1"/>
  <c r="ATG7" i="1"/>
  <c r="ATF7" i="1"/>
  <c r="ATE7" i="1"/>
  <c r="ATD7" i="1"/>
  <c r="ATC7" i="1"/>
  <c r="ATB7" i="1"/>
  <c r="ATA7" i="1"/>
  <c r="ASZ7" i="1"/>
  <c r="ASY7" i="1"/>
  <c r="ASX7" i="1"/>
  <c r="ASW7" i="1"/>
  <c r="ASV7" i="1"/>
  <c r="ASU7" i="1"/>
  <c r="AST7" i="1"/>
  <c r="ASS7" i="1"/>
  <c r="ASR7" i="1"/>
  <c r="ASQ7" i="1"/>
  <c r="ASP7" i="1"/>
  <c r="ASO7" i="1"/>
  <c r="ASN7" i="1"/>
  <c r="ASM7" i="1"/>
  <c r="ASL7" i="1"/>
  <c r="ASK7" i="1"/>
  <c r="ASJ7" i="1"/>
  <c r="ASI7" i="1"/>
  <c r="ASH7" i="1"/>
  <c r="ASG7" i="1"/>
  <c r="ASF7" i="1"/>
  <c r="ASE7" i="1"/>
  <c r="ASD7" i="1"/>
  <c r="ASC7" i="1"/>
  <c r="ASB7" i="1"/>
  <c r="ASA7" i="1"/>
  <c r="ARZ7" i="1"/>
  <c r="ARY7" i="1"/>
  <c r="ARX7" i="1"/>
  <c r="ARW7" i="1"/>
  <c r="ARV7" i="1"/>
  <c r="ARU7" i="1"/>
  <c r="ART7" i="1"/>
  <c r="ARS7" i="1"/>
  <c r="ARR7" i="1"/>
  <c r="ARQ7" i="1"/>
  <c r="ARP7" i="1"/>
  <c r="ARO7" i="1"/>
  <c r="ARN7" i="1"/>
  <c r="ARM7" i="1"/>
  <c r="ARL7" i="1"/>
  <c r="ARK7" i="1"/>
  <c r="ARJ7" i="1"/>
  <c r="ARI7" i="1"/>
  <c r="ARH7" i="1"/>
  <c r="ARG7" i="1"/>
  <c r="ARF7" i="1"/>
  <c r="ARE7" i="1"/>
  <c r="ARD7" i="1"/>
  <c r="ARC7" i="1"/>
  <c r="ARB7" i="1"/>
  <c r="ARA7" i="1"/>
  <c r="AQZ7" i="1"/>
  <c r="AQY7" i="1"/>
  <c r="AQX7" i="1"/>
  <c r="AQW7" i="1"/>
  <c r="AQV7" i="1"/>
  <c r="AQU7" i="1"/>
  <c r="AQT7" i="1"/>
  <c r="AQS7" i="1"/>
  <c r="AQR7" i="1"/>
  <c r="AQQ7" i="1"/>
  <c r="AQP7" i="1"/>
  <c r="AQO7" i="1"/>
  <c r="AQN7" i="1"/>
  <c r="AQM7" i="1"/>
  <c r="AQL7" i="1"/>
  <c r="AQK7" i="1"/>
  <c r="AQJ7" i="1"/>
  <c r="AQI7" i="1"/>
  <c r="AQH7" i="1"/>
  <c r="AQG7" i="1"/>
  <c r="AQF7" i="1"/>
  <c r="AQE7" i="1"/>
  <c r="AQD7" i="1"/>
  <c r="AQC7" i="1"/>
  <c r="AQB7" i="1"/>
  <c r="AQA7" i="1"/>
  <c r="APZ7" i="1"/>
  <c r="APY7" i="1"/>
  <c r="APX7" i="1"/>
  <c r="APW7" i="1"/>
  <c r="APV7" i="1"/>
  <c r="APU7" i="1"/>
  <c r="APT7" i="1"/>
  <c r="APS7" i="1"/>
  <c r="APR7" i="1"/>
  <c r="APQ7" i="1"/>
  <c r="APP7" i="1"/>
  <c r="APO7" i="1"/>
  <c r="APN7" i="1"/>
  <c r="APM7" i="1"/>
  <c r="APL7" i="1"/>
  <c r="APK7" i="1"/>
  <c r="APJ7" i="1"/>
  <c r="API7" i="1"/>
  <c r="APH7" i="1"/>
  <c r="APG7" i="1"/>
  <c r="APF7" i="1"/>
  <c r="APE7" i="1"/>
  <c r="APD7" i="1"/>
  <c r="APC7" i="1"/>
  <c r="APB7" i="1"/>
  <c r="APA7" i="1"/>
  <c r="AOZ7" i="1"/>
  <c r="AOY7" i="1"/>
  <c r="AOX7" i="1"/>
  <c r="AOW7" i="1"/>
  <c r="AOV7" i="1"/>
  <c r="AOU7" i="1"/>
  <c r="AOT7" i="1"/>
  <c r="AOS7" i="1"/>
  <c r="AOR7" i="1"/>
  <c r="AOQ7" i="1"/>
  <c r="AOP7" i="1"/>
  <c r="AOO7" i="1"/>
  <c r="AON7" i="1"/>
  <c r="AOM7" i="1"/>
  <c r="AOL7" i="1"/>
  <c r="AOK7" i="1"/>
  <c r="AOJ7" i="1"/>
  <c r="AOI7" i="1"/>
  <c r="AOH7" i="1"/>
  <c r="AOG7" i="1"/>
  <c r="AOF7" i="1"/>
  <c r="AOE7" i="1"/>
  <c r="AOD7" i="1"/>
  <c r="AOC7" i="1"/>
  <c r="AOB7" i="1"/>
  <c r="AOA7" i="1"/>
  <c r="ANZ7" i="1"/>
  <c r="ANY7" i="1"/>
  <c r="ANX7" i="1"/>
  <c r="ANW7" i="1"/>
  <c r="ANV7" i="1"/>
  <c r="ANU7" i="1"/>
  <c r="ANT7" i="1"/>
  <c r="ANS7" i="1"/>
  <c r="ANR7" i="1"/>
  <c r="ANQ7" i="1"/>
  <c r="ANP7" i="1"/>
  <c r="ANO7" i="1"/>
  <c r="ANN7" i="1"/>
  <c r="ANM7" i="1"/>
  <c r="ANL7" i="1"/>
  <c r="ANK7" i="1"/>
  <c r="ANJ7" i="1"/>
  <c r="ANI7" i="1"/>
  <c r="ANH7" i="1"/>
  <c r="ANG7" i="1"/>
  <c r="ANF7" i="1"/>
  <c r="ANE7" i="1"/>
  <c r="AND7" i="1"/>
  <c r="ANC7" i="1"/>
  <c r="ANB7" i="1"/>
  <c r="ANA7" i="1"/>
  <c r="AMZ7" i="1"/>
  <c r="AMY7" i="1"/>
  <c r="AMX7" i="1"/>
  <c r="AMW7" i="1"/>
  <c r="AMV7" i="1"/>
  <c r="AMU7" i="1"/>
  <c r="AMT7" i="1"/>
  <c r="AMS7" i="1"/>
  <c r="AMR7" i="1"/>
  <c r="AMQ7" i="1"/>
  <c r="AMP7" i="1"/>
  <c r="AMO7" i="1"/>
  <c r="AMN7" i="1"/>
  <c r="AMM7" i="1"/>
  <c r="AML7" i="1"/>
  <c r="AMK7" i="1"/>
  <c r="AMJ7" i="1"/>
  <c r="AMI7" i="1"/>
  <c r="AMH7" i="1"/>
  <c r="AMG7" i="1"/>
  <c r="AMF7" i="1"/>
  <c r="AME7" i="1"/>
  <c r="AMD7" i="1"/>
  <c r="AMC7" i="1"/>
  <c r="AMB7" i="1"/>
  <c r="AMA7" i="1"/>
  <c r="ALZ7" i="1"/>
  <c r="ALY7" i="1"/>
  <c r="ALX7" i="1"/>
  <c r="ALW7" i="1"/>
  <c r="ALV7" i="1"/>
  <c r="ALU7" i="1"/>
  <c r="ALT7" i="1"/>
  <c r="ALS7" i="1"/>
  <c r="ALR7" i="1"/>
  <c r="ALQ7" i="1"/>
  <c r="ALP7" i="1"/>
  <c r="ALO7" i="1"/>
  <c r="ALN7" i="1"/>
  <c r="ALM7" i="1"/>
  <c r="ALL7" i="1"/>
  <c r="ALK7" i="1"/>
  <c r="ALJ7" i="1"/>
  <c r="ALI7" i="1"/>
  <c r="ALH7" i="1"/>
  <c r="ALG7" i="1"/>
  <c r="ALF7" i="1"/>
  <c r="ALE7" i="1"/>
  <c r="ALD7" i="1"/>
  <c r="ALC7" i="1"/>
  <c r="ALB7" i="1"/>
  <c r="ALA7" i="1"/>
  <c r="AKZ7" i="1"/>
  <c r="AKY7" i="1"/>
  <c r="AKX7" i="1"/>
  <c r="AKW7" i="1"/>
  <c r="AKV7" i="1"/>
  <c r="AKU7" i="1"/>
  <c r="AKT7" i="1"/>
  <c r="AKS7" i="1"/>
  <c r="AKR7" i="1"/>
  <c r="AKQ7" i="1"/>
  <c r="AKP7" i="1"/>
  <c r="AKO7" i="1"/>
  <c r="AKN7" i="1"/>
  <c r="AKM7" i="1"/>
  <c r="AKL7" i="1"/>
  <c r="AKK7" i="1"/>
  <c r="AKJ7" i="1"/>
  <c r="AKI7" i="1"/>
  <c r="AKH7" i="1"/>
  <c r="AKG7" i="1"/>
  <c r="AKF7" i="1"/>
  <c r="AKE7" i="1"/>
  <c r="AKD7" i="1"/>
  <c r="AKC7" i="1"/>
  <c r="AKB7" i="1"/>
  <c r="AKA7" i="1"/>
  <c r="AJZ7" i="1"/>
  <c r="AJY7" i="1"/>
  <c r="AJX7" i="1"/>
  <c r="AJW7" i="1"/>
  <c r="AJV7" i="1"/>
  <c r="AJU7" i="1"/>
  <c r="AJT7" i="1"/>
  <c r="AJS7" i="1"/>
  <c r="AJR7" i="1"/>
  <c r="AJQ7" i="1"/>
  <c r="AJP7" i="1"/>
  <c r="AJO7" i="1"/>
  <c r="AJN7" i="1"/>
  <c r="AJM7" i="1"/>
  <c r="AJL7" i="1"/>
  <c r="AJK7" i="1"/>
  <c r="AJJ7" i="1"/>
  <c r="AJI7" i="1"/>
  <c r="AJH7" i="1"/>
  <c r="AJG7" i="1"/>
  <c r="AJF7" i="1"/>
  <c r="AJE7" i="1"/>
  <c r="AJD7" i="1"/>
  <c r="AJC7" i="1"/>
  <c r="AJB7" i="1"/>
  <c r="AJA7" i="1"/>
  <c r="AIZ7" i="1"/>
  <c r="AIY7" i="1"/>
  <c r="AIX7" i="1"/>
  <c r="AIW7" i="1"/>
  <c r="AIV7" i="1"/>
  <c r="AIU7" i="1"/>
  <c r="AIT7" i="1"/>
  <c r="AIS7" i="1"/>
  <c r="AIR7" i="1"/>
  <c r="AIQ7" i="1"/>
  <c r="AIP7" i="1"/>
  <c r="AIO7" i="1"/>
  <c r="AIN7" i="1"/>
  <c r="AIM7" i="1"/>
  <c r="AIL7" i="1"/>
  <c r="AIK7" i="1"/>
  <c r="AIJ7" i="1"/>
  <c r="AII7" i="1"/>
  <c r="AIH7" i="1"/>
  <c r="AIG7" i="1"/>
  <c r="AIF7" i="1"/>
  <c r="AIE7" i="1"/>
  <c r="AID7" i="1"/>
  <c r="AIC7" i="1"/>
  <c r="AIB7" i="1"/>
  <c r="AIA7" i="1"/>
  <c r="AHZ7" i="1"/>
  <c r="AHY7" i="1"/>
  <c r="AHX7" i="1"/>
  <c r="AHW7" i="1"/>
  <c r="AHV7" i="1"/>
  <c r="AHU7" i="1"/>
  <c r="AHT7" i="1"/>
  <c r="AHS7" i="1"/>
  <c r="AHR7" i="1"/>
  <c r="AHQ7" i="1"/>
  <c r="AHP7" i="1"/>
  <c r="AHO7" i="1"/>
  <c r="AHN7" i="1"/>
  <c r="AHM7" i="1"/>
  <c r="AHL7" i="1"/>
  <c r="AHK7" i="1"/>
  <c r="AHJ7" i="1"/>
  <c r="AHI7" i="1"/>
  <c r="AHH7" i="1"/>
  <c r="AHG7" i="1"/>
  <c r="AHF7" i="1"/>
  <c r="AHE7" i="1"/>
  <c r="AHD7" i="1"/>
  <c r="AHC7" i="1"/>
  <c r="AHB7" i="1"/>
  <c r="AHA7" i="1"/>
  <c r="AGZ7" i="1"/>
  <c r="AGY7" i="1"/>
  <c r="AGX7" i="1"/>
  <c r="AGW7" i="1"/>
  <c r="AGV7" i="1"/>
  <c r="AGU7" i="1"/>
  <c r="AGT7" i="1"/>
  <c r="AGS7" i="1"/>
  <c r="AGR7" i="1"/>
  <c r="AGQ7" i="1"/>
  <c r="AGP7" i="1"/>
  <c r="AGO7" i="1"/>
  <c r="AGN7" i="1"/>
  <c r="AGM7" i="1"/>
  <c r="AGL7" i="1"/>
  <c r="AGK7" i="1"/>
  <c r="AGJ7" i="1"/>
  <c r="AGI7" i="1"/>
  <c r="AGH7" i="1"/>
  <c r="AGG7" i="1"/>
  <c r="AGF7" i="1"/>
  <c r="AGE7" i="1"/>
  <c r="AGD7" i="1"/>
  <c r="AGC7" i="1"/>
  <c r="AGB7" i="1"/>
  <c r="AGA7" i="1"/>
  <c r="AFZ7" i="1"/>
  <c r="AFY7" i="1"/>
  <c r="AFX7" i="1"/>
  <c r="AFW7" i="1"/>
  <c r="AFV7" i="1"/>
  <c r="AFU7" i="1"/>
  <c r="AFT7" i="1"/>
  <c r="AFS7" i="1"/>
  <c r="AFR7" i="1"/>
  <c r="AFQ7" i="1"/>
  <c r="AFP7" i="1"/>
  <c r="AFO7" i="1"/>
  <c r="AFN7" i="1"/>
  <c r="AFM7" i="1"/>
  <c r="AFL7" i="1"/>
  <c r="AFK7" i="1"/>
  <c r="AFJ7" i="1"/>
  <c r="AFI7" i="1"/>
  <c r="AFH7" i="1"/>
  <c r="AFG7" i="1"/>
  <c r="AFF7" i="1"/>
  <c r="AFE7" i="1"/>
  <c r="AFD7" i="1"/>
  <c r="AFC7" i="1"/>
  <c r="AFB7" i="1"/>
  <c r="AFA7" i="1"/>
  <c r="AEZ7" i="1"/>
  <c r="AEY7" i="1"/>
  <c r="AEX7" i="1"/>
  <c r="AEW7" i="1"/>
  <c r="AEV7" i="1"/>
  <c r="AEU7" i="1"/>
  <c r="AET7" i="1"/>
  <c r="AES7" i="1"/>
  <c r="AER7" i="1"/>
  <c r="AEQ7" i="1"/>
  <c r="AEP7" i="1"/>
  <c r="AEO7" i="1"/>
  <c r="AEN7" i="1"/>
  <c r="AEM7" i="1"/>
  <c r="AEL7" i="1"/>
  <c r="AEK7" i="1"/>
  <c r="AEJ7" i="1"/>
  <c r="AEI7" i="1"/>
  <c r="AEH7" i="1"/>
  <c r="AEG7" i="1"/>
  <c r="AEF7" i="1"/>
  <c r="AEE7" i="1"/>
  <c r="AED7" i="1"/>
  <c r="AEC7" i="1"/>
  <c r="AEB7" i="1"/>
  <c r="AEA7" i="1"/>
  <c r="ADZ7" i="1"/>
  <c r="ADY7" i="1"/>
  <c r="ADX7" i="1"/>
  <c r="ADW7" i="1"/>
  <c r="ADV7" i="1"/>
  <c r="ADU7" i="1"/>
  <c r="ADT7" i="1"/>
  <c r="ADS7" i="1"/>
  <c r="ADR7" i="1"/>
  <c r="ADQ7" i="1"/>
  <c r="ADP7" i="1"/>
  <c r="ADO7" i="1"/>
  <c r="ADN7" i="1"/>
  <c r="ADM7" i="1"/>
  <c r="ADL7" i="1"/>
  <c r="ADK7" i="1"/>
  <c r="ADJ7" i="1"/>
  <c r="ADI7" i="1"/>
  <c r="ADH7" i="1"/>
  <c r="ADG7" i="1"/>
  <c r="ADF7" i="1"/>
  <c r="ADE7" i="1"/>
  <c r="ADD7" i="1"/>
  <c r="ADC7" i="1"/>
  <c r="ADB7" i="1"/>
  <c r="ADA7" i="1"/>
  <c r="ACZ7" i="1"/>
  <c r="ACY7" i="1"/>
  <c r="ACX7" i="1"/>
  <c r="ACW7" i="1"/>
  <c r="ACV7" i="1"/>
  <c r="ACU7" i="1"/>
  <c r="ACT7" i="1"/>
  <c r="ACS7" i="1"/>
  <c r="ACR7" i="1"/>
  <c r="ACQ7" i="1"/>
  <c r="ACP7" i="1"/>
  <c r="ACO7" i="1"/>
  <c r="ACN7" i="1"/>
  <c r="ACM7" i="1"/>
  <c r="ACL7" i="1"/>
  <c r="ACK7" i="1"/>
  <c r="ACJ7" i="1"/>
  <c r="ACI7" i="1"/>
  <c r="ACH7" i="1"/>
  <c r="ACG7" i="1"/>
  <c r="ACF7" i="1"/>
  <c r="ACE7" i="1"/>
  <c r="ACD7" i="1"/>
  <c r="ACC7" i="1"/>
  <c r="ACB7" i="1"/>
  <c r="ACA7" i="1"/>
  <c r="ABZ7" i="1"/>
  <c r="ABY7" i="1"/>
  <c r="ABX7" i="1"/>
  <c r="ABW7" i="1"/>
  <c r="ABV7" i="1"/>
  <c r="ABU7" i="1"/>
  <c r="ABT7" i="1"/>
  <c r="ABS7" i="1"/>
  <c r="ABR7" i="1"/>
  <c r="ABQ7" i="1"/>
  <c r="ABP7" i="1"/>
  <c r="ABO7" i="1"/>
  <c r="ABN7" i="1"/>
  <c r="ABM7" i="1"/>
  <c r="ABL7" i="1"/>
  <c r="ABK7" i="1"/>
  <c r="ABJ7" i="1"/>
  <c r="ABI7" i="1"/>
  <c r="ABH7" i="1"/>
  <c r="ABG7" i="1"/>
  <c r="ABF7" i="1"/>
  <c r="ABE7" i="1"/>
  <c r="ABD7" i="1"/>
  <c r="ABC7" i="1"/>
  <c r="ABB7" i="1"/>
  <c r="ABA7" i="1"/>
  <c r="AAZ7" i="1"/>
  <c r="AAY7" i="1"/>
  <c r="AAX7" i="1"/>
  <c r="AAW7" i="1"/>
  <c r="AAV7" i="1"/>
  <c r="AAU7" i="1"/>
  <c r="AAT7" i="1"/>
  <c r="AAS7" i="1"/>
  <c r="AAR7" i="1"/>
  <c r="AAQ7" i="1"/>
  <c r="AAP7" i="1"/>
  <c r="AAO7" i="1"/>
  <c r="AAN7" i="1"/>
  <c r="AAM7" i="1"/>
  <c r="AAL7" i="1"/>
  <c r="AAK7" i="1"/>
  <c r="AAJ7" i="1"/>
  <c r="AAI7" i="1"/>
  <c r="AAH7" i="1"/>
  <c r="AAG7" i="1"/>
  <c r="AAF7" i="1"/>
  <c r="AAE7" i="1"/>
  <c r="AAD7" i="1"/>
  <c r="AAC7" i="1"/>
  <c r="AAB7" i="1"/>
  <c r="AAA7" i="1"/>
  <c r="ZZ7" i="1"/>
  <c r="ZY7" i="1"/>
  <c r="ZX7" i="1"/>
  <c r="ZW7" i="1"/>
  <c r="ZV7" i="1"/>
  <c r="ZU7" i="1"/>
  <c r="ZT7" i="1"/>
  <c r="ZS7" i="1"/>
  <c r="ZR7" i="1"/>
  <c r="ZQ7" i="1"/>
  <c r="ZP7" i="1"/>
  <c r="ZO7" i="1"/>
  <c r="ZN7" i="1"/>
  <c r="ZM7" i="1"/>
  <c r="ZL7" i="1"/>
  <c r="ZK7" i="1"/>
  <c r="ZJ7" i="1"/>
  <c r="ZI7" i="1"/>
  <c r="ZH7" i="1"/>
  <c r="ZG7" i="1"/>
  <c r="ZF7" i="1"/>
  <c r="ZE7" i="1"/>
  <c r="ZD7" i="1"/>
  <c r="ZC7" i="1"/>
  <c r="ZB7" i="1"/>
  <c r="ZA7" i="1"/>
  <c r="YZ7" i="1"/>
  <c r="YY7" i="1"/>
  <c r="YX7" i="1"/>
  <c r="YW7" i="1"/>
  <c r="YV7" i="1"/>
  <c r="YU7" i="1"/>
  <c r="YT7" i="1"/>
  <c r="YS7" i="1"/>
  <c r="YR7" i="1"/>
  <c r="YQ7" i="1"/>
  <c r="YP7" i="1"/>
  <c r="YO7" i="1"/>
  <c r="YN7" i="1"/>
  <c r="YM7" i="1"/>
  <c r="YL7" i="1"/>
  <c r="YK7" i="1"/>
  <c r="YJ7" i="1"/>
  <c r="YI7" i="1"/>
  <c r="YH7" i="1"/>
  <c r="YG7" i="1"/>
  <c r="YF7" i="1"/>
  <c r="YE7" i="1"/>
  <c r="YD7" i="1"/>
  <c r="YC7" i="1"/>
  <c r="YB7" i="1"/>
  <c r="YA7" i="1"/>
  <c r="XZ7" i="1"/>
  <c r="XY7" i="1"/>
  <c r="XX7" i="1"/>
  <c r="XW7" i="1"/>
  <c r="XV7" i="1"/>
  <c r="XU7" i="1"/>
  <c r="XT7" i="1"/>
  <c r="XS7" i="1"/>
  <c r="XR7" i="1"/>
  <c r="XQ7" i="1"/>
  <c r="XP7" i="1"/>
  <c r="XO7" i="1"/>
  <c r="XN7" i="1"/>
  <c r="XM7" i="1"/>
  <c r="XL7" i="1"/>
  <c r="XK7" i="1"/>
  <c r="XJ7" i="1"/>
  <c r="XI7" i="1"/>
  <c r="XH7" i="1"/>
  <c r="XG7" i="1"/>
  <c r="XF7" i="1"/>
  <c r="XE7" i="1"/>
  <c r="XD7" i="1"/>
  <c r="XC7" i="1"/>
  <c r="XB7" i="1"/>
  <c r="XA7" i="1"/>
  <c r="WZ7" i="1"/>
  <c r="WY7" i="1"/>
  <c r="WX7" i="1"/>
  <c r="WW7" i="1"/>
  <c r="WV7" i="1"/>
  <c r="WU7" i="1"/>
  <c r="WT7" i="1"/>
  <c r="WS7" i="1"/>
  <c r="WR7" i="1"/>
  <c r="WQ7" i="1"/>
  <c r="WP7" i="1"/>
  <c r="WO7" i="1"/>
  <c r="WN7" i="1"/>
  <c r="WM7" i="1"/>
  <c r="WL7" i="1"/>
  <c r="WK7" i="1"/>
  <c r="WJ7" i="1"/>
  <c r="WI7" i="1"/>
  <c r="WH7" i="1"/>
  <c r="WG7" i="1"/>
  <c r="WF7" i="1"/>
  <c r="WE7" i="1"/>
  <c r="WD7" i="1"/>
  <c r="WC7" i="1"/>
  <c r="WB7" i="1"/>
  <c r="WA7" i="1"/>
  <c r="VZ7" i="1"/>
  <c r="VY7" i="1"/>
  <c r="VX7" i="1"/>
  <c r="VW7" i="1"/>
  <c r="VV7" i="1"/>
  <c r="VU7" i="1"/>
  <c r="VT7" i="1"/>
  <c r="VS7" i="1"/>
  <c r="VR7" i="1"/>
  <c r="VQ7" i="1"/>
  <c r="VP7" i="1"/>
  <c r="VO7" i="1"/>
  <c r="VN7" i="1"/>
  <c r="VM7" i="1"/>
  <c r="VL7" i="1"/>
  <c r="VK7" i="1"/>
  <c r="VJ7" i="1"/>
  <c r="VI7" i="1"/>
  <c r="VH7" i="1"/>
  <c r="VG7" i="1"/>
  <c r="VF7" i="1"/>
  <c r="VE7" i="1"/>
  <c r="VD7" i="1"/>
  <c r="VC7" i="1"/>
  <c r="VB7" i="1"/>
  <c r="VA7" i="1"/>
  <c r="UZ7" i="1"/>
  <c r="UY7" i="1"/>
  <c r="UX7" i="1"/>
  <c r="UW7" i="1"/>
  <c r="UV7" i="1"/>
  <c r="UU7" i="1"/>
  <c r="UT7" i="1"/>
  <c r="US7" i="1"/>
  <c r="UR7" i="1"/>
  <c r="UQ7" i="1"/>
  <c r="UP7" i="1"/>
  <c r="UO7" i="1"/>
  <c r="UN7" i="1"/>
  <c r="UM7" i="1"/>
  <c r="UL7" i="1"/>
  <c r="UK7" i="1"/>
  <c r="UJ7" i="1"/>
  <c r="UI7" i="1"/>
  <c r="UH7" i="1"/>
  <c r="UG7" i="1"/>
  <c r="UF7" i="1"/>
  <c r="UE7" i="1"/>
  <c r="UD7" i="1"/>
  <c r="UC7" i="1"/>
  <c r="UB7" i="1"/>
  <c r="UA7" i="1"/>
  <c r="TZ7" i="1"/>
  <c r="TY7" i="1"/>
  <c r="TX7" i="1"/>
  <c r="TW7" i="1"/>
  <c r="TV7" i="1"/>
  <c r="TU7" i="1"/>
  <c r="TT7" i="1"/>
  <c r="TS7" i="1"/>
  <c r="TR7" i="1"/>
  <c r="TQ7" i="1"/>
  <c r="TP7" i="1"/>
  <c r="TO7" i="1"/>
  <c r="TN7" i="1"/>
  <c r="TM7" i="1"/>
  <c r="TL7" i="1"/>
  <c r="TK7" i="1"/>
  <c r="TJ7" i="1"/>
  <c r="TI7" i="1"/>
  <c r="TH7" i="1"/>
  <c r="TG7" i="1"/>
  <c r="TF7" i="1"/>
  <c r="TE7" i="1"/>
  <c r="TD7" i="1"/>
  <c r="TC7" i="1"/>
  <c r="TB7" i="1"/>
  <c r="TA7" i="1"/>
  <c r="SZ7" i="1"/>
  <c r="SY7" i="1"/>
  <c r="SX7" i="1"/>
  <c r="SW7" i="1"/>
  <c r="SV7" i="1"/>
  <c r="SU7" i="1"/>
  <c r="ST7" i="1"/>
  <c r="SS7" i="1"/>
  <c r="SR7" i="1"/>
  <c r="SQ7" i="1"/>
  <c r="SP7" i="1"/>
  <c r="SO7" i="1"/>
  <c r="SN7" i="1"/>
  <c r="SM7" i="1"/>
  <c r="SL7" i="1"/>
  <c r="SK7" i="1"/>
  <c r="SJ7" i="1"/>
  <c r="SI7" i="1"/>
  <c r="SH7" i="1"/>
  <c r="SG7" i="1"/>
  <c r="SF7" i="1"/>
  <c r="SE7" i="1"/>
  <c r="SD7" i="1"/>
  <c r="SC7" i="1"/>
  <c r="SB7" i="1"/>
  <c r="SA7" i="1"/>
  <c r="RZ7" i="1"/>
  <c r="RY7" i="1"/>
  <c r="RX7" i="1"/>
  <c r="RW7" i="1"/>
  <c r="RV7" i="1"/>
  <c r="RU7" i="1"/>
  <c r="RT7" i="1"/>
  <c r="RS7" i="1"/>
  <c r="RR7" i="1"/>
  <c r="RQ7" i="1"/>
  <c r="RP7" i="1"/>
  <c r="RO7" i="1"/>
  <c r="RN7" i="1"/>
  <c r="RM7" i="1"/>
  <c r="RL7" i="1"/>
  <c r="RK7" i="1"/>
  <c r="RJ7" i="1"/>
  <c r="RI7" i="1"/>
  <c r="RH7" i="1"/>
  <c r="RG7" i="1"/>
  <c r="RF7" i="1"/>
  <c r="RE7" i="1"/>
  <c r="RD7" i="1"/>
  <c r="RC7" i="1"/>
  <c r="RB7" i="1"/>
  <c r="RA7" i="1"/>
  <c r="QZ7" i="1"/>
  <c r="QY7" i="1"/>
  <c r="QX7" i="1"/>
  <c r="QW7" i="1"/>
  <c r="QV7" i="1"/>
  <c r="QU7" i="1"/>
  <c r="QT7" i="1"/>
  <c r="QS7" i="1"/>
  <c r="QR7" i="1"/>
  <c r="QQ7" i="1"/>
  <c r="QP7" i="1"/>
  <c r="QO7" i="1"/>
  <c r="QN7" i="1"/>
  <c r="QM7" i="1"/>
  <c r="QL7" i="1"/>
  <c r="QK7" i="1"/>
  <c r="QJ7" i="1"/>
  <c r="QI7" i="1"/>
  <c r="QH7" i="1"/>
  <c r="QG7" i="1"/>
  <c r="QF7" i="1"/>
  <c r="QE7" i="1"/>
  <c r="QD7" i="1"/>
  <c r="QC7" i="1"/>
  <c r="QB7" i="1"/>
  <c r="QA7" i="1"/>
  <c r="PZ7" i="1"/>
  <c r="PY7" i="1"/>
  <c r="PX7" i="1"/>
  <c r="PW7" i="1"/>
  <c r="PV7" i="1"/>
  <c r="PU7" i="1"/>
  <c r="PT7" i="1"/>
  <c r="PS7" i="1"/>
  <c r="PR7" i="1"/>
  <c r="PQ7" i="1"/>
  <c r="PP7" i="1"/>
  <c r="PO7" i="1"/>
  <c r="PN7" i="1"/>
  <c r="PM7" i="1"/>
  <c r="PL7" i="1"/>
  <c r="PK7" i="1"/>
  <c r="PJ7" i="1"/>
  <c r="PI7" i="1"/>
  <c r="PH7" i="1"/>
  <c r="PG7" i="1"/>
  <c r="PF7" i="1"/>
  <c r="PE7" i="1"/>
  <c r="PD7" i="1"/>
  <c r="PC7" i="1"/>
  <c r="PB7" i="1"/>
  <c r="PA7" i="1"/>
  <c r="OZ7" i="1"/>
  <c r="OY7" i="1"/>
  <c r="OX7" i="1"/>
  <c r="OW7" i="1"/>
  <c r="OV7" i="1"/>
  <c r="OU7" i="1"/>
  <c r="OT7" i="1"/>
  <c r="OS7" i="1"/>
  <c r="OR7" i="1"/>
  <c r="OQ7" i="1"/>
  <c r="OP7" i="1"/>
  <c r="OO7" i="1"/>
  <c r="ON7" i="1"/>
  <c r="OM7" i="1"/>
  <c r="OL7" i="1"/>
  <c r="OK7" i="1"/>
  <c r="OJ7" i="1"/>
  <c r="OI7" i="1"/>
  <c r="OH7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TQ6" i="1"/>
  <c r="ATP6" i="1"/>
  <c r="ATO6" i="1"/>
  <c r="ATN6" i="1"/>
  <c r="ATM6" i="1"/>
  <c r="ATL6" i="1"/>
  <c r="ATK6" i="1"/>
  <c r="ATJ6" i="1"/>
  <c r="ATI6" i="1"/>
  <c r="ATH6" i="1"/>
  <c r="ATG6" i="1"/>
  <c r="ATF6" i="1"/>
  <c r="ATE6" i="1"/>
  <c r="ATD6" i="1"/>
  <c r="ATC6" i="1"/>
  <c r="ATB6" i="1"/>
  <c r="ATA6" i="1"/>
  <c r="ASZ6" i="1"/>
  <c r="ASY6" i="1"/>
  <c r="ASX6" i="1"/>
  <c r="ASW6" i="1"/>
  <c r="ASV6" i="1"/>
  <c r="ASU6" i="1"/>
  <c r="AST6" i="1"/>
  <c r="ASS6" i="1"/>
  <c r="ASR6" i="1"/>
  <c r="ASQ6" i="1"/>
  <c r="ASP6" i="1"/>
  <c r="ASO6" i="1"/>
  <c r="ASN6" i="1"/>
  <c r="ASM6" i="1"/>
  <c r="ASL6" i="1"/>
  <c r="ASK6" i="1"/>
  <c r="ASJ6" i="1"/>
  <c r="ASI6" i="1"/>
  <c r="ASH6" i="1"/>
  <c r="ASG6" i="1"/>
  <c r="ASF6" i="1"/>
  <c r="ASE6" i="1"/>
  <c r="ASD6" i="1"/>
  <c r="ASC6" i="1"/>
  <c r="ASB6" i="1"/>
  <c r="ASA6" i="1"/>
  <c r="ARZ6" i="1"/>
  <c r="ARY6" i="1"/>
  <c r="ARX6" i="1"/>
  <c r="ARW6" i="1"/>
  <c r="ARV6" i="1"/>
  <c r="ARU6" i="1"/>
  <c r="ART6" i="1"/>
  <c r="ARS6" i="1"/>
  <c r="ARR6" i="1"/>
  <c r="ARQ6" i="1"/>
  <c r="ARP6" i="1"/>
  <c r="ARO6" i="1"/>
  <c r="ARN6" i="1"/>
  <c r="ARM6" i="1"/>
  <c r="ARL6" i="1"/>
  <c r="ARK6" i="1"/>
  <c r="ARJ6" i="1"/>
  <c r="ARI6" i="1"/>
  <c r="ARH6" i="1"/>
  <c r="ARG6" i="1"/>
  <c r="ARF6" i="1"/>
  <c r="ARE6" i="1"/>
  <c r="ARD6" i="1"/>
  <c r="ARC6" i="1"/>
  <c r="ARB6" i="1"/>
  <c r="ARA6" i="1"/>
  <c r="AQZ6" i="1"/>
  <c r="AQY6" i="1"/>
  <c r="AQX6" i="1"/>
  <c r="AQW6" i="1"/>
  <c r="AQV6" i="1"/>
  <c r="AQU6" i="1"/>
  <c r="AQT6" i="1"/>
  <c r="AQS6" i="1"/>
  <c r="AQR6" i="1"/>
  <c r="AQQ6" i="1"/>
  <c r="AQP6" i="1"/>
  <c r="AQO6" i="1"/>
  <c r="AQN6" i="1"/>
  <c r="AQM6" i="1"/>
  <c r="AQL6" i="1"/>
  <c r="AQK6" i="1"/>
  <c r="AQJ6" i="1"/>
  <c r="AQI6" i="1"/>
  <c r="AQH6" i="1"/>
  <c r="AQG6" i="1"/>
  <c r="AQF6" i="1"/>
  <c r="AQE6" i="1"/>
  <c r="AQD6" i="1"/>
  <c r="AQC6" i="1"/>
  <c r="AQB6" i="1"/>
  <c r="AQA6" i="1"/>
  <c r="APZ6" i="1"/>
  <c r="APY6" i="1"/>
  <c r="APX6" i="1"/>
  <c r="APW6" i="1"/>
  <c r="APV6" i="1"/>
  <c r="APU6" i="1"/>
  <c r="APT6" i="1"/>
  <c r="APS6" i="1"/>
  <c r="APR6" i="1"/>
  <c r="APQ6" i="1"/>
  <c r="APP6" i="1"/>
  <c r="APO6" i="1"/>
  <c r="APN6" i="1"/>
  <c r="APM6" i="1"/>
  <c r="APL6" i="1"/>
  <c r="APK6" i="1"/>
  <c r="APJ6" i="1"/>
  <c r="API6" i="1"/>
  <c r="APH6" i="1"/>
  <c r="APG6" i="1"/>
  <c r="APF6" i="1"/>
  <c r="APE6" i="1"/>
  <c r="APD6" i="1"/>
  <c r="APC6" i="1"/>
  <c r="APB6" i="1"/>
  <c r="APA6" i="1"/>
  <c r="AOZ6" i="1"/>
  <c r="AOY6" i="1"/>
  <c r="AOX6" i="1"/>
  <c r="AOW6" i="1"/>
  <c r="AOV6" i="1"/>
  <c r="AOU6" i="1"/>
  <c r="AOT6" i="1"/>
  <c r="AOS6" i="1"/>
  <c r="AOR6" i="1"/>
  <c r="AOQ6" i="1"/>
  <c r="AOP6" i="1"/>
  <c r="AOO6" i="1"/>
  <c r="AON6" i="1"/>
  <c r="AOM6" i="1"/>
  <c r="AOL6" i="1"/>
  <c r="AOK6" i="1"/>
  <c r="AOJ6" i="1"/>
  <c r="AOI6" i="1"/>
  <c r="AOH6" i="1"/>
  <c r="AOG6" i="1"/>
  <c r="AOF6" i="1"/>
  <c r="AOE6" i="1"/>
  <c r="AOD6" i="1"/>
  <c r="AOC6" i="1"/>
  <c r="AOB6" i="1"/>
  <c r="AOA6" i="1"/>
  <c r="ANZ6" i="1"/>
  <c r="ANY6" i="1"/>
  <c r="ANX6" i="1"/>
  <c r="ANW6" i="1"/>
  <c r="ANV6" i="1"/>
  <c r="ANU6" i="1"/>
  <c r="ANT6" i="1"/>
  <c r="ANS6" i="1"/>
  <c r="ANR6" i="1"/>
  <c r="ANQ6" i="1"/>
  <c r="ANP6" i="1"/>
  <c r="ANO6" i="1"/>
  <c r="ANN6" i="1"/>
  <c r="ANM6" i="1"/>
  <c r="ANL6" i="1"/>
  <c r="ANK6" i="1"/>
  <c r="ANJ6" i="1"/>
  <c r="ANI6" i="1"/>
  <c r="ANH6" i="1"/>
  <c r="ANG6" i="1"/>
  <c r="ANF6" i="1"/>
  <c r="ANE6" i="1"/>
  <c r="AND6" i="1"/>
  <c r="ANC6" i="1"/>
  <c r="ANB6" i="1"/>
  <c r="ANA6" i="1"/>
  <c r="AMZ6" i="1"/>
  <c r="AMY6" i="1"/>
  <c r="AMX6" i="1"/>
  <c r="AMW6" i="1"/>
  <c r="AMV6" i="1"/>
  <c r="AMU6" i="1"/>
  <c r="AMT6" i="1"/>
  <c r="AMS6" i="1"/>
  <c r="AMR6" i="1"/>
  <c r="AMQ6" i="1"/>
  <c r="AMP6" i="1"/>
  <c r="AMO6" i="1"/>
  <c r="AMN6" i="1"/>
  <c r="AMM6" i="1"/>
  <c r="AML6" i="1"/>
  <c r="AMK6" i="1"/>
  <c r="AMJ6" i="1"/>
  <c r="AMI6" i="1"/>
  <c r="AMH6" i="1"/>
  <c r="AMG6" i="1"/>
  <c r="AMF6" i="1"/>
  <c r="AME6" i="1"/>
  <c r="AMD6" i="1"/>
  <c r="AMC6" i="1"/>
  <c r="AMB6" i="1"/>
  <c r="AMA6" i="1"/>
  <c r="ALZ6" i="1"/>
  <c r="ALY6" i="1"/>
  <c r="ALX6" i="1"/>
  <c r="ALW6" i="1"/>
  <c r="ALV6" i="1"/>
  <c r="ALU6" i="1"/>
  <c r="ALT6" i="1"/>
  <c r="ALS6" i="1"/>
  <c r="ALR6" i="1"/>
  <c r="ALQ6" i="1"/>
  <c r="ALP6" i="1"/>
  <c r="ALO6" i="1"/>
  <c r="ALN6" i="1"/>
  <c r="ALM6" i="1"/>
  <c r="ALL6" i="1"/>
  <c r="ALK6" i="1"/>
  <c r="ALJ6" i="1"/>
  <c r="ALI6" i="1"/>
  <c r="ALH6" i="1"/>
  <c r="ALG6" i="1"/>
  <c r="ALF6" i="1"/>
  <c r="ALE6" i="1"/>
  <c r="ALD6" i="1"/>
  <c r="ALC6" i="1"/>
  <c r="ALB6" i="1"/>
  <c r="ALA6" i="1"/>
  <c r="AKZ6" i="1"/>
  <c r="AKY6" i="1"/>
  <c r="AKX6" i="1"/>
  <c r="AKW6" i="1"/>
  <c r="AKV6" i="1"/>
  <c r="AKU6" i="1"/>
  <c r="AKT6" i="1"/>
  <c r="AKS6" i="1"/>
  <c r="AKR6" i="1"/>
  <c r="AKQ6" i="1"/>
  <c r="AKP6" i="1"/>
  <c r="AKO6" i="1"/>
  <c r="AKN6" i="1"/>
  <c r="AKM6" i="1"/>
  <c r="AKL6" i="1"/>
  <c r="AKK6" i="1"/>
  <c r="AKJ6" i="1"/>
  <c r="AKI6" i="1"/>
  <c r="AKH6" i="1"/>
  <c r="AKG6" i="1"/>
  <c r="AKF6" i="1"/>
  <c r="AKE6" i="1"/>
  <c r="AKD6" i="1"/>
  <c r="AKC6" i="1"/>
  <c r="AKB6" i="1"/>
  <c r="AKA6" i="1"/>
  <c r="AJZ6" i="1"/>
  <c r="AJY6" i="1"/>
  <c r="AJX6" i="1"/>
  <c r="AJW6" i="1"/>
  <c r="AJV6" i="1"/>
  <c r="AJU6" i="1"/>
  <c r="AJT6" i="1"/>
  <c r="AJS6" i="1"/>
  <c r="AJR6" i="1"/>
  <c r="AJQ6" i="1"/>
  <c r="AJP6" i="1"/>
  <c r="AJO6" i="1"/>
  <c r="AJN6" i="1"/>
  <c r="AJM6" i="1"/>
  <c r="AJL6" i="1"/>
  <c r="AJK6" i="1"/>
  <c r="AJJ6" i="1"/>
  <c r="AJI6" i="1"/>
  <c r="AJH6" i="1"/>
  <c r="AJG6" i="1"/>
  <c r="AJF6" i="1"/>
  <c r="AJE6" i="1"/>
  <c r="AJD6" i="1"/>
  <c r="AJC6" i="1"/>
  <c r="AJB6" i="1"/>
  <c r="AJA6" i="1"/>
  <c r="AIZ6" i="1"/>
  <c r="AIY6" i="1"/>
  <c r="AIX6" i="1"/>
  <c r="AIW6" i="1"/>
  <c r="AIV6" i="1"/>
  <c r="AIU6" i="1"/>
  <c r="AIT6" i="1"/>
  <c r="AIS6" i="1"/>
  <c r="AIR6" i="1"/>
  <c r="AIQ6" i="1"/>
  <c r="AIP6" i="1"/>
  <c r="AIO6" i="1"/>
  <c r="AIN6" i="1"/>
  <c r="AIM6" i="1"/>
  <c r="AIL6" i="1"/>
  <c r="AIK6" i="1"/>
  <c r="AIJ6" i="1"/>
  <c r="AII6" i="1"/>
  <c r="AIH6" i="1"/>
  <c r="AIG6" i="1"/>
  <c r="AIF6" i="1"/>
  <c r="AIE6" i="1"/>
  <c r="AID6" i="1"/>
  <c r="AIC6" i="1"/>
  <c r="AIB6" i="1"/>
  <c r="AIA6" i="1"/>
  <c r="AHZ6" i="1"/>
  <c r="AHY6" i="1"/>
  <c r="AHX6" i="1"/>
  <c r="AHW6" i="1"/>
  <c r="AHV6" i="1"/>
  <c r="AHU6" i="1"/>
  <c r="AHT6" i="1"/>
  <c r="AHS6" i="1"/>
  <c r="AHR6" i="1"/>
  <c r="AHQ6" i="1"/>
  <c r="AHP6" i="1"/>
  <c r="AHO6" i="1"/>
  <c r="AHN6" i="1"/>
  <c r="AHM6" i="1"/>
  <c r="AHL6" i="1"/>
  <c r="AHK6" i="1"/>
  <c r="AHJ6" i="1"/>
  <c r="AHI6" i="1"/>
  <c r="AHH6" i="1"/>
  <c r="AHG6" i="1"/>
  <c r="AHF6" i="1"/>
  <c r="AHE6" i="1"/>
  <c r="AHD6" i="1"/>
  <c r="AHC6" i="1"/>
  <c r="AHB6" i="1"/>
  <c r="AHA6" i="1"/>
  <c r="AGZ6" i="1"/>
  <c r="AGY6" i="1"/>
  <c r="AGX6" i="1"/>
  <c r="AGW6" i="1"/>
  <c r="AGV6" i="1"/>
  <c r="AGU6" i="1"/>
  <c r="AGT6" i="1"/>
  <c r="AGS6" i="1"/>
  <c r="AGR6" i="1"/>
  <c r="AGQ6" i="1"/>
  <c r="AGP6" i="1"/>
  <c r="AGO6" i="1"/>
  <c r="AGN6" i="1"/>
  <c r="AGM6" i="1"/>
  <c r="AGL6" i="1"/>
  <c r="AGK6" i="1"/>
  <c r="AGJ6" i="1"/>
  <c r="AGI6" i="1"/>
  <c r="AGH6" i="1"/>
  <c r="AGG6" i="1"/>
  <c r="AGF6" i="1"/>
  <c r="AGE6" i="1"/>
  <c r="AGD6" i="1"/>
  <c r="AGC6" i="1"/>
  <c r="AGB6" i="1"/>
  <c r="AGA6" i="1"/>
  <c r="AFZ6" i="1"/>
  <c r="AFY6" i="1"/>
  <c r="AFX6" i="1"/>
  <c r="AFW6" i="1"/>
  <c r="AFV6" i="1"/>
  <c r="AFU6" i="1"/>
  <c r="AFT6" i="1"/>
  <c r="AFS6" i="1"/>
  <c r="AFR6" i="1"/>
  <c r="AFQ6" i="1"/>
  <c r="AFP6" i="1"/>
  <c r="AFO6" i="1"/>
  <c r="AFN6" i="1"/>
  <c r="AFM6" i="1"/>
  <c r="AFL6" i="1"/>
  <c r="AFK6" i="1"/>
  <c r="AFJ6" i="1"/>
  <c r="AFI6" i="1"/>
  <c r="AFH6" i="1"/>
  <c r="AFG6" i="1"/>
  <c r="AFF6" i="1"/>
  <c r="AFE6" i="1"/>
  <c r="AFD6" i="1"/>
  <c r="AFC6" i="1"/>
  <c r="AFB6" i="1"/>
  <c r="AFA6" i="1"/>
  <c r="AEZ6" i="1"/>
  <c r="AEY6" i="1"/>
  <c r="AEX6" i="1"/>
  <c r="AEW6" i="1"/>
  <c r="AEV6" i="1"/>
  <c r="AEU6" i="1"/>
  <c r="AET6" i="1"/>
  <c r="AES6" i="1"/>
  <c r="AER6" i="1"/>
  <c r="AEQ6" i="1"/>
  <c r="AEP6" i="1"/>
  <c r="AEO6" i="1"/>
  <c r="AEN6" i="1"/>
  <c r="AEM6" i="1"/>
  <c r="AEL6" i="1"/>
  <c r="AEK6" i="1"/>
  <c r="AEJ6" i="1"/>
  <c r="AEI6" i="1"/>
  <c r="AEH6" i="1"/>
  <c r="AEG6" i="1"/>
  <c r="AEF6" i="1"/>
  <c r="AEE6" i="1"/>
  <c r="AED6" i="1"/>
  <c r="AEC6" i="1"/>
  <c r="AEB6" i="1"/>
  <c r="AEA6" i="1"/>
  <c r="ADZ6" i="1"/>
  <c r="ADY6" i="1"/>
  <c r="ADX6" i="1"/>
  <c r="ADW6" i="1"/>
  <c r="ADV6" i="1"/>
  <c r="ADU6" i="1"/>
  <c r="ADT6" i="1"/>
  <c r="ADS6" i="1"/>
  <c r="ADR6" i="1"/>
  <c r="ADQ6" i="1"/>
  <c r="ADP6" i="1"/>
  <c r="ADO6" i="1"/>
  <c r="ADN6" i="1"/>
  <c r="ADM6" i="1"/>
  <c r="ADL6" i="1"/>
  <c r="ADK6" i="1"/>
  <c r="ADJ6" i="1"/>
  <c r="ADI6" i="1"/>
  <c r="ADH6" i="1"/>
  <c r="ADG6" i="1"/>
  <c r="ADF6" i="1"/>
  <c r="ADE6" i="1"/>
  <c r="ADD6" i="1"/>
  <c r="ADC6" i="1"/>
  <c r="ADB6" i="1"/>
  <c r="ADA6" i="1"/>
  <c r="ACZ6" i="1"/>
  <c r="ACY6" i="1"/>
  <c r="ACX6" i="1"/>
  <c r="ACW6" i="1"/>
  <c r="ACV6" i="1"/>
  <c r="ACU6" i="1"/>
  <c r="ACT6" i="1"/>
  <c r="ACS6" i="1"/>
  <c r="ACR6" i="1"/>
  <c r="ACQ6" i="1"/>
  <c r="ACP6" i="1"/>
  <c r="ACO6" i="1"/>
  <c r="ACN6" i="1"/>
  <c r="ACM6" i="1"/>
  <c r="ACL6" i="1"/>
  <c r="ACK6" i="1"/>
  <c r="ACJ6" i="1"/>
  <c r="ACI6" i="1"/>
  <c r="ACH6" i="1"/>
  <c r="ACG6" i="1"/>
  <c r="ACF6" i="1"/>
  <c r="ACE6" i="1"/>
  <c r="ACD6" i="1"/>
  <c r="ACC6" i="1"/>
  <c r="ACB6" i="1"/>
  <c r="ACA6" i="1"/>
  <c r="ABZ6" i="1"/>
  <c r="ABY6" i="1"/>
  <c r="ABX6" i="1"/>
  <c r="ABW6" i="1"/>
  <c r="ABV6" i="1"/>
  <c r="ABU6" i="1"/>
  <c r="ABT6" i="1"/>
  <c r="ABS6" i="1"/>
  <c r="ABR6" i="1"/>
  <c r="ABQ6" i="1"/>
  <c r="ABP6" i="1"/>
  <c r="ABO6" i="1"/>
  <c r="ABN6" i="1"/>
  <c r="ABM6" i="1"/>
  <c r="ABL6" i="1"/>
  <c r="ABK6" i="1"/>
  <c r="ABJ6" i="1"/>
  <c r="ABI6" i="1"/>
  <c r="ABH6" i="1"/>
  <c r="ABG6" i="1"/>
  <c r="ABF6" i="1"/>
  <c r="ABE6" i="1"/>
  <c r="ABD6" i="1"/>
  <c r="ABC6" i="1"/>
  <c r="ABB6" i="1"/>
  <c r="ABA6" i="1"/>
  <c r="AAZ6" i="1"/>
  <c r="AAY6" i="1"/>
  <c r="AAX6" i="1"/>
  <c r="AAW6" i="1"/>
  <c r="AAV6" i="1"/>
  <c r="AAU6" i="1"/>
  <c r="AAT6" i="1"/>
  <c r="AAS6" i="1"/>
  <c r="AAR6" i="1"/>
  <c r="AAQ6" i="1"/>
  <c r="AAP6" i="1"/>
  <c r="AAO6" i="1"/>
  <c r="AAN6" i="1"/>
  <c r="AAM6" i="1"/>
  <c r="AAL6" i="1"/>
  <c r="AAK6" i="1"/>
  <c r="AAJ6" i="1"/>
  <c r="AAI6" i="1"/>
  <c r="AAH6" i="1"/>
  <c r="AAG6" i="1"/>
  <c r="AAF6" i="1"/>
  <c r="AAE6" i="1"/>
  <c r="AAD6" i="1"/>
  <c r="AAC6" i="1"/>
  <c r="AAB6" i="1"/>
  <c r="AAA6" i="1"/>
  <c r="ZZ6" i="1"/>
  <c r="ZY6" i="1"/>
  <c r="ZX6" i="1"/>
  <c r="ZW6" i="1"/>
  <c r="ZV6" i="1"/>
  <c r="ZU6" i="1"/>
  <c r="ZT6" i="1"/>
  <c r="ZS6" i="1"/>
  <c r="ZR6" i="1"/>
  <c r="ZQ6" i="1"/>
  <c r="ZP6" i="1"/>
  <c r="ZO6" i="1"/>
  <c r="ZN6" i="1"/>
  <c r="ZM6" i="1"/>
  <c r="ZL6" i="1"/>
  <c r="ZK6" i="1"/>
  <c r="ZJ6" i="1"/>
  <c r="ZI6" i="1"/>
  <c r="ZH6" i="1"/>
  <c r="ZG6" i="1"/>
  <c r="ZF6" i="1"/>
  <c r="ZE6" i="1"/>
  <c r="ZD6" i="1"/>
  <c r="ZC6" i="1"/>
  <c r="ZB6" i="1"/>
  <c r="ZA6" i="1"/>
  <c r="YZ6" i="1"/>
  <c r="YY6" i="1"/>
  <c r="YX6" i="1"/>
  <c r="YW6" i="1"/>
  <c r="YV6" i="1"/>
  <c r="YU6" i="1"/>
  <c r="YT6" i="1"/>
  <c r="YS6" i="1"/>
  <c r="YR6" i="1"/>
  <c r="YQ6" i="1"/>
  <c r="YP6" i="1"/>
  <c r="YO6" i="1"/>
  <c r="YN6" i="1"/>
  <c r="YM6" i="1"/>
  <c r="YL6" i="1"/>
  <c r="YK6" i="1"/>
  <c r="YJ6" i="1"/>
  <c r="YI6" i="1"/>
  <c r="YH6" i="1"/>
  <c r="YG6" i="1"/>
  <c r="YF6" i="1"/>
  <c r="YE6" i="1"/>
  <c r="YD6" i="1"/>
  <c r="YC6" i="1"/>
  <c r="YB6" i="1"/>
  <c r="YA6" i="1"/>
  <c r="XZ6" i="1"/>
  <c r="XY6" i="1"/>
  <c r="XX6" i="1"/>
  <c r="XW6" i="1"/>
  <c r="XV6" i="1"/>
  <c r="XU6" i="1"/>
  <c r="XT6" i="1"/>
  <c r="XS6" i="1"/>
  <c r="XR6" i="1"/>
  <c r="XQ6" i="1"/>
  <c r="XP6" i="1"/>
  <c r="XO6" i="1"/>
  <c r="XN6" i="1"/>
  <c r="XM6" i="1"/>
  <c r="XL6" i="1"/>
  <c r="XK6" i="1"/>
  <c r="XJ6" i="1"/>
  <c r="XI6" i="1"/>
  <c r="XH6" i="1"/>
  <c r="XG6" i="1"/>
  <c r="XF6" i="1"/>
  <c r="XE6" i="1"/>
  <c r="XD6" i="1"/>
  <c r="XC6" i="1"/>
  <c r="XB6" i="1"/>
  <c r="XA6" i="1"/>
  <c r="WZ6" i="1"/>
  <c r="WY6" i="1"/>
  <c r="WX6" i="1"/>
  <c r="WW6" i="1"/>
  <c r="WV6" i="1"/>
  <c r="WU6" i="1"/>
  <c r="WT6" i="1"/>
  <c r="WS6" i="1"/>
  <c r="WR6" i="1"/>
  <c r="WQ6" i="1"/>
  <c r="WP6" i="1"/>
  <c r="WO6" i="1"/>
  <c r="WN6" i="1"/>
  <c r="WM6" i="1"/>
  <c r="WL6" i="1"/>
  <c r="WK6" i="1"/>
  <c r="WJ6" i="1"/>
  <c r="WI6" i="1"/>
  <c r="WH6" i="1"/>
  <c r="WG6" i="1"/>
  <c r="WF6" i="1"/>
  <c r="WE6" i="1"/>
  <c r="WD6" i="1"/>
  <c r="WC6" i="1"/>
  <c r="WB6" i="1"/>
  <c r="WA6" i="1"/>
  <c r="VZ6" i="1"/>
  <c r="VY6" i="1"/>
  <c r="VX6" i="1"/>
  <c r="VW6" i="1"/>
  <c r="VV6" i="1"/>
  <c r="VU6" i="1"/>
  <c r="VT6" i="1"/>
  <c r="VS6" i="1"/>
  <c r="VR6" i="1"/>
  <c r="VQ6" i="1"/>
  <c r="VP6" i="1"/>
  <c r="VO6" i="1"/>
  <c r="VN6" i="1"/>
  <c r="VM6" i="1"/>
  <c r="VL6" i="1"/>
  <c r="VK6" i="1"/>
  <c r="VJ6" i="1"/>
  <c r="VI6" i="1"/>
  <c r="VH6" i="1"/>
  <c r="VG6" i="1"/>
  <c r="VF6" i="1"/>
  <c r="VE6" i="1"/>
  <c r="VD6" i="1"/>
  <c r="VC6" i="1"/>
  <c r="VB6" i="1"/>
  <c r="VA6" i="1"/>
  <c r="UZ6" i="1"/>
  <c r="UY6" i="1"/>
  <c r="UX6" i="1"/>
  <c r="UW6" i="1"/>
  <c r="UV6" i="1"/>
  <c r="UU6" i="1"/>
  <c r="UT6" i="1"/>
  <c r="US6" i="1"/>
  <c r="UR6" i="1"/>
  <c r="UQ6" i="1"/>
  <c r="UP6" i="1"/>
  <c r="UO6" i="1"/>
  <c r="UN6" i="1"/>
  <c r="UM6" i="1"/>
  <c r="UL6" i="1"/>
  <c r="UK6" i="1"/>
  <c r="UJ6" i="1"/>
  <c r="UI6" i="1"/>
  <c r="UH6" i="1"/>
  <c r="UG6" i="1"/>
  <c r="UF6" i="1"/>
  <c r="UE6" i="1"/>
  <c r="UD6" i="1"/>
  <c r="UC6" i="1"/>
  <c r="UB6" i="1"/>
  <c r="UA6" i="1"/>
  <c r="TZ6" i="1"/>
  <c r="TY6" i="1"/>
  <c r="TX6" i="1"/>
  <c r="TW6" i="1"/>
  <c r="TV6" i="1"/>
  <c r="TU6" i="1"/>
  <c r="TT6" i="1"/>
  <c r="TS6" i="1"/>
  <c r="TR6" i="1"/>
  <c r="TQ6" i="1"/>
  <c r="TP6" i="1"/>
  <c r="TO6" i="1"/>
  <c r="TN6" i="1"/>
  <c r="TM6" i="1"/>
  <c r="TL6" i="1"/>
  <c r="TK6" i="1"/>
  <c r="TJ6" i="1"/>
  <c r="TI6" i="1"/>
  <c r="TH6" i="1"/>
  <c r="TG6" i="1"/>
  <c r="TF6" i="1"/>
  <c r="TE6" i="1"/>
  <c r="TD6" i="1"/>
  <c r="TC6" i="1"/>
  <c r="TB6" i="1"/>
  <c r="TA6" i="1"/>
  <c r="SZ6" i="1"/>
  <c r="SY6" i="1"/>
  <c r="SX6" i="1"/>
  <c r="SW6" i="1"/>
  <c r="SV6" i="1"/>
  <c r="SU6" i="1"/>
  <c r="ST6" i="1"/>
  <c r="SS6" i="1"/>
  <c r="SR6" i="1"/>
  <c r="SQ6" i="1"/>
  <c r="SP6" i="1"/>
  <c r="SO6" i="1"/>
  <c r="SN6" i="1"/>
  <c r="SM6" i="1"/>
  <c r="SL6" i="1"/>
  <c r="SK6" i="1"/>
  <c r="SJ6" i="1"/>
  <c r="SI6" i="1"/>
  <c r="SH6" i="1"/>
  <c r="SG6" i="1"/>
  <c r="SF6" i="1"/>
  <c r="SE6" i="1"/>
  <c r="SD6" i="1"/>
  <c r="SC6" i="1"/>
  <c r="SB6" i="1"/>
  <c r="SA6" i="1"/>
  <c r="RZ6" i="1"/>
  <c r="RY6" i="1"/>
  <c r="RX6" i="1"/>
  <c r="RW6" i="1"/>
  <c r="RV6" i="1"/>
  <c r="RU6" i="1"/>
  <c r="RT6" i="1"/>
  <c r="RS6" i="1"/>
  <c r="RR6" i="1"/>
  <c r="RQ6" i="1"/>
  <c r="RP6" i="1"/>
  <c r="RO6" i="1"/>
  <c r="RN6" i="1"/>
  <c r="RM6" i="1"/>
  <c r="RL6" i="1"/>
  <c r="RK6" i="1"/>
  <c r="RJ6" i="1"/>
  <c r="RI6" i="1"/>
  <c r="RH6" i="1"/>
  <c r="RG6" i="1"/>
  <c r="RF6" i="1"/>
  <c r="RE6" i="1"/>
  <c r="RD6" i="1"/>
  <c r="RC6" i="1"/>
  <c r="RB6" i="1"/>
  <c r="RA6" i="1"/>
  <c r="QZ6" i="1"/>
  <c r="QY6" i="1"/>
  <c r="QX6" i="1"/>
  <c r="QW6" i="1"/>
  <c r="QV6" i="1"/>
  <c r="QU6" i="1"/>
  <c r="QT6" i="1"/>
  <c r="QS6" i="1"/>
  <c r="QR6" i="1"/>
  <c r="QQ6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TQ5" i="1"/>
  <c r="ATP5" i="1"/>
  <c r="ATO5" i="1"/>
  <c r="ATN5" i="1"/>
  <c r="ATM5" i="1"/>
  <c r="ATL5" i="1"/>
  <c r="ATK5" i="1"/>
  <c r="ATJ5" i="1"/>
  <c r="ATI5" i="1"/>
  <c r="ATH5" i="1"/>
  <c r="ATG5" i="1"/>
  <c r="ATF5" i="1"/>
  <c r="ATE5" i="1"/>
  <c r="ATD5" i="1"/>
  <c r="ATC5" i="1"/>
  <c r="ATB5" i="1"/>
  <c r="ATA5" i="1"/>
  <c r="ASZ5" i="1"/>
  <c r="ASY5" i="1"/>
  <c r="ASX5" i="1"/>
  <c r="ASW5" i="1"/>
  <c r="ASV5" i="1"/>
  <c r="ASU5" i="1"/>
  <c r="AST5" i="1"/>
  <c r="ASS5" i="1"/>
  <c r="ASR5" i="1"/>
  <c r="ASQ5" i="1"/>
  <c r="ASP5" i="1"/>
  <c r="ASO5" i="1"/>
  <c r="ASN5" i="1"/>
  <c r="ASM5" i="1"/>
  <c r="ASL5" i="1"/>
  <c r="ASK5" i="1"/>
  <c r="ASJ5" i="1"/>
  <c r="ASI5" i="1"/>
  <c r="ASH5" i="1"/>
  <c r="ASG5" i="1"/>
  <c r="ASF5" i="1"/>
  <c r="ASE5" i="1"/>
  <c r="ASD5" i="1"/>
  <c r="ASC5" i="1"/>
  <c r="ASB5" i="1"/>
  <c r="ASA5" i="1"/>
  <c r="ARZ5" i="1"/>
  <c r="ARY5" i="1"/>
  <c r="ARX5" i="1"/>
  <c r="ARW5" i="1"/>
  <c r="ARV5" i="1"/>
  <c r="ARU5" i="1"/>
  <c r="ART5" i="1"/>
  <c r="ARS5" i="1"/>
  <c r="ARR5" i="1"/>
  <c r="ARQ5" i="1"/>
  <c r="ARP5" i="1"/>
  <c r="ARO5" i="1"/>
  <c r="ARN5" i="1"/>
  <c r="ARM5" i="1"/>
  <c r="ARL5" i="1"/>
  <c r="ARK5" i="1"/>
  <c r="ARJ5" i="1"/>
  <c r="ARI5" i="1"/>
  <c r="ARH5" i="1"/>
  <c r="ARG5" i="1"/>
  <c r="ARF5" i="1"/>
  <c r="ARE5" i="1"/>
  <c r="ARD5" i="1"/>
  <c r="ARC5" i="1"/>
  <c r="ARB5" i="1"/>
  <c r="ARA5" i="1"/>
  <c r="AQZ5" i="1"/>
  <c r="AQY5" i="1"/>
  <c r="AQX5" i="1"/>
  <c r="AQW5" i="1"/>
  <c r="AQV5" i="1"/>
  <c r="AQU5" i="1"/>
  <c r="AQT5" i="1"/>
  <c r="AQS5" i="1"/>
  <c r="AQR5" i="1"/>
  <c r="AQQ5" i="1"/>
  <c r="AQP5" i="1"/>
  <c r="AQO5" i="1"/>
  <c r="AQN5" i="1"/>
  <c r="AQM5" i="1"/>
  <c r="AQL5" i="1"/>
  <c r="AQK5" i="1"/>
  <c r="AQJ5" i="1"/>
  <c r="AQI5" i="1"/>
  <c r="AQH5" i="1"/>
  <c r="AQG5" i="1"/>
  <c r="AQF5" i="1"/>
  <c r="AQE5" i="1"/>
  <c r="AQD5" i="1"/>
  <c r="AQC5" i="1"/>
  <c r="AQB5" i="1"/>
  <c r="AQA5" i="1"/>
  <c r="APZ5" i="1"/>
  <c r="APY5" i="1"/>
  <c r="APX5" i="1"/>
  <c r="APW5" i="1"/>
  <c r="APV5" i="1"/>
  <c r="APU5" i="1"/>
  <c r="APT5" i="1"/>
  <c r="APS5" i="1"/>
  <c r="APR5" i="1"/>
  <c r="APQ5" i="1"/>
  <c r="APP5" i="1"/>
  <c r="APO5" i="1"/>
  <c r="APN5" i="1"/>
  <c r="APM5" i="1"/>
  <c r="APL5" i="1"/>
  <c r="APK5" i="1"/>
  <c r="APJ5" i="1"/>
  <c r="API5" i="1"/>
  <c r="APH5" i="1"/>
  <c r="APG5" i="1"/>
  <c r="APF5" i="1"/>
  <c r="APE5" i="1"/>
  <c r="APD5" i="1"/>
  <c r="APC5" i="1"/>
  <c r="APB5" i="1"/>
  <c r="APA5" i="1"/>
  <c r="AOZ5" i="1"/>
  <c r="AOY5" i="1"/>
  <c r="AOX5" i="1"/>
  <c r="AOW5" i="1"/>
  <c r="AOV5" i="1"/>
  <c r="AOU5" i="1"/>
  <c r="AOT5" i="1"/>
  <c r="AOS5" i="1"/>
  <c r="AOR5" i="1"/>
  <c r="AOQ5" i="1"/>
  <c r="AOP5" i="1"/>
  <c r="AOO5" i="1"/>
  <c r="AON5" i="1"/>
  <c r="AOM5" i="1"/>
  <c r="AOL5" i="1"/>
  <c r="AOK5" i="1"/>
  <c r="AOJ5" i="1"/>
  <c r="AOI5" i="1"/>
  <c r="AOH5" i="1"/>
  <c r="AOG5" i="1"/>
  <c r="AOF5" i="1"/>
  <c r="AOE5" i="1"/>
  <c r="AOD5" i="1"/>
  <c r="AOC5" i="1"/>
  <c r="AOB5" i="1"/>
  <c r="AOA5" i="1"/>
  <c r="ANZ5" i="1"/>
  <c r="ANY5" i="1"/>
  <c r="ANX5" i="1"/>
  <c r="ANW5" i="1"/>
  <c r="ANV5" i="1"/>
  <c r="ANU5" i="1"/>
  <c r="ANT5" i="1"/>
  <c r="ANS5" i="1"/>
  <c r="ANR5" i="1"/>
  <c r="ANQ5" i="1"/>
  <c r="ANP5" i="1"/>
  <c r="ANO5" i="1"/>
  <c r="ANN5" i="1"/>
  <c r="ANM5" i="1"/>
  <c r="ANL5" i="1"/>
  <c r="ANK5" i="1"/>
  <c r="ANJ5" i="1"/>
  <c r="ANI5" i="1"/>
  <c r="ANH5" i="1"/>
  <c r="ANG5" i="1"/>
  <c r="ANF5" i="1"/>
  <c r="ANE5" i="1"/>
  <c r="AND5" i="1"/>
  <c r="ANC5" i="1"/>
  <c r="ANB5" i="1"/>
  <c r="ANA5" i="1"/>
  <c r="AMZ5" i="1"/>
  <c r="AMY5" i="1"/>
  <c r="AMX5" i="1"/>
  <c r="AMW5" i="1"/>
  <c r="AMV5" i="1"/>
  <c r="AMU5" i="1"/>
  <c r="AMT5" i="1"/>
  <c r="AMS5" i="1"/>
  <c r="AMR5" i="1"/>
  <c r="AMQ5" i="1"/>
  <c r="AMP5" i="1"/>
  <c r="AMO5" i="1"/>
  <c r="AMN5" i="1"/>
  <c r="AMM5" i="1"/>
  <c r="AML5" i="1"/>
  <c r="AMK5" i="1"/>
  <c r="AMJ5" i="1"/>
  <c r="AMI5" i="1"/>
  <c r="AMH5" i="1"/>
  <c r="AMG5" i="1"/>
  <c r="AMF5" i="1"/>
  <c r="AME5" i="1"/>
  <c r="AMD5" i="1"/>
  <c r="AMC5" i="1"/>
  <c r="AMB5" i="1"/>
  <c r="AMA5" i="1"/>
  <c r="ALZ5" i="1"/>
  <c r="ALY5" i="1"/>
  <c r="ALX5" i="1"/>
  <c r="ALW5" i="1"/>
  <c r="ALV5" i="1"/>
  <c r="ALU5" i="1"/>
  <c r="ALT5" i="1"/>
  <c r="ALS5" i="1"/>
  <c r="ALR5" i="1"/>
  <c r="ALQ5" i="1"/>
  <c r="ALP5" i="1"/>
  <c r="ALO5" i="1"/>
  <c r="ALN5" i="1"/>
  <c r="ALM5" i="1"/>
  <c r="ALL5" i="1"/>
  <c r="ALK5" i="1"/>
  <c r="ALJ5" i="1"/>
  <c r="ALI5" i="1"/>
  <c r="ALH5" i="1"/>
  <c r="ALG5" i="1"/>
  <c r="ALF5" i="1"/>
  <c r="ALE5" i="1"/>
  <c r="ALD5" i="1"/>
  <c r="ALC5" i="1"/>
  <c r="ALB5" i="1"/>
  <c r="ALA5" i="1"/>
  <c r="AKZ5" i="1"/>
  <c r="AKY5" i="1"/>
  <c r="AKX5" i="1"/>
  <c r="AKW5" i="1"/>
  <c r="AKV5" i="1"/>
  <c r="AKU5" i="1"/>
  <c r="AKT5" i="1"/>
  <c r="AKS5" i="1"/>
  <c r="AKR5" i="1"/>
  <c r="AKQ5" i="1"/>
  <c r="AKP5" i="1"/>
  <c r="AKO5" i="1"/>
  <c r="AKN5" i="1"/>
  <c r="AKM5" i="1"/>
  <c r="AKL5" i="1"/>
  <c r="AKK5" i="1"/>
  <c r="AKJ5" i="1"/>
  <c r="AKI5" i="1"/>
  <c r="AKH5" i="1"/>
  <c r="AKG5" i="1"/>
  <c r="AKF5" i="1"/>
  <c r="AKE5" i="1"/>
  <c r="AKD5" i="1"/>
  <c r="AKC5" i="1"/>
  <c r="AKB5" i="1"/>
  <c r="AKA5" i="1"/>
  <c r="AJZ5" i="1"/>
  <c r="AJY5" i="1"/>
  <c r="AJX5" i="1"/>
  <c r="AJW5" i="1"/>
  <c r="AJV5" i="1"/>
  <c r="AJU5" i="1"/>
  <c r="AJT5" i="1"/>
  <c r="AJS5" i="1"/>
  <c r="AJR5" i="1"/>
  <c r="AJQ5" i="1"/>
  <c r="AJP5" i="1"/>
  <c r="AJO5" i="1"/>
  <c r="AJN5" i="1"/>
  <c r="AJM5" i="1"/>
  <c r="AJL5" i="1"/>
  <c r="AJK5" i="1"/>
  <c r="AJJ5" i="1"/>
  <c r="AJI5" i="1"/>
  <c r="AJH5" i="1"/>
  <c r="AJG5" i="1"/>
  <c r="AJF5" i="1"/>
  <c r="AJE5" i="1"/>
  <c r="AJD5" i="1"/>
  <c r="AJC5" i="1"/>
  <c r="AJB5" i="1"/>
  <c r="AJA5" i="1"/>
  <c r="AIZ5" i="1"/>
  <c r="AIY5" i="1"/>
  <c r="AIX5" i="1"/>
  <c r="AIW5" i="1"/>
  <c r="AIV5" i="1"/>
  <c r="AIU5" i="1"/>
  <c r="AIT5" i="1"/>
  <c r="AIS5" i="1"/>
  <c r="AIR5" i="1"/>
  <c r="AIQ5" i="1"/>
  <c r="AIP5" i="1"/>
  <c r="AIO5" i="1"/>
  <c r="AIN5" i="1"/>
  <c r="AIM5" i="1"/>
  <c r="AIL5" i="1"/>
  <c r="AIK5" i="1"/>
  <c r="AIJ5" i="1"/>
  <c r="AII5" i="1"/>
  <c r="AIH5" i="1"/>
  <c r="AIG5" i="1"/>
  <c r="AIF5" i="1"/>
  <c r="AIE5" i="1"/>
  <c r="AID5" i="1"/>
  <c r="AIC5" i="1"/>
  <c r="AIB5" i="1"/>
  <c r="AIA5" i="1"/>
  <c r="AHZ5" i="1"/>
  <c r="AHY5" i="1"/>
  <c r="AHX5" i="1"/>
  <c r="AHW5" i="1"/>
  <c r="AHV5" i="1"/>
  <c r="AHU5" i="1"/>
  <c r="AHT5" i="1"/>
  <c r="AHS5" i="1"/>
  <c r="AHR5" i="1"/>
  <c r="AHQ5" i="1"/>
  <c r="AHP5" i="1"/>
  <c r="AHO5" i="1"/>
  <c r="AHN5" i="1"/>
  <c r="AHM5" i="1"/>
  <c r="AHL5" i="1"/>
  <c r="AHK5" i="1"/>
  <c r="AHJ5" i="1"/>
  <c r="AHI5" i="1"/>
  <c r="AHH5" i="1"/>
  <c r="AHG5" i="1"/>
  <c r="AHF5" i="1"/>
  <c r="AHE5" i="1"/>
  <c r="AHD5" i="1"/>
  <c r="AHC5" i="1"/>
  <c r="AHB5" i="1"/>
  <c r="AHA5" i="1"/>
  <c r="AGZ5" i="1"/>
  <c r="AGY5" i="1"/>
  <c r="AGX5" i="1"/>
  <c r="AGW5" i="1"/>
  <c r="AGV5" i="1"/>
  <c r="AGU5" i="1"/>
  <c r="AGT5" i="1"/>
  <c r="AGS5" i="1"/>
  <c r="AGR5" i="1"/>
  <c r="AGQ5" i="1"/>
  <c r="AGP5" i="1"/>
  <c r="AGO5" i="1"/>
  <c r="AGN5" i="1"/>
  <c r="AGM5" i="1"/>
  <c r="AGL5" i="1"/>
  <c r="AGK5" i="1"/>
  <c r="AGJ5" i="1"/>
  <c r="AGI5" i="1"/>
  <c r="AGH5" i="1"/>
  <c r="AGG5" i="1"/>
  <c r="AGF5" i="1"/>
  <c r="AGE5" i="1"/>
  <c r="AGD5" i="1"/>
  <c r="AGC5" i="1"/>
  <c r="AGB5" i="1"/>
  <c r="AGA5" i="1"/>
  <c r="AFZ5" i="1"/>
  <c r="AFY5" i="1"/>
  <c r="AFX5" i="1"/>
  <c r="AFW5" i="1"/>
  <c r="AFV5" i="1"/>
  <c r="AFU5" i="1"/>
  <c r="AFT5" i="1"/>
  <c r="AFS5" i="1"/>
  <c r="AFR5" i="1"/>
  <c r="AFQ5" i="1"/>
  <c r="AFP5" i="1"/>
  <c r="AFO5" i="1"/>
  <c r="AFN5" i="1"/>
  <c r="AFM5" i="1"/>
  <c r="AFL5" i="1"/>
  <c r="AFK5" i="1"/>
  <c r="AFJ5" i="1"/>
  <c r="AFI5" i="1"/>
  <c r="AFH5" i="1"/>
  <c r="AFG5" i="1"/>
  <c r="AFF5" i="1"/>
  <c r="AFE5" i="1"/>
  <c r="AFD5" i="1"/>
  <c r="AFC5" i="1"/>
  <c r="AFB5" i="1"/>
  <c r="AFA5" i="1"/>
  <c r="AEZ5" i="1"/>
  <c r="AEY5" i="1"/>
  <c r="AEX5" i="1"/>
  <c r="AEW5" i="1"/>
  <c r="AEV5" i="1"/>
  <c r="AEU5" i="1"/>
  <c r="AET5" i="1"/>
  <c r="AES5" i="1"/>
  <c r="AER5" i="1"/>
  <c r="AEQ5" i="1"/>
  <c r="AEP5" i="1"/>
  <c r="AEO5" i="1"/>
  <c r="AEN5" i="1"/>
  <c r="AEM5" i="1"/>
  <c r="AEL5" i="1"/>
  <c r="AEK5" i="1"/>
  <c r="AEJ5" i="1"/>
  <c r="AEI5" i="1"/>
  <c r="AEH5" i="1"/>
  <c r="AEG5" i="1"/>
  <c r="AEF5" i="1"/>
  <c r="AEE5" i="1"/>
  <c r="AED5" i="1"/>
  <c r="AEC5" i="1"/>
  <c r="AEB5" i="1"/>
  <c r="AEA5" i="1"/>
  <c r="ADZ5" i="1"/>
  <c r="ADY5" i="1"/>
  <c r="ADX5" i="1"/>
  <c r="ADW5" i="1"/>
  <c r="ADV5" i="1"/>
  <c r="ADU5" i="1"/>
  <c r="ADT5" i="1"/>
  <c r="ADS5" i="1"/>
  <c r="ADR5" i="1"/>
  <c r="ADQ5" i="1"/>
  <c r="ADP5" i="1"/>
  <c r="ADO5" i="1"/>
  <c r="ADN5" i="1"/>
  <c r="ADM5" i="1"/>
  <c r="ADL5" i="1"/>
  <c r="ADK5" i="1"/>
  <c r="ADJ5" i="1"/>
  <c r="ADI5" i="1"/>
  <c r="ADH5" i="1"/>
  <c r="ADG5" i="1"/>
  <c r="ADF5" i="1"/>
  <c r="ADE5" i="1"/>
  <c r="ADD5" i="1"/>
  <c r="ADC5" i="1"/>
  <c r="ADB5" i="1"/>
  <c r="ADA5" i="1"/>
  <c r="ACZ5" i="1"/>
  <c r="ACY5" i="1"/>
  <c r="ACX5" i="1"/>
  <c r="ACW5" i="1"/>
  <c r="ACV5" i="1"/>
  <c r="ACU5" i="1"/>
  <c r="ACT5" i="1"/>
  <c r="ACS5" i="1"/>
  <c r="ACR5" i="1"/>
  <c r="ACQ5" i="1"/>
  <c r="ACP5" i="1"/>
  <c r="ACO5" i="1"/>
  <c r="ACN5" i="1"/>
  <c r="ACM5" i="1"/>
  <c r="ACL5" i="1"/>
  <c r="ACK5" i="1"/>
  <c r="ACJ5" i="1"/>
  <c r="ACI5" i="1"/>
  <c r="ACH5" i="1"/>
  <c r="ACG5" i="1"/>
  <c r="ACF5" i="1"/>
  <c r="ACE5" i="1"/>
  <c r="ACD5" i="1"/>
  <c r="ACC5" i="1"/>
  <c r="ACB5" i="1"/>
  <c r="ACA5" i="1"/>
  <c r="ABZ5" i="1"/>
  <c r="ABY5" i="1"/>
  <c r="ABX5" i="1"/>
  <c r="ABW5" i="1"/>
  <c r="ABV5" i="1"/>
  <c r="ABU5" i="1"/>
  <c r="ABT5" i="1"/>
  <c r="ABS5" i="1"/>
  <c r="ABR5" i="1"/>
  <c r="ABQ5" i="1"/>
  <c r="ABP5" i="1"/>
  <c r="ABO5" i="1"/>
  <c r="ABN5" i="1"/>
  <c r="ABM5" i="1"/>
  <c r="ABL5" i="1"/>
  <c r="ABK5" i="1"/>
  <c r="ABJ5" i="1"/>
  <c r="ABI5" i="1"/>
  <c r="ABH5" i="1"/>
  <c r="ABG5" i="1"/>
  <c r="ABF5" i="1"/>
  <c r="ABE5" i="1"/>
  <c r="ABD5" i="1"/>
  <c r="ABC5" i="1"/>
  <c r="ABB5" i="1"/>
  <c r="ABA5" i="1"/>
  <c r="AAZ5" i="1"/>
  <c r="AAY5" i="1"/>
  <c r="AAX5" i="1"/>
  <c r="AAW5" i="1"/>
  <c r="AAV5" i="1"/>
  <c r="AAU5" i="1"/>
  <c r="AAT5" i="1"/>
  <c r="AAS5" i="1"/>
  <c r="AAR5" i="1"/>
  <c r="AAQ5" i="1"/>
  <c r="AAP5" i="1"/>
  <c r="AAO5" i="1"/>
  <c r="AAN5" i="1"/>
  <c r="AAM5" i="1"/>
  <c r="AAL5" i="1"/>
  <c r="AAK5" i="1"/>
  <c r="AAJ5" i="1"/>
  <c r="AAI5" i="1"/>
  <c r="AAH5" i="1"/>
  <c r="AAG5" i="1"/>
  <c r="AAF5" i="1"/>
  <c r="AAE5" i="1"/>
  <c r="AAD5" i="1"/>
  <c r="AAC5" i="1"/>
  <c r="AAB5" i="1"/>
  <c r="AAA5" i="1"/>
  <c r="ZZ5" i="1"/>
  <c r="ZY5" i="1"/>
  <c r="ZX5" i="1"/>
  <c r="ZW5" i="1"/>
  <c r="ZV5" i="1"/>
  <c r="ZU5" i="1"/>
  <c r="ZT5" i="1"/>
  <c r="ZS5" i="1"/>
  <c r="ZR5" i="1"/>
  <c r="ZQ5" i="1"/>
  <c r="ZP5" i="1"/>
  <c r="ZO5" i="1"/>
  <c r="ZN5" i="1"/>
  <c r="ZM5" i="1"/>
  <c r="ZL5" i="1"/>
  <c r="ZK5" i="1"/>
  <c r="ZJ5" i="1"/>
  <c r="ZI5" i="1"/>
  <c r="ZH5" i="1"/>
  <c r="ZG5" i="1"/>
  <c r="ZF5" i="1"/>
  <c r="ZE5" i="1"/>
  <c r="ZD5" i="1"/>
  <c r="ZC5" i="1"/>
  <c r="ZB5" i="1"/>
  <c r="ZA5" i="1"/>
  <c r="YZ5" i="1"/>
  <c r="YY5" i="1"/>
  <c r="YX5" i="1"/>
  <c r="YW5" i="1"/>
  <c r="YV5" i="1"/>
  <c r="YU5" i="1"/>
  <c r="YT5" i="1"/>
  <c r="YS5" i="1"/>
  <c r="YR5" i="1"/>
  <c r="YQ5" i="1"/>
  <c r="YP5" i="1"/>
  <c r="YO5" i="1"/>
  <c r="YN5" i="1"/>
  <c r="YM5" i="1"/>
  <c r="YL5" i="1"/>
  <c r="YK5" i="1"/>
  <c r="YJ5" i="1"/>
  <c r="YI5" i="1"/>
  <c r="YH5" i="1"/>
  <c r="YG5" i="1"/>
  <c r="YF5" i="1"/>
  <c r="YE5" i="1"/>
  <c r="YD5" i="1"/>
  <c r="YC5" i="1"/>
  <c r="YB5" i="1"/>
  <c r="YA5" i="1"/>
  <c r="XZ5" i="1"/>
  <c r="XY5" i="1"/>
  <c r="XX5" i="1"/>
  <c r="XW5" i="1"/>
  <c r="XV5" i="1"/>
  <c r="XU5" i="1"/>
  <c r="XT5" i="1"/>
  <c r="XS5" i="1"/>
  <c r="XR5" i="1"/>
  <c r="XQ5" i="1"/>
  <c r="XP5" i="1"/>
  <c r="XO5" i="1"/>
  <c r="XN5" i="1"/>
  <c r="XM5" i="1"/>
  <c r="XL5" i="1"/>
  <c r="XK5" i="1"/>
  <c r="XJ5" i="1"/>
  <c r="XI5" i="1"/>
  <c r="XH5" i="1"/>
  <c r="XG5" i="1"/>
  <c r="XF5" i="1"/>
  <c r="XE5" i="1"/>
  <c r="XD5" i="1"/>
  <c r="XC5" i="1"/>
  <c r="XB5" i="1"/>
  <c r="XA5" i="1"/>
  <c r="WZ5" i="1"/>
  <c r="WY5" i="1"/>
  <c r="WX5" i="1"/>
  <c r="WW5" i="1"/>
  <c r="WV5" i="1"/>
  <c r="WU5" i="1"/>
  <c r="WT5" i="1"/>
  <c r="WS5" i="1"/>
  <c r="WR5" i="1"/>
  <c r="WQ5" i="1"/>
  <c r="WP5" i="1"/>
  <c r="WO5" i="1"/>
  <c r="WN5" i="1"/>
  <c r="WM5" i="1"/>
  <c r="WL5" i="1"/>
  <c r="WK5" i="1"/>
  <c r="WJ5" i="1"/>
  <c r="WI5" i="1"/>
  <c r="WH5" i="1"/>
  <c r="WG5" i="1"/>
  <c r="WF5" i="1"/>
  <c r="WE5" i="1"/>
  <c r="WD5" i="1"/>
  <c r="WC5" i="1"/>
  <c r="WB5" i="1"/>
  <c r="WA5" i="1"/>
  <c r="VZ5" i="1"/>
  <c r="VY5" i="1"/>
  <c r="VX5" i="1"/>
  <c r="VW5" i="1"/>
  <c r="VV5" i="1"/>
  <c r="VU5" i="1"/>
  <c r="VT5" i="1"/>
  <c r="VS5" i="1"/>
  <c r="VR5" i="1"/>
  <c r="VQ5" i="1"/>
  <c r="VP5" i="1"/>
  <c r="VO5" i="1"/>
  <c r="VN5" i="1"/>
  <c r="VM5" i="1"/>
  <c r="VL5" i="1"/>
  <c r="VK5" i="1"/>
  <c r="VJ5" i="1"/>
  <c r="VI5" i="1"/>
  <c r="VH5" i="1"/>
  <c r="VG5" i="1"/>
  <c r="VF5" i="1"/>
  <c r="VE5" i="1"/>
  <c r="VD5" i="1"/>
  <c r="VC5" i="1"/>
  <c r="VB5" i="1"/>
  <c r="VA5" i="1"/>
  <c r="UZ5" i="1"/>
  <c r="UY5" i="1"/>
  <c r="UX5" i="1"/>
  <c r="UW5" i="1"/>
  <c r="UV5" i="1"/>
  <c r="UU5" i="1"/>
  <c r="UT5" i="1"/>
  <c r="US5" i="1"/>
  <c r="UR5" i="1"/>
  <c r="UQ5" i="1"/>
  <c r="UP5" i="1"/>
  <c r="UO5" i="1"/>
  <c r="UN5" i="1"/>
  <c r="UM5" i="1"/>
  <c r="UL5" i="1"/>
  <c r="UK5" i="1"/>
  <c r="UJ5" i="1"/>
  <c r="UI5" i="1"/>
  <c r="UH5" i="1"/>
  <c r="UG5" i="1"/>
  <c r="UF5" i="1"/>
  <c r="UE5" i="1"/>
  <c r="UD5" i="1"/>
  <c r="UC5" i="1"/>
  <c r="UB5" i="1"/>
  <c r="UA5" i="1"/>
  <c r="TZ5" i="1"/>
  <c r="TY5" i="1"/>
  <c r="TX5" i="1"/>
  <c r="TW5" i="1"/>
  <c r="TV5" i="1"/>
  <c r="TU5" i="1"/>
  <c r="TT5" i="1"/>
  <c r="TS5" i="1"/>
  <c r="TR5" i="1"/>
  <c r="TQ5" i="1"/>
  <c r="TP5" i="1"/>
  <c r="TO5" i="1"/>
  <c r="TN5" i="1"/>
  <c r="TM5" i="1"/>
  <c r="TL5" i="1"/>
  <c r="TK5" i="1"/>
  <c r="TJ5" i="1"/>
  <c r="TI5" i="1"/>
  <c r="TH5" i="1"/>
  <c r="TG5" i="1"/>
  <c r="TF5" i="1"/>
  <c r="TE5" i="1"/>
  <c r="TD5" i="1"/>
  <c r="TC5" i="1"/>
  <c r="TB5" i="1"/>
  <c r="TA5" i="1"/>
  <c r="SZ5" i="1"/>
  <c r="SY5" i="1"/>
  <c r="SX5" i="1"/>
  <c r="SW5" i="1"/>
  <c r="SV5" i="1"/>
  <c r="SU5" i="1"/>
  <c r="ST5" i="1"/>
  <c r="SS5" i="1"/>
  <c r="SR5" i="1"/>
  <c r="SQ5" i="1"/>
  <c r="SP5" i="1"/>
  <c r="SO5" i="1"/>
  <c r="SN5" i="1"/>
  <c r="SM5" i="1"/>
  <c r="SL5" i="1"/>
  <c r="SK5" i="1"/>
  <c r="SJ5" i="1"/>
  <c r="SI5" i="1"/>
  <c r="SH5" i="1"/>
  <c r="SG5" i="1"/>
  <c r="SF5" i="1"/>
  <c r="SE5" i="1"/>
  <c r="SD5" i="1"/>
  <c r="SC5" i="1"/>
  <c r="SB5" i="1"/>
  <c r="SA5" i="1"/>
  <c r="RZ5" i="1"/>
  <c r="RY5" i="1"/>
  <c r="RX5" i="1"/>
  <c r="RW5" i="1"/>
  <c r="RV5" i="1"/>
  <c r="RU5" i="1"/>
  <c r="RT5" i="1"/>
  <c r="RS5" i="1"/>
  <c r="RR5" i="1"/>
  <c r="RQ5" i="1"/>
  <c r="RP5" i="1"/>
  <c r="RO5" i="1"/>
  <c r="RN5" i="1"/>
  <c r="RM5" i="1"/>
  <c r="RL5" i="1"/>
  <c r="RK5" i="1"/>
  <c r="RJ5" i="1"/>
  <c r="RI5" i="1"/>
  <c r="RH5" i="1"/>
  <c r="RG5" i="1"/>
  <c r="RF5" i="1"/>
  <c r="RE5" i="1"/>
  <c r="RD5" i="1"/>
  <c r="RC5" i="1"/>
  <c r="RB5" i="1"/>
  <c r="RA5" i="1"/>
  <c r="QZ5" i="1"/>
  <c r="QY5" i="1"/>
  <c r="QX5" i="1"/>
  <c r="QW5" i="1"/>
  <c r="QV5" i="1"/>
  <c r="QU5" i="1"/>
  <c r="QT5" i="1"/>
  <c r="QS5" i="1"/>
  <c r="QR5" i="1"/>
  <c r="QQ5" i="1"/>
  <c r="QP5" i="1"/>
  <c r="QO5" i="1"/>
  <c r="QN5" i="1"/>
  <c r="QM5" i="1"/>
  <c r="QL5" i="1"/>
  <c r="QK5" i="1"/>
  <c r="QJ5" i="1"/>
  <c r="QI5" i="1"/>
  <c r="QH5" i="1"/>
  <c r="QG5" i="1"/>
  <c r="QF5" i="1"/>
  <c r="QE5" i="1"/>
  <c r="QD5" i="1"/>
  <c r="QC5" i="1"/>
  <c r="QB5" i="1"/>
  <c r="QA5" i="1"/>
  <c r="PZ5" i="1"/>
  <c r="PY5" i="1"/>
  <c r="PX5" i="1"/>
  <c r="PW5" i="1"/>
  <c r="PV5" i="1"/>
  <c r="PU5" i="1"/>
  <c r="PT5" i="1"/>
  <c r="PS5" i="1"/>
  <c r="PR5" i="1"/>
  <c r="PQ5" i="1"/>
  <c r="PP5" i="1"/>
  <c r="PO5" i="1"/>
  <c r="PN5" i="1"/>
  <c r="PM5" i="1"/>
  <c r="PL5" i="1"/>
  <c r="PK5" i="1"/>
  <c r="PJ5" i="1"/>
  <c r="PI5" i="1"/>
  <c r="PH5" i="1"/>
  <c r="PG5" i="1"/>
  <c r="PF5" i="1"/>
  <c r="PE5" i="1"/>
  <c r="PD5" i="1"/>
  <c r="PC5" i="1"/>
  <c r="PB5" i="1"/>
  <c r="PA5" i="1"/>
  <c r="OZ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L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X5" i="1"/>
  <c r="NW5" i="1"/>
  <c r="NV5" i="1"/>
  <c r="NU5" i="1"/>
  <c r="NT5" i="1"/>
  <c r="NS5" i="1"/>
  <c r="NR5" i="1"/>
  <c r="NQ5" i="1"/>
  <c r="NP5" i="1"/>
  <c r="NO5" i="1"/>
  <c r="NN5" i="1"/>
  <c r="NM5" i="1"/>
  <c r="NL5" i="1"/>
  <c r="NK5" i="1"/>
  <c r="NJ5" i="1"/>
  <c r="NI5" i="1"/>
  <c r="NH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TQ4" i="1"/>
  <c r="ATP4" i="1"/>
  <c r="ATO4" i="1"/>
  <c r="ATN4" i="1"/>
  <c r="ATM4" i="1"/>
  <c r="ATL4" i="1"/>
  <c r="ATK4" i="1"/>
  <c r="ATJ4" i="1"/>
  <c r="ATI4" i="1"/>
  <c r="ATH4" i="1"/>
  <c r="ATG4" i="1"/>
  <c r="ATF4" i="1"/>
  <c r="ATE4" i="1"/>
  <c r="ATD4" i="1"/>
  <c r="ATC4" i="1"/>
  <c r="ATB4" i="1"/>
  <c r="ATA4" i="1"/>
  <c r="ASZ4" i="1"/>
  <c r="ASY4" i="1"/>
  <c r="ASX4" i="1"/>
  <c r="ASW4" i="1"/>
  <c r="ASV4" i="1"/>
  <c r="ASU4" i="1"/>
  <c r="AST4" i="1"/>
  <c r="ASS4" i="1"/>
  <c r="ASR4" i="1"/>
  <c r="ASQ4" i="1"/>
  <c r="ASP4" i="1"/>
  <c r="ASO4" i="1"/>
  <c r="ASN4" i="1"/>
  <c r="ASM4" i="1"/>
  <c r="ASL4" i="1"/>
  <c r="ASK4" i="1"/>
  <c r="ASJ4" i="1"/>
  <c r="ASI4" i="1"/>
  <c r="ASH4" i="1"/>
  <c r="ASG4" i="1"/>
  <c r="ASF4" i="1"/>
  <c r="ASE4" i="1"/>
  <c r="ASD4" i="1"/>
  <c r="ASC4" i="1"/>
  <c r="ASB4" i="1"/>
  <c r="ASA4" i="1"/>
  <c r="ARZ4" i="1"/>
  <c r="ARY4" i="1"/>
  <c r="ARX4" i="1"/>
  <c r="ARW4" i="1"/>
  <c r="ARV4" i="1"/>
  <c r="ARU4" i="1"/>
  <c r="ART4" i="1"/>
  <c r="ARS4" i="1"/>
  <c r="ARR4" i="1"/>
  <c r="ARQ4" i="1"/>
  <c r="ARP4" i="1"/>
  <c r="ARO4" i="1"/>
  <c r="ARN4" i="1"/>
  <c r="ARM4" i="1"/>
  <c r="ARL4" i="1"/>
  <c r="ARK4" i="1"/>
  <c r="ARJ4" i="1"/>
  <c r="ARI4" i="1"/>
  <c r="ARH4" i="1"/>
  <c r="ARG4" i="1"/>
  <c r="ARF4" i="1"/>
  <c r="ARE4" i="1"/>
  <c r="ARD4" i="1"/>
  <c r="ARC4" i="1"/>
  <c r="ARB4" i="1"/>
  <c r="ARA4" i="1"/>
  <c r="AQZ4" i="1"/>
  <c r="AQY4" i="1"/>
  <c r="AQX4" i="1"/>
  <c r="AQW4" i="1"/>
  <c r="AQV4" i="1"/>
  <c r="AQU4" i="1"/>
  <c r="AQT4" i="1"/>
  <c r="AQS4" i="1"/>
  <c r="AQR4" i="1"/>
  <c r="AQQ4" i="1"/>
  <c r="AQP4" i="1"/>
  <c r="AQO4" i="1"/>
  <c r="AQN4" i="1"/>
  <c r="AQM4" i="1"/>
  <c r="AQL4" i="1"/>
  <c r="AQK4" i="1"/>
  <c r="AQJ4" i="1"/>
  <c r="AQI4" i="1"/>
  <c r="AQH4" i="1"/>
  <c r="AQG4" i="1"/>
  <c r="AQF4" i="1"/>
  <c r="AQE4" i="1"/>
  <c r="AQD4" i="1"/>
  <c r="AQC4" i="1"/>
  <c r="AQB4" i="1"/>
  <c r="AQA4" i="1"/>
  <c r="APZ4" i="1"/>
  <c r="APY4" i="1"/>
  <c r="APX4" i="1"/>
  <c r="APW4" i="1"/>
  <c r="APV4" i="1"/>
  <c r="APU4" i="1"/>
  <c r="APT4" i="1"/>
  <c r="APS4" i="1"/>
  <c r="APR4" i="1"/>
  <c r="APQ4" i="1"/>
  <c r="APP4" i="1"/>
  <c r="APO4" i="1"/>
  <c r="APN4" i="1"/>
  <c r="APM4" i="1"/>
  <c r="APL4" i="1"/>
  <c r="APK4" i="1"/>
  <c r="APJ4" i="1"/>
  <c r="API4" i="1"/>
  <c r="APH4" i="1"/>
  <c r="APG4" i="1"/>
  <c r="APF4" i="1"/>
  <c r="APE4" i="1"/>
  <c r="APD4" i="1"/>
  <c r="APC4" i="1"/>
  <c r="APB4" i="1"/>
  <c r="APA4" i="1"/>
  <c r="AOZ4" i="1"/>
  <c r="AOY4" i="1"/>
  <c r="AOX4" i="1"/>
  <c r="AOW4" i="1"/>
  <c r="AOV4" i="1"/>
  <c r="AOU4" i="1"/>
  <c r="AOT4" i="1"/>
  <c r="AOS4" i="1"/>
  <c r="AOR4" i="1"/>
  <c r="AOQ4" i="1"/>
  <c r="AOP4" i="1"/>
  <c r="AOO4" i="1"/>
  <c r="AON4" i="1"/>
  <c r="AOM4" i="1"/>
  <c r="AOL4" i="1"/>
  <c r="AOK4" i="1"/>
  <c r="AOJ4" i="1"/>
  <c r="AOI4" i="1"/>
  <c r="AOH4" i="1"/>
  <c r="AOG4" i="1"/>
  <c r="AOF4" i="1"/>
  <c r="AOE4" i="1"/>
  <c r="AOD4" i="1"/>
  <c r="AOC4" i="1"/>
  <c r="AOB4" i="1"/>
  <c r="AOA4" i="1"/>
  <c r="ANZ4" i="1"/>
  <c r="ANY4" i="1"/>
  <c r="ANX4" i="1"/>
  <c r="ANW4" i="1"/>
  <c r="ANV4" i="1"/>
  <c r="ANU4" i="1"/>
  <c r="ANT4" i="1"/>
  <c r="ANS4" i="1"/>
  <c r="ANR4" i="1"/>
  <c r="ANQ4" i="1"/>
  <c r="ANP4" i="1"/>
  <c r="ANO4" i="1"/>
  <c r="ANN4" i="1"/>
  <c r="ANM4" i="1"/>
  <c r="ANL4" i="1"/>
  <c r="ANK4" i="1"/>
  <c r="ANJ4" i="1"/>
  <c r="ANI4" i="1"/>
  <c r="ANH4" i="1"/>
  <c r="ANG4" i="1"/>
  <c r="ANF4" i="1"/>
  <c r="ANE4" i="1"/>
  <c r="AND4" i="1"/>
  <c r="ANC4" i="1"/>
  <c r="ANB4" i="1"/>
  <c r="ANA4" i="1"/>
  <c r="AMZ4" i="1"/>
  <c r="AMY4" i="1"/>
  <c r="AMX4" i="1"/>
  <c r="AMW4" i="1"/>
  <c r="AMV4" i="1"/>
  <c r="AMU4" i="1"/>
  <c r="AMT4" i="1"/>
  <c r="AMS4" i="1"/>
  <c r="AMR4" i="1"/>
  <c r="AMQ4" i="1"/>
  <c r="AMP4" i="1"/>
  <c r="AMO4" i="1"/>
  <c r="AMN4" i="1"/>
  <c r="AMM4" i="1"/>
  <c r="AML4" i="1"/>
  <c r="AMK4" i="1"/>
  <c r="AMJ4" i="1"/>
  <c r="AMI4" i="1"/>
  <c r="AMH4" i="1"/>
  <c r="AMG4" i="1"/>
  <c r="AMF4" i="1"/>
  <c r="AME4" i="1"/>
  <c r="AMD4" i="1"/>
  <c r="AMC4" i="1"/>
  <c r="AMB4" i="1"/>
  <c r="AMA4" i="1"/>
  <c r="ALZ4" i="1"/>
  <c r="ALY4" i="1"/>
  <c r="ALX4" i="1"/>
  <c r="ALW4" i="1"/>
  <c r="ALV4" i="1"/>
  <c r="ALU4" i="1"/>
  <c r="ALT4" i="1"/>
  <c r="ALS4" i="1"/>
  <c r="ALR4" i="1"/>
  <c r="ALQ4" i="1"/>
  <c r="ALP4" i="1"/>
  <c r="ALO4" i="1"/>
  <c r="ALN4" i="1"/>
  <c r="ALM4" i="1"/>
  <c r="ALL4" i="1"/>
  <c r="ALK4" i="1"/>
  <c r="ALJ4" i="1"/>
  <c r="ALI4" i="1"/>
  <c r="ALH4" i="1"/>
  <c r="ALG4" i="1"/>
  <c r="ALF4" i="1"/>
  <c r="ALE4" i="1"/>
  <c r="ALD4" i="1"/>
  <c r="ALC4" i="1"/>
  <c r="ALB4" i="1"/>
  <c r="ALA4" i="1"/>
  <c r="AKZ4" i="1"/>
  <c r="AKY4" i="1"/>
  <c r="AKX4" i="1"/>
  <c r="AKW4" i="1"/>
  <c r="AKV4" i="1"/>
  <c r="AKU4" i="1"/>
  <c r="AKT4" i="1"/>
  <c r="AKS4" i="1"/>
  <c r="AKR4" i="1"/>
  <c r="AKQ4" i="1"/>
  <c r="AKP4" i="1"/>
  <c r="AKO4" i="1"/>
  <c r="AKN4" i="1"/>
  <c r="AKM4" i="1"/>
  <c r="AKL4" i="1"/>
  <c r="AKK4" i="1"/>
  <c r="AKJ4" i="1"/>
  <c r="AKI4" i="1"/>
  <c r="AKH4" i="1"/>
  <c r="AKG4" i="1"/>
  <c r="AKF4" i="1"/>
  <c r="AKE4" i="1"/>
  <c r="AKD4" i="1"/>
  <c r="AKC4" i="1"/>
  <c r="AKB4" i="1"/>
  <c r="AKA4" i="1"/>
  <c r="AJZ4" i="1"/>
  <c r="AJY4" i="1"/>
  <c r="AJX4" i="1"/>
  <c r="AJW4" i="1"/>
  <c r="AJV4" i="1"/>
  <c r="AJU4" i="1"/>
  <c r="AJT4" i="1"/>
  <c r="AJS4" i="1"/>
  <c r="AJR4" i="1"/>
  <c r="AJQ4" i="1"/>
  <c r="AJP4" i="1"/>
  <c r="AJO4" i="1"/>
  <c r="AJN4" i="1"/>
  <c r="AJM4" i="1"/>
  <c r="AJL4" i="1"/>
  <c r="AJK4" i="1"/>
  <c r="AJJ4" i="1"/>
  <c r="AJI4" i="1"/>
  <c r="AJH4" i="1"/>
  <c r="AJG4" i="1"/>
  <c r="AJF4" i="1"/>
  <c r="AJE4" i="1"/>
  <c r="AJD4" i="1"/>
  <c r="AJC4" i="1"/>
  <c r="AJB4" i="1"/>
  <c r="AJA4" i="1"/>
  <c r="AIZ4" i="1"/>
  <c r="AIY4" i="1"/>
  <c r="AIX4" i="1"/>
  <c r="AIW4" i="1"/>
  <c r="AIV4" i="1"/>
  <c r="AIU4" i="1"/>
  <c r="AIT4" i="1"/>
  <c r="AIS4" i="1"/>
  <c r="AIR4" i="1"/>
  <c r="AIQ4" i="1"/>
  <c r="AIP4" i="1"/>
  <c r="AIO4" i="1"/>
  <c r="AIN4" i="1"/>
  <c r="AIM4" i="1"/>
  <c r="AIL4" i="1"/>
  <c r="AIK4" i="1"/>
  <c r="AIJ4" i="1"/>
  <c r="AII4" i="1"/>
  <c r="AIH4" i="1"/>
  <c r="AIG4" i="1"/>
  <c r="AIF4" i="1"/>
  <c r="AIE4" i="1"/>
  <c r="AID4" i="1"/>
  <c r="AIC4" i="1"/>
  <c r="AIB4" i="1"/>
  <c r="AIA4" i="1"/>
  <c r="AHZ4" i="1"/>
  <c r="AHY4" i="1"/>
  <c r="AHX4" i="1"/>
  <c r="AHW4" i="1"/>
  <c r="AHV4" i="1"/>
  <c r="AHU4" i="1"/>
  <c r="AHT4" i="1"/>
  <c r="AHS4" i="1"/>
  <c r="AHR4" i="1"/>
  <c r="AHQ4" i="1"/>
  <c r="AHP4" i="1"/>
  <c r="AHO4" i="1"/>
  <c r="AHN4" i="1"/>
  <c r="AHM4" i="1"/>
  <c r="AHL4" i="1"/>
  <c r="AHK4" i="1"/>
  <c r="AHJ4" i="1"/>
  <c r="AHI4" i="1"/>
  <c r="AHH4" i="1"/>
  <c r="AHG4" i="1"/>
  <c r="AHF4" i="1"/>
  <c r="AHE4" i="1"/>
  <c r="AHD4" i="1"/>
  <c r="AHC4" i="1"/>
  <c r="AHB4" i="1"/>
  <c r="AHA4" i="1"/>
  <c r="AGZ4" i="1"/>
  <c r="AGY4" i="1"/>
  <c r="AGX4" i="1"/>
  <c r="AGW4" i="1"/>
  <c r="AGV4" i="1"/>
  <c r="AGU4" i="1"/>
  <c r="AGT4" i="1"/>
  <c r="AGS4" i="1"/>
  <c r="AGR4" i="1"/>
  <c r="AGQ4" i="1"/>
  <c r="AGP4" i="1"/>
  <c r="AGO4" i="1"/>
  <c r="AGN4" i="1"/>
  <c r="AGM4" i="1"/>
  <c r="AGL4" i="1"/>
  <c r="AGK4" i="1"/>
  <c r="AGJ4" i="1"/>
  <c r="AGI4" i="1"/>
  <c r="AGH4" i="1"/>
  <c r="AGG4" i="1"/>
  <c r="AGF4" i="1"/>
  <c r="AGE4" i="1"/>
  <c r="AGD4" i="1"/>
  <c r="AGC4" i="1"/>
  <c r="AGB4" i="1"/>
  <c r="AGA4" i="1"/>
  <c r="AFZ4" i="1"/>
  <c r="AFY4" i="1"/>
  <c r="AFX4" i="1"/>
  <c r="AFW4" i="1"/>
  <c r="AFV4" i="1"/>
  <c r="AFU4" i="1"/>
  <c r="AFT4" i="1"/>
  <c r="AFS4" i="1"/>
  <c r="AFR4" i="1"/>
  <c r="AFQ4" i="1"/>
  <c r="AFP4" i="1"/>
  <c r="AFO4" i="1"/>
  <c r="AFN4" i="1"/>
  <c r="AFM4" i="1"/>
  <c r="AFL4" i="1"/>
  <c r="AFK4" i="1"/>
  <c r="AFJ4" i="1"/>
  <c r="AFI4" i="1"/>
  <c r="AFH4" i="1"/>
  <c r="AFG4" i="1"/>
  <c r="AFF4" i="1"/>
  <c r="AFE4" i="1"/>
  <c r="AFD4" i="1"/>
  <c r="AFC4" i="1"/>
  <c r="AFB4" i="1"/>
  <c r="AFA4" i="1"/>
  <c r="AEZ4" i="1"/>
  <c r="AEY4" i="1"/>
  <c r="AEX4" i="1"/>
  <c r="AEW4" i="1"/>
  <c r="AEV4" i="1"/>
  <c r="AEU4" i="1"/>
  <c r="AET4" i="1"/>
  <c r="AES4" i="1"/>
  <c r="AER4" i="1"/>
  <c r="AEQ4" i="1"/>
  <c r="AEP4" i="1"/>
  <c r="AEO4" i="1"/>
  <c r="AEN4" i="1"/>
  <c r="AEM4" i="1"/>
  <c r="AEL4" i="1"/>
  <c r="AEK4" i="1"/>
  <c r="AEJ4" i="1"/>
  <c r="AEI4" i="1"/>
  <c r="AEH4" i="1"/>
  <c r="AEG4" i="1"/>
  <c r="AEF4" i="1"/>
  <c r="AEE4" i="1"/>
  <c r="AED4" i="1"/>
  <c r="AEC4" i="1"/>
  <c r="AEB4" i="1"/>
  <c r="AEA4" i="1"/>
  <c r="ADZ4" i="1"/>
  <c r="ADY4" i="1"/>
  <c r="ADX4" i="1"/>
  <c r="ADW4" i="1"/>
  <c r="ADV4" i="1"/>
  <c r="ADU4" i="1"/>
  <c r="ADT4" i="1"/>
  <c r="ADS4" i="1"/>
  <c r="ADR4" i="1"/>
  <c r="ADQ4" i="1"/>
  <c r="ADP4" i="1"/>
  <c r="ADO4" i="1"/>
  <c r="ADN4" i="1"/>
  <c r="ADM4" i="1"/>
  <c r="ADL4" i="1"/>
  <c r="ADK4" i="1"/>
  <c r="ADJ4" i="1"/>
  <c r="ADI4" i="1"/>
  <c r="ADH4" i="1"/>
  <c r="ADG4" i="1"/>
  <c r="ADF4" i="1"/>
  <c r="ADE4" i="1"/>
  <c r="ADD4" i="1"/>
  <c r="ADC4" i="1"/>
  <c r="ADB4" i="1"/>
  <c r="ADA4" i="1"/>
  <c r="ACZ4" i="1"/>
  <c r="ACY4" i="1"/>
  <c r="ACX4" i="1"/>
  <c r="ACW4" i="1"/>
  <c r="ACV4" i="1"/>
  <c r="ACU4" i="1"/>
  <c r="ACT4" i="1"/>
  <c r="ACS4" i="1"/>
  <c r="ACR4" i="1"/>
  <c r="ACQ4" i="1"/>
  <c r="ACP4" i="1"/>
  <c r="ACO4" i="1"/>
  <c r="ACN4" i="1"/>
  <c r="ACM4" i="1"/>
  <c r="ACL4" i="1"/>
  <c r="ACK4" i="1"/>
  <c r="ACJ4" i="1"/>
  <c r="ACI4" i="1"/>
  <c r="ACH4" i="1"/>
  <c r="ACG4" i="1"/>
  <c r="ACF4" i="1"/>
  <c r="ACE4" i="1"/>
  <c r="ACD4" i="1"/>
  <c r="ACC4" i="1"/>
  <c r="ACB4" i="1"/>
  <c r="ACA4" i="1"/>
  <c r="ABZ4" i="1"/>
  <c r="ABY4" i="1"/>
  <c r="ABX4" i="1"/>
  <c r="ABW4" i="1"/>
  <c r="ABV4" i="1"/>
  <c r="ABU4" i="1"/>
  <c r="ABT4" i="1"/>
  <c r="ABS4" i="1"/>
  <c r="ABR4" i="1"/>
  <c r="ABQ4" i="1"/>
  <c r="ABP4" i="1"/>
  <c r="ABO4" i="1"/>
  <c r="ABN4" i="1"/>
  <c r="ABM4" i="1"/>
  <c r="ABL4" i="1"/>
  <c r="ABK4" i="1"/>
  <c r="ABJ4" i="1"/>
  <c r="ABI4" i="1"/>
  <c r="ABH4" i="1"/>
  <c r="ABG4" i="1"/>
  <c r="ABF4" i="1"/>
  <c r="ABE4" i="1"/>
  <c r="ABD4" i="1"/>
  <c r="ABC4" i="1"/>
  <c r="ABB4" i="1"/>
  <c r="ABA4" i="1"/>
  <c r="AAZ4" i="1"/>
  <c r="AAY4" i="1"/>
  <c r="AAX4" i="1"/>
  <c r="AAW4" i="1"/>
  <c r="AAV4" i="1"/>
  <c r="AAU4" i="1"/>
  <c r="AAT4" i="1"/>
  <c r="AAS4" i="1"/>
  <c r="AAR4" i="1"/>
  <c r="AAQ4" i="1"/>
  <c r="AAP4" i="1"/>
  <c r="AAO4" i="1"/>
  <c r="AAN4" i="1"/>
  <c r="AAM4" i="1"/>
  <c r="AAL4" i="1"/>
  <c r="AAK4" i="1"/>
  <c r="AAJ4" i="1"/>
  <c r="AAI4" i="1"/>
  <c r="AAH4" i="1"/>
  <c r="AAG4" i="1"/>
  <c r="AAF4" i="1"/>
  <c r="AAE4" i="1"/>
  <c r="AAD4" i="1"/>
  <c r="AAC4" i="1"/>
  <c r="AAB4" i="1"/>
  <c r="AAA4" i="1"/>
  <c r="ZZ4" i="1"/>
  <c r="ZY4" i="1"/>
  <c r="ZX4" i="1"/>
  <c r="ZW4" i="1"/>
  <c r="ZV4" i="1"/>
  <c r="ZU4" i="1"/>
  <c r="ZT4" i="1"/>
  <c r="ZS4" i="1"/>
  <c r="ZR4" i="1"/>
  <c r="ZQ4" i="1"/>
  <c r="ZP4" i="1"/>
  <c r="ZO4" i="1"/>
  <c r="ZN4" i="1"/>
  <c r="ZM4" i="1"/>
  <c r="ZL4" i="1"/>
  <c r="ZK4" i="1"/>
  <c r="ZJ4" i="1"/>
  <c r="ZI4" i="1"/>
  <c r="ZH4" i="1"/>
  <c r="ZG4" i="1"/>
  <c r="ZF4" i="1"/>
  <c r="ZE4" i="1"/>
  <c r="ZD4" i="1"/>
  <c r="ZC4" i="1"/>
  <c r="ZB4" i="1"/>
  <c r="ZA4" i="1"/>
  <c r="YZ4" i="1"/>
  <c r="YY4" i="1"/>
  <c r="YX4" i="1"/>
  <c r="YW4" i="1"/>
  <c r="YV4" i="1"/>
  <c r="YU4" i="1"/>
  <c r="YT4" i="1"/>
  <c r="YS4" i="1"/>
  <c r="YR4" i="1"/>
  <c r="YQ4" i="1"/>
  <c r="YP4" i="1"/>
  <c r="YO4" i="1"/>
  <c r="YN4" i="1"/>
  <c r="YM4" i="1"/>
  <c r="YL4" i="1"/>
  <c r="YK4" i="1"/>
  <c r="YJ4" i="1"/>
  <c r="YI4" i="1"/>
  <c r="YH4" i="1"/>
  <c r="YG4" i="1"/>
  <c r="YF4" i="1"/>
  <c r="YE4" i="1"/>
  <c r="YD4" i="1"/>
  <c r="YC4" i="1"/>
  <c r="YB4" i="1"/>
  <c r="YA4" i="1"/>
  <c r="XZ4" i="1"/>
  <c r="XY4" i="1"/>
  <c r="XX4" i="1"/>
  <c r="XW4" i="1"/>
  <c r="XV4" i="1"/>
  <c r="XU4" i="1"/>
  <c r="XT4" i="1"/>
  <c r="XS4" i="1"/>
  <c r="XR4" i="1"/>
  <c r="XQ4" i="1"/>
  <c r="XP4" i="1"/>
  <c r="XO4" i="1"/>
  <c r="XN4" i="1"/>
  <c r="XM4" i="1"/>
  <c r="XL4" i="1"/>
  <c r="XK4" i="1"/>
  <c r="XJ4" i="1"/>
  <c r="XI4" i="1"/>
  <c r="XH4" i="1"/>
  <c r="XG4" i="1"/>
  <c r="XF4" i="1"/>
  <c r="XE4" i="1"/>
  <c r="XD4" i="1"/>
  <c r="XC4" i="1"/>
  <c r="XB4" i="1"/>
  <c r="XA4" i="1"/>
  <c r="WZ4" i="1"/>
  <c r="WY4" i="1"/>
  <c r="WX4" i="1"/>
  <c r="WW4" i="1"/>
  <c r="WV4" i="1"/>
  <c r="WU4" i="1"/>
  <c r="WT4" i="1"/>
  <c r="WS4" i="1"/>
  <c r="WR4" i="1"/>
  <c r="WQ4" i="1"/>
  <c r="WP4" i="1"/>
  <c r="WO4" i="1"/>
  <c r="WN4" i="1"/>
  <c r="WM4" i="1"/>
  <c r="WL4" i="1"/>
  <c r="WK4" i="1"/>
  <c r="WJ4" i="1"/>
  <c r="WI4" i="1"/>
  <c r="WH4" i="1"/>
  <c r="WG4" i="1"/>
  <c r="WF4" i="1"/>
  <c r="WE4" i="1"/>
  <c r="WD4" i="1"/>
  <c r="WC4" i="1"/>
  <c r="WB4" i="1"/>
  <c r="WA4" i="1"/>
  <c r="VZ4" i="1"/>
  <c r="VY4" i="1"/>
  <c r="VX4" i="1"/>
  <c r="VW4" i="1"/>
  <c r="VV4" i="1"/>
  <c r="VU4" i="1"/>
  <c r="VT4" i="1"/>
  <c r="VS4" i="1"/>
  <c r="VR4" i="1"/>
  <c r="VQ4" i="1"/>
  <c r="VP4" i="1"/>
  <c r="VO4" i="1"/>
  <c r="VN4" i="1"/>
  <c r="VM4" i="1"/>
  <c r="VL4" i="1"/>
  <c r="VK4" i="1"/>
  <c r="VJ4" i="1"/>
  <c r="VI4" i="1"/>
  <c r="VH4" i="1"/>
  <c r="VG4" i="1"/>
  <c r="VF4" i="1"/>
  <c r="VE4" i="1"/>
  <c r="VD4" i="1"/>
  <c r="VC4" i="1"/>
  <c r="VB4" i="1"/>
  <c r="VA4" i="1"/>
  <c r="UZ4" i="1"/>
  <c r="UY4" i="1"/>
  <c r="UX4" i="1"/>
  <c r="UW4" i="1"/>
  <c r="UV4" i="1"/>
  <c r="UU4" i="1"/>
  <c r="UT4" i="1"/>
  <c r="US4" i="1"/>
  <c r="UR4" i="1"/>
  <c r="UQ4" i="1"/>
  <c r="UP4" i="1"/>
  <c r="UO4" i="1"/>
  <c r="UN4" i="1"/>
  <c r="UM4" i="1"/>
  <c r="UL4" i="1"/>
  <c r="UK4" i="1"/>
  <c r="UJ4" i="1"/>
  <c r="UI4" i="1"/>
  <c r="UH4" i="1"/>
  <c r="UG4" i="1"/>
  <c r="UF4" i="1"/>
  <c r="UE4" i="1"/>
  <c r="UD4" i="1"/>
  <c r="UC4" i="1"/>
  <c r="UB4" i="1"/>
  <c r="UA4" i="1"/>
  <c r="TZ4" i="1"/>
  <c r="TY4" i="1"/>
  <c r="TX4" i="1"/>
  <c r="TW4" i="1"/>
  <c r="TV4" i="1"/>
  <c r="TU4" i="1"/>
  <c r="TT4" i="1"/>
  <c r="TS4" i="1"/>
  <c r="TR4" i="1"/>
  <c r="TQ4" i="1"/>
  <c r="TP4" i="1"/>
  <c r="TO4" i="1"/>
  <c r="TN4" i="1"/>
  <c r="TM4" i="1"/>
  <c r="TL4" i="1"/>
  <c r="TK4" i="1"/>
  <c r="TJ4" i="1"/>
  <c r="TI4" i="1"/>
  <c r="TH4" i="1"/>
  <c r="TG4" i="1"/>
  <c r="TF4" i="1"/>
  <c r="TE4" i="1"/>
  <c r="TD4" i="1"/>
  <c r="TC4" i="1"/>
  <c r="TB4" i="1"/>
  <c r="TA4" i="1"/>
  <c r="SZ4" i="1"/>
  <c r="SY4" i="1"/>
  <c r="SX4" i="1"/>
  <c r="SW4" i="1"/>
  <c r="SV4" i="1"/>
  <c r="SU4" i="1"/>
  <c r="ST4" i="1"/>
  <c r="SS4" i="1"/>
  <c r="SR4" i="1"/>
  <c r="SQ4" i="1"/>
  <c r="SP4" i="1"/>
  <c r="SO4" i="1"/>
  <c r="SN4" i="1"/>
  <c r="SM4" i="1"/>
  <c r="SL4" i="1"/>
  <c r="SK4" i="1"/>
  <c r="SJ4" i="1"/>
  <c r="SI4" i="1"/>
  <c r="SH4" i="1"/>
  <c r="SG4" i="1"/>
  <c r="SF4" i="1"/>
  <c r="SE4" i="1"/>
  <c r="SD4" i="1"/>
  <c r="SC4" i="1"/>
  <c r="SB4" i="1"/>
  <c r="SA4" i="1"/>
  <c r="RZ4" i="1"/>
  <c r="RY4" i="1"/>
  <c r="RX4" i="1"/>
  <c r="RW4" i="1"/>
  <c r="RV4" i="1"/>
  <c r="RU4" i="1"/>
  <c r="RT4" i="1"/>
  <c r="RS4" i="1"/>
  <c r="RR4" i="1"/>
  <c r="RQ4" i="1"/>
  <c r="RP4" i="1"/>
  <c r="RO4" i="1"/>
  <c r="RN4" i="1"/>
  <c r="RM4" i="1"/>
  <c r="RL4" i="1"/>
  <c r="RK4" i="1"/>
  <c r="RJ4" i="1"/>
  <c r="RI4" i="1"/>
  <c r="RH4" i="1"/>
  <c r="RG4" i="1"/>
  <c r="RF4" i="1"/>
  <c r="RE4" i="1"/>
  <c r="RD4" i="1"/>
  <c r="RC4" i="1"/>
  <c r="RB4" i="1"/>
  <c r="RA4" i="1"/>
  <c r="QZ4" i="1"/>
  <c r="QY4" i="1"/>
  <c r="QX4" i="1"/>
  <c r="QW4" i="1"/>
  <c r="QV4" i="1"/>
  <c r="QU4" i="1"/>
  <c r="QT4" i="1"/>
  <c r="QS4" i="1"/>
  <c r="QR4" i="1"/>
  <c r="QQ4" i="1"/>
  <c r="QP4" i="1"/>
  <c r="QO4" i="1"/>
  <c r="QN4" i="1"/>
  <c r="QM4" i="1"/>
  <c r="QL4" i="1"/>
  <c r="QK4" i="1"/>
  <c r="QJ4" i="1"/>
  <c r="QI4" i="1"/>
  <c r="QH4" i="1"/>
  <c r="QG4" i="1"/>
  <c r="QF4" i="1"/>
  <c r="QE4" i="1"/>
  <c r="QD4" i="1"/>
  <c r="QC4" i="1"/>
  <c r="QB4" i="1"/>
  <c r="QA4" i="1"/>
  <c r="PZ4" i="1"/>
  <c r="PY4" i="1"/>
  <c r="PX4" i="1"/>
  <c r="PW4" i="1"/>
  <c r="PV4" i="1"/>
  <c r="PU4" i="1"/>
  <c r="PT4" i="1"/>
  <c r="PS4" i="1"/>
  <c r="PR4" i="1"/>
  <c r="PQ4" i="1"/>
  <c r="PP4" i="1"/>
  <c r="PO4" i="1"/>
  <c r="PN4" i="1"/>
  <c r="PM4" i="1"/>
  <c r="PL4" i="1"/>
  <c r="PK4" i="1"/>
  <c r="PJ4" i="1"/>
  <c r="PI4" i="1"/>
  <c r="PH4" i="1"/>
  <c r="PG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R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TQ3" i="1"/>
  <c r="ATP3" i="1"/>
  <c r="ATO3" i="1"/>
  <c r="ATN3" i="1"/>
  <c r="ATM3" i="1"/>
  <c r="ATL3" i="1"/>
  <c r="ATK3" i="1"/>
  <c r="ATJ3" i="1"/>
  <c r="ATI3" i="1"/>
  <c r="ATH3" i="1"/>
  <c r="ATG3" i="1"/>
  <c r="ATF3" i="1"/>
  <c r="ATE3" i="1"/>
  <c r="ATD3" i="1"/>
  <c r="ATC3" i="1"/>
  <c r="ATB3" i="1"/>
  <c r="ATA3" i="1"/>
  <c r="ASZ3" i="1"/>
  <c r="ASY3" i="1"/>
  <c r="ASX3" i="1"/>
  <c r="ASW3" i="1"/>
  <c r="ASV3" i="1"/>
  <c r="ASU3" i="1"/>
  <c r="AST3" i="1"/>
  <c r="ASS3" i="1"/>
  <c r="ASR3" i="1"/>
  <c r="ASQ3" i="1"/>
  <c r="ASP3" i="1"/>
  <c r="ASO3" i="1"/>
  <c r="ASN3" i="1"/>
  <c r="ASM3" i="1"/>
  <c r="ASL3" i="1"/>
  <c r="ASK3" i="1"/>
  <c r="ASJ3" i="1"/>
  <c r="ASI3" i="1"/>
  <c r="ASH3" i="1"/>
  <c r="ASG3" i="1"/>
  <c r="ASF3" i="1"/>
  <c r="ASE3" i="1"/>
  <c r="ASD3" i="1"/>
  <c r="ASC3" i="1"/>
  <c r="ASB3" i="1"/>
  <c r="ASA3" i="1"/>
  <c r="ARZ3" i="1"/>
  <c r="ARY3" i="1"/>
  <c r="ARX3" i="1"/>
  <c r="ARW3" i="1"/>
  <c r="ARV3" i="1"/>
  <c r="ARU3" i="1"/>
  <c r="ART3" i="1"/>
  <c r="ARS3" i="1"/>
  <c r="ARR3" i="1"/>
  <c r="ARQ3" i="1"/>
  <c r="ARP3" i="1"/>
  <c r="ARO3" i="1"/>
  <c r="ARN3" i="1"/>
  <c r="ARM3" i="1"/>
  <c r="ARL3" i="1"/>
  <c r="ARK3" i="1"/>
  <c r="ARJ3" i="1"/>
  <c r="ARI3" i="1"/>
  <c r="ARH3" i="1"/>
  <c r="ARG3" i="1"/>
  <c r="ARF3" i="1"/>
  <c r="ARE3" i="1"/>
  <c r="ARD3" i="1"/>
  <c r="ARC3" i="1"/>
  <c r="ARB3" i="1"/>
  <c r="ARA3" i="1"/>
  <c r="AQZ3" i="1"/>
  <c r="AQY3" i="1"/>
  <c r="AQX3" i="1"/>
  <c r="AQW3" i="1"/>
  <c r="AQV3" i="1"/>
  <c r="AQU3" i="1"/>
  <c r="AQT3" i="1"/>
  <c r="AQS3" i="1"/>
  <c r="AQR3" i="1"/>
  <c r="AQQ3" i="1"/>
  <c r="AQP3" i="1"/>
  <c r="AQO3" i="1"/>
  <c r="AQN3" i="1"/>
  <c r="AQM3" i="1"/>
  <c r="AQL3" i="1"/>
  <c r="AQK3" i="1"/>
  <c r="AQJ3" i="1"/>
  <c r="AQI3" i="1"/>
  <c r="AQH3" i="1"/>
  <c r="AQG3" i="1"/>
  <c r="AQF3" i="1"/>
  <c r="AQE3" i="1"/>
  <c r="AQD3" i="1"/>
  <c r="AQC3" i="1"/>
  <c r="AQB3" i="1"/>
  <c r="AQA3" i="1"/>
  <c r="APZ3" i="1"/>
  <c r="APY3" i="1"/>
  <c r="APX3" i="1"/>
  <c r="APW3" i="1"/>
  <c r="APV3" i="1"/>
  <c r="APU3" i="1"/>
  <c r="APT3" i="1"/>
  <c r="APS3" i="1"/>
  <c r="APR3" i="1"/>
  <c r="APQ3" i="1"/>
  <c r="APP3" i="1"/>
  <c r="APO3" i="1"/>
  <c r="APN3" i="1"/>
  <c r="APM3" i="1"/>
  <c r="APL3" i="1"/>
  <c r="APK3" i="1"/>
  <c r="APJ3" i="1"/>
  <c r="API3" i="1"/>
  <c r="APH3" i="1"/>
  <c r="APG3" i="1"/>
  <c r="APF3" i="1"/>
  <c r="APE3" i="1"/>
  <c r="APD3" i="1"/>
  <c r="APC3" i="1"/>
  <c r="APB3" i="1"/>
  <c r="APA3" i="1"/>
  <c r="AOZ3" i="1"/>
  <c r="AOY3" i="1"/>
  <c r="AOX3" i="1"/>
  <c r="AOW3" i="1"/>
  <c r="AOV3" i="1"/>
  <c r="AOU3" i="1"/>
  <c r="AOT3" i="1"/>
  <c r="AOS3" i="1"/>
  <c r="AOR3" i="1"/>
  <c r="AOQ3" i="1"/>
  <c r="AOP3" i="1"/>
  <c r="AOO3" i="1"/>
  <c r="AON3" i="1"/>
  <c r="AOM3" i="1"/>
  <c r="AOL3" i="1"/>
  <c r="AOK3" i="1"/>
  <c r="AOJ3" i="1"/>
  <c r="AOI3" i="1"/>
  <c r="AOH3" i="1"/>
  <c r="AOG3" i="1"/>
  <c r="AOF3" i="1"/>
  <c r="AOE3" i="1"/>
  <c r="AOD3" i="1"/>
  <c r="AOC3" i="1"/>
  <c r="AOB3" i="1"/>
  <c r="AOA3" i="1"/>
  <c r="ANZ3" i="1"/>
  <c r="ANY3" i="1"/>
  <c r="ANX3" i="1"/>
  <c r="ANW3" i="1"/>
  <c r="ANV3" i="1"/>
  <c r="ANU3" i="1"/>
  <c r="ANT3" i="1"/>
  <c r="ANS3" i="1"/>
  <c r="ANR3" i="1"/>
  <c r="ANQ3" i="1"/>
  <c r="ANP3" i="1"/>
  <c r="ANO3" i="1"/>
  <c r="ANN3" i="1"/>
  <c r="ANM3" i="1"/>
  <c r="ANL3" i="1"/>
  <c r="ANK3" i="1"/>
  <c r="ANJ3" i="1"/>
  <c r="ANI3" i="1"/>
  <c r="ANH3" i="1"/>
  <c r="ANG3" i="1"/>
  <c r="ANF3" i="1"/>
  <c r="ANE3" i="1"/>
  <c r="AND3" i="1"/>
  <c r="ANC3" i="1"/>
  <c r="ANB3" i="1"/>
  <c r="ANA3" i="1"/>
  <c r="AMZ3" i="1"/>
  <c r="AMY3" i="1"/>
  <c r="AMX3" i="1"/>
  <c r="AMW3" i="1"/>
  <c r="AMV3" i="1"/>
  <c r="AMU3" i="1"/>
  <c r="AMT3" i="1"/>
  <c r="AMS3" i="1"/>
  <c r="AMR3" i="1"/>
  <c r="AMQ3" i="1"/>
  <c r="AMP3" i="1"/>
  <c r="AMO3" i="1"/>
  <c r="AMN3" i="1"/>
  <c r="AMM3" i="1"/>
  <c r="AML3" i="1"/>
  <c r="AMK3" i="1"/>
  <c r="AMJ3" i="1"/>
  <c r="AMI3" i="1"/>
  <c r="AMH3" i="1"/>
  <c r="AMG3" i="1"/>
  <c r="AMF3" i="1"/>
  <c r="AME3" i="1"/>
  <c r="AMD3" i="1"/>
  <c r="AMC3" i="1"/>
  <c r="AMB3" i="1"/>
  <c r="AMA3" i="1"/>
  <c r="ALZ3" i="1"/>
  <c r="ALY3" i="1"/>
  <c r="ALX3" i="1"/>
  <c r="ALW3" i="1"/>
  <c r="ALV3" i="1"/>
  <c r="ALU3" i="1"/>
  <c r="ALT3" i="1"/>
  <c r="ALS3" i="1"/>
  <c r="ALR3" i="1"/>
  <c r="ALQ3" i="1"/>
  <c r="ALP3" i="1"/>
  <c r="ALO3" i="1"/>
  <c r="ALN3" i="1"/>
  <c r="ALM3" i="1"/>
  <c r="ALL3" i="1"/>
  <c r="ALK3" i="1"/>
  <c r="ALJ3" i="1"/>
  <c r="ALI3" i="1"/>
  <c r="ALH3" i="1"/>
  <c r="ALG3" i="1"/>
  <c r="ALF3" i="1"/>
  <c r="ALE3" i="1"/>
  <c r="ALD3" i="1"/>
  <c r="ALC3" i="1"/>
  <c r="ALB3" i="1"/>
  <c r="ALA3" i="1"/>
  <c r="AKZ3" i="1"/>
  <c r="AKY3" i="1"/>
  <c r="AKX3" i="1"/>
  <c r="AKW3" i="1"/>
  <c r="AKV3" i="1"/>
  <c r="AKU3" i="1"/>
  <c r="AKT3" i="1"/>
  <c r="AKS3" i="1"/>
  <c r="AKR3" i="1"/>
  <c r="AKQ3" i="1"/>
  <c r="AKP3" i="1"/>
  <c r="AKO3" i="1"/>
  <c r="AKN3" i="1"/>
  <c r="AKM3" i="1"/>
  <c r="AKL3" i="1"/>
  <c r="AKK3" i="1"/>
  <c r="AKJ3" i="1"/>
  <c r="AKI3" i="1"/>
  <c r="AKH3" i="1"/>
  <c r="AKG3" i="1"/>
  <c r="AKF3" i="1"/>
  <c r="AKE3" i="1"/>
  <c r="AKD3" i="1"/>
  <c r="AKC3" i="1"/>
  <c r="AKB3" i="1"/>
  <c r="AKA3" i="1"/>
  <c r="AJZ3" i="1"/>
  <c r="AJY3" i="1"/>
  <c r="AJX3" i="1"/>
  <c r="AJW3" i="1"/>
  <c r="AJV3" i="1"/>
  <c r="AJU3" i="1"/>
  <c r="AJT3" i="1"/>
  <c r="AJS3" i="1"/>
  <c r="AJR3" i="1"/>
  <c r="AJQ3" i="1"/>
  <c r="AJP3" i="1"/>
  <c r="AJO3" i="1"/>
  <c r="AJN3" i="1"/>
  <c r="AJM3" i="1"/>
  <c r="AJL3" i="1"/>
  <c r="AJK3" i="1"/>
  <c r="AJJ3" i="1"/>
  <c r="AJI3" i="1"/>
  <c r="AJH3" i="1"/>
  <c r="AJG3" i="1"/>
  <c r="AJF3" i="1"/>
  <c r="AJE3" i="1"/>
  <c r="AJD3" i="1"/>
  <c r="AJC3" i="1"/>
  <c r="AJB3" i="1"/>
  <c r="AJA3" i="1"/>
  <c r="AIZ3" i="1"/>
  <c r="AIY3" i="1"/>
  <c r="AIX3" i="1"/>
  <c r="AIW3" i="1"/>
  <c r="AIV3" i="1"/>
  <c r="AIU3" i="1"/>
  <c r="AIT3" i="1"/>
  <c r="AIS3" i="1"/>
  <c r="AIR3" i="1"/>
  <c r="AIQ3" i="1"/>
  <c r="AIP3" i="1"/>
  <c r="AIO3" i="1"/>
  <c r="AIN3" i="1"/>
  <c r="AIM3" i="1"/>
  <c r="AIL3" i="1"/>
  <c r="AIK3" i="1"/>
  <c r="AIJ3" i="1"/>
  <c r="AII3" i="1"/>
  <c r="AIH3" i="1"/>
  <c r="AIG3" i="1"/>
  <c r="AIF3" i="1"/>
  <c r="AIE3" i="1"/>
  <c r="AID3" i="1"/>
  <c r="AIC3" i="1"/>
  <c r="AIB3" i="1"/>
  <c r="AIA3" i="1"/>
  <c r="AHZ3" i="1"/>
  <c r="AHY3" i="1"/>
  <c r="AHX3" i="1"/>
  <c r="AHW3" i="1"/>
  <c r="AHV3" i="1"/>
  <c r="AHU3" i="1"/>
  <c r="AHT3" i="1"/>
  <c r="AHS3" i="1"/>
  <c r="AHR3" i="1"/>
  <c r="AHQ3" i="1"/>
  <c r="AHP3" i="1"/>
  <c r="AHO3" i="1"/>
  <c r="AHN3" i="1"/>
  <c r="AHM3" i="1"/>
  <c r="AHL3" i="1"/>
  <c r="AHK3" i="1"/>
  <c r="AHJ3" i="1"/>
  <c r="AHI3" i="1"/>
  <c r="AHH3" i="1"/>
  <c r="AHG3" i="1"/>
  <c r="AHF3" i="1"/>
  <c r="AHE3" i="1"/>
  <c r="AHD3" i="1"/>
  <c r="AHC3" i="1"/>
  <c r="AHB3" i="1"/>
  <c r="AHA3" i="1"/>
  <c r="AGZ3" i="1"/>
  <c r="AGY3" i="1"/>
  <c r="AGX3" i="1"/>
  <c r="AGW3" i="1"/>
  <c r="AGV3" i="1"/>
  <c r="AGU3" i="1"/>
  <c r="AGT3" i="1"/>
  <c r="AGS3" i="1"/>
  <c r="AGR3" i="1"/>
  <c r="AGQ3" i="1"/>
  <c r="AGP3" i="1"/>
  <c r="AGO3" i="1"/>
  <c r="AGN3" i="1"/>
  <c r="AGM3" i="1"/>
  <c r="AGL3" i="1"/>
  <c r="AGK3" i="1"/>
  <c r="AGJ3" i="1"/>
  <c r="AGI3" i="1"/>
  <c r="AGH3" i="1"/>
  <c r="AGG3" i="1"/>
  <c r="AGF3" i="1"/>
  <c r="AGE3" i="1"/>
  <c r="AGD3" i="1"/>
  <c r="AGC3" i="1"/>
  <c r="AGB3" i="1"/>
  <c r="AGA3" i="1"/>
  <c r="AFZ3" i="1"/>
  <c r="AFY3" i="1"/>
  <c r="AFX3" i="1"/>
  <c r="AFW3" i="1"/>
  <c r="AFV3" i="1"/>
  <c r="AFU3" i="1"/>
  <c r="AFT3" i="1"/>
  <c r="AFS3" i="1"/>
  <c r="AFR3" i="1"/>
  <c r="AFQ3" i="1"/>
  <c r="AFP3" i="1"/>
  <c r="AFO3" i="1"/>
  <c r="AFN3" i="1"/>
  <c r="AFM3" i="1"/>
  <c r="AFL3" i="1"/>
  <c r="AFK3" i="1"/>
  <c r="AFJ3" i="1"/>
  <c r="AFI3" i="1"/>
  <c r="AFH3" i="1"/>
  <c r="AFG3" i="1"/>
  <c r="AFF3" i="1"/>
  <c r="AFE3" i="1"/>
  <c r="AFD3" i="1"/>
  <c r="AFC3" i="1"/>
  <c r="AFB3" i="1"/>
  <c r="AFA3" i="1"/>
  <c r="AEZ3" i="1"/>
  <c r="AEY3" i="1"/>
  <c r="AEX3" i="1"/>
  <c r="AEW3" i="1"/>
  <c r="AEV3" i="1"/>
  <c r="AEU3" i="1"/>
  <c r="AET3" i="1"/>
  <c r="AES3" i="1"/>
  <c r="AER3" i="1"/>
  <c r="AEQ3" i="1"/>
  <c r="AEP3" i="1"/>
  <c r="AEO3" i="1"/>
  <c r="AEN3" i="1"/>
  <c r="AEM3" i="1"/>
  <c r="AEL3" i="1"/>
  <c r="AEK3" i="1"/>
  <c r="AEJ3" i="1"/>
  <c r="AEI3" i="1"/>
  <c r="AEH3" i="1"/>
  <c r="AEG3" i="1"/>
  <c r="AEF3" i="1"/>
  <c r="AEE3" i="1"/>
  <c r="AED3" i="1"/>
  <c r="AEC3" i="1"/>
  <c r="AEB3" i="1"/>
  <c r="AEA3" i="1"/>
  <c r="ADZ3" i="1"/>
  <c r="ADY3" i="1"/>
  <c r="ADX3" i="1"/>
  <c r="ADW3" i="1"/>
  <c r="ADV3" i="1"/>
  <c r="ADU3" i="1"/>
  <c r="ADT3" i="1"/>
  <c r="ADS3" i="1"/>
  <c r="ADR3" i="1"/>
  <c r="ADQ3" i="1"/>
  <c r="ADP3" i="1"/>
  <c r="ADO3" i="1"/>
  <c r="ADN3" i="1"/>
  <c r="ADM3" i="1"/>
  <c r="ADL3" i="1"/>
  <c r="ADK3" i="1"/>
  <c r="ADJ3" i="1"/>
  <c r="ADI3" i="1"/>
  <c r="ADH3" i="1"/>
  <c r="ADG3" i="1"/>
  <c r="ADF3" i="1"/>
  <c r="ADE3" i="1"/>
  <c r="ADD3" i="1"/>
  <c r="ADC3" i="1"/>
  <c r="ADB3" i="1"/>
  <c r="ADA3" i="1"/>
  <c r="ACZ3" i="1"/>
  <c r="ACY3" i="1"/>
  <c r="ACX3" i="1"/>
  <c r="ACW3" i="1"/>
  <c r="ACV3" i="1"/>
  <c r="ACU3" i="1"/>
  <c r="ACT3" i="1"/>
  <c r="ACS3" i="1"/>
  <c r="ACR3" i="1"/>
  <c r="ACQ3" i="1"/>
  <c r="ACP3" i="1"/>
  <c r="ACO3" i="1"/>
  <c r="ACN3" i="1"/>
  <c r="ACM3" i="1"/>
  <c r="ACL3" i="1"/>
  <c r="ACK3" i="1"/>
  <c r="ACJ3" i="1"/>
  <c r="ACI3" i="1"/>
  <c r="ACH3" i="1"/>
  <c r="ACG3" i="1"/>
  <c r="ACF3" i="1"/>
  <c r="ACE3" i="1"/>
  <c r="ACD3" i="1"/>
  <c r="ACC3" i="1"/>
  <c r="ACB3" i="1"/>
  <c r="ACA3" i="1"/>
  <c r="ABZ3" i="1"/>
  <c r="ABY3" i="1"/>
  <c r="ABX3" i="1"/>
  <c r="ABW3" i="1"/>
  <c r="ABV3" i="1"/>
  <c r="ABU3" i="1"/>
  <c r="ABT3" i="1"/>
  <c r="ABS3" i="1"/>
  <c r="ABR3" i="1"/>
  <c r="ABQ3" i="1"/>
  <c r="ABP3" i="1"/>
  <c r="ABO3" i="1"/>
  <c r="ABN3" i="1"/>
  <c r="ABM3" i="1"/>
  <c r="ABL3" i="1"/>
  <c r="ABK3" i="1"/>
  <c r="ABJ3" i="1"/>
  <c r="ABI3" i="1"/>
  <c r="ABH3" i="1"/>
  <c r="ABG3" i="1"/>
  <c r="ABF3" i="1"/>
  <c r="ABE3" i="1"/>
  <c r="ABD3" i="1"/>
  <c r="ABC3" i="1"/>
  <c r="ABB3" i="1"/>
  <c r="ABA3" i="1"/>
  <c r="AAZ3" i="1"/>
  <c r="AAY3" i="1"/>
  <c r="AAX3" i="1"/>
  <c r="AAW3" i="1"/>
  <c r="AAV3" i="1"/>
  <c r="AAU3" i="1"/>
  <c r="AAT3" i="1"/>
  <c r="AAS3" i="1"/>
  <c r="AAR3" i="1"/>
  <c r="AAQ3" i="1"/>
  <c r="AAP3" i="1"/>
  <c r="AAO3" i="1"/>
  <c r="AAN3" i="1"/>
  <c r="AAM3" i="1"/>
  <c r="AAL3" i="1"/>
  <c r="AAK3" i="1"/>
  <c r="AAJ3" i="1"/>
  <c r="AAI3" i="1"/>
  <c r="AAH3" i="1"/>
  <c r="AAG3" i="1"/>
  <c r="AAF3" i="1"/>
  <c r="AAE3" i="1"/>
  <c r="AAD3" i="1"/>
  <c r="AAC3" i="1"/>
  <c r="AAB3" i="1"/>
  <c r="AAA3" i="1"/>
  <c r="ZZ3" i="1"/>
  <c r="ZY3" i="1"/>
  <c r="ZX3" i="1"/>
  <c r="ZW3" i="1"/>
  <c r="ZV3" i="1"/>
  <c r="ZU3" i="1"/>
  <c r="ZT3" i="1"/>
  <c r="ZS3" i="1"/>
  <c r="ZR3" i="1"/>
  <c r="ZQ3" i="1"/>
  <c r="ZP3" i="1"/>
  <c r="ZO3" i="1"/>
  <c r="ZN3" i="1"/>
  <c r="ZM3" i="1"/>
  <c r="ZL3" i="1"/>
  <c r="ZK3" i="1"/>
  <c r="ZJ3" i="1"/>
  <c r="ZI3" i="1"/>
  <c r="ZH3" i="1"/>
  <c r="ZG3" i="1"/>
  <c r="ZF3" i="1"/>
  <c r="ZE3" i="1"/>
  <c r="ZD3" i="1"/>
  <c r="ZC3" i="1"/>
  <c r="ZB3" i="1"/>
  <c r="ZA3" i="1"/>
  <c r="YZ3" i="1"/>
  <c r="YY3" i="1"/>
  <c r="YX3" i="1"/>
  <c r="YW3" i="1"/>
  <c r="YV3" i="1"/>
  <c r="YU3" i="1"/>
  <c r="YT3" i="1"/>
  <c r="YS3" i="1"/>
  <c r="YR3" i="1"/>
  <c r="YQ3" i="1"/>
  <c r="YP3" i="1"/>
  <c r="YO3" i="1"/>
  <c r="YN3" i="1"/>
  <c r="YM3" i="1"/>
  <c r="YL3" i="1"/>
  <c r="YK3" i="1"/>
  <c r="YJ3" i="1"/>
  <c r="YI3" i="1"/>
  <c r="YH3" i="1"/>
  <c r="YG3" i="1"/>
  <c r="YF3" i="1"/>
  <c r="YE3" i="1"/>
  <c r="YD3" i="1"/>
  <c r="YC3" i="1"/>
  <c r="YB3" i="1"/>
  <c r="YA3" i="1"/>
  <c r="XZ3" i="1"/>
  <c r="XY3" i="1"/>
  <c r="XX3" i="1"/>
  <c r="XW3" i="1"/>
  <c r="XV3" i="1"/>
  <c r="XU3" i="1"/>
  <c r="XT3" i="1"/>
  <c r="XS3" i="1"/>
  <c r="XR3" i="1"/>
  <c r="XQ3" i="1"/>
  <c r="XP3" i="1"/>
  <c r="XO3" i="1"/>
  <c r="XN3" i="1"/>
  <c r="XM3" i="1"/>
  <c r="XL3" i="1"/>
  <c r="XK3" i="1"/>
  <c r="XJ3" i="1"/>
  <c r="XI3" i="1"/>
  <c r="XH3" i="1"/>
  <c r="XG3" i="1"/>
  <c r="XF3" i="1"/>
  <c r="XE3" i="1"/>
  <c r="XD3" i="1"/>
  <c r="XC3" i="1"/>
  <c r="XB3" i="1"/>
  <c r="XA3" i="1"/>
  <c r="WZ3" i="1"/>
  <c r="WY3" i="1"/>
  <c r="WX3" i="1"/>
  <c r="WW3" i="1"/>
  <c r="WV3" i="1"/>
  <c r="WU3" i="1"/>
  <c r="WT3" i="1"/>
  <c r="WS3" i="1"/>
  <c r="WR3" i="1"/>
  <c r="WQ3" i="1"/>
  <c r="WP3" i="1"/>
  <c r="WO3" i="1"/>
  <c r="WN3" i="1"/>
  <c r="WM3" i="1"/>
  <c r="WL3" i="1"/>
  <c r="WK3" i="1"/>
  <c r="WJ3" i="1"/>
  <c r="WI3" i="1"/>
  <c r="WH3" i="1"/>
  <c r="WG3" i="1"/>
  <c r="WF3" i="1"/>
  <c r="WE3" i="1"/>
  <c r="WD3" i="1"/>
  <c r="WC3" i="1"/>
  <c r="WB3" i="1"/>
  <c r="WA3" i="1"/>
  <c r="VZ3" i="1"/>
  <c r="VY3" i="1"/>
  <c r="VX3" i="1"/>
  <c r="VW3" i="1"/>
  <c r="VV3" i="1"/>
  <c r="VU3" i="1"/>
  <c r="VT3" i="1"/>
  <c r="VS3" i="1"/>
  <c r="VR3" i="1"/>
  <c r="VQ3" i="1"/>
  <c r="VP3" i="1"/>
  <c r="VO3" i="1"/>
  <c r="VN3" i="1"/>
  <c r="VM3" i="1"/>
  <c r="VL3" i="1"/>
  <c r="VK3" i="1"/>
  <c r="VJ3" i="1"/>
  <c r="VI3" i="1"/>
  <c r="VH3" i="1"/>
  <c r="VG3" i="1"/>
  <c r="VF3" i="1"/>
  <c r="VE3" i="1"/>
  <c r="VD3" i="1"/>
  <c r="VC3" i="1"/>
  <c r="VB3" i="1"/>
  <c r="VA3" i="1"/>
  <c r="UZ3" i="1"/>
  <c r="UY3" i="1"/>
  <c r="UX3" i="1"/>
  <c r="UW3" i="1"/>
  <c r="UV3" i="1"/>
  <c r="UU3" i="1"/>
  <c r="UT3" i="1"/>
  <c r="US3" i="1"/>
  <c r="UR3" i="1"/>
  <c r="UQ3" i="1"/>
  <c r="UP3" i="1"/>
  <c r="UO3" i="1"/>
  <c r="UN3" i="1"/>
  <c r="UM3" i="1"/>
  <c r="UL3" i="1"/>
  <c r="UK3" i="1"/>
  <c r="UJ3" i="1"/>
  <c r="UI3" i="1"/>
  <c r="UH3" i="1"/>
  <c r="UG3" i="1"/>
  <c r="UF3" i="1"/>
  <c r="UE3" i="1"/>
  <c r="UD3" i="1"/>
  <c r="UC3" i="1"/>
  <c r="UB3" i="1"/>
  <c r="UA3" i="1"/>
  <c r="TZ3" i="1"/>
  <c r="TY3" i="1"/>
  <c r="TX3" i="1"/>
  <c r="TW3" i="1"/>
  <c r="TV3" i="1"/>
  <c r="TU3" i="1"/>
  <c r="TT3" i="1"/>
  <c r="TS3" i="1"/>
  <c r="TR3" i="1"/>
  <c r="TQ3" i="1"/>
  <c r="TP3" i="1"/>
  <c r="TO3" i="1"/>
  <c r="TN3" i="1"/>
  <c r="TM3" i="1"/>
  <c r="TL3" i="1"/>
  <c r="TK3" i="1"/>
  <c r="TJ3" i="1"/>
  <c r="TI3" i="1"/>
  <c r="TH3" i="1"/>
  <c r="TG3" i="1"/>
  <c r="TF3" i="1"/>
  <c r="TE3" i="1"/>
  <c r="TD3" i="1"/>
  <c r="TC3" i="1"/>
  <c r="TB3" i="1"/>
  <c r="TA3" i="1"/>
  <c r="SZ3" i="1"/>
  <c r="SY3" i="1"/>
  <c r="SX3" i="1"/>
  <c r="SW3" i="1"/>
  <c r="SV3" i="1"/>
  <c r="SU3" i="1"/>
  <c r="ST3" i="1"/>
  <c r="SS3" i="1"/>
  <c r="SR3" i="1"/>
  <c r="SQ3" i="1"/>
  <c r="SP3" i="1"/>
  <c r="SO3" i="1"/>
  <c r="SN3" i="1"/>
  <c r="SM3" i="1"/>
  <c r="SL3" i="1"/>
  <c r="SK3" i="1"/>
  <c r="SJ3" i="1"/>
  <c r="SI3" i="1"/>
  <c r="SH3" i="1"/>
  <c r="SG3" i="1"/>
  <c r="SF3" i="1"/>
  <c r="SE3" i="1"/>
  <c r="SD3" i="1"/>
  <c r="SC3" i="1"/>
  <c r="SB3" i="1"/>
  <c r="SA3" i="1"/>
  <c r="RZ3" i="1"/>
  <c r="RY3" i="1"/>
  <c r="RX3" i="1"/>
  <c r="RW3" i="1"/>
  <c r="RV3" i="1"/>
  <c r="RU3" i="1"/>
  <c r="RT3" i="1"/>
  <c r="RS3" i="1"/>
  <c r="RR3" i="1"/>
  <c r="RQ3" i="1"/>
  <c r="RP3" i="1"/>
  <c r="RO3" i="1"/>
  <c r="RN3" i="1"/>
  <c r="RM3" i="1"/>
  <c r="RL3" i="1"/>
  <c r="RK3" i="1"/>
  <c r="RJ3" i="1"/>
  <c r="RI3" i="1"/>
  <c r="RH3" i="1"/>
  <c r="RG3" i="1"/>
  <c r="RF3" i="1"/>
  <c r="RE3" i="1"/>
  <c r="RD3" i="1"/>
  <c r="RC3" i="1"/>
  <c r="RB3" i="1"/>
  <c r="RA3" i="1"/>
  <c r="QZ3" i="1"/>
  <c r="QY3" i="1"/>
  <c r="QX3" i="1"/>
  <c r="QW3" i="1"/>
  <c r="QV3" i="1"/>
  <c r="QU3" i="1"/>
  <c r="QT3" i="1"/>
  <c r="QS3" i="1"/>
  <c r="QR3" i="1"/>
  <c r="QQ3" i="1"/>
  <c r="QP3" i="1"/>
  <c r="QO3" i="1"/>
  <c r="QN3" i="1"/>
  <c r="QM3" i="1"/>
  <c r="QL3" i="1"/>
  <c r="QK3" i="1"/>
  <c r="QJ3" i="1"/>
  <c r="QI3" i="1"/>
  <c r="QH3" i="1"/>
  <c r="QG3" i="1"/>
  <c r="QF3" i="1"/>
  <c r="QE3" i="1"/>
  <c r="QD3" i="1"/>
  <c r="QC3" i="1"/>
  <c r="QB3" i="1"/>
  <c r="QA3" i="1"/>
  <c r="PZ3" i="1"/>
  <c r="PY3" i="1"/>
  <c r="PX3" i="1"/>
  <c r="PW3" i="1"/>
  <c r="PV3" i="1"/>
  <c r="PU3" i="1"/>
  <c r="PT3" i="1"/>
  <c r="PS3" i="1"/>
  <c r="PR3" i="1"/>
  <c r="PQ3" i="1"/>
  <c r="PP3" i="1"/>
  <c r="PO3" i="1"/>
  <c r="PN3" i="1"/>
  <c r="PM3" i="1"/>
  <c r="PL3" i="1"/>
  <c r="PK3" i="1"/>
  <c r="PJ3" i="1"/>
  <c r="PI3" i="1"/>
  <c r="PH3" i="1"/>
  <c r="PG3" i="1"/>
  <c r="PF3" i="1"/>
  <c r="PE3" i="1"/>
  <c r="PD3" i="1"/>
  <c r="PC3" i="1"/>
  <c r="PB3" i="1"/>
  <c r="PA3" i="1"/>
  <c r="OZ3" i="1"/>
  <c r="OY3" i="1"/>
  <c r="OX3" i="1"/>
  <c r="OW3" i="1"/>
  <c r="OV3" i="1"/>
  <c r="OU3" i="1"/>
  <c r="OT3" i="1"/>
  <c r="OS3" i="1"/>
  <c r="OR3" i="1"/>
  <c r="OQ3" i="1"/>
  <c r="OP3" i="1"/>
  <c r="OO3" i="1"/>
  <c r="ON3" i="1"/>
  <c r="OM3" i="1"/>
  <c r="OL3" i="1"/>
  <c r="OK3" i="1"/>
  <c r="OJ3" i="1"/>
  <c r="OI3" i="1"/>
  <c r="OH3" i="1"/>
  <c r="OG3" i="1"/>
  <c r="OF3" i="1"/>
  <c r="OE3" i="1"/>
  <c r="OD3" i="1"/>
  <c r="OC3" i="1"/>
  <c r="OB3" i="1"/>
  <c r="OA3" i="1"/>
  <c r="NZ3" i="1"/>
  <c r="NY3" i="1"/>
  <c r="NX3" i="1"/>
  <c r="NW3" i="1"/>
  <c r="NV3" i="1"/>
  <c r="NU3" i="1"/>
  <c r="NT3" i="1"/>
  <c r="NS3" i="1"/>
  <c r="NR3" i="1"/>
  <c r="NQ3" i="1"/>
  <c r="NP3" i="1"/>
  <c r="NO3" i="1"/>
  <c r="NN3" i="1"/>
  <c r="NM3" i="1"/>
  <c r="NL3" i="1"/>
  <c r="NK3" i="1"/>
  <c r="NJ3" i="1"/>
  <c r="NI3" i="1"/>
  <c r="NH3" i="1"/>
  <c r="NG3" i="1"/>
  <c r="NF3" i="1"/>
  <c r="NE3" i="1"/>
  <c r="ND3" i="1"/>
  <c r="NC3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K3" i="1"/>
  <c r="MJ3" i="1"/>
  <c r="MI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K3" i="1"/>
  <c r="LJ3" i="1"/>
  <c r="LI3" i="1"/>
  <c r="LH3" i="1"/>
  <c r="LG3" i="1"/>
  <c r="LF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TQ2" i="1"/>
  <c r="ATP2" i="1"/>
  <c r="ATO2" i="1"/>
  <c r="ATN2" i="1"/>
  <c r="ATM2" i="1"/>
  <c r="ATL2" i="1"/>
  <c r="ATK2" i="1"/>
  <c r="ATJ2" i="1"/>
  <c r="ATI2" i="1"/>
  <c r="ATH2" i="1"/>
  <c r="ATG2" i="1"/>
  <c r="ATF2" i="1"/>
  <c r="ATE2" i="1"/>
  <c r="ATD2" i="1"/>
  <c r="ATC2" i="1"/>
  <c r="ATB2" i="1"/>
  <c r="ATA2" i="1"/>
  <c r="ASZ2" i="1"/>
  <c r="ASY2" i="1"/>
  <c r="ASX2" i="1"/>
  <c r="ASW2" i="1"/>
  <c r="ASV2" i="1"/>
  <c r="ASU2" i="1"/>
  <c r="AST2" i="1"/>
  <c r="ASS2" i="1"/>
  <c r="ASR2" i="1"/>
  <c r="ASQ2" i="1"/>
  <c r="ASP2" i="1"/>
  <c r="ASO2" i="1"/>
  <c r="ASN2" i="1"/>
  <c r="ASM2" i="1"/>
  <c r="ASL2" i="1"/>
  <c r="ASK2" i="1"/>
  <c r="ASJ2" i="1"/>
  <c r="ASI2" i="1"/>
  <c r="ASH2" i="1"/>
  <c r="ASG2" i="1"/>
  <c r="ASF2" i="1"/>
  <c r="ASE2" i="1"/>
  <c r="ASD2" i="1"/>
  <c r="ASC2" i="1"/>
  <c r="ASB2" i="1"/>
  <c r="ASA2" i="1"/>
  <c r="ARZ2" i="1"/>
  <c r="ARY2" i="1"/>
  <c r="ARX2" i="1"/>
  <c r="ARW2" i="1"/>
  <c r="ARV2" i="1"/>
  <c r="ARU2" i="1"/>
  <c r="ART2" i="1"/>
  <c r="ARS2" i="1"/>
  <c r="ARR2" i="1"/>
  <c r="ARQ2" i="1"/>
  <c r="ARP2" i="1"/>
  <c r="ARO2" i="1"/>
  <c r="ARN2" i="1"/>
  <c r="ARM2" i="1"/>
  <c r="ARL2" i="1"/>
  <c r="ARK2" i="1"/>
  <c r="ARJ2" i="1"/>
  <c r="ARI2" i="1"/>
  <c r="ARH2" i="1"/>
  <c r="ARG2" i="1"/>
  <c r="ARF2" i="1"/>
  <c r="ARE2" i="1"/>
  <c r="ARD2" i="1"/>
  <c r="ARC2" i="1"/>
  <c r="ARB2" i="1"/>
  <c r="ARA2" i="1"/>
  <c r="AQZ2" i="1"/>
  <c r="AQY2" i="1"/>
  <c r="AQX2" i="1"/>
  <c r="AQW2" i="1"/>
  <c r="AQV2" i="1"/>
  <c r="AQU2" i="1"/>
  <c r="AQT2" i="1"/>
  <c r="AQS2" i="1"/>
  <c r="AQR2" i="1"/>
  <c r="AQQ2" i="1"/>
  <c r="AQP2" i="1"/>
  <c r="AQO2" i="1"/>
  <c r="AQN2" i="1"/>
  <c r="AQM2" i="1"/>
  <c r="AQL2" i="1"/>
  <c r="AQK2" i="1"/>
  <c r="AQJ2" i="1"/>
  <c r="AQI2" i="1"/>
  <c r="AQH2" i="1"/>
  <c r="AQG2" i="1"/>
  <c r="AQF2" i="1"/>
  <c r="AQE2" i="1"/>
  <c r="AQD2" i="1"/>
  <c r="AQC2" i="1"/>
  <c r="AQB2" i="1"/>
  <c r="AQA2" i="1"/>
  <c r="APZ2" i="1"/>
  <c r="APY2" i="1"/>
  <c r="APX2" i="1"/>
  <c r="APW2" i="1"/>
  <c r="APV2" i="1"/>
  <c r="APU2" i="1"/>
  <c r="APT2" i="1"/>
  <c r="APS2" i="1"/>
  <c r="APR2" i="1"/>
  <c r="APQ2" i="1"/>
  <c r="APP2" i="1"/>
  <c r="APO2" i="1"/>
  <c r="APN2" i="1"/>
  <c r="APM2" i="1"/>
  <c r="APL2" i="1"/>
  <c r="APK2" i="1"/>
  <c r="APJ2" i="1"/>
  <c r="API2" i="1"/>
  <c r="APH2" i="1"/>
  <c r="APG2" i="1"/>
  <c r="APF2" i="1"/>
  <c r="APE2" i="1"/>
  <c r="APD2" i="1"/>
  <c r="APC2" i="1"/>
  <c r="APB2" i="1"/>
  <c r="APA2" i="1"/>
  <c r="AOZ2" i="1"/>
  <c r="AOY2" i="1"/>
  <c r="AOX2" i="1"/>
  <c r="AOW2" i="1"/>
  <c r="AOV2" i="1"/>
  <c r="AOU2" i="1"/>
  <c r="AOT2" i="1"/>
  <c r="AOS2" i="1"/>
  <c r="AOR2" i="1"/>
  <c r="AOQ2" i="1"/>
  <c r="AOP2" i="1"/>
  <c r="AOO2" i="1"/>
  <c r="AON2" i="1"/>
  <c r="AOM2" i="1"/>
  <c r="AOL2" i="1"/>
  <c r="AOK2" i="1"/>
  <c r="AOJ2" i="1"/>
  <c r="AOI2" i="1"/>
  <c r="AOH2" i="1"/>
  <c r="AOG2" i="1"/>
  <c r="AOF2" i="1"/>
  <c r="AOE2" i="1"/>
  <c r="AOD2" i="1"/>
  <c r="AOC2" i="1"/>
  <c r="AOB2" i="1"/>
  <c r="AOA2" i="1"/>
  <c r="ANZ2" i="1"/>
  <c r="ANY2" i="1"/>
  <c r="ANX2" i="1"/>
  <c r="ANW2" i="1"/>
  <c r="ANV2" i="1"/>
  <c r="ANU2" i="1"/>
  <c r="ANT2" i="1"/>
  <c r="ANS2" i="1"/>
  <c r="ANR2" i="1"/>
  <c r="ANQ2" i="1"/>
  <c r="ANP2" i="1"/>
  <c r="ANO2" i="1"/>
  <c r="ANN2" i="1"/>
  <c r="ANM2" i="1"/>
  <c r="ANL2" i="1"/>
  <c r="ANK2" i="1"/>
  <c r="ANJ2" i="1"/>
  <c r="ANI2" i="1"/>
  <c r="ANH2" i="1"/>
  <c r="ANG2" i="1"/>
  <c r="ANF2" i="1"/>
  <c r="ANE2" i="1"/>
  <c r="AND2" i="1"/>
  <c r="ANC2" i="1"/>
  <c r="ANB2" i="1"/>
  <c r="ANA2" i="1"/>
  <c r="AMZ2" i="1"/>
  <c r="AMY2" i="1"/>
  <c r="AMX2" i="1"/>
  <c r="AMW2" i="1"/>
  <c r="AMV2" i="1"/>
  <c r="AMU2" i="1"/>
  <c r="AMT2" i="1"/>
  <c r="AMS2" i="1"/>
  <c r="AMR2" i="1"/>
  <c r="AMQ2" i="1"/>
  <c r="AMP2" i="1"/>
  <c r="AMO2" i="1"/>
  <c r="AMN2" i="1"/>
  <c r="AMM2" i="1"/>
  <c r="AML2" i="1"/>
  <c r="AMK2" i="1"/>
  <c r="AMJ2" i="1"/>
  <c r="AMI2" i="1"/>
  <c r="AMH2" i="1"/>
  <c r="AMG2" i="1"/>
  <c r="AMF2" i="1"/>
  <c r="AME2" i="1"/>
  <c r="AMD2" i="1"/>
  <c r="AMC2" i="1"/>
  <c r="AMB2" i="1"/>
  <c r="AMA2" i="1"/>
  <c r="ALZ2" i="1"/>
  <c r="ALY2" i="1"/>
  <c r="ALX2" i="1"/>
  <c r="ALW2" i="1"/>
  <c r="ALV2" i="1"/>
  <c r="ALU2" i="1"/>
  <c r="ALT2" i="1"/>
  <c r="ALS2" i="1"/>
  <c r="ALR2" i="1"/>
  <c r="ALQ2" i="1"/>
  <c r="ALP2" i="1"/>
  <c r="ALO2" i="1"/>
  <c r="ALN2" i="1"/>
  <c r="ALM2" i="1"/>
  <c r="ALL2" i="1"/>
  <c r="ALK2" i="1"/>
  <c r="ALJ2" i="1"/>
  <c r="ALI2" i="1"/>
  <c r="ALH2" i="1"/>
  <c r="ALG2" i="1"/>
  <c r="ALF2" i="1"/>
  <c r="ALE2" i="1"/>
  <c r="ALD2" i="1"/>
  <c r="ALC2" i="1"/>
  <c r="ALB2" i="1"/>
  <c r="ALA2" i="1"/>
  <c r="AKZ2" i="1"/>
  <c r="AKY2" i="1"/>
  <c r="AKX2" i="1"/>
  <c r="AKW2" i="1"/>
  <c r="AKV2" i="1"/>
  <c r="AKU2" i="1"/>
  <c r="AKT2" i="1"/>
  <c r="AKS2" i="1"/>
  <c r="AKR2" i="1"/>
  <c r="AKQ2" i="1"/>
  <c r="AKP2" i="1"/>
  <c r="AKO2" i="1"/>
  <c r="AKN2" i="1"/>
  <c r="AKM2" i="1"/>
  <c r="AKL2" i="1"/>
  <c r="AKK2" i="1"/>
  <c r="AKJ2" i="1"/>
  <c r="AKI2" i="1"/>
  <c r="AKH2" i="1"/>
  <c r="AKG2" i="1"/>
  <c r="AKF2" i="1"/>
  <c r="AKE2" i="1"/>
  <c r="AKD2" i="1"/>
  <c r="AKC2" i="1"/>
  <c r="AKB2" i="1"/>
  <c r="AKA2" i="1"/>
  <c r="AJZ2" i="1"/>
  <c r="AJY2" i="1"/>
  <c r="AJX2" i="1"/>
  <c r="AJW2" i="1"/>
  <c r="AJV2" i="1"/>
  <c r="AJU2" i="1"/>
  <c r="AJT2" i="1"/>
  <c r="AJS2" i="1"/>
  <c r="AJR2" i="1"/>
  <c r="AJQ2" i="1"/>
  <c r="AJP2" i="1"/>
  <c r="AJO2" i="1"/>
  <c r="AJN2" i="1"/>
  <c r="AJM2" i="1"/>
  <c r="AJL2" i="1"/>
  <c r="AJK2" i="1"/>
  <c r="AJJ2" i="1"/>
  <c r="AJI2" i="1"/>
  <c r="AJH2" i="1"/>
  <c r="AJG2" i="1"/>
  <c r="AJF2" i="1"/>
  <c r="AJE2" i="1"/>
  <c r="AJD2" i="1"/>
  <c r="AJC2" i="1"/>
  <c r="AJB2" i="1"/>
  <c r="AJA2" i="1"/>
  <c r="AIZ2" i="1"/>
  <c r="AIY2" i="1"/>
  <c r="AIX2" i="1"/>
  <c r="AIW2" i="1"/>
  <c r="AIV2" i="1"/>
  <c r="AIU2" i="1"/>
  <c r="AIT2" i="1"/>
  <c r="AIS2" i="1"/>
  <c r="AIR2" i="1"/>
  <c r="AIQ2" i="1"/>
  <c r="AIP2" i="1"/>
  <c r="AIO2" i="1"/>
  <c r="AIN2" i="1"/>
  <c r="AIM2" i="1"/>
  <c r="AIL2" i="1"/>
  <c r="AIK2" i="1"/>
  <c r="AIJ2" i="1"/>
  <c r="AII2" i="1"/>
  <c r="AIH2" i="1"/>
  <c r="AIG2" i="1"/>
  <c r="AIF2" i="1"/>
  <c r="AIE2" i="1"/>
  <c r="AID2" i="1"/>
  <c r="AIC2" i="1"/>
  <c r="AIB2" i="1"/>
  <c r="AIA2" i="1"/>
  <c r="AHZ2" i="1"/>
  <c r="AHY2" i="1"/>
  <c r="AHX2" i="1"/>
  <c r="AHW2" i="1"/>
  <c r="AHV2" i="1"/>
  <c r="AHU2" i="1"/>
  <c r="AHT2" i="1"/>
  <c r="AHS2" i="1"/>
  <c r="AHR2" i="1"/>
  <c r="AHQ2" i="1"/>
  <c r="AHP2" i="1"/>
  <c r="AHO2" i="1"/>
  <c r="AHN2" i="1"/>
  <c r="AHM2" i="1"/>
  <c r="AHL2" i="1"/>
  <c r="AHK2" i="1"/>
  <c r="AHJ2" i="1"/>
  <c r="AHI2" i="1"/>
  <c r="AHH2" i="1"/>
  <c r="AHG2" i="1"/>
  <c r="AHF2" i="1"/>
  <c r="AHE2" i="1"/>
  <c r="AHD2" i="1"/>
  <c r="AHC2" i="1"/>
  <c r="AHB2" i="1"/>
  <c r="AHA2" i="1"/>
  <c r="AGZ2" i="1"/>
  <c r="AGY2" i="1"/>
  <c r="AGX2" i="1"/>
  <c r="AGW2" i="1"/>
  <c r="AGV2" i="1"/>
  <c r="AGU2" i="1"/>
  <c r="AGT2" i="1"/>
  <c r="AGS2" i="1"/>
  <c r="AGR2" i="1"/>
  <c r="AGQ2" i="1"/>
  <c r="AGP2" i="1"/>
  <c r="AGO2" i="1"/>
  <c r="AGN2" i="1"/>
  <c r="AGM2" i="1"/>
  <c r="AGL2" i="1"/>
  <c r="AGK2" i="1"/>
  <c r="AGJ2" i="1"/>
  <c r="AGI2" i="1"/>
  <c r="AGH2" i="1"/>
  <c r="AGG2" i="1"/>
  <c r="AGF2" i="1"/>
  <c r="AGE2" i="1"/>
  <c r="AGD2" i="1"/>
  <c r="AGC2" i="1"/>
  <c r="AGB2" i="1"/>
  <c r="AGA2" i="1"/>
  <c r="AFZ2" i="1"/>
  <c r="AFY2" i="1"/>
  <c r="AFX2" i="1"/>
  <c r="AFW2" i="1"/>
  <c r="AFV2" i="1"/>
  <c r="AFU2" i="1"/>
  <c r="AFT2" i="1"/>
  <c r="AFS2" i="1"/>
  <c r="AFR2" i="1"/>
  <c r="AFQ2" i="1"/>
  <c r="AFP2" i="1"/>
  <c r="AFO2" i="1"/>
  <c r="AFN2" i="1"/>
  <c r="AFM2" i="1"/>
  <c r="AFL2" i="1"/>
  <c r="AFK2" i="1"/>
  <c r="AFJ2" i="1"/>
  <c r="AFI2" i="1"/>
  <c r="AFH2" i="1"/>
  <c r="AFG2" i="1"/>
  <c r="AFF2" i="1"/>
  <c r="AFE2" i="1"/>
  <c r="AFD2" i="1"/>
  <c r="AFC2" i="1"/>
  <c r="AFB2" i="1"/>
  <c r="AFA2" i="1"/>
  <c r="AEZ2" i="1"/>
  <c r="AEY2" i="1"/>
  <c r="AEX2" i="1"/>
  <c r="AEW2" i="1"/>
  <c r="AEV2" i="1"/>
  <c r="AEU2" i="1"/>
  <c r="AET2" i="1"/>
  <c r="AES2" i="1"/>
  <c r="AER2" i="1"/>
  <c r="AEQ2" i="1"/>
  <c r="AEP2" i="1"/>
  <c r="AEO2" i="1"/>
  <c r="AEN2" i="1"/>
  <c r="AEM2" i="1"/>
  <c r="AEL2" i="1"/>
  <c r="AEK2" i="1"/>
  <c r="AEJ2" i="1"/>
  <c r="AEI2" i="1"/>
  <c r="AEH2" i="1"/>
  <c r="AEG2" i="1"/>
  <c r="AEF2" i="1"/>
  <c r="AEE2" i="1"/>
  <c r="AED2" i="1"/>
  <c r="AEC2" i="1"/>
  <c r="AEB2" i="1"/>
  <c r="AEA2" i="1"/>
  <c r="ADZ2" i="1"/>
  <c r="ADY2" i="1"/>
  <c r="ADX2" i="1"/>
  <c r="ADW2" i="1"/>
  <c r="ADV2" i="1"/>
  <c r="ADU2" i="1"/>
  <c r="ADT2" i="1"/>
  <c r="ADS2" i="1"/>
  <c r="ADR2" i="1"/>
  <c r="ADQ2" i="1"/>
  <c r="ADP2" i="1"/>
  <c r="ADO2" i="1"/>
  <c r="ADN2" i="1"/>
  <c r="ADM2" i="1"/>
  <c r="ADL2" i="1"/>
  <c r="ADK2" i="1"/>
  <c r="ADJ2" i="1"/>
  <c r="ADI2" i="1"/>
  <c r="ADH2" i="1"/>
  <c r="ADG2" i="1"/>
  <c r="ADF2" i="1"/>
  <c r="ADE2" i="1"/>
  <c r="ADD2" i="1"/>
  <c r="ADC2" i="1"/>
  <c r="ADB2" i="1"/>
  <c r="ADA2" i="1"/>
  <c r="ACZ2" i="1"/>
  <c r="ACY2" i="1"/>
  <c r="ACX2" i="1"/>
  <c r="ACW2" i="1"/>
  <c r="ACV2" i="1"/>
  <c r="ACU2" i="1"/>
  <c r="ACT2" i="1"/>
  <c r="ACS2" i="1"/>
  <c r="ACR2" i="1"/>
  <c r="ACQ2" i="1"/>
  <c r="ACP2" i="1"/>
  <c r="ACO2" i="1"/>
  <c r="ACN2" i="1"/>
  <c r="ACM2" i="1"/>
  <c r="ACL2" i="1"/>
  <c r="ACK2" i="1"/>
  <c r="ACJ2" i="1"/>
  <c r="ACI2" i="1"/>
  <c r="ACH2" i="1"/>
  <c r="ACG2" i="1"/>
  <c r="ACF2" i="1"/>
  <c r="ACE2" i="1"/>
  <c r="ACD2" i="1"/>
  <c r="ACC2" i="1"/>
  <c r="ACB2" i="1"/>
  <c r="ACA2" i="1"/>
  <c r="ABZ2" i="1"/>
  <c r="ABY2" i="1"/>
  <c r="ABX2" i="1"/>
  <c r="ABW2" i="1"/>
  <c r="ABV2" i="1"/>
  <c r="ABU2" i="1"/>
  <c r="ABT2" i="1"/>
  <c r="ABS2" i="1"/>
  <c r="ABR2" i="1"/>
  <c r="ABQ2" i="1"/>
  <c r="ABP2" i="1"/>
  <c r="ABO2" i="1"/>
  <c r="ABN2" i="1"/>
  <c r="ABM2" i="1"/>
  <c r="ABL2" i="1"/>
  <c r="ABK2" i="1"/>
  <c r="ABJ2" i="1"/>
  <c r="ABI2" i="1"/>
  <c r="ABH2" i="1"/>
  <c r="ABG2" i="1"/>
  <c r="ABF2" i="1"/>
  <c r="ABE2" i="1"/>
  <c r="ABD2" i="1"/>
  <c r="ABC2" i="1"/>
  <c r="ABB2" i="1"/>
  <c r="ABA2" i="1"/>
  <c r="AAZ2" i="1"/>
  <c r="AAY2" i="1"/>
  <c r="AAX2" i="1"/>
  <c r="AAW2" i="1"/>
  <c r="AAV2" i="1"/>
  <c r="AAU2" i="1"/>
  <c r="AAT2" i="1"/>
  <c r="AAS2" i="1"/>
  <c r="AAR2" i="1"/>
  <c r="AAQ2" i="1"/>
  <c r="AAP2" i="1"/>
  <c r="AAO2" i="1"/>
  <c r="AAN2" i="1"/>
  <c r="AAM2" i="1"/>
  <c r="AAL2" i="1"/>
  <c r="AAK2" i="1"/>
  <c r="AAJ2" i="1"/>
  <c r="AAI2" i="1"/>
  <c r="AAH2" i="1"/>
  <c r="AAG2" i="1"/>
  <c r="AAF2" i="1"/>
  <c r="AAE2" i="1"/>
  <c r="AAD2" i="1"/>
  <c r="AAC2" i="1"/>
  <c r="AAB2" i="1"/>
  <c r="AAA2" i="1"/>
  <c r="ZZ2" i="1"/>
  <c r="ZY2" i="1"/>
  <c r="ZX2" i="1"/>
  <c r="ZW2" i="1"/>
  <c r="ZV2" i="1"/>
  <c r="ZU2" i="1"/>
  <c r="ZT2" i="1"/>
  <c r="ZS2" i="1"/>
  <c r="ZR2" i="1"/>
  <c r="ZQ2" i="1"/>
  <c r="ZP2" i="1"/>
  <c r="ZO2" i="1"/>
  <c r="ZN2" i="1"/>
  <c r="ZM2" i="1"/>
  <c r="ZL2" i="1"/>
  <c r="ZK2" i="1"/>
  <c r="ZJ2" i="1"/>
  <c r="ZI2" i="1"/>
  <c r="ZH2" i="1"/>
  <c r="ZG2" i="1"/>
  <c r="ZF2" i="1"/>
  <c r="ZE2" i="1"/>
  <c r="ZD2" i="1"/>
  <c r="ZC2" i="1"/>
  <c r="ZB2" i="1"/>
  <c r="ZA2" i="1"/>
  <c r="YZ2" i="1"/>
  <c r="YY2" i="1"/>
  <c r="YX2" i="1"/>
  <c r="YW2" i="1"/>
  <c r="YV2" i="1"/>
  <c r="YU2" i="1"/>
  <c r="YT2" i="1"/>
  <c r="YS2" i="1"/>
  <c r="YR2" i="1"/>
  <c r="YQ2" i="1"/>
  <c r="YP2" i="1"/>
  <c r="YO2" i="1"/>
  <c r="YN2" i="1"/>
  <c r="YM2" i="1"/>
  <c r="YL2" i="1"/>
  <c r="YK2" i="1"/>
  <c r="YJ2" i="1"/>
  <c r="YI2" i="1"/>
  <c r="YH2" i="1"/>
  <c r="YG2" i="1"/>
  <c r="YF2" i="1"/>
  <c r="YE2" i="1"/>
  <c r="YD2" i="1"/>
  <c r="YC2" i="1"/>
  <c r="YB2" i="1"/>
  <c r="YA2" i="1"/>
  <c r="XZ2" i="1"/>
  <c r="XY2" i="1"/>
  <c r="XX2" i="1"/>
  <c r="XW2" i="1"/>
  <c r="XV2" i="1"/>
  <c r="XU2" i="1"/>
  <c r="XT2" i="1"/>
  <c r="XS2" i="1"/>
  <c r="XR2" i="1"/>
  <c r="XQ2" i="1"/>
  <c r="XP2" i="1"/>
  <c r="XO2" i="1"/>
  <c r="XN2" i="1"/>
  <c r="XM2" i="1"/>
  <c r="XL2" i="1"/>
  <c r="XK2" i="1"/>
  <c r="XJ2" i="1"/>
  <c r="XI2" i="1"/>
  <c r="XH2" i="1"/>
  <c r="XG2" i="1"/>
  <c r="XF2" i="1"/>
  <c r="XE2" i="1"/>
  <c r="XD2" i="1"/>
  <c r="XC2" i="1"/>
  <c r="XB2" i="1"/>
  <c r="XA2" i="1"/>
  <c r="WZ2" i="1"/>
  <c r="WY2" i="1"/>
  <c r="WX2" i="1"/>
  <c r="WW2" i="1"/>
  <c r="WV2" i="1"/>
  <c r="WU2" i="1"/>
  <c r="WT2" i="1"/>
  <c r="WS2" i="1"/>
  <c r="WR2" i="1"/>
  <c r="WQ2" i="1"/>
  <c r="WP2" i="1"/>
  <c r="WO2" i="1"/>
  <c r="WN2" i="1"/>
  <c r="WM2" i="1"/>
  <c r="WL2" i="1"/>
  <c r="WK2" i="1"/>
  <c r="WJ2" i="1"/>
  <c r="WI2" i="1"/>
  <c r="WH2" i="1"/>
  <c r="WG2" i="1"/>
  <c r="WF2" i="1"/>
  <c r="WE2" i="1"/>
  <c r="WD2" i="1"/>
  <c r="WC2" i="1"/>
  <c r="WB2" i="1"/>
  <c r="WA2" i="1"/>
  <c r="VZ2" i="1"/>
  <c r="VY2" i="1"/>
  <c r="VX2" i="1"/>
  <c r="VW2" i="1"/>
  <c r="VV2" i="1"/>
  <c r="VU2" i="1"/>
  <c r="VT2" i="1"/>
  <c r="VS2" i="1"/>
  <c r="VR2" i="1"/>
  <c r="VQ2" i="1"/>
  <c r="VP2" i="1"/>
  <c r="VO2" i="1"/>
  <c r="VN2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TJ2" i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ATQ1" i="1"/>
  <c r="ATP1" i="1"/>
  <c r="ATO1" i="1"/>
  <c r="ATN1" i="1"/>
  <c r="ATM1" i="1"/>
  <c r="ATL1" i="1"/>
  <c r="ATK1" i="1"/>
  <c r="ATJ1" i="1"/>
  <c r="ATI1" i="1"/>
  <c r="ATH1" i="1"/>
  <c r="ATG1" i="1"/>
  <c r="ATF1" i="1"/>
  <c r="ATE1" i="1"/>
  <c r="ATD1" i="1"/>
  <c r="ATC1" i="1"/>
  <c r="ATB1" i="1"/>
  <c r="ATA1" i="1"/>
  <c r="ASZ1" i="1"/>
  <c r="ASY1" i="1"/>
  <c r="ASX1" i="1"/>
  <c r="ASW1" i="1"/>
  <c r="ASV1" i="1"/>
  <c r="ASU1" i="1"/>
  <c r="AST1" i="1"/>
  <c r="ASS1" i="1"/>
  <c r="ASR1" i="1"/>
  <c r="ASQ1" i="1"/>
  <c r="ASP1" i="1"/>
  <c r="ASO1" i="1"/>
  <c r="ASN1" i="1"/>
  <c r="ASM1" i="1"/>
  <c r="ASL1" i="1"/>
  <c r="ASK1" i="1"/>
  <c r="ASJ1" i="1"/>
  <c r="ASI1" i="1"/>
  <c r="ASH1" i="1"/>
  <c r="ASG1" i="1"/>
  <c r="ASF1" i="1"/>
  <c r="ASE1" i="1"/>
  <c r="ASD1" i="1"/>
  <c r="ASC1" i="1"/>
  <c r="ASB1" i="1"/>
  <c r="ASA1" i="1"/>
  <c r="ARZ1" i="1"/>
  <c r="ARY1" i="1"/>
  <c r="ARX1" i="1"/>
  <c r="ARW1" i="1"/>
  <c r="ARV1" i="1"/>
  <c r="ARU1" i="1"/>
  <c r="ART1" i="1"/>
  <c r="ARS1" i="1"/>
  <c r="ARR1" i="1"/>
  <c r="ARQ1" i="1"/>
  <c r="ARP1" i="1"/>
  <c r="ARO1" i="1"/>
  <c r="ARN1" i="1"/>
  <c r="ARM1" i="1"/>
  <c r="ARL1" i="1"/>
  <c r="ARK1" i="1"/>
  <c r="ARJ1" i="1"/>
  <c r="ARI1" i="1"/>
  <c r="ARH1" i="1"/>
  <c r="ARG1" i="1"/>
  <c r="ARF1" i="1"/>
  <c r="ARE1" i="1"/>
  <c r="ARD1" i="1"/>
  <c r="ARC1" i="1"/>
  <c r="ARB1" i="1"/>
  <c r="ARA1" i="1"/>
  <c r="AQZ1" i="1"/>
  <c r="AQY1" i="1"/>
  <c r="AQX1" i="1"/>
  <c r="AQW1" i="1"/>
  <c r="AQV1" i="1"/>
  <c r="AQU1" i="1"/>
  <c r="AQT1" i="1"/>
  <c r="AQS1" i="1"/>
  <c r="AQR1" i="1"/>
  <c r="AQQ1" i="1"/>
  <c r="AQP1" i="1"/>
  <c r="AQO1" i="1"/>
  <c r="AQN1" i="1"/>
  <c r="AQM1" i="1"/>
  <c r="AQL1" i="1"/>
  <c r="AQK1" i="1"/>
  <c r="AQJ1" i="1"/>
  <c r="AQI1" i="1"/>
  <c r="AQH1" i="1"/>
  <c r="AQG1" i="1"/>
  <c r="AQF1" i="1"/>
  <c r="AQE1" i="1"/>
  <c r="AQD1" i="1"/>
  <c r="AQC1" i="1"/>
  <c r="AQB1" i="1"/>
  <c r="AQA1" i="1"/>
  <c r="APZ1" i="1"/>
  <c r="APY1" i="1"/>
  <c r="APX1" i="1"/>
  <c r="APW1" i="1"/>
  <c r="APV1" i="1"/>
  <c r="APU1" i="1"/>
  <c r="APT1" i="1"/>
  <c r="APS1" i="1"/>
  <c r="APR1" i="1"/>
  <c r="APQ1" i="1"/>
  <c r="APP1" i="1"/>
  <c r="APO1" i="1"/>
  <c r="APN1" i="1"/>
  <c r="APM1" i="1"/>
  <c r="APL1" i="1"/>
  <c r="APK1" i="1"/>
  <c r="APJ1" i="1"/>
  <c r="API1" i="1"/>
  <c r="APH1" i="1"/>
  <c r="APG1" i="1"/>
  <c r="APF1" i="1"/>
  <c r="APE1" i="1"/>
  <c r="APD1" i="1"/>
  <c r="APC1" i="1"/>
  <c r="APB1" i="1"/>
  <c r="APA1" i="1"/>
  <c r="AOZ1" i="1"/>
  <c r="AOY1" i="1"/>
  <c r="AOX1" i="1"/>
  <c r="AOW1" i="1"/>
  <c r="AOV1" i="1"/>
  <c r="AOU1" i="1"/>
  <c r="AOT1" i="1"/>
  <c r="AOS1" i="1"/>
  <c r="AOR1" i="1"/>
  <c r="AOQ1" i="1"/>
  <c r="AOP1" i="1"/>
  <c r="AOO1" i="1"/>
  <c r="AON1" i="1"/>
  <c r="AOM1" i="1"/>
  <c r="AOL1" i="1"/>
  <c r="AOK1" i="1"/>
  <c r="AOJ1" i="1"/>
  <c r="AOI1" i="1"/>
  <c r="AOH1" i="1"/>
  <c r="AOG1" i="1"/>
  <c r="AOF1" i="1"/>
  <c r="AOE1" i="1"/>
  <c r="AOD1" i="1"/>
  <c r="AOC1" i="1"/>
  <c r="AOB1" i="1"/>
  <c r="AOA1" i="1"/>
  <c r="ANZ1" i="1"/>
  <c r="ANY1" i="1"/>
  <c r="ANX1" i="1"/>
  <c r="ANW1" i="1"/>
  <c r="ANV1" i="1"/>
  <c r="ANU1" i="1"/>
  <c r="ANT1" i="1"/>
  <c r="ANS1" i="1"/>
  <c r="ANR1" i="1"/>
  <c r="ANQ1" i="1"/>
  <c r="ANP1" i="1"/>
  <c r="ANO1" i="1"/>
  <c r="ANN1" i="1"/>
  <c r="ANM1" i="1"/>
  <c r="ANL1" i="1"/>
  <c r="ANK1" i="1"/>
  <c r="ANJ1" i="1"/>
  <c r="ANI1" i="1"/>
  <c r="ANH1" i="1"/>
  <c r="ANG1" i="1"/>
  <c r="ANF1" i="1"/>
  <c r="ANE1" i="1"/>
  <c r="AND1" i="1"/>
  <c r="ANC1" i="1"/>
  <c r="ANB1" i="1"/>
  <c r="ANA1" i="1"/>
  <c r="AMZ1" i="1"/>
  <c r="AMY1" i="1"/>
  <c r="AMX1" i="1"/>
  <c r="AMW1" i="1"/>
  <c r="AMV1" i="1"/>
  <c r="AMU1" i="1"/>
  <c r="AMT1" i="1"/>
  <c r="AMS1" i="1"/>
  <c r="AMR1" i="1"/>
  <c r="AMQ1" i="1"/>
  <c r="AMP1" i="1"/>
  <c r="AMO1" i="1"/>
  <c r="AMN1" i="1"/>
  <c r="AMM1" i="1"/>
  <c r="AML1" i="1"/>
  <c r="AMK1" i="1"/>
  <c r="AMJ1" i="1"/>
  <c r="AMI1" i="1"/>
  <c r="AMH1" i="1"/>
  <c r="AMG1" i="1"/>
  <c r="AMF1" i="1"/>
  <c r="AME1" i="1"/>
  <c r="AMD1" i="1"/>
  <c r="AMC1" i="1"/>
  <c r="AMB1" i="1"/>
  <c r="AMA1" i="1"/>
  <c r="ALZ1" i="1"/>
  <c r="ALY1" i="1"/>
  <c r="ALX1" i="1"/>
  <c r="ALW1" i="1"/>
  <c r="ALV1" i="1"/>
  <c r="ALU1" i="1"/>
  <c r="ALT1" i="1"/>
  <c r="ALS1" i="1"/>
  <c r="ALR1" i="1"/>
  <c r="ALQ1" i="1"/>
  <c r="ALP1" i="1"/>
  <c r="ALO1" i="1"/>
  <c r="ALN1" i="1"/>
  <c r="ALM1" i="1"/>
  <c r="ALL1" i="1"/>
  <c r="ALK1" i="1"/>
  <c r="ALJ1" i="1"/>
  <c r="ALI1" i="1"/>
  <c r="ALH1" i="1"/>
  <c r="ALG1" i="1"/>
  <c r="ALF1" i="1"/>
  <c r="ALE1" i="1"/>
  <c r="ALD1" i="1"/>
  <c r="ALC1" i="1"/>
  <c r="ALB1" i="1"/>
  <c r="ALA1" i="1"/>
  <c r="AKZ1" i="1"/>
  <c r="AKY1" i="1"/>
  <c r="AKX1" i="1"/>
  <c r="AKW1" i="1"/>
  <c r="AKV1" i="1"/>
  <c r="AKU1" i="1"/>
  <c r="AKT1" i="1"/>
  <c r="AKS1" i="1"/>
  <c r="AKR1" i="1"/>
  <c r="AKQ1" i="1"/>
  <c r="AKP1" i="1"/>
  <c r="AKO1" i="1"/>
  <c r="AKN1" i="1"/>
  <c r="AKM1" i="1"/>
  <c r="AKL1" i="1"/>
  <c r="AKK1" i="1"/>
  <c r="AKJ1" i="1"/>
  <c r="AKI1" i="1"/>
  <c r="AKH1" i="1"/>
  <c r="AKG1" i="1"/>
  <c r="AKF1" i="1"/>
  <c r="AKE1" i="1"/>
  <c r="AKD1" i="1"/>
  <c r="AKC1" i="1"/>
  <c r="AKB1" i="1"/>
  <c r="AKA1" i="1"/>
  <c r="AJZ1" i="1"/>
  <c r="AJY1" i="1"/>
  <c r="AJX1" i="1"/>
  <c r="AJW1" i="1"/>
  <c r="AJV1" i="1"/>
  <c r="AJU1" i="1"/>
  <c r="AJT1" i="1"/>
  <c r="AJS1" i="1"/>
  <c r="AJR1" i="1"/>
  <c r="AJQ1" i="1"/>
  <c r="AJP1" i="1"/>
  <c r="AJO1" i="1"/>
  <c r="AJN1" i="1"/>
  <c r="AJM1" i="1"/>
  <c r="AJL1" i="1"/>
  <c r="AJK1" i="1"/>
  <c r="AJJ1" i="1"/>
  <c r="AJI1" i="1"/>
  <c r="AJH1" i="1"/>
  <c r="AJG1" i="1"/>
  <c r="AJF1" i="1"/>
  <c r="AJE1" i="1"/>
  <c r="AJD1" i="1"/>
  <c r="AJC1" i="1"/>
  <c r="AJB1" i="1"/>
  <c r="AJA1" i="1"/>
  <c r="AIZ1" i="1"/>
  <c r="AIY1" i="1"/>
  <c r="AIX1" i="1"/>
  <c r="AIW1" i="1"/>
  <c r="AIV1" i="1"/>
  <c r="AIU1" i="1"/>
  <c r="AIT1" i="1"/>
  <c r="AIS1" i="1"/>
  <c r="AIR1" i="1"/>
  <c r="AIQ1" i="1"/>
  <c r="AIP1" i="1"/>
  <c r="AIO1" i="1"/>
  <c r="AIN1" i="1"/>
  <c r="AIM1" i="1"/>
  <c r="AIL1" i="1"/>
  <c r="AIK1" i="1"/>
  <c r="AIJ1" i="1"/>
  <c r="AII1" i="1"/>
  <c r="AIH1" i="1"/>
  <c r="AIG1" i="1"/>
  <c r="AIF1" i="1"/>
  <c r="AIE1" i="1"/>
  <c r="AID1" i="1"/>
  <c r="AIC1" i="1"/>
  <c r="AIB1" i="1"/>
  <c r="AIA1" i="1"/>
  <c r="AHZ1" i="1"/>
  <c r="AHY1" i="1"/>
  <c r="AHX1" i="1"/>
  <c r="AHW1" i="1"/>
  <c r="AHV1" i="1"/>
  <c r="AHU1" i="1"/>
  <c r="AHT1" i="1"/>
  <c r="AHS1" i="1"/>
  <c r="AHR1" i="1"/>
  <c r="AHQ1" i="1"/>
  <c r="AHP1" i="1"/>
  <c r="AHO1" i="1"/>
  <c r="AHN1" i="1"/>
  <c r="AHM1" i="1"/>
  <c r="AHL1" i="1"/>
  <c r="AHK1" i="1"/>
  <c r="AHJ1" i="1"/>
  <c r="AHI1" i="1"/>
  <c r="AHH1" i="1"/>
  <c r="AHG1" i="1"/>
  <c r="AHF1" i="1"/>
  <c r="AHE1" i="1"/>
  <c r="AHD1" i="1"/>
  <c r="AHC1" i="1"/>
  <c r="AHB1" i="1"/>
  <c r="AHA1" i="1"/>
  <c r="AGZ1" i="1"/>
  <c r="AGY1" i="1"/>
  <c r="AGX1" i="1"/>
  <c r="AGW1" i="1"/>
  <c r="AGV1" i="1"/>
  <c r="AGU1" i="1"/>
  <c r="AGT1" i="1"/>
  <c r="AGS1" i="1"/>
  <c r="AGR1" i="1"/>
  <c r="AGQ1" i="1"/>
  <c r="AGP1" i="1"/>
  <c r="AGO1" i="1"/>
  <c r="AGN1" i="1"/>
  <c r="AGM1" i="1"/>
  <c r="AGL1" i="1"/>
  <c r="AGK1" i="1"/>
  <c r="AGJ1" i="1"/>
  <c r="AGI1" i="1"/>
  <c r="AGH1" i="1"/>
  <c r="AGG1" i="1"/>
  <c r="AGF1" i="1"/>
  <c r="AGE1" i="1"/>
  <c r="AGD1" i="1"/>
  <c r="AGC1" i="1"/>
  <c r="AGB1" i="1"/>
  <c r="AGA1" i="1"/>
  <c r="AFZ1" i="1"/>
  <c r="AFY1" i="1"/>
  <c r="AFX1" i="1"/>
  <c r="AFW1" i="1"/>
  <c r="AFV1" i="1"/>
  <c r="AFU1" i="1"/>
  <c r="AFT1" i="1"/>
  <c r="AFS1" i="1"/>
  <c r="AFR1" i="1"/>
  <c r="AFQ1" i="1"/>
  <c r="AFP1" i="1"/>
  <c r="AFO1" i="1"/>
  <c r="AFN1" i="1"/>
  <c r="AFM1" i="1"/>
  <c r="AFL1" i="1"/>
  <c r="AFK1" i="1"/>
  <c r="AFJ1" i="1"/>
  <c r="AFI1" i="1"/>
  <c r="AFH1" i="1"/>
  <c r="AFG1" i="1"/>
  <c r="AFF1" i="1"/>
  <c r="AFE1" i="1"/>
  <c r="AFD1" i="1"/>
  <c r="AFC1" i="1"/>
  <c r="AFB1" i="1"/>
  <c r="AFA1" i="1"/>
  <c r="AEZ1" i="1"/>
  <c r="AEY1" i="1"/>
  <c r="AEX1" i="1"/>
  <c r="AEW1" i="1"/>
  <c r="AEV1" i="1"/>
  <c r="AEU1" i="1"/>
  <c r="AET1" i="1"/>
  <c r="AES1" i="1"/>
  <c r="AER1" i="1"/>
  <c r="AEQ1" i="1"/>
  <c r="AEP1" i="1"/>
  <c r="AEO1" i="1"/>
  <c r="AEN1" i="1"/>
  <c r="AEM1" i="1"/>
  <c r="AEL1" i="1"/>
  <c r="AEK1" i="1"/>
  <c r="AEJ1" i="1"/>
  <c r="AEI1" i="1"/>
  <c r="AEH1" i="1"/>
  <c r="AEG1" i="1"/>
  <c r="AEF1" i="1"/>
  <c r="AEE1" i="1"/>
  <c r="AED1" i="1"/>
  <c r="AEC1" i="1"/>
  <c r="AEB1" i="1"/>
  <c r="AEA1" i="1"/>
  <c r="ADZ1" i="1"/>
  <c r="ADY1" i="1"/>
  <c r="ADX1" i="1"/>
  <c r="ADW1" i="1"/>
  <c r="ADV1" i="1"/>
  <c r="ADU1" i="1"/>
  <c r="ADT1" i="1"/>
  <c r="ADS1" i="1"/>
  <c r="ADR1" i="1"/>
  <c r="ADQ1" i="1"/>
  <c r="ADP1" i="1"/>
  <c r="ADO1" i="1"/>
  <c r="ADN1" i="1"/>
  <c r="ADM1" i="1"/>
  <c r="ADL1" i="1"/>
  <c r="ADK1" i="1"/>
  <c r="ADJ1" i="1"/>
  <c r="ADI1" i="1"/>
  <c r="ADH1" i="1"/>
  <c r="ADG1" i="1"/>
  <c r="ADF1" i="1"/>
  <c r="ADE1" i="1"/>
  <c r="ADD1" i="1"/>
  <c r="ADC1" i="1"/>
  <c r="ADB1" i="1"/>
  <c r="ADA1" i="1"/>
  <c r="ACZ1" i="1"/>
  <c r="ACY1" i="1"/>
  <c r="ACX1" i="1"/>
  <c r="ACW1" i="1"/>
  <c r="ACV1" i="1"/>
  <c r="ACU1" i="1"/>
  <c r="ACT1" i="1"/>
  <c r="ACS1" i="1"/>
  <c r="ACR1" i="1"/>
  <c r="ACQ1" i="1"/>
  <c r="ACP1" i="1"/>
  <c r="ACO1" i="1"/>
  <c r="ACN1" i="1"/>
  <c r="ACM1" i="1"/>
  <c r="ACL1" i="1"/>
  <c r="ACK1" i="1"/>
  <c r="ACJ1" i="1"/>
  <c r="ACI1" i="1"/>
  <c r="ACH1" i="1"/>
  <c r="ACG1" i="1"/>
  <c r="ACF1" i="1"/>
  <c r="ACE1" i="1"/>
  <c r="ACD1" i="1"/>
  <c r="ACC1" i="1"/>
  <c r="ACB1" i="1"/>
  <c r="ACA1" i="1"/>
  <c r="ABZ1" i="1"/>
  <c r="ABY1" i="1"/>
  <c r="ABX1" i="1"/>
  <c r="ABW1" i="1"/>
  <c r="ABV1" i="1"/>
  <c r="ABU1" i="1"/>
  <c r="ABT1" i="1"/>
  <c r="ABS1" i="1"/>
  <c r="ABR1" i="1"/>
  <c r="ABQ1" i="1"/>
  <c r="ABP1" i="1"/>
  <c r="ABO1" i="1"/>
  <c r="ABN1" i="1"/>
  <c r="ABM1" i="1"/>
  <c r="ABL1" i="1"/>
  <c r="ABK1" i="1"/>
  <c r="ABJ1" i="1"/>
  <c r="ABI1" i="1"/>
  <c r="ABH1" i="1"/>
  <c r="ABG1" i="1"/>
  <c r="ABF1" i="1"/>
  <c r="ABE1" i="1"/>
  <c r="ABD1" i="1"/>
  <c r="ABC1" i="1"/>
  <c r="ABB1" i="1"/>
  <c r="ABA1" i="1"/>
  <c r="AAZ1" i="1"/>
  <c r="AAY1" i="1"/>
  <c r="AAX1" i="1"/>
  <c r="AAW1" i="1"/>
  <c r="AAV1" i="1"/>
  <c r="AAU1" i="1"/>
  <c r="AAT1" i="1"/>
  <c r="AAS1" i="1"/>
  <c r="AAR1" i="1"/>
  <c r="AAQ1" i="1"/>
  <c r="AAP1" i="1"/>
  <c r="AAO1" i="1"/>
  <c r="AAN1" i="1"/>
  <c r="AAM1" i="1"/>
  <c r="AAL1" i="1"/>
  <c r="AAK1" i="1"/>
  <c r="AAJ1" i="1"/>
  <c r="AAI1" i="1"/>
  <c r="AAH1" i="1"/>
  <c r="AAG1" i="1"/>
  <c r="AAF1" i="1"/>
  <c r="AAE1" i="1"/>
  <c r="AAD1" i="1"/>
  <c r="AAC1" i="1"/>
  <c r="AAB1" i="1"/>
  <c r="AAA1" i="1"/>
  <c r="ZZ1" i="1"/>
  <c r="ZY1" i="1"/>
  <c r="ZX1" i="1"/>
  <c r="ZW1" i="1"/>
  <c r="ZV1" i="1"/>
  <c r="ZU1" i="1"/>
  <c r="ZT1" i="1"/>
  <c r="ZS1" i="1"/>
  <c r="ZR1" i="1"/>
  <c r="ZQ1" i="1"/>
  <c r="ZP1" i="1"/>
  <c r="ZO1" i="1"/>
  <c r="ZN1" i="1"/>
  <c r="ZM1" i="1"/>
  <c r="ZL1" i="1"/>
  <c r="ZK1" i="1"/>
  <c r="ZJ1" i="1"/>
  <c r="ZI1" i="1"/>
  <c r="ZH1" i="1"/>
  <c r="ZG1" i="1"/>
  <c r="ZF1" i="1"/>
  <c r="ZE1" i="1"/>
  <c r="ZD1" i="1"/>
  <c r="ZC1" i="1"/>
  <c r="ZB1" i="1"/>
  <c r="ZA1" i="1"/>
  <c r="YZ1" i="1"/>
  <c r="YY1" i="1"/>
  <c r="YX1" i="1"/>
  <c r="YW1" i="1"/>
  <c r="YV1" i="1"/>
  <c r="YU1" i="1"/>
  <c r="YT1" i="1"/>
  <c r="YS1" i="1"/>
  <c r="YR1" i="1"/>
  <c r="YQ1" i="1"/>
  <c r="YP1" i="1"/>
  <c r="YO1" i="1"/>
  <c r="YN1" i="1"/>
  <c r="YM1" i="1"/>
  <c r="YL1" i="1"/>
  <c r="YK1" i="1"/>
  <c r="YJ1" i="1"/>
  <c r="YI1" i="1"/>
  <c r="YH1" i="1"/>
  <c r="YG1" i="1"/>
  <c r="YF1" i="1"/>
  <c r="YE1" i="1"/>
  <c r="YD1" i="1"/>
  <c r="YC1" i="1"/>
  <c r="YB1" i="1"/>
  <c r="YA1" i="1"/>
  <c r="XZ1" i="1"/>
  <c r="XY1" i="1"/>
  <c r="XX1" i="1"/>
  <c r="XW1" i="1"/>
  <c r="XV1" i="1"/>
  <c r="XU1" i="1"/>
  <c r="XT1" i="1"/>
  <c r="XS1" i="1"/>
  <c r="XR1" i="1"/>
  <c r="XQ1" i="1"/>
  <c r="XP1" i="1"/>
  <c r="XO1" i="1"/>
  <c r="XN1" i="1"/>
  <c r="XM1" i="1"/>
  <c r="XL1" i="1"/>
  <c r="XK1" i="1"/>
  <c r="XJ1" i="1"/>
  <c r="XI1" i="1"/>
  <c r="XH1" i="1"/>
  <c r="XG1" i="1"/>
  <c r="XF1" i="1"/>
  <c r="XE1" i="1"/>
  <c r="XD1" i="1"/>
  <c r="XC1" i="1"/>
  <c r="XB1" i="1"/>
  <c r="XA1" i="1"/>
  <c r="WZ1" i="1"/>
  <c r="WY1" i="1"/>
  <c r="WX1" i="1"/>
  <c r="WW1" i="1"/>
  <c r="WV1" i="1"/>
  <c r="WU1" i="1"/>
  <c r="WT1" i="1"/>
  <c r="WS1" i="1"/>
  <c r="WR1" i="1"/>
  <c r="WQ1" i="1"/>
  <c r="WP1" i="1"/>
  <c r="WO1" i="1"/>
  <c r="WN1" i="1"/>
  <c r="WM1" i="1"/>
  <c r="WL1" i="1"/>
  <c r="WK1" i="1"/>
  <c r="WJ1" i="1"/>
  <c r="WI1" i="1"/>
  <c r="WH1" i="1"/>
  <c r="WG1" i="1"/>
  <c r="WF1" i="1"/>
  <c r="WE1" i="1"/>
  <c r="WD1" i="1"/>
  <c r="WC1" i="1"/>
  <c r="WB1" i="1"/>
  <c r="WA1" i="1"/>
  <c r="VZ1" i="1"/>
  <c r="VY1" i="1"/>
  <c r="VX1" i="1"/>
  <c r="VW1" i="1"/>
  <c r="VV1" i="1"/>
  <c r="VU1" i="1"/>
  <c r="VT1" i="1"/>
  <c r="VS1" i="1"/>
  <c r="VR1" i="1"/>
  <c r="VQ1" i="1"/>
  <c r="VP1" i="1"/>
  <c r="VO1" i="1"/>
  <c r="VN1" i="1"/>
  <c r="VM1" i="1"/>
  <c r="VL1" i="1"/>
  <c r="VK1" i="1"/>
  <c r="VJ1" i="1"/>
  <c r="VI1" i="1"/>
  <c r="VH1" i="1"/>
  <c r="VG1" i="1"/>
  <c r="VF1" i="1"/>
  <c r="VE1" i="1"/>
  <c r="VD1" i="1"/>
  <c r="VC1" i="1"/>
  <c r="VB1" i="1"/>
  <c r="VA1" i="1"/>
  <c r="UZ1" i="1"/>
  <c r="UY1" i="1"/>
  <c r="UX1" i="1"/>
  <c r="UW1" i="1"/>
  <c r="UV1" i="1"/>
  <c r="UU1" i="1"/>
  <c r="UT1" i="1"/>
  <c r="US1" i="1"/>
  <c r="UR1" i="1"/>
  <c r="UQ1" i="1"/>
  <c r="UP1" i="1"/>
  <c r="UO1" i="1"/>
  <c r="UN1" i="1"/>
  <c r="UM1" i="1"/>
  <c r="UL1" i="1"/>
  <c r="UK1" i="1"/>
  <c r="UJ1" i="1"/>
  <c r="UI1" i="1"/>
  <c r="UH1" i="1"/>
  <c r="UG1" i="1"/>
  <c r="UF1" i="1"/>
  <c r="UE1" i="1"/>
  <c r="UD1" i="1"/>
  <c r="UC1" i="1"/>
  <c r="UB1" i="1"/>
  <c r="UA1" i="1"/>
  <c r="TZ1" i="1"/>
  <c r="TY1" i="1"/>
  <c r="TX1" i="1"/>
  <c r="TW1" i="1"/>
  <c r="TV1" i="1"/>
  <c r="TU1" i="1"/>
  <c r="TT1" i="1"/>
  <c r="TS1" i="1"/>
  <c r="TR1" i="1"/>
  <c r="TQ1" i="1"/>
  <c r="TP1" i="1"/>
  <c r="TO1" i="1"/>
  <c r="TN1" i="1"/>
  <c r="TM1" i="1"/>
  <c r="TL1" i="1"/>
  <c r="TK1" i="1"/>
  <c r="TJ1" i="1"/>
  <c r="TI1" i="1"/>
  <c r="TH1" i="1"/>
  <c r="TG1" i="1"/>
  <c r="TF1" i="1"/>
  <c r="TE1" i="1"/>
  <c r="TD1" i="1"/>
  <c r="TC1" i="1"/>
  <c r="TB1" i="1"/>
  <c r="TA1" i="1"/>
  <c r="SZ1" i="1"/>
  <c r="SY1" i="1"/>
  <c r="SX1" i="1"/>
  <c r="SW1" i="1"/>
  <c r="SV1" i="1"/>
  <c r="SU1" i="1"/>
  <c r="ST1" i="1"/>
  <c r="SS1" i="1"/>
  <c r="SR1" i="1"/>
  <c r="SQ1" i="1"/>
  <c r="SP1" i="1"/>
  <c r="SO1" i="1"/>
  <c r="SN1" i="1"/>
  <c r="SM1" i="1"/>
  <c r="SL1" i="1"/>
  <c r="SK1" i="1"/>
  <c r="SJ1" i="1"/>
  <c r="SI1" i="1"/>
  <c r="SH1" i="1"/>
  <c r="SG1" i="1"/>
  <c r="SF1" i="1"/>
  <c r="SE1" i="1"/>
  <c r="SD1" i="1"/>
  <c r="SC1" i="1"/>
  <c r="SB1" i="1"/>
  <c r="SA1" i="1"/>
  <c r="RZ1" i="1"/>
  <c r="RY1" i="1"/>
  <c r="RX1" i="1"/>
  <c r="RW1" i="1"/>
  <c r="RV1" i="1"/>
  <c r="RU1" i="1"/>
  <c r="RT1" i="1"/>
  <c r="RS1" i="1"/>
  <c r="RR1" i="1"/>
  <c r="RQ1" i="1"/>
  <c r="RP1" i="1"/>
  <c r="RO1" i="1"/>
  <c r="RN1" i="1"/>
  <c r="RM1" i="1"/>
  <c r="RL1" i="1"/>
  <c r="RK1" i="1"/>
  <c r="RJ1" i="1"/>
  <c r="RI1" i="1"/>
  <c r="RH1" i="1"/>
  <c r="RG1" i="1"/>
  <c r="RF1" i="1"/>
  <c r="RE1" i="1"/>
  <c r="RD1" i="1"/>
  <c r="RC1" i="1"/>
  <c r="RB1" i="1"/>
  <c r="RA1" i="1"/>
  <c r="QZ1" i="1"/>
  <c r="QY1" i="1"/>
  <c r="QX1" i="1"/>
  <c r="QW1" i="1"/>
  <c r="QV1" i="1"/>
  <c r="QU1" i="1"/>
  <c r="QT1" i="1"/>
  <c r="QS1" i="1"/>
  <c r="QR1" i="1"/>
  <c r="QQ1" i="1"/>
  <c r="QP1" i="1"/>
  <c r="QO1" i="1"/>
  <c r="QN1" i="1"/>
  <c r="QM1" i="1"/>
  <c r="QL1" i="1"/>
  <c r="QK1" i="1"/>
  <c r="QJ1" i="1"/>
  <c r="QI1" i="1"/>
  <c r="QH1" i="1"/>
  <c r="QG1" i="1"/>
  <c r="QF1" i="1"/>
  <c r="QE1" i="1"/>
  <c r="QD1" i="1"/>
  <c r="QC1" i="1"/>
  <c r="QB1" i="1"/>
  <c r="QA1" i="1"/>
  <c r="PZ1" i="1"/>
  <c r="PY1" i="1"/>
  <c r="PX1" i="1"/>
  <c r="PW1" i="1"/>
  <c r="PV1" i="1"/>
  <c r="PU1" i="1"/>
  <c r="PT1" i="1"/>
  <c r="PS1" i="1"/>
  <c r="PR1" i="1"/>
  <c r="PQ1" i="1"/>
  <c r="PP1" i="1"/>
  <c r="PO1" i="1"/>
  <c r="PN1" i="1"/>
  <c r="PM1" i="1"/>
  <c r="PL1" i="1"/>
  <c r="PK1" i="1"/>
  <c r="PJ1" i="1"/>
  <c r="PI1" i="1"/>
  <c r="PH1" i="1"/>
  <c r="PG1" i="1"/>
  <c r="PF1" i="1"/>
  <c r="PE1" i="1"/>
  <c r="PD1" i="1"/>
  <c r="PC1" i="1"/>
  <c r="PB1" i="1"/>
  <c r="PA1" i="1"/>
  <c r="OZ1" i="1"/>
  <c r="OY1" i="1"/>
  <c r="OX1" i="1"/>
  <c r="OW1" i="1"/>
  <c r="OV1" i="1"/>
  <c r="OU1" i="1"/>
  <c r="OT1" i="1"/>
  <c r="OS1" i="1"/>
  <c r="OR1" i="1"/>
  <c r="OQ1" i="1"/>
  <c r="OP1" i="1"/>
  <c r="OO1" i="1"/>
  <c r="ON1" i="1"/>
  <c r="OM1" i="1"/>
  <c r="OL1" i="1"/>
  <c r="OK1" i="1"/>
  <c r="OJ1" i="1"/>
  <c r="OI1" i="1"/>
  <c r="OH1" i="1"/>
  <c r="OG1" i="1"/>
  <c r="OF1" i="1"/>
  <c r="OE1" i="1"/>
  <c r="OD1" i="1"/>
  <c r="OC1" i="1"/>
  <c r="OB1" i="1"/>
  <c r="OA1" i="1"/>
  <c r="NZ1" i="1"/>
  <c r="NY1" i="1"/>
  <c r="NX1" i="1"/>
  <c r="NW1" i="1"/>
  <c r="NV1" i="1"/>
  <c r="NU1" i="1"/>
  <c r="NT1" i="1"/>
  <c r="NS1" i="1"/>
  <c r="NR1" i="1"/>
  <c r="NQ1" i="1"/>
  <c r="NP1" i="1"/>
  <c r="NO1" i="1"/>
  <c r="NN1" i="1"/>
  <c r="NM1" i="1"/>
  <c r="NL1" i="1"/>
  <c r="NK1" i="1"/>
  <c r="NJ1" i="1"/>
  <c r="NI1" i="1"/>
  <c r="NH1" i="1"/>
  <c r="NG1" i="1"/>
  <c r="NF1" i="1"/>
  <c r="NE1" i="1"/>
  <c r="ND1" i="1"/>
  <c r="NC1" i="1"/>
  <c r="NB1" i="1"/>
  <c r="NA1" i="1"/>
  <c r="MZ1" i="1"/>
  <c r="MY1" i="1"/>
  <c r="MX1" i="1"/>
  <c r="MW1" i="1"/>
  <c r="MV1" i="1"/>
  <c r="MU1" i="1"/>
  <c r="MT1" i="1"/>
  <c r="MS1" i="1"/>
  <c r="MR1" i="1"/>
  <c r="MQ1" i="1"/>
  <c r="MP1" i="1"/>
  <c r="MO1" i="1"/>
  <c r="MN1" i="1"/>
  <c r="MM1" i="1"/>
  <c r="ML1" i="1"/>
  <c r="MK1" i="1"/>
  <c r="MJ1" i="1"/>
  <c r="MI1" i="1"/>
  <c r="MH1" i="1"/>
  <c r="MG1" i="1"/>
  <c r="MF1" i="1"/>
  <c r="ME1" i="1"/>
  <c r="MD1" i="1"/>
  <c r="MC1" i="1"/>
  <c r="MB1" i="1"/>
  <c r="MA1" i="1"/>
  <c r="LZ1" i="1"/>
  <c r="LY1" i="1"/>
  <c r="LX1" i="1"/>
  <c r="LW1" i="1"/>
  <c r="LV1" i="1"/>
  <c r="LU1" i="1"/>
  <c r="LT1" i="1"/>
  <c r="LS1" i="1"/>
  <c r="LR1" i="1"/>
  <c r="LQ1" i="1"/>
  <c r="LP1" i="1"/>
  <c r="LO1" i="1"/>
  <c r="LN1" i="1"/>
  <c r="LM1" i="1"/>
  <c r="LL1" i="1"/>
  <c r="LK1" i="1"/>
  <c r="LJ1" i="1"/>
  <c r="LI1" i="1"/>
  <c r="LH1" i="1"/>
  <c r="LG1" i="1"/>
  <c r="LF1" i="1"/>
  <c r="LE1" i="1"/>
  <c r="LD1" i="1"/>
  <c r="LC1" i="1"/>
  <c r="LB1" i="1"/>
  <c r="LA1" i="1"/>
  <c r="KZ1" i="1"/>
  <c r="KY1" i="1"/>
  <c r="KX1" i="1"/>
  <c r="KW1" i="1"/>
  <c r="KV1" i="1"/>
  <c r="KU1" i="1"/>
  <c r="KT1" i="1"/>
  <c r="KS1" i="1"/>
  <c r="KR1" i="1"/>
  <c r="KQ1" i="1"/>
  <c r="KP1" i="1"/>
  <c r="KO1" i="1"/>
  <c r="KN1" i="1"/>
  <c r="KM1" i="1"/>
  <c r="KL1" i="1"/>
  <c r="KK1" i="1"/>
  <c r="KJ1" i="1"/>
  <c r="KI1" i="1"/>
  <c r="KH1" i="1"/>
  <c r="KG1" i="1"/>
  <c r="KF1" i="1"/>
  <c r="KE1" i="1"/>
  <c r="KD1" i="1"/>
  <c r="KC1" i="1"/>
  <c r="KB1" i="1"/>
  <c r="KA1" i="1"/>
  <c r="JZ1" i="1"/>
  <c r="JY1" i="1"/>
  <c r="JX1" i="1"/>
  <c r="JW1" i="1"/>
  <c r="JV1" i="1"/>
  <c r="JU1" i="1"/>
  <c r="JT1" i="1"/>
  <c r="JS1" i="1"/>
  <c r="JR1" i="1"/>
  <c r="JQ1" i="1"/>
  <c r="JP1" i="1"/>
  <c r="JO1" i="1"/>
  <c r="JN1" i="1"/>
  <c r="JM1" i="1"/>
  <c r="JL1" i="1"/>
  <c r="JK1" i="1"/>
  <c r="JJ1" i="1"/>
  <c r="JI1" i="1"/>
  <c r="JH1" i="1"/>
  <c r="JG1" i="1"/>
  <c r="JF1" i="1"/>
  <c r="JE1" i="1"/>
  <c r="JD1" i="1"/>
  <c r="JC1" i="1"/>
  <c r="JB1" i="1"/>
  <c r="JA1" i="1"/>
  <c r="IZ1" i="1"/>
  <c r="IY1" i="1"/>
  <c r="IX1" i="1"/>
  <c r="IW1" i="1"/>
  <c r="IV1" i="1"/>
  <c r="IU1" i="1"/>
  <c r="IT1" i="1"/>
  <c r="IS1" i="1"/>
  <c r="IR1" i="1"/>
  <c r="IQ1" i="1"/>
  <c r="IP1" i="1"/>
  <c r="IO1" i="1"/>
  <c r="IN1" i="1"/>
  <c r="IM1" i="1"/>
  <c r="IL1" i="1"/>
  <c r="IK1" i="1"/>
  <c r="IJ1" i="1"/>
  <c r="II1" i="1"/>
  <c r="IH1" i="1"/>
  <c r="IG1" i="1"/>
  <c r="IF1" i="1"/>
  <c r="IE1" i="1"/>
  <c r="ID1" i="1"/>
  <c r="IC1" i="1"/>
  <c r="IB1" i="1"/>
  <c r="IA1" i="1"/>
  <c r="HZ1" i="1"/>
  <c r="HY1" i="1"/>
  <c r="HX1" i="1"/>
  <c r="HW1" i="1"/>
  <c r="HV1" i="1"/>
  <c r="HU1" i="1"/>
  <c r="HT1" i="1"/>
  <c r="HS1" i="1"/>
  <c r="HR1" i="1"/>
  <c r="HQ1" i="1"/>
  <c r="HP1" i="1"/>
  <c r="HO1" i="1"/>
  <c r="HN1" i="1"/>
  <c r="HM1" i="1"/>
  <c r="HL1" i="1"/>
  <c r="HK1" i="1"/>
  <c r="HJ1" i="1"/>
  <c r="HI1" i="1"/>
  <c r="HH1" i="1"/>
  <c r="HG1" i="1"/>
  <c r="HF1" i="1"/>
  <c r="HE1" i="1"/>
  <c r="HD1" i="1"/>
  <c r="HC1" i="1"/>
  <c r="HB1" i="1"/>
  <c r="HA1" i="1"/>
  <c r="GZ1" i="1"/>
  <c r="GY1" i="1"/>
  <c r="GX1" i="1"/>
  <c r="GW1" i="1"/>
  <c r="GV1" i="1"/>
  <c r="GU1" i="1"/>
  <c r="GT1" i="1"/>
  <c r="GS1" i="1"/>
  <c r="GR1" i="1"/>
  <c r="GQ1" i="1"/>
  <c r="GP1" i="1"/>
  <c r="GO1" i="1"/>
  <c r="GN1" i="1"/>
  <c r="GM1" i="1"/>
  <c r="GL1" i="1"/>
  <c r="GK1" i="1"/>
  <c r="GJ1" i="1"/>
  <c r="GI1" i="1"/>
  <c r="GH1" i="1"/>
  <c r="GG1" i="1"/>
  <c r="GF1" i="1"/>
  <c r="GE1" i="1"/>
  <c r="GD1" i="1"/>
  <c r="GC1" i="1"/>
  <c r="GB1" i="1"/>
  <c r="GA1" i="1"/>
  <c r="FZ1" i="1"/>
  <c r="FY1" i="1"/>
  <c r="FX1" i="1"/>
  <c r="FW1" i="1"/>
  <c r="FV1" i="1"/>
  <c r="FU1" i="1"/>
  <c r="FT1" i="1"/>
  <c r="FS1" i="1"/>
  <c r="FR1" i="1"/>
  <c r="FQ1" i="1"/>
  <c r="FP1" i="1"/>
  <c r="FO1" i="1"/>
  <c r="FN1" i="1"/>
  <c r="FM1" i="1"/>
  <c r="FL1" i="1"/>
  <c r="FK1" i="1"/>
  <c r="FJ1" i="1"/>
  <c r="FI1" i="1"/>
  <c r="FH1" i="1"/>
  <c r="FG1" i="1"/>
  <c r="FF1" i="1"/>
  <c r="FE1" i="1"/>
  <c r="FD1" i="1"/>
  <c r="FC1" i="1"/>
  <c r="FB1" i="1"/>
  <c r="FA1" i="1"/>
  <c r="EZ1" i="1"/>
  <c r="EY1" i="1"/>
  <c r="EX1" i="1"/>
  <c r="EW1" i="1"/>
  <c r="EV1" i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</calcChain>
</file>

<file path=xl/sharedStrings.xml><?xml version="1.0" encoding="utf-8"?>
<sst xmlns="http://schemas.openxmlformats.org/spreadsheetml/2006/main" count="4886" uniqueCount="2416">
  <si>
    <t>IN-FONDO1</t>
  </si>
  <si>
    <t>Q</t>
  </si>
  <si>
    <t>IN-FONDO1_Q_31/12/2025</t>
  </si>
  <si>
    <t>IN-FONDO2</t>
  </si>
  <si>
    <t>IN-FONDO2_Q_31/12/2025</t>
  </si>
  <si>
    <t>IN-FONDO3</t>
  </si>
  <si>
    <t>IN-FONDO3_Q_31/12/2025</t>
  </si>
  <si>
    <t>PxQ</t>
  </si>
  <si>
    <t>IN-FONDO1_PxQ_31/12/2025</t>
  </si>
  <si>
    <t>IN-FONDO2_PxQ_31/12/2025</t>
  </si>
  <si>
    <t>IN-FONDO3_PxQ_31/12/2025</t>
  </si>
  <si>
    <t>%Fondo</t>
  </si>
  <si>
    <t>IN-FONDO1_%Fondo_31/12/2025</t>
  </si>
  <si>
    <t>IN-FONDO2_%Fondo_31/12/2025</t>
  </si>
  <si>
    <t>IN-FONDO3_%Fondo_31/12/2025</t>
  </si>
  <si>
    <t>IN-FONDO1_Q_30/06/2026</t>
  </si>
  <si>
    <t>IN-FONDO2_Q_30/06/2026</t>
  </si>
  <si>
    <t>IN-FONDO3_Q_30/06/2026</t>
  </si>
  <si>
    <t>IN-FONDO1_PxQ_30/06/2026</t>
  </si>
  <si>
    <t>IN-FONDO2_PxQ_30/06/2026</t>
  </si>
  <si>
    <t>IN-FONDO3_PxQ_30/06/2026</t>
  </si>
  <si>
    <t>IN-FONDO1_%Fondo_30/06/2026</t>
  </si>
  <si>
    <t>IN-FONDO2_%Fondo_30/06/2026</t>
  </si>
  <si>
    <t>IN-FONDO3_%Fondo_30/06/2026</t>
  </si>
  <si>
    <t>Fondo</t>
  </si>
  <si>
    <t>Dato</t>
  </si>
  <si>
    <t>Fecha</t>
  </si>
  <si>
    <t>SBS</t>
  </si>
  <si>
    <t>VALFON</t>
  </si>
  <si>
    <t>CAJBAN</t>
  </si>
  <si>
    <t>CAJ_CAD</t>
  </si>
  <si>
    <t>CAJ_BRL</t>
  </si>
  <si>
    <t>CAJ_RUB</t>
  </si>
  <si>
    <t>CAJ_CLP</t>
  </si>
  <si>
    <t>CAJ_COP</t>
  </si>
  <si>
    <t>CAJ_DOL</t>
  </si>
  <si>
    <t>CAJ_EUR</t>
  </si>
  <si>
    <t>CAJ_GBP</t>
  </si>
  <si>
    <t>CAJ_JPY</t>
  </si>
  <si>
    <t>CAJ_AUD</t>
  </si>
  <si>
    <t>CAJ_TRY</t>
  </si>
  <si>
    <t>CAJ_NOK</t>
  </si>
  <si>
    <t>CAJ_CNH</t>
  </si>
  <si>
    <t>CAJ_ZAR</t>
  </si>
  <si>
    <t>CAJ_SEK</t>
  </si>
  <si>
    <t>CAJ_CHF</t>
  </si>
  <si>
    <t>CAJ_MXN</t>
  </si>
  <si>
    <t>CTACOB</t>
  </si>
  <si>
    <t>CTAPAG</t>
  </si>
  <si>
    <t>CAJ_NSOL</t>
  </si>
  <si>
    <t>DPZ_NSOL</t>
  </si>
  <si>
    <t>DPZ_DOL</t>
  </si>
  <si>
    <t>DPZ_CAD</t>
  </si>
  <si>
    <t>CD_NSOL</t>
  </si>
  <si>
    <t>DPZ_BRL</t>
  </si>
  <si>
    <t>DPZ_MXN</t>
  </si>
  <si>
    <t>DPZ_EUR</t>
  </si>
  <si>
    <t>DPZ_GBP</t>
  </si>
  <si>
    <t>011000112F42</t>
  </si>
  <si>
    <t>011000112G26</t>
  </si>
  <si>
    <t>011000112G31</t>
  </si>
  <si>
    <t>011000112G37</t>
  </si>
  <si>
    <t>011000112S23</t>
  </si>
  <si>
    <t>011000238AS1</t>
  </si>
  <si>
    <t>01100028AP79</t>
  </si>
  <si>
    <t>011000312G46</t>
  </si>
  <si>
    <t>011000313J19</t>
  </si>
  <si>
    <t>011000313O24</t>
  </si>
  <si>
    <t>011000331E35</t>
  </si>
  <si>
    <t>08400425BB02</t>
  </si>
  <si>
    <t>0840059000Q0</t>
  </si>
  <si>
    <t>125072963779</t>
  </si>
  <si>
    <t>125074C0AB64</t>
  </si>
  <si>
    <t>125272FCAA82</t>
  </si>
  <si>
    <t>15527829AB20</t>
  </si>
  <si>
    <t>15527829AH99</t>
  </si>
  <si>
    <t>155310165785</t>
  </si>
  <si>
    <t>21000210701A</t>
  </si>
  <si>
    <t>21000224AB92</t>
  </si>
  <si>
    <t>21000226AD58</t>
  </si>
  <si>
    <t>21000226AE32</t>
  </si>
  <si>
    <t>21000310905A</t>
  </si>
  <si>
    <t>21000311208A</t>
  </si>
  <si>
    <t>21000311302A</t>
  </si>
  <si>
    <t>21000320802B</t>
  </si>
  <si>
    <t>210003271536</t>
  </si>
  <si>
    <t>21001130702A</t>
  </si>
  <si>
    <t>21001130703A</t>
  </si>
  <si>
    <t>21001130805U</t>
  </si>
  <si>
    <t>21001130806A</t>
  </si>
  <si>
    <t>21004211201A</t>
  </si>
  <si>
    <t>21015421101A</t>
  </si>
  <si>
    <t>22200211302A</t>
  </si>
  <si>
    <t>22200911204U</t>
  </si>
  <si>
    <t>22200911205U</t>
  </si>
  <si>
    <t>22200911206U</t>
  </si>
  <si>
    <t>22203210701A</t>
  </si>
  <si>
    <t>22203210703A</t>
  </si>
  <si>
    <t>22203220911A</t>
  </si>
  <si>
    <t>22204327AA42</t>
  </si>
  <si>
    <t>2220552SAC90</t>
  </si>
  <si>
    <t>22205811201A</t>
  </si>
  <si>
    <t>22205811301B</t>
  </si>
  <si>
    <t>22205820704A</t>
  </si>
  <si>
    <t>22205821204A</t>
  </si>
  <si>
    <t>22206111007A</t>
  </si>
  <si>
    <t>2220642RAG67</t>
  </si>
  <si>
    <t>22206430404A</t>
  </si>
  <si>
    <t>22206430506A</t>
  </si>
  <si>
    <t>22207120601A</t>
  </si>
  <si>
    <t>22207120702A</t>
  </si>
  <si>
    <t>22207130603A</t>
  </si>
  <si>
    <t>22207130704A</t>
  </si>
  <si>
    <t>22207511201A</t>
  </si>
  <si>
    <t>22207511201B</t>
  </si>
  <si>
    <t>22210623AA63</t>
  </si>
  <si>
    <t>22210728AA11</t>
  </si>
  <si>
    <t>22230430712A</t>
  </si>
  <si>
    <t>22230430719A</t>
  </si>
  <si>
    <t>22230430819C</t>
  </si>
  <si>
    <t>22284528AA22</t>
  </si>
  <si>
    <t>25000211110A</t>
  </si>
  <si>
    <t>25000211210B</t>
  </si>
  <si>
    <t>25000211210C</t>
  </si>
  <si>
    <t>25000226AC75</t>
  </si>
  <si>
    <t>2500022JCG87</t>
  </si>
  <si>
    <t>2500032SAC00</t>
  </si>
  <si>
    <t>25000911203B</t>
  </si>
  <si>
    <t>25001111001U</t>
  </si>
  <si>
    <t>25001111002A</t>
  </si>
  <si>
    <t>25001111102A</t>
  </si>
  <si>
    <t>25001111205U</t>
  </si>
  <si>
    <t>25001120AA28</t>
  </si>
  <si>
    <t>25003511301A</t>
  </si>
  <si>
    <t>25008611209A</t>
  </si>
  <si>
    <t>25008629AY82</t>
  </si>
  <si>
    <t>25008711304A</t>
  </si>
  <si>
    <t>2702021IP01U</t>
  </si>
  <si>
    <t>27430325AB80</t>
  </si>
  <si>
    <t>2743032NAB38</t>
  </si>
  <si>
    <t>274304115N22</t>
  </si>
  <si>
    <t>27432729AA53</t>
  </si>
  <si>
    <t>2743282RAA52</t>
  </si>
  <si>
    <t>274331229698</t>
  </si>
  <si>
    <t>300009100001</t>
  </si>
  <si>
    <t>300011100001</t>
  </si>
  <si>
    <t>300013200001</t>
  </si>
  <si>
    <t>302002100001</t>
  </si>
  <si>
    <t>302008100002</t>
  </si>
  <si>
    <t>302009100001</t>
  </si>
  <si>
    <t>302011100001</t>
  </si>
  <si>
    <t>302012200001</t>
  </si>
  <si>
    <t>302029100001</t>
  </si>
  <si>
    <t>302030100001</t>
  </si>
  <si>
    <t>302032100002</t>
  </si>
  <si>
    <t>302043100001</t>
  </si>
  <si>
    <t>302072200001</t>
  </si>
  <si>
    <t>302043100002</t>
  </si>
  <si>
    <t>302048100001</t>
  </si>
  <si>
    <t>302051100001</t>
  </si>
  <si>
    <t>302061100001</t>
  </si>
  <si>
    <t>3020836W5029</t>
  </si>
  <si>
    <t>3021012171A1</t>
  </si>
  <si>
    <t>302107100001</t>
  </si>
  <si>
    <t>302845100002</t>
  </si>
  <si>
    <t>312025100001</t>
  </si>
  <si>
    <t>312039100001</t>
  </si>
  <si>
    <t>3220082A1040</t>
  </si>
  <si>
    <t>3220512Q1094</t>
  </si>
  <si>
    <t>345217200001</t>
  </si>
  <si>
    <t>3743261FDINF</t>
  </si>
  <si>
    <t>4911021PYME1</t>
  </si>
  <si>
    <t>5111022FINM1</t>
  </si>
  <si>
    <t>5111022FINR2</t>
  </si>
  <si>
    <t>5111322LATAM</t>
  </si>
  <si>
    <t>5111042FIMRE</t>
  </si>
  <si>
    <t>5111042FINM2</t>
  </si>
  <si>
    <t>5111042INF1U</t>
  </si>
  <si>
    <t>491105206SI1</t>
  </si>
  <si>
    <t>5111052INFS1</t>
  </si>
  <si>
    <t>5111092FMEZZ</t>
  </si>
  <si>
    <t>5111102FIBR2</t>
  </si>
  <si>
    <t>5111102FIBRC</t>
  </si>
  <si>
    <t>5111142FFOR1</t>
  </si>
  <si>
    <t>5211082FRFLU</t>
  </si>
  <si>
    <t>5260012E1030</t>
  </si>
  <si>
    <t>5260012E4070</t>
  </si>
  <si>
    <t>5260012E5069</t>
  </si>
  <si>
    <t>5260012EV107</t>
  </si>
  <si>
    <t>5260012EY100</t>
  </si>
  <si>
    <t>5260012EY605</t>
  </si>
  <si>
    <t>5260012EY704</t>
  </si>
  <si>
    <t>5270062FCB08</t>
  </si>
  <si>
    <t>5270062FFN53</t>
  </si>
  <si>
    <t>5270172E2874</t>
  </si>
  <si>
    <t>5270172E8413</t>
  </si>
  <si>
    <t>5270182F5243</t>
  </si>
  <si>
    <t>5270802F9801</t>
  </si>
  <si>
    <t>5270292F4301</t>
  </si>
  <si>
    <t>5270324F9339</t>
  </si>
  <si>
    <t>5270382F9940</t>
  </si>
  <si>
    <t>5270392F5595</t>
  </si>
  <si>
    <t>5270462F0367</t>
  </si>
  <si>
    <t>5270772F5196</t>
  </si>
  <si>
    <t>5270772F5315</t>
  </si>
  <si>
    <t>5271112E5105</t>
  </si>
  <si>
    <t>5271112E6533</t>
  </si>
  <si>
    <t>5271112E6608</t>
  </si>
  <si>
    <t>5271112E6822</t>
  </si>
  <si>
    <t>5271112E7184</t>
  </si>
  <si>
    <t>5271112E7200</t>
  </si>
  <si>
    <t>5271112E7234</t>
  </si>
  <si>
    <t>5271112E7655</t>
  </si>
  <si>
    <t>5271112E8487</t>
  </si>
  <si>
    <t>5271112E8513</t>
  </si>
  <si>
    <t>5311082FIEAM</t>
  </si>
  <si>
    <t>5370552AARCF</t>
  </si>
  <si>
    <t>5370862TRGL1</t>
  </si>
  <si>
    <t>5370904PGD09</t>
  </si>
  <si>
    <t>5371072PBCR2</t>
  </si>
  <si>
    <t>5371242PAVIL</t>
  </si>
  <si>
    <t>5371262AGPII</t>
  </si>
  <si>
    <t>5371332COL6A</t>
  </si>
  <si>
    <t>5371362PGS11</t>
  </si>
  <si>
    <t>4871412CLPEF</t>
  </si>
  <si>
    <t>5371484A8AFE</t>
  </si>
  <si>
    <t>5460042E8427</t>
  </si>
  <si>
    <t>595132FRAB35</t>
  </si>
  <si>
    <t>0840059000R8</t>
  </si>
  <si>
    <t>25210529AA12</t>
  </si>
  <si>
    <t>5271112E6806</t>
  </si>
  <si>
    <t>5755442JAA19</t>
  </si>
  <si>
    <t>5271112E8752</t>
  </si>
  <si>
    <t>0840059000H9</t>
  </si>
  <si>
    <t>0840059000J5</t>
  </si>
  <si>
    <t>5271112E7325</t>
  </si>
  <si>
    <t>21000321303A</t>
  </si>
  <si>
    <t>5270432F6750</t>
  </si>
  <si>
    <t>2220392TAA36</t>
  </si>
  <si>
    <t>5270242F3827</t>
  </si>
  <si>
    <t>5270132F4904</t>
  </si>
  <si>
    <t>5271112E6764</t>
  </si>
  <si>
    <t>5270292F85G6</t>
  </si>
  <si>
    <t>22203011411A</t>
  </si>
  <si>
    <t>22211619AA48</t>
  </si>
  <si>
    <t>2100862GAA71</t>
  </si>
  <si>
    <t>22200911309U</t>
  </si>
  <si>
    <t>2721171IRSM1</t>
  </si>
  <si>
    <t>011000112F55</t>
  </si>
  <si>
    <t>011000312F30</t>
  </si>
  <si>
    <t>22203011409A</t>
  </si>
  <si>
    <t>5273932EY308</t>
  </si>
  <si>
    <t>5270192F5998</t>
  </si>
  <si>
    <t>5271112E6731</t>
  </si>
  <si>
    <t>5271112E6772</t>
  </si>
  <si>
    <t>5271112E7861</t>
  </si>
  <si>
    <t>5271112E8182</t>
  </si>
  <si>
    <t>5271112E8851</t>
  </si>
  <si>
    <t>21001126AG98</t>
  </si>
  <si>
    <t>5260012E2090</t>
  </si>
  <si>
    <t>5260012EY803</t>
  </si>
  <si>
    <t>01100028BM30</t>
  </si>
  <si>
    <t>011000112G24</t>
  </si>
  <si>
    <t>2221192QAA24</t>
  </si>
  <si>
    <t>25008711407A</t>
  </si>
  <si>
    <t>1252172VAE56</t>
  </si>
  <si>
    <t>5373382ACOA3</t>
  </si>
  <si>
    <t>5111152FCRET</t>
  </si>
  <si>
    <t>5270172E8744</t>
  </si>
  <si>
    <t>5111141KFIIP</t>
  </si>
  <si>
    <t>08400425CU73</t>
  </si>
  <si>
    <t>22201111502A</t>
  </si>
  <si>
    <t>25008611505A</t>
  </si>
  <si>
    <t>222121371023</t>
  </si>
  <si>
    <t>25517212A018</t>
  </si>
  <si>
    <t>5270082F1215</t>
  </si>
  <si>
    <t>5111011CCINM</t>
  </si>
  <si>
    <t>21015121402U</t>
  </si>
  <si>
    <t>431000112G31</t>
  </si>
  <si>
    <t>5271112E8257</t>
  </si>
  <si>
    <t>1252172VAJ44</t>
  </si>
  <si>
    <t>22203111501A</t>
  </si>
  <si>
    <t>4911182HMCHY</t>
  </si>
  <si>
    <t>21000911501A</t>
  </si>
  <si>
    <t>3743332FINF2</t>
  </si>
  <si>
    <t>2743022PTS22</t>
  </si>
  <si>
    <t>5111181FDVI1</t>
  </si>
  <si>
    <t>5273862FW849</t>
  </si>
  <si>
    <t>5270172E2742</t>
  </si>
  <si>
    <t>22203011517A</t>
  </si>
  <si>
    <t>4911141MIND1</t>
  </si>
  <si>
    <t>22212211501U</t>
  </si>
  <si>
    <t>22212211502U</t>
  </si>
  <si>
    <t>2702011INSC2</t>
  </si>
  <si>
    <t>01100028BU55</t>
  </si>
  <si>
    <t>22200911502A</t>
  </si>
  <si>
    <t>5372842LCP8F</t>
  </si>
  <si>
    <t>5373852ASSIV</t>
  </si>
  <si>
    <t>5373892AESS3</t>
  </si>
  <si>
    <t>5270732EMR08</t>
  </si>
  <si>
    <t>5373592OPF6F</t>
  </si>
  <si>
    <t>5273874F8985</t>
  </si>
  <si>
    <t>5273956E5VV1</t>
  </si>
  <si>
    <t>5273952EXRP0</t>
  </si>
  <si>
    <t>5273952EPGT3</t>
  </si>
  <si>
    <t>5273972E0974</t>
  </si>
  <si>
    <t>5273972E3540</t>
  </si>
  <si>
    <t>4911181HMCSY</t>
  </si>
  <si>
    <t>5270734EQG56</t>
  </si>
  <si>
    <t>22212521501A</t>
  </si>
  <si>
    <t>5273976E9477</t>
  </si>
  <si>
    <t>21003521503U</t>
  </si>
  <si>
    <t>011000312F40</t>
  </si>
  <si>
    <t>5270474F8219</t>
  </si>
  <si>
    <t>22201111604A</t>
  </si>
  <si>
    <t>25210511601A</t>
  </si>
  <si>
    <t>5271112E7457</t>
  </si>
  <si>
    <t>5270652EF106</t>
  </si>
  <si>
    <t>5270652EF825</t>
  </si>
  <si>
    <t>5270434F2486</t>
  </si>
  <si>
    <t>21004811601A</t>
  </si>
  <si>
    <t>0840059000P2</t>
  </si>
  <si>
    <t>2220882KAB37</t>
  </si>
  <si>
    <t>22212311603A</t>
  </si>
  <si>
    <t>25004811601B</t>
  </si>
  <si>
    <t>22230411611A</t>
  </si>
  <si>
    <t>22206111601A</t>
  </si>
  <si>
    <t>22203011620A</t>
  </si>
  <si>
    <t>25210511604A</t>
  </si>
  <si>
    <t>22200911604A</t>
  </si>
  <si>
    <t>22212311603B</t>
  </si>
  <si>
    <t>22212511603A</t>
  </si>
  <si>
    <t>5271112EG103</t>
  </si>
  <si>
    <t>3350222V1035</t>
  </si>
  <si>
    <t>3351632F1049</t>
  </si>
  <si>
    <t>345205941019</t>
  </si>
  <si>
    <t>3457848CNOR3</t>
  </si>
  <si>
    <t>345034C00100</t>
  </si>
  <si>
    <t>5271112E8281</t>
  </si>
  <si>
    <t>5373542PGS15</t>
  </si>
  <si>
    <t>5373962COL7F</t>
  </si>
  <si>
    <t>5271112EV464</t>
  </si>
  <si>
    <t>011000112G28</t>
  </si>
  <si>
    <t>431000112G28</t>
  </si>
  <si>
    <t>22582511601A</t>
  </si>
  <si>
    <t>25008611610B</t>
  </si>
  <si>
    <t>5270882F2267</t>
  </si>
  <si>
    <t>5271112E6517</t>
  </si>
  <si>
    <t>5270272F7318</t>
  </si>
  <si>
    <t>5270652EF718</t>
  </si>
  <si>
    <t>21001811601A</t>
  </si>
  <si>
    <t>5271112E7390</t>
  </si>
  <si>
    <t>22208511601A</t>
  </si>
  <si>
    <t>25008611611A</t>
  </si>
  <si>
    <t>5374112KKR12</t>
  </si>
  <si>
    <t>2702021ADP1A</t>
  </si>
  <si>
    <t>5274136F2800</t>
  </si>
  <si>
    <t>25008811702B</t>
  </si>
  <si>
    <t>22200911705A</t>
  </si>
  <si>
    <t>25210511701U</t>
  </si>
  <si>
    <t>302128100001</t>
  </si>
  <si>
    <t>5270222F3349</t>
  </si>
  <si>
    <t>22582811701A</t>
  </si>
  <si>
    <t>3221282L1089</t>
  </si>
  <si>
    <t>25010511701A</t>
  </si>
  <si>
    <t>22212311701A</t>
  </si>
  <si>
    <t>2220472BAA19</t>
  </si>
  <si>
    <t>5274142F4590</t>
  </si>
  <si>
    <t>5374062AIXFE</t>
  </si>
  <si>
    <t>5270942FY6L5</t>
  </si>
  <si>
    <t>5271112E6400</t>
  </si>
  <si>
    <t>5374204CVC7A</t>
  </si>
  <si>
    <t>5374192HCI4A</t>
  </si>
  <si>
    <t>22206111703A</t>
  </si>
  <si>
    <t>3454129K1056</t>
  </si>
  <si>
    <t>25010511701B</t>
  </si>
  <si>
    <t>011000112G32</t>
  </si>
  <si>
    <t>08400425DL65</t>
  </si>
  <si>
    <t>2220882PAA77</t>
  </si>
  <si>
    <t>2551722XAB03</t>
  </si>
  <si>
    <t>2702011INSC3</t>
  </si>
  <si>
    <t>4974252SLBDC</t>
  </si>
  <si>
    <t>4974252SVBDC</t>
  </si>
  <si>
    <t>22230411714A</t>
  </si>
  <si>
    <t>5374272CRF8B</t>
  </si>
  <si>
    <t>22300220AB35</t>
  </si>
  <si>
    <t>5270652EF494</t>
  </si>
  <si>
    <t>22211023AB85</t>
  </si>
  <si>
    <t>431000112G37</t>
  </si>
  <si>
    <t>5270465F0075</t>
  </si>
  <si>
    <t>22230411715A</t>
  </si>
  <si>
    <t>335073241108</t>
  </si>
  <si>
    <t>12507420AR17</t>
  </si>
  <si>
    <t>2500021JCK99</t>
  </si>
  <si>
    <t>395833228291</t>
  </si>
  <si>
    <t>1252802VAC49</t>
  </si>
  <si>
    <t>5274186F1948</t>
  </si>
  <si>
    <t>25010511702A</t>
  </si>
  <si>
    <t>0840059000D8</t>
  </si>
  <si>
    <t>22583521701U</t>
  </si>
  <si>
    <t>0840052QAV05</t>
  </si>
  <si>
    <t>5111072DES1B</t>
  </si>
  <si>
    <t>5111072DES2B</t>
  </si>
  <si>
    <t>25000325AB16</t>
  </si>
  <si>
    <t>5271112EB671</t>
  </si>
  <si>
    <t>431000112G26</t>
  </si>
  <si>
    <t>2500132FAA05</t>
  </si>
  <si>
    <t>2220892BAE13</t>
  </si>
  <si>
    <t>22203011802A</t>
  </si>
  <si>
    <t>22203011701A</t>
  </si>
  <si>
    <t>27211723AD31</t>
  </si>
  <si>
    <t>5374414P7SLP</t>
  </si>
  <si>
    <t>5374404P7SCS</t>
  </si>
  <si>
    <t>22583911801U</t>
  </si>
  <si>
    <t>2702041CCPN1</t>
  </si>
  <si>
    <t>25010511802B</t>
  </si>
  <si>
    <t>22230411812B</t>
  </si>
  <si>
    <t>5374434CEPVF</t>
  </si>
  <si>
    <t>2258402PAB96</t>
  </si>
  <si>
    <t>25001111801A</t>
  </si>
  <si>
    <t>5260002EE103</t>
  </si>
  <si>
    <t>22206111803B</t>
  </si>
  <si>
    <t>25001111801B</t>
  </si>
  <si>
    <t>5374342CPVII</t>
  </si>
  <si>
    <t>5374482LCPIX</t>
  </si>
  <si>
    <t>084005900MQ5</t>
  </si>
  <si>
    <t>5270942F9584</t>
  </si>
  <si>
    <t>22582511801A</t>
  </si>
  <si>
    <t>DPZ_JPY</t>
  </si>
  <si>
    <t>084000284V99</t>
  </si>
  <si>
    <t>5270732ENQZ4</t>
  </si>
  <si>
    <t>084004F03011</t>
  </si>
  <si>
    <t>25008811803B</t>
  </si>
  <si>
    <t>084004F03581</t>
  </si>
  <si>
    <t>5272092F0792</t>
  </si>
  <si>
    <t>25000226AH62</t>
  </si>
  <si>
    <t>22584221801U</t>
  </si>
  <si>
    <t>5274532FTGR4</t>
  </si>
  <si>
    <t>25001111801C</t>
  </si>
  <si>
    <t>5374552HFCP9</t>
  </si>
  <si>
    <t>22230411801A</t>
  </si>
  <si>
    <t>5274042EE302</t>
  </si>
  <si>
    <t>5358472ASF8G</t>
  </si>
  <si>
    <t>25010411801A</t>
  </si>
  <si>
    <t>22201111801A</t>
  </si>
  <si>
    <t>5271112EG102</t>
  </si>
  <si>
    <t>FTCMEF0-TYH9</t>
  </si>
  <si>
    <t>25004911802A</t>
  </si>
  <si>
    <t>011000112B29</t>
  </si>
  <si>
    <t>431000112B29</t>
  </si>
  <si>
    <t>0840052BAF76</t>
  </si>
  <si>
    <t>5374632COL8F</t>
  </si>
  <si>
    <t>21015121901U</t>
  </si>
  <si>
    <t>22205111902A</t>
  </si>
  <si>
    <t>22205111901A</t>
  </si>
  <si>
    <t>5270732E4WH5</t>
  </si>
  <si>
    <t>5271112E6251</t>
  </si>
  <si>
    <t>5270732E4GZ6</t>
  </si>
  <si>
    <t>FTCMEF0-TYM9</t>
  </si>
  <si>
    <t>22200911807A</t>
  </si>
  <si>
    <t>21003811902A</t>
  </si>
  <si>
    <t>084004F02302</t>
  </si>
  <si>
    <t>084005900OA5</t>
  </si>
  <si>
    <t>25000331905A</t>
  </si>
  <si>
    <t>5271112E7804</t>
  </si>
  <si>
    <t>084005900078</t>
  </si>
  <si>
    <t>22585911901A</t>
  </si>
  <si>
    <t>5374652VEP7A</t>
  </si>
  <si>
    <t>2223041GAR67</t>
  </si>
  <si>
    <t>5270492F6660</t>
  </si>
  <si>
    <t>2220111KDW01</t>
  </si>
  <si>
    <t>2220552SAD73</t>
  </si>
  <si>
    <t>25008611901A</t>
  </si>
  <si>
    <t>5270512FGKM4</t>
  </si>
  <si>
    <t>63003511902A</t>
  </si>
  <si>
    <t>5273882F4892</t>
  </si>
  <si>
    <t>FTCMEF0-TYU9</t>
  </si>
  <si>
    <t>4974252SCBDC</t>
  </si>
  <si>
    <t>0840038TF0N5</t>
  </si>
  <si>
    <t>011000112G34</t>
  </si>
  <si>
    <t>12583828AA38</t>
  </si>
  <si>
    <t>5273982F6385</t>
  </si>
  <si>
    <t>0840038TF1Q6</t>
  </si>
  <si>
    <t>5270492F3972</t>
  </si>
  <si>
    <t>25210511905A</t>
  </si>
  <si>
    <t>5374792GIP4F</t>
  </si>
  <si>
    <t>300013200002</t>
  </si>
  <si>
    <t>2551722XAC85</t>
  </si>
  <si>
    <t>25517212A026</t>
  </si>
  <si>
    <t>084004F03342</t>
  </si>
  <si>
    <t>5270732EPKV6</t>
  </si>
  <si>
    <t>084006C69331</t>
  </si>
  <si>
    <t>22210611905U</t>
  </si>
  <si>
    <t>2500022V2A26</t>
  </si>
  <si>
    <t>2702011IS11A</t>
  </si>
  <si>
    <t>5270732EY7Y7</t>
  </si>
  <si>
    <t>2500021V2B09</t>
  </si>
  <si>
    <t>PTCMEF0-II008C-PUT</t>
  </si>
  <si>
    <t>5270772F2269</t>
  </si>
  <si>
    <t>25000325AC98</t>
  </si>
  <si>
    <t>25000310A109</t>
  </si>
  <si>
    <t>22586511901A</t>
  </si>
  <si>
    <t>5270732E5Y98</t>
  </si>
  <si>
    <t>5273932EX509</t>
  </si>
  <si>
    <t>5374782A10FE</t>
  </si>
  <si>
    <t>PTCMEF0-II009C-PUT</t>
  </si>
  <si>
    <t>PTCMEF0-II010C-PUT</t>
  </si>
  <si>
    <t>25008611903A</t>
  </si>
  <si>
    <t>5270732E5YX2</t>
  </si>
  <si>
    <t>PTCMEF0-II011C-PUT</t>
  </si>
  <si>
    <t>5271112E7432</t>
  </si>
  <si>
    <t>5374842BREVI</t>
  </si>
  <si>
    <t>5274104F8932</t>
  </si>
  <si>
    <t>5274095F6533</t>
  </si>
  <si>
    <t>084006C54230</t>
  </si>
  <si>
    <t>084004F02864</t>
  </si>
  <si>
    <t>011000112G40</t>
  </si>
  <si>
    <t>5274162E4151</t>
  </si>
  <si>
    <t>5374872ASFCC</t>
  </si>
  <si>
    <t>5111302INFAM</t>
  </si>
  <si>
    <t>2702042CA11U</t>
  </si>
  <si>
    <t>5274122FK0P9</t>
  </si>
  <si>
    <t>5271112E8679</t>
  </si>
  <si>
    <t>5111042INF2A</t>
  </si>
  <si>
    <t>5272092F5713</t>
  </si>
  <si>
    <t>0840052BAH33</t>
  </si>
  <si>
    <t>5274084F6545</t>
  </si>
  <si>
    <t>5274492F8555</t>
  </si>
  <si>
    <t>25210512006A</t>
  </si>
  <si>
    <t>08400425DQ52</t>
  </si>
  <si>
    <t>5111102FIBR3</t>
  </si>
  <si>
    <t>FTCMEF0-TYH0</t>
  </si>
  <si>
    <t>5270492F8979</t>
  </si>
  <si>
    <t>FTCMEF0-UXYM0</t>
  </si>
  <si>
    <t>5273874F4273</t>
  </si>
  <si>
    <t>PTCMEF0-II013C-CALL</t>
  </si>
  <si>
    <t>PTCMEF0-II012C-CALL</t>
  </si>
  <si>
    <t>PTCMEF0-II014C-CALL</t>
  </si>
  <si>
    <t>5271112E7242</t>
  </si>
  <si>
    <t>0840038TF170</t>
  </si>
  <si>
    <t>5270082F8671</t>
  </si>
  <si>
    <t>5270732E9594</t>
  </si>
  <si>
    <t>21000325AA33</t>
  </si>
  <si>
    <t>084004F02625</t>
  </si>
  <si>
    <t>5274122F6097</t>
  </si>
  <si>
    <t>12583329AA48</t>
  </si>
  <si>
    <t>12583328AA38</t>
  </si>
  <si>
    <t>2100022V2C81</t>
  </si>
  <si>
    <t>21000325AD71</t>
  </si>
  <si>
    <t>5271112E7176</t>
  </si>
  <si>
    <t>084004F02914</t>
  </si>
  <si>
    <t>595132FRBD81</t>
  </si>
  <si>
    <t>5274302F65N6</t>
  </si>
  <si>
    <t>084006C54248</t>
  </si>
  <si>
    <t>5273792E1879</t>
  </si>
  <si>
    <t>5271112E7440</t>
  </si>
  <si>
    <t>5270272F0606</t>
  </si>
  <si>
    <t>5260012EA755</t>
  </si>
  <si>
    <t>595132FRAZ03</t>
  </si>
  <si>
    <t>PTCMEF0-II015C-CALL</t>
  </si>
  <si>
    <t>5273932EY852</t>
  </si>
  <si>
    <t>084006C99166</t>
  </si>
  <si>
    <t>5273882F7240</t>
  </si>
  <si>
    <t>FTCMEF0-UXYZ0</t>
  </si>
  <si>
    <t>5260012EX109</t>
  </si>
  <si>
    <t>08400028ZQ64</t>
  </si>
  <si>
    <t>5274472F3543</t>
  </si>
  <si>
    <t>1258742VAA63</t>
  </si>
  <si>
    <t>PTCMEF0-II016C-PUT</t>
  </si>
  <si>
    <t>PTCMEF0-II017C-PUT</t>
  </si>
  <si>
    <t>01100028DR09</t>
  </si>
  <si>
    <t>01100028DQ26</t>
  </si>
  <si>
    <t>01100028DP43</t>
  </si>
  <si>
    <t>5270472F4576</t>
  </si>
  <si>
    <t>FTCMEF0-WNZ0</t>
  </si>
  <si>
    <t>0840038TF147</t>
  </si>
  <si>
    <t>0840059000Y4</t>
  </si>
  <si>
    <t>FTCMEF0-WNH1</t>
  </si>
  <si>
    <t>FTCMEF0-UXYH1</t>
  </si>
  <si>
    <t>5270512FWZK5</t>
  </si>
  <si>
    <t>PTCMEF0-II018C-CALL</t>
  </si>
  <si>
    <t>1251272LAD57</t>
  </si>
  <si>
    <t>0840052BAN01</t>
  </si>
  <si>
    <t>345877731120</t>
  </si>
  <si>
    <t>345878734047</t>
  </si>
  <si>
    <t>3958792W1068</t>
  </si>
  <si>
    <t>25008612104A</t>
  </si>
  <si>
    <t>402029200001</t>
  </si>
  <si>
    <t>084004F02385</t>
  </si>
  <si>
    <t>5270734EG562</t>
  </si>
  <si>
    <t>4975141HMCSY</t>
  </si>
  <si>
    <t>4975142HMCHY</t>
  </si>
  <si>
    <t>5271112E6640</t>
  </si>
  <si>
    <t>5274822F3551</t>
  </si>
  <si>
    <t>5274244F1260</t>
  </si>
  <si>
    <t>2721181IRC1U</t>
  </si>
  <si>
    <t>2100022V2D64</t>
  </si>
  <si>
    <t>5270802F0077</t>
  </si>
  <si>
    <t>21004812101A</t>
  </si>
  <si>
    <t>5271112EC608</t>
  </si>
  <si>
    <t>1251272LAC74</t>
  </si>
  <si>
    <t>2100092TAP23</t>
  </si>
  <si>
    <t>22204327AC08</t>
  </si>
  <si>
    <t>22210611802U</t>
  </si>
  <si>
    <t>FTCMEF0-UXYM1</t>
  </si>
  <si>
    <t>084004F03490</t>
  </si>
  <si>
    <t>5270732E31M3</t>
  </si>
  <si>
    <t>01100028DT64</t>
  </si>
  <si>
    <t>FTCMEF0-UXYU1</t>
  </si>
  <si>
    <t>PTCMEF0-II019C-CALL</t>
  </si>
  <si>
    <t>25010511903A</t>
  </si>
  <si>
    <t>5260012EA698</t>
  </si>
  <si>
    <t>2220082PAA95</t>
  </si>
  <si>
    <t>2702011INS3U</t>
  </si>
  <si>
    <t>05202922101U</t>
  </si>
  <si>
    <t>084006C72501</t>
  </si>
  <si>
    <t>FTCMEF0-UXYZ1</t>
  </si>
  <si>
    <t>5271112E9180</t>
  </si>
  <si>
    <t>25008611610A</t>
  </si>
  <si>
    <t>22211027AA17</t>
  </si>
  <si>
    <t>2220392TAB19</t>
  </si>
  <si>
    <t>01100028DU38</t>
  </si>
  <si>
    <t>01100028DW93</t>
  </si>
  <si>
    <t>PTCMEF0-II020C-CALL</t>
  </si>
  <si>
    <t>1250342JAQ33</t>
  </si>
  <si>
    <t>FTCMEF0-FVZ1</t>
  </si>
  <si>
    <t>FTCMEF0-WNZ1</t>
  </si>
  <si>
    <t>15511928AD19</t>
  </si>
  <si>
    <t>1551192KAB72</t>
  </si>
  <si>
    <t>FTCMEF0-FVH2</t>
  </si>
  <si>
    <t>FTCMEF0-WNH2</t>
  </si>
  <si>
    <t>FTCMEF0-UXYH2</t>
  </si>
  <si>
    <t>1254212AAA53</t>
  </si>
  <si>
    <t>3458857M1032</t>
  </si>
  <si>
    <t>PTCMEF0-II021C-CALL</t>
  </si>
  <si>
    <t>5270942F9527</t>
  </si>
  <si>
    <t>5271112E7465</t>
  </si>
  <si>
    <t>5274822F3552</t>
  </si>
  <si>
    <t>5951322RBC09</t>
  </si>
  <si>
    <t>5273932EA359</t>
  </si>
  <si>
    <t>084004F03672</t>
  </si>
  <si>
    <t>084005237039</t>
  </si>
  <si>
    <t>5275122EE800</t>
  </si>
  <si>
    <t>5271284E8930</t>
  </si>
  <si>
    <t>5275282EY830</t>
  </si>
  <si>
    <t>PTCMEF0-II001C-CALL</t>
  </si>
  <si>
    <t>PTCMEF0-II002C-CALL</t>
  </si>
  <si>
    <t>25010512202A</t>
  </si>
  <si>
    <t>59509428AN94</t>
  </si>
  <si>
    <t>59509428AE95</t>
  </si>
  <si>
    <t>59509428AP43</t>
  </si>
  <si>
    <t>FTCMEF0-UXYM2</t>
  </si>
  <si>
    <t>4B2029100001</t>
  </si>
  <si>
    <t>59509428AQ26</t>
  </si>
  <si>
    <t>0840038TF204</t>
  </si>
  <si>
    <t>084009B83768</t>
  </si>
  <si>
    <t>08400020TE82</t>
  </si>
  <si>
    <t>5271112E6699</t>
  </si>
  <si>
    <t>5274494F1144</t>
  </si>
  <si>
    <t>PTCMEF0-II003C-CALL</t>
  </si>
  <si>
    <t>084009B75681</t>
  </si>
  <si>
    <t>5275512EF700</t>
  </si>
  <si>
    <t>PTCMEF0-II004C-CALL</t>
  </si>
  <si>
    <t>4A7482254332</t>
  </si>
  <si>
    <t>1551192MAA64</t>
  </si>
  <si>
    <t>084004F03771</t>
  </si>
  <si>
    <t>FTCMEF0-UXYU2</t>
  </si>
  <si>
    <t>5260012EV608</t>
  </si>
  <si>
    <t>5275114F0215</t>
  </si>
  <si>
    <t>1551192KAA99</t>
  </si>
  <si>
    <t>5260012ER556</t>
  </si>
  <si>
    <t>182096345816</t>
  </si>
  <si>
    <t>274325395894</t>
  </si>
  <si>
    <t>274325396355</t>
  </si>
  <si>
    <t>274329357609</t>
  </si>
  <si>
    <t>27211826AB16</t>
  </si>
  <si>
    <t>1551112LAL62</t>
  </si>
  <si>
    <t>08401377N266</t>
  </si>
  <si>
    <t>15511928AE91</t>
  </si>
  <si>
    <t>15527829AM84</t>
  </si>
  <si>
    <t>5260012EY886</t>
  </si>
  <si>
    <t>0840038TF1P8</t>
  </si>
  <si>
    <t>5275552EQ217</t>
  </si>
  <si>
    <t>PTCMEF0-II005C-CALL</t>
  </si>
  <si>
    <t>PTCMEF0-II006C-CALL</t>
  </si>
  <si>
    <t>5275522EX192</t>
  </si>
  <si>
    <t>08400326CB40</t>
  </si>
  <si>
    <t>PTCMEF0-II007C-CALL</t>
  </si>
  <si>
    <t>PTCMEF0-II008C-CALL</t>
  </si>
  <si>
    <t>PTCMEF0-II010C-CALL</t>
  </si>
  <si>
    <t>PTCMEF0-II011C-CALL</t>
  </si>
  <si>
    <t>5274122FXQQ0</t>
  </si>
  <si>
    <t>1250742LAA81</t>
  </si>
  <si>
    <t>PTCMEF0-II017C-CALL</t>
  </si>
  <si>
    <t>PTCMEF0-II016C-CALL</t>
  </si>
  <si>
    <t>FTCMEF0-UXYZ2</t>
  </si>
  <si>
    <t>1252172VAG05</t>
  </si>
  <si>
    <t>PTCMEF0-II022C-CALL</t>
  </si>
  <si>
    <t>FTCMEF0-WNZ2</t>
  </si>
  <si>
    <t>PTCMEF0-II023C-CALL</t>
  </si>
  <si>
    <t>15528725AC15</t>
  </si>
  <si>
    <t>5271112EG764</t>
  </si>
  <si>
    <t>5076822E0800</t>
  </si>
  <si>
    <t>FTCMEF0-UXYH3</t>
  </si>
  <si>
    <t>084004F03813</t>
  </si>
  <si>
    <t>084006C74774</t>
  </si>
  <si>
    <t>PTCMEF0-II024C-CALL</t>
  </si>
  <si>
    <t>PTCMEF0-II025C-CALL</t>
  </si>
  <si>
    <t>1551112LAK89</t>
  </si>
  <si>
    <t>5270012F2664</t>
  </si>
  <si>
    <t>084006C20275</t>
  </si>
  <si>
    <t>085905581NA2</t>
  </si>
  <si>
    <t>PTCMEF0-II026C-CALL</t>
  </si>
  <si>
    <t>08401377N837</t>
  </si>
  <si>
    <t>PTCMEF0-II027C-CALL</t>
  </si>
  <si>
    <t>08400020TJ79</t>
  </si>
  <si>
    <t>59509428AS81</t>
  </si>
  <si>
    <t>0840038TF212</t>
  </si>
  <si>
    <t>085905541NA0</t>
  </si>
  <si>
    <t>08400020TL26</t>
  </si>
  <si>
    <t>5271112EB598</t>
  </si>
  <si>
    <t>PTCMEF0-II028C-CALL</t>
  </si>
  <si>
    <t>08400425EG61</t>
  </si>
  <si>
    <t>59509428AJ82</t>
  </si>
  <si>
    <t>PTCMEF0-II029C-CALL</t>
  </si>
  <si>
    <t>5951322RBA43</t>
  </si>
  <si>
    <t>PTCMEF0-II030C-CALL</t>
  </si>
  <si>
    <t>5274722E7306</t>
  </si>
  <si>
    <t>5260012ER622</t>
  </si>
  <si>
    <t>084004F03862</t>
  </si>
  <si>
    <t>FTCMEF0-UXYM3</t>
  </si>
  <si>
    <t>PTCMEF0-II031C-CALL</t>
  </si>
  <si>
    <t>FTCMEF0-USM3</t>
  </si>
  <si>
    <t>PTCMEF0-II032C-PUT</t>
  </si>
  <si>
    <t>PTCMEF0-II022C-PUT</t>
  </si>
  <si>
    <t>08400020TP30</t>
  </si>
  <si>
    <t>FTCMEF0-FVM3</t>
  </si>
  <si>
    <t>PTCMEF0-II033C-CALL</t>
  </si>
  <si>
    <t>15527829AN67</t>
  </si>
  <si>
    <t>0840059001D6</t>
  </si>
  <si>
    <t>084009BLWAG2</t>
  </si>
  <si>
    <t>PTCMEF0-II023C-PUT</t>
  </si>
  <si>
    <t>PTCMEF0-II034C-PUT</t>
  </si>
  <si>
    <t>085905551N57</t>
  </si>
  <si>
    <t>PTCMEF0-II024C-PUT</t>
  </si>
  <si>
    <t>PTCMEF0-II035C-PUT</t>
  </si>
  <si>
    <t>PTCMEF0-II036C-CALL</t>
  </si>
  <si>
    <t>0840016L1D50</t>
  </si>
  <si>
    <t>PTCMEF0-II038C-CALL</t>
  </si>
  <si>
    <t>PTCMEF0-II037C-CALL</t>
  </si>
  <si>
    <t>FTCMEF0-FVU3</t>
  </si>
  <si>
    <t>FTCMEF0-UXYU3</t>
  </si>
  <si>
    <t>53AAAA1AAAAA</t>
  </si>
  <si>
    <t>011000112G33</t>
  </si>
  <si>
    <t>PTCMEF0-II039C-CALL</t>
  </si>
  <si>
    <t>PTCMEF0-II040C-CALL</t>
  </si>
  <si>
    <t>PTCMEF0-II041C-CALL</t>
  </si>
  <si>
    <t>431000112G33</t>
  </si>
  <si>
    <t>08400020TR95</t>
  </si>
  <si>
    <t>PTCMEF0-II042C-CALL</t>
  </si>
  <si>
    <t>1552782BAA64</t>
  </si>
  <si>
    <t>084009B97495</t>
  </si>
  <si>
    <t>PTCMEF0-II043C-CALL</t>
  </si>
  <si>
    <t>085905591P70</t>
  </si>
  <si>
    <t>PTCMEF0-II044C-CALL</t>
  </si>
  <si>
    <t>PTCMEF0-II045C-CALL</t>
  </si>
  <si>
    <t>5270172FWXM7</t>
  </si>
  <si>
    <t>0840016JD997</t>
  </si>
  <si>
    <t>3020111OALIC</t>
  </si>
  <si>
    <t>08400020TS78</t>
  </si>
  <si>
    <t>5277012F9LZQ</t>
  </si>
  <si>
    <t>0840059000U2</t>
  </si>
  <si>
    <t>5270172FWXN8</t>
  </si>
  <si>
    <t>PTCMEF0-II046C-CALL</t>
  </si>
  <si>
    <t>FTCMEF0-WNU3</t>
  </si>
  <si>
    <t>084006C39505</t>
  </si>
  <si>
    <t>08400020TT51</t>
  </si>
  <si>
    <t>084009B17101</t>
  </si>
  <si>
    <t>FTCMEF0-UXYZ3</t>
  </si>
  <si>
    <t>FTCMEF0-WNZ3</t>
  </si>
  <si>
    <t>5271112E9131</t>
  </si>
  <si>
    <t>PTCMEF0-II047C-CALL</t>
  </si>
  <si>
    <t>2258402PAC79</t>
  </si>
  <si>
    <t>225917115156</t>
  </si>
  <si>
    <t>0840002CHT18</t>
  </si>
  <si>
    <t>5275152F0769</t>
  </si>
  <si>
    <t>PTCMEF0-II048C-CALL</t>
  </si>
  <si>
    <t>08400425DX04</t>
  </si>
  <si>
    <t>5277192F9LZQ</t>
  </si>
  <si>
    <t>PTCMEF0-II049C-CALL</t>
  </si>
  <si>
    <t>595132FRAV98</t>
  </si>
  <si>
    <t>1551192MAB48</t>
  </si>
  <si>
    <t>5271112EG474</t>
  </si>
  <si>
    <t>0840002CHP95</t>
  </si>
  <si>
    <t>5271112EB747</t>
  </si>
  <si>
    <t>PTCMEF0-II050C-CALL</t>
  </si>
  <si>
    <t>08400425EL56</t>
  </si>
  <si>
    <t>08400425EM30</t>
  </si>
  <si>
    <t>PTCMEF0-II051C-CALL</t>
  </si>
  <si>
    <t>402029100003</t>
  </si>
  <si>
    <t>PTCMEF0-II052C-CALL</t>
  </si>
  <si>
    <t>085905521PA1</t>
  </si>
  <si>
    <t>FTCMEF0-FVH4</t>
  </si>
  <si>
    <t>FTCMEF0-WNH4</t>
  </si>
  <si>
    <t>0840059001E4</t>
  </si>
  <si>
    <t>5276632EPF32</t>
  </si>
  <si>
    <t>5273932EA581</t>
  </si>
  <si>
    <t>PTCMEF0-II032C-CALL</t>
  </si>
  <si>
    <t>PTCMEF0-II053C-CALL</t>
  </si>
  <si>
    <t>0840052BAZ31</t>
  </si>
  <si>
    <t>2500021V2F13</t>
  </si>
  <si>
    <t>5275122EV134</t>
  </si>
  <si>
    <t>21000325AF20</t>
  </si>
  <si>
    <t>59509428AV11</t>
  </si>
  <si>
    <t>0840038TF238</t>
  </si>
  <si>
    <t>08400326CH10</t>
  </si>
  <si>
    <t>08400425DS19</t>
  </si>
  <si>
    <t>PTCMEF0-II054C-CALL</t>
  </si>
  <si>
    <t>PTCMEF0-II034C-CALL</t>
  </si>
  <si>
    <t>084004F03722</t>
  </si>
  <si>
    <t>084004F03615</t>
  </si>
  <si>
    <t>PTCMEF0-II035C-CALL</t>
  </si>
  <si>
    <t>5275194F2546</t>
  </si>
  <si>
    <t>5275504F2546</t>
  </si>
  <si>
    <t>FTCMEF0-FVM4</t>
  </si>
  <si>
    <t>FTCMEF0-WNM4</t>
  </si>
  <si>
    <t>21001120AH74</t>
  </si>
  <si>
    <t>5271112E7523</t>
  </si>
  <si>
    <t>0840002CJJ18</t>
  </si>
  <si>
    <t>08400020TX63</t>
  </si>
  <si>
    <t>345874294721</t>
  </si>
  <si>
    <t>23583412401H</t>
  </si>
  <si>
    <t>63010412401F</t>
  </si>
  <si>
    <t>084009B00535</t>
  </si>
  <si>
    <t>0840016R2809</t>
  </si>
  <si>
    <t>3020321000EG</t>
  </si>
  <si>
    <t>084006C98016</t>
  </si>
  <si>
    <t>305923100001</t>
  </si>
  <si>
    <t>305923100002</t>
  </si>
  <si>
    <t>5271112E6814</t>
  </si>
  <si>
    <t>0840052QAZ19</t>
  </si>
  <si>
    <t>FTCMEF0-FVU4</t>
  </si>
  <si>
    <t>FTCMEF0-WNU4</t>
  </si>
  <si>
    <t>0840059001F1</t>
  </si>
  <si>
    <t>1551112LAN29</t>
  </si>
  <si>
    <t>011000112G39</t>
  </si>
  <si>
    <t>5270172E0709</t>
  </si>
  <si>
    <t>084004F03938</t>
  </si>
  <si>
    <t>PTCMEF0-II055C-CALL</t>
  </si>
  <si>
    <t>PTCMEF0-II056C-CALL</t>
  </si>
  <si>
    <t>PTCMEF0-II057C-CALL</t>
  </si>
  <si>
    <t>PTCMEF0-II058C-CALL</t>
  </si>
  <si>
    <t>PTCMEF0-II059C-CALL</t>
  </si>
  <si>
    <t>08400020TY47</t>
  </si>
  <si>
    <t>PTCMEF0-II060C-CALL</t>
  </si>
  <si>
    <t>PTCMEF0-II061C-CALL</t>
  </si>
  <si>
    <t>5274122FKCF7</t>
  </si>
  <si>
    <t>22582511603A</t>
  </si>
  <si>
    <t>5275122EG649</t>
  </si>
  <si>
    <t>FTCMEF0-WNZ4</t>
  </si>
  <si>
    <t>2100022V2H78</t>
  </si>
  <si>
    <t>FTCMEF0-FVZ4</t>
  </si>
  <si>
    <t>5276672F1350</t>
  </si>
  <si>
    <t>402029100004</t>
  </si>
  <si>
    <t>1552782BAB48</t>
  </si>
  <si>
    <t>084001682C90</t>
  </si>
  <si>
    <t>084009B49302</t>
  </si>
  <si>
    <t>5277324FC1W6</t>
  </si>
  <si>
    <t>22582511802A</t>
  </si>
  <si>
    <t>FTCMEF0-UXYZ4</t>
  </si>
  <si>
    <t>5276846FM1M7</t>
  </si>
  <si>
    <t>5275336F6323</t>
  </si>
  <si>
    <t>084006C48207</t>
  </si>
  <si>
    <t>084006C86989</t>
  </si>
  <si>
    <t>5277312FNG56</t>
  </si>
  <si>
    <t>5271282EQ4R8</t>
  </si>
  <si>
    <t>5275122EE628</t>
  </si>
  <si>
    <t>PTCMEF0-II062C-CALL</t>
  </si>
  <si>
    <t>5275122EV357</t>
  </si>
  <si>
    <t>3020301000PL</t>
  </si>
  <si>
    <t>FTCMEF0-WNH5</t>
  </si>
  <si>
    <t>FTCMEF0-FVH5</t>
  </si>
  <si>
    <t>5270432F9263</t>
  </si>
  <si>
    <t>5270652EF676</t>
  </si>
  <si>
    <t>1551192MAD04</t>
  </si>
  <si>
    <t>5270272F1107</t>
  </si>
  <si>
    <t>084004F03748</t>
  </si>
  <si>
    <t>59509428AW93</t>
  </si>
  <si>
    <t>21000325AG03</t>
  </si>
  <si>
    <t>5271112E7515</t>
  </si>
  <si>
    <t>2220082PAB78</t>
  </si>
  <si>
    <t>5274262F6624</t>
  </si>
  <si>
    <t>FTCMEF0-WNM5</t>
  </si>
  <si>
    <t>FTCMEF0-FVM5</t>
  </si>
  <si>
    <t>FTCMEF0-UXYM5</t>
  </si>
  <si>
    <t>5376894EQTI6</t>
  </si>
  <si>
    <t>5377304IEF6S</t>
  </si>
  <si>
    <t>PTCMEF0-II065C-CALL</t>
  </si>
  <si>
    <t>PTCMEF0-II063C-CALL</t>
  </si>
  <si>
    <t>PTCMEF0-II064C-CALL</t>
  </si>
  <si>
    <t>5271112E8661</t>
  </si>
  <si>
    <t>PTCMEF0-II066C-CALL</t>
  </si>
  <si>
    <t>PTCMEF0-II067C-CALL</t>
  </si>
  <si>
    <t>PTCMEF0-II068C-CALL</t>
  </si>
  <si>
    <t>PTCMEF0-II069C-CALL</t>
  </si>
  <si>
    <t>PTCMEF0-II070C-CALL</t>
  </si>
  <si>
    <t>PTCMEF0-II071C-CALL</t>
  </si>
  <si>
    <t>PTCMEF0-II072C-CALL</t>
  </si>
  <si>
    <t>PTCMEF0-II073C-CALL</t>
  </si>
  <si>
    <t>PTCMEF0-II074C-CALL</t>
  </si>
  <si>
    <t>PTCMEF0-II075C-CALL</t>
  </si>
  <si>
    <t>PTCMEF0-II076C-CALL</t>
  </si>
  <si>
    <t>PTCMEF0-II077C-CALL</t>
  </si>
  <si>
    <t>PTCMEF0-II078C-CALL</t>
  </si>
  <si>
    <t>PTCMEF0-II079C-CALL</t>
  </si>
  <si>
    <t>PTCMEF0-II080C-CALL</t>
  </si>
  <si>
    <t>PTCMEF0-II081C-CALL</t>
  </si>
  <si>
    <t>PTCMEF0-II082C-CALL</t>
  </si>
  <si>
    <t>PTCMEF0-II083C-CALL</t>
  </si>
  <si>
    <t>PTCMEF0-II084C-CALL</t>
  </si>
  <si>
    <t>PTCMEF0-II085C-CALL</t>
  </si>
  <si>
    <t>PTCMEF0-II086C-CALL</t>
  </si>
  <si>
    <t>PTCMEF0-II087C-CALL</t>
  </si>
  <si>
    <t>PTCMEF0-II088C-CALL</t>
  </si>
  <si>
    <t>PTCMEF0-II089C-CALL</t>
  </si>
  <si>
    <t>PTCMEF0-II090C-CALL</t>
  </si>
  <si>
    <t>PTCMEF0-II091C-CALL</t>
  </si>
  <si>
    <t>PTCMEF0-II092C-CALL</t>
  </si>
  <si>
    <t>PTCMEF0-II093C-CALL</t>
  </si>
  <si>
    <t>PTCMEF0-II094C-CALL</t>
  </si>
  <si>
    <t>PTCMEF0-II095C-CALL</t>
  </si>
  <si>
    <t>PTCMEF0-II096C-CALL</t>
  </si>
  <si>
    <t>PTCMEF0-II097C-CALL</t>
  </si>
  <si>
    <t>PTCMEF0-II098C-CALL</t>
  </si>
  <si>
    <t>PTCMEF0-II099C-CALL</t>
  </si>
  <si>
    <t>12583329AC04</t>
  </si>
  <si>
    <t>5270734EF475</t>
  </si>
  <si>
    <t>08400425ES00</t>
  </si>
  <si>
    <t>2258402PAE36</t>
  </si>
  <si>
    <t>2100022V2J35</t>
  </si>
  <si>
    <t>5270604F1743</t>
  </si>
  <si>
    <t>08400020UG12</t>
  </si>
  <si>
    <t>5271112EB614</t>
  </si>
  <si>
    <t>5270652EH821</t>
  </si>
  <si>
    <t>5275122EE103</t>
  </si>
  <si>
    <t>5274042ER704</t>
  </si>
  <si>
    <t>FTCMEF0-WNU5</t>
  </si>
  <si>
    <t>FTCMEF0-FVU5</t>
  </si>
  <si>
    <t>011000112G35</t>
  </si>
  <si>
    <t>0840002CNC19</t>
  </si>
  <si>
    <t>2220111KEA71</t>
  </si>
  <si>
    <t>3920836W5029</t>
  </si>
  <si>
    <t>5276846FQVT8</t>
  </si>
  <si>
    <t>PTCMEF0-II063C-PUT</t>
  </si>
  <si>
    <t>15515123CH47</t>
  </si>
  <si>
    <t>5272872EW851</t>
  </si>
  <si>
    <t>5277312FGRM4</t>
  </si>
  <si>
    <t>15532427PD99</t>
  </si>
  <si>
    <t>FTCMEF0-UXYU5</t>
  </si>
  <si>
    <t>1552782GAA15</t>
  </si>
  <si>
    <t>084004F04084</t>
  </si>
  <si>
    <t>0840059000B2</t>
  </si>
  <si>
    <t>5277512F3236</t>
  </si>
  <si>
    <t>5277445FGVH8</t>
  </si>
  <si>
    <t>FTCMEF0-UXYZ5</t>
  </si>
  <si>
    <t>FTCMEF0-WNZ5</t>
  </si>
  <si>
    <t>2220882KAD92</t>
  </si>
  <si>
    <t>FTCMEF0-FVZ5</t>
  </si>
  <si>
    <t>5270492F2267</t>
  </si>
  <si>
    <t>084006C87822</t>
  </si>
  <si>
    <t>22204726AA03</t>
  </si>
  <si>
    <t>084004460236</t>
  </si>
  <si>
    <t>FTCMEF0-ESZ5</t>
  </si>
  <si>
    <t>3020021OUNAM</t>
  </si>
  <si>
    <t>345445281022</t>
  </si>
  <si>
    <t>2220091VAC83</t>
  </si>
  <si>
    <t>5275282EY871</t>
  </si>
  <si>
    <t>2721171IRSM3</t>
  </si>
  <si>
    <t>27211723AE14</t>
  </si>
  <si>
    <t>1254342KAB22</t>
  </si>
  <si>
    <t>5270604F1414</t>
  </si>
  <si>
    <t>5275282EE259</t>
  </si>
  <si>
    <t>5275282EY848</t>
  </si>
  <si>
    <t>5270882F3974</t>
  </si>
  <si>
    <t>FTCMEF0-WNH6</t>
  </si>
  <si>
    <t>FTCMEF0-FVH6</t>
  </si>
  <si>
    <t>FTCMEF0-ESH6</t>
  </si>
  <si>
    <t>FTCMEF0-NQH6</t>
  </si>
  <si>
    <t>22203012504A</t>
  </si>
  <si>
    <t>084015T25972</t>
  </si>
  <si>
    <t>2259582AAA36</t>
  </si>
  <si>
    <t>085905581R57</t>
  </si>
  <si>
    <t>PTCMEF0-II068C-PUT</t>
  </si>
  <si>
    <t>PTCMEF0-II067C-PUT</t>
  </si>
  <si>
    <t>084015T96173</t>
  </si>
  <si>
    <t>5272872EY477</t>
  </si>
  <si>
    <t>5270194F2029</t>
  </si>
  <si>
    <t>5274042EX846</t>
  </si>
  <si>
    <t>FTCMEF0-WNM6</t>
  </si>
  <si>
    <t>FTCMEF0-FVM6</t>
  </si>
  <si>
    <t>PTCMEF0-II070C-PUT</t>
  </si>
  <si>
    <t>0840038TF2K7</t>
  </si>
  <si>
    <t>FTCMEF0-UXYM6</t>
  </si>
  <si>
    <t>PTCMEF0-II076C-PUT</t>
  </si>
  <si>
    <t>PTCMEF0-II077C-PUT</t>
  </si>
  <si>
    <t>PTCMEF0-II078C-PUT</t>
  </si>
  <si>
    <t>PTCMEF0-II079C-PUT</t>
  </si>
  <si>
    <t>FTCMEF0-ESM6</t>
  </si>
  <si>
    <t>PTCMEF0-II084C-PUT</t>
  </si>
  <si>
    <t>PTCMEF0-II085C-PUT</t>
  </si>
  <si>
    <t>PTCMEF0-II086C-PUT</t>
  </si>
  <si>
    <t>PTCMEF0-II087C-PUT</t>
  </si>
  <si>
    <t>PTCMEF0-II088C-PUT</t>
  </si>
  <si>
    <t>PTCMEF0-II089C-PUT</t>
  </si>
  <si>
    <t>PTCMEF0-II090C-PUT</t>
  </si>
  <si>
    <t>PTCMEF0-II091C-PUT</t>
  </si>
  <si>
    <t>PTCMEF0-II092C-PUT</t>
  </si>
  <si>
    <t>PTCMEF0-II093C-PUT</t>
  </si>
  <si>
    <t>PTCMEF0-II094C-PUT</t>
  </si>
  <si>
    <t>PTCMEF0-II099C-PUT</t>
  </si>
  <si>
    <t>084004225BK0</t>
  </si>
  <si>
    <t>0840052QAS75</t>
  </si>
  <si>
    <t>0840052QBB32</t>
  </si>
  <si>
    <t>PTCMEF0-II100C-CALL</t>
  </si>
  <si>
    <t>PTCMEF0-II101C-CALL</t>
  </si>
  <si>
    <t>PTCMEF0-II102C-CALL</t>
  </si>
  <si>
    <t>PTCMEF0-II103C-CALL</t>
  </si>
  <si>
    <t>PTCMEF0-II104C-CALL</t>
  </si>
  <si>
    <t>PTCMEF0-II105C-PUT</t>
  </si>
  <si>
    <t>PTCMEF0-II106C-CALL</t>
  </si>
  <si>
    <t>PTCMEF0-II107C-PUT</t>
  </si>
  <si>
    <t>PTCMEF0-II108C-CALL</t>
  </si>
  <si>
    <t>PTCMEF0-II109C-PUT</t>
  </si>
  <si>
    <t>PTCMEF0-II110C-CALL</t>
  </si>
  <si>
    <t>PTCMEF0-II111C-CALL</t>
  </si>
  <si>
    <t>PTCMEF0-II112C-CALL</t>
  </si>
  <si>
    <t>PTCMEF0-II113C-PUT</t>
  </si>
  <si>
    <t>PTCMEF0-II114C-PUT</t>
  </si>
  <si>
    <t>PTCMEF0-II115C-CALL</t>
  </si>
  <si>
    <t>PTCMEF0-II116C-CALL</t>
  </si>
  <si>
    <t>PTCMEF0-II117C-CALL</t>
  </si>
  <si>
    <t>PTCMEF0-II118C-PUT</t>
  </si>
  <si>
    <t>PTCMEF0-II119C-CALL</t>
  </si>
  <si>
    <t>PTCMEF0-II120C-CALL</t>
  </si>
  <si>
    <t>PTCMEF0-II121C-CALL</t>
  </si>
  <si>
    <t>PTCMEF0-II122C-CALL</t>
  </si>
  <si>
    <t>PTCMEF0-II123C-CALL</t>
  </si>
  <si>
    <t>PTCMEF0-II124C-CALL</t>
  </si>
  <si>
    <t>5270252F7606</t>
  </si>
  <si>
    <t>PTCMEF0-II125C-PUT</t>
  </si>
  <si>
    <t>PTCMEF0-II126C-PUT</t>
  </si>
  <si>
    <t>PTCMEF0-II127C-CALL</t>
  </si>
  <si>
    <t>PTCMEF0-II128C-CALL</t>
  </si>
  <si>
    <t>PTCMEF0-II129C-CALL</t>
  </si>
  <si>
    <t>PTCMEF0-II130C-CALL</t>
  </si>
  <si>
    <t>305962100001</t>
  </si>
  <si>
    <t>PTCMEF0-II131C-CALL</t>
  </si>
  <si>
    <t>PTCMEF0-II132C-CALL</t>
  </si>
  <si>
    <t>PTCMEF0-II133C-PUT</t>
  </si>
  <si>
    <t>PTCMEF0-II136C-PUT</t>
  </si>
  <si>
    <t>PTCMEF0-II138C-PUT</t>
  </si>
  <si>
    <t>PTCMEF0-II139C-PUT</t>
  </si>
  <si>
    <t>PTCMEF0-II140C-PUT</t>
  </si>
  <si>
    <t>PTCMEF0-II141C-CALL</t>
  </si>
  <si>
    <t>5274042EA108</t>
  </si>
  <si>
    <t>PTCMEF0-II142C-PUT</t>
  </si>
  <si>
    <t>PTCMEF0-II143C-PUT</t>
  </si>
  <si>
    <t>PTCMEF0-II144C-PUT</t>
  </si>
  <si>
    <t>PTCMEF0-II145C-CALL</t>
  </si>
  <si>
    <t>PTCMEF0-II146C-CALL</t>
  </si>
  <si>
    <t>PTCMEF0-II147C-PUT</t>
  </si>
  <si>
    <t>PTCMEF0-II148C-CALL</t>
  </si>
  <si>
    <t>PTCMEF0-II149C-CALL</t>
  </si>
  <si>
    <t>PTCMEF0-II150C-CALL</t>
  </si>
  <si>
    <t>PTCMEF0-II151C-CALL</t>
  </si>
  <si>
    <t>PTCMEF0-II152C-CALL</t>
  </si>
  <si>
    <t>PTCMEF0-II153C-CALL</t>
  </si>
  <si>
    <t>PTCMEF0-II154C-CALL</t>
  </si>
  <si>
    <t>PTCMEF0-II155C-PUT</t>
  </si>
  <si>
    <t>PTCMEF0-II156C-PUT</t>
  </si>
  <si>
    <t>PTCMEF0-II157C-PUT</t>
  </si>
  <si>
    <t>PTCMEF0-II158C-CALL</t>
  </si>
  <si>
    <t>PTCMEF0-II159C-CALL</t>
  </si>
  <si>
    <t>PTCMEF0-II160C-CALL</t>
  </si>
  <si>
    <t>PTCMEF0-II161C-CALL</t>
  </si>
  <si>
    <t>PTCMEF0-II169C-CALL</t>
  </si>
  <si>
    <t>PTCMEF0-II170C-CALL</t>
  </si>
  <si>
    <t>PTCMEF0-II171C-CALL</t>
  </si>
  <si>
    <t>PTCMEF0-II172C-CALL</t>
  </si>
  <si>
    <t>PTCMEF0-II173C-CALL</t>
  </si>
  <si>
    <t>PTCMEF0-II174C-CALL</t>
  </si>
  <si>
    <t>PTCMEF0-II175C-CALL</t>
  </si>
  <si>
    <t>PTCMEF0-II176C-PUT</t>
  </si>
  <si>
    <t>PTCMEF0-II177C-CALL</t>
  </si>
  <si>
    <t>PTCMEF0-II178C-CALL</t>
  </si>
  <si>
    <t>PTCMEF0-II179C-PUT</t>
  </si>
  <si>
    <t>5275282EY236</t>
  </si>
  <si>
    <t>PTCMEF0-II180C-CALL</t>
  </si>
  <si>
    <t>PTCMEF0-II181C-CALL</t>
  </si>
  <si>
    <t>PTCMEF0-II182C-CALL</t>
  </si>
  <si>
    <t>PTCMEF0-II183C-CALL</t>
  </si>
  <si>
    <t>5275504F6750</t>
  </si>
  <si>
    <t>FTCMEF0-UXYU6</t>
  </si>
  <si>
    <t>FTCMEF0-WNU6</t>
  </si>
  <si>
    <t>PTCMEF0-II184C-CALL</t>
  </si>
  <si>
    <t>PTCMEF0-II185C-CALL</t>
  </si>
  <si>
    <t>PTCMEF0-II186C-CALL</t>
  </si>
  <si>
    <t>PTCMEF0-II187C-CALL</t>
  </si>
  <si>
    <t>PTCMEF0-II188C-CALL</t>
  </si>
  <si>
    <t>5273932EV608</t>
  </si>
  <si>
    <t>PTCMEF0-EI001C-CALL</t>
  </si>
  <si>
    <t>PTCMEF0-EI002C-CALL</t>
  </si>
  <si>
    <t>PTCMEF0-EI003C-PUT</t>
  </si>
  <si>
    <t>PTCMEF0-EI004C-PUT</t>
  </si>
  <si>
    <t>PTCMEF0-II189C-CALL</t>
  </si>
  <si>
    <t>PTCMEF0-II190C-CALL</t>
  </si>
  <si>
    <t>PTCMEF0-II191C-CALL</t>
  </si>
  <si>
    <t>PTCMEF0-II192C-CALL</t>
  </si>
  <si>
    <t>PTCMEF0-II193C-CALL</t>
  </si>
  <si>
    <t>PTCMEF0-II194C-PUT</t>
  </si>
  <si>
    <t>PTCMEF0-II195C-PUT</t>
  </si>
  <si>
    <t>PTCMEF0-II196C-PUT</t>
  </si>
  <si>
    <t>PTCMEF0-II197C-CALL</t>
  </si>
  <si>
    <t>PTCMEF0-II198C-CALL</t>
  </si>
  <si>
    <t>PTCMEF0-II199C-PUT</t>
  </si>
  <si>
    <t>PTCMEF0-II200C-PUT</t>
  </si>
  <si>
    <t>PTCMEF0-II201C-PUT</t>
  </si>
  <si>
    <t>PTCMEF0-II202C-CALL</t>
  </si>
  <si>
    <t>PTCMEF0-II203C-PUT</t>
  </si>
  <si>
    <t>PTCMEF0-II204C-PUT</t>
  </si>
  <si>
    <t>PTCMEF0-II205C-PUT</t>
  </si>
  <si>
    <t>08400326CQ19</t>
  </si>
  <si>
    <t>FTCMEF0-ESU6</t>
  </si>
  <si>
    <t>PTCMEF0-II206C-CALL</t>
  </si>
  <si>
    <t>PTCMEF0-II207C-PUT</t>
  </si>
  <si>
    <t>PTCMEF0-II208C-CALL</t>
  </si>
  <si>
    <t>PTCMEF0-II209C-CALL</t>
  </si>
  <si>
    <t>PTCMEF0-II210C-CALL</t>
  </si>
  <si>
    <t>PTCMEF0-II211C-CALL</t>
  </si>
  <si>
    <t>PTCMEF0-II212C-PUT</t>
  </si>
  <si>
    <t>PTCMEF0-II213C-PUT</t>
  </si>
  <si>
    <t>PTCMEF0-II214C-PUT</t>
  </si>
  <si>
    <t>PTCMEF0-II215C-PUT</t>
  </si>
  <si>
    <t>PTCMEF0-II216C-CALL</t>
  </si>
  <si>
    <t>PTCMEF0-II217C-CALL</t>
  </si>
  <si>
    <t>PTCMEF0-II218C-CALL</t>
  </si>
  <si>
    <t>PTCMEF0-II219C-CALL</t>
  </si>
  <si>
    <t>08400425EP60</t>
  </si>
  <si>
    <t>1551192MAF51</t>
  </si>
  <si>
    <t>1551192MAG35</t>
  </si>
  <si>
    <t>5275282EY673</t>
  </si>
  <si>
    <t>PTCMEF0-II220C-CALL</t>
  </si>
  <si>
    <t>PTCMEF0-II221C-CALL</t>
  </si>
  <si>
    <t>PTCMEF0-II222C-CALL</t>
  </si>
  <si>
    <t>PTCMEF0-II223C-PUT</t>
  </si>
  <si>
    <t>PTCMEF0-II224C-CALL</t>
  </si>
  <si>
    <t>PTCMEF0-II225C-CALL</t>
  </si>
  <si>
    <t>PTCMEF0-II226C-CALL</t>
  </si>
  <si>
    <t>PTCMEF0-II227C-CALL</t>
  </si>
  <si>
    <t>PTCMEF0-II228C-CALL</t>
  </si>
  <si>
    <t>PTCMEF0-II229C-CALL</t>
  </si>
  <si>
    <t>PTCMEF0-II230C-CALL</t>
  </si>
  <si>
    <t>PTCMEF0-II231C-CALL</t>
  </si>
  <si>
    <t>PTCMEF0-II232C-CALL</t>
  </si>
  <si>
    <t>PTCMEF0-II233C-CALL</t>
  </si>
  <si>
    <t>PTCMEF0-II234C-CALL</t>
  </si>
  <si>
    <t>PTCMEF0-II235C-CALL</t>
  </si>
  <si>
    <t>FTCMEF0-FVU6</t>
  </si>
  <si>
    <t>PTCMEF0-II236C-CALL</t>
  </si>
  <si>
    <t>PTCMEF0-II237C-CALL</t>
  </si>
  <si>
    <t>PTCMEF0-II238C-CALL</t>
  </si>
  <si>
    <t>PTCMEF0-II239C-CALL</t>
  </si>
  <si>
    <t>PTCMEF0-II240C-PUT</t>
  </si>
  <si>
    <t>5273992F5753</t>
  </si>
  <si>
    <t>PTCMEF0-II241C-CALL</t>
  </si>
  <si>
    <t>PTCMEF0-II242C-CALL</t>
  </si>
  <si>
    <t>PTCMEF0-II243C-CALL</t>
  </si>
  <si>
    <t>PTCMEF0-II244C-CALL</t>
  </si>
  <si>
    <t>PTCMEF0-EI005C-PUT</t>
  </si>
  <si>
    <t>PTCMEF0-EI006C-PUT</t>
  </si>
  <si>
    <t>PTCMEF0-EI007C-CALL</t>
  </si>
  <si>
    <t>PTCMEF0-EI008C-CALL</t>
  </si>
  <si>
    <t>PTCMEF0-EI009C-PUT</t>
  </si>
  <si>
    <t>PTCMEF0-EI010C-CALL</t>
  </si>
  <si>
    <t>PTCMEF0-II245C-CALL</t>
  </si>
  <si>
    <t>PTCMEF0-II246C-CALL</t>
  </si>
  <si>
    <t>PTCMEF0-II247C-CALL</t>
  </si>
  <si>
    <t>PTCMEF0-II248C-CALL</t>
  </si>
  <si>
    <t>PTCMEF0-II249C-CALL</t>
  </si>
  <si>
    <t>PTCMEF0-II250C-CALL</t>
  </si>
  <si>
    <t>PTCMEF0-II251C-CALL</t>
  </si>
  <si>
    <t>PTCMEF0-II252C-CALL</t>
  </si>
  <si>
    <t>22201112601A</t>
  </si>
  <si>
    <t>PTCMEF0-II253C-CALL</t>
  </si>
  <si>
    <t>PTCMEF0-II254C-CALL</t>
  </si>
  <si>
    <t>PTCMEF0-II255C-PUT</t>
  </si>
  <si>
    <t>PTCMEF0-II256C-CALL</t>
  </si>
  <si>
    <t>5274722E7694</t>
  </si>
  <si>
    <t>PTCMEF0-II257C-CALL</t>
  </si>
  <si>
    <t>PTCMEF0-II258C-CALL</t>
  </si>
  <si>
    <t>PTCMEF0-II259C-CALL</t>
  </si>
  <si>
    <t>PTCMEF0-II260C-CALL</t>
  </si>
  <si>
    <t>PTCMEF0-II261C-CALL</t>
  </si>
  <si>
    <t>PTCMEF0-II262C-CALL</t>
  </si>
  <si>
    <t>PTCMEF0-II263C-CALL</t>
  </si>
  <si>
    <t>PTCMEF0-II264C-CALL</t>
  </si>
  <si>
    <t>5275122EV647</t>
  </si>
  <si>
    <t>PTCMEF0-EI011C-CALL</t>
  </si>
  <si>
    <t>PTCMEF0-EI012C-CALL</t>
  </si>
  <si>
    <t>PTCMEF0-EI013C-CALL</t>
  </si>
  <si>
    <t>PTCMEF0-EI014C-CALL</t>
  </si>
  <si>
    <t>PTCMEF0-EI015C-PUT</t>
  </si>
  <si>
    <t>PTCMEF0-EI017C-CALL</t>
  </si>
  <si>
    <t>PTCMEF0-EI019C-PUT</t>
  </si>
  <si>
    <t>PTCMEF0-EI021C-CALL</t>
  </si>
  <si>
    <t>PTCMEF0-EI016C-PUT</t>
  </si>
  <si>
    <t>PTCMEF0-EI018C-CALL</t>
  </si>
  <si>
    <t>PTCMEF0-EI020C-PUT</t>
  </si>
  <si>
    <t>PTCMEF0-EI022C-CALL</t>
  </si>
  <si>
    <t>PTCMEF0-EI023C-PUT</t>
  </si>
  <si>
    <t>PTCMEF0-EI024C-PUT</t>
  </si>
  <si>
    <t>PTCMEF0-EI025C-CALL</t>
  </si>
  <si>
    <t>PTCMEF0-EI026C-CALL</t>
  </si>
  <si>
    <t>PTCMEF0-EI027C-PUT</t>
  </si>
  <si>
    <t>PTCMEF0-EI028C-PUT</t>
  </si>
  <si>
    <t>PTCMEF0-EI029C-CALL</t>
  </si>
  <si>
    <t>PTCMEF0-EI030C-CALL</t>
  </si>
  <si>
    <t>PTCMEF0-EI031C-CALL</t>
  </si>
  <si>
    <t>PTCMEF0-EI032C-CALL</t>
  </si>
  <si>
    <t>PTCMEF0-EI033C-CALL</t>
  </si>
  <si>
    <t>PTCMEF0-EI034C-CALL</t>
  </si>
  <si>
    <t>PTCMEF0-EI035C-CALL</t>
  </si>
  <si>
    <t>PTCMEF0-EI036C-CALL</t>
  </si>
  <si>
    <t>PTCMEF0-EI037C-CALL</t>
  </si>
  <si>
    <t>PTCMEF0-EI038C-CALL</t>
  </si>
  <si>
    <t>PTCMEF0-EI039C-CALL</t>
  </si>
  <si>
    <t>PTCMEF0-EI040C-CALL</t>
  </si>
  <si>
    <t>TEST</t>
  </si>
  <si>
    <t>Nombre</t>
  </si>
  <si>
    <t>PAT</t>
  </si>
  <si>
    <t>Bancos</t>
  </si>
  <si>
    <t>CPC</t>
  </si>
  <si>
    <t>CPP</t>
  </si>
  <si>
    <t>DPZBRL360DTF</t>
  </si>
  <si>
    <t>DPZMXN360DTF</t>
  </si>
  <si>
    <t>DONEURD360TV</t>
  </si>
  <si>
    <t>DONGBPD360TV</t>
  </si>
  <si>
    <t>SOBFEB2042</t>
  </si>
  <si>
    <t>SOBAGO26</t>
  </si>
  <si>
    <t>SOBAGOS31</t>
  </si>
  <si>
    <t>SOBAGO2037</t>
  </si>
  <si>
    <t>SB12SEP23</t>
  </si>
  <si>
    <t>PERU 25</t>
  </si>
  <si>
    <t>PERU 33</t>
  </si>
  <si>
    <t>SB12AGO46</t>
  </si>
  <si>
    <t>SOBJUL2019</t>
  </si>
  <si>
    <t>SOBOCT24</t>
  </si>
  <si>
    <t>SOBENE2035</t>
  </si>
  <si>
    <t>COLOM 2033</t>
  </si>
  <si>
    <t>MBONO2022</t>
  </si>
  <si>
    <t>TELEVISA2043</t>
  </si>
  <si>
    <t>BFALA 6 1/2</t>
  </si>
  <si>
    <t>EMGESA 2021</t>
  </si>
  <si>
    <t>BBVASM 2021</t>
  </si>
  <si>
    <t>BBVASM 2022</t>
  </si>
  <si>
    <t>EIBKK</t>
  </si>
  <si>
    <t>CREDI1BS1A</t>
  </si>
  <si>
    <t>BCP 2069</t>
  </si>
  <si>
    <t>BCP 2026</t>
  </si>
  <si>
    <t>BCP 2027</t>
  </si>
  <si>
    <t>INTER1BS5A</t>
  </si>
  <si>
    <t>BINTPE 2022</t>
  </si>
  <si>
    <t>ITBKSUB 2023</t>
  </si>
  <si>
    <t>ITBK SUBO2B</t>
  </si>
  <si>
    <t>ITBK23-04-70</t>
  </si>
  <si>
    <t>CONTI2BS2A</t>
  </si>
  <si>
    <t>CONTI1BS3A</t>
  </si>
  <si>
    <t>CONTI2BS5U</t>
  </si>
  <si>
    <t>CONTI2BS6A</t>
  </si>
  <si>
    <t>CSCOT1BS1A</t>
  </si>
  <si>
    <t>PACIFICO 1A</t>
  </si>
  <si>
    <t>UNAC2DBC2A</t>
  </si>
  <si>
    <t>LUSUR2BC4U</t>
  </si>
  <si>
    <t>LUSUR2BC5U</t>
  </si>
  <si>
    <t>LUSUR2BC6U</t>
  </si>
  <si>
    <t>EDEGEL 3A</t>
  </si>
  <si>
    <t>EDEGEL 3A1</t>
  </si>
  <si>
    <t>EDEG3BC11A</t>
  </si>
  <si>
    <t>VOLCAN 2022</t>
  </si>
  <si>
    <t>TRANSM2023</t>
  </si>
  <si>
    <t>REP3BC1A</t>
  </si>
  <si>
    <t>REP3BC1B</t>
  </si>
  <si>
    <t>REP2BC4A</t>
  </si>
  <si>
    <t>REP3B4A</t>
  </si>
  <si>
    <t>ENER1BC7A</t>
  </si>
  <si>
    <t>TGPERU 2028</t>
  </si>
  <si>
    <t>TGP VAC 4-A</t>
  </si>
  <si>
    <t>TGP1BC6A</t>
  </si>
  <si>
    <t>OLMOS 1U</t>
  </si>
  <si>
    <t>CTOLMOS2A</t>
  </si>
  <si>
    <t>OLMOS3A</t>
  </si>
  <si>
    <t>OLMOS 4A</t>
  </si>
  <si>
    <t>SAGA3BC1A</t>
  </si>
  <si>
    <t>SAGA3BC1B</t>
  </si>
  <si>
    <t>CALLAO 23</t>
  </si>
  <si>
    <t>FERROS 2020</t>
  </si>
  <si>
    <t>TELE4BC12A</t>
  </si>
  <si>
    <t>TELE4BC19A</t>
  </si>
  <si>
    <t>TELE4BC19C</t>
  </si>
  <si>
    <t>MILPOC4 3/23</t>
  </si>
  <si>
    <t>CREDI4BC10A</t>
  </si>
  <si>
    <t>CRED4BC10B</t>
  </si>
  <si>
    <t>CRED4BC10C</t>
  </si>
  <si>
    <t>BCP 09/16/20</t>
  </si>
  <si>
    <t>BCP 2023</t>
  </si>
  <si>
    <t>ITBK2020</t>
  </si>
  <si>
    <t>SCOTI2BC3B</t>
  </si>
  <si>
    <t>CONTI4BC1U</t>
  </si>
  <si>
    <t>CONTIN 2A</t>
  </si>
  <si>
    <t>CONTI 5PR 2A</t>
  </si>
  <si>
    <t>CONTI5BC5U</t>
  </si>
  <si>
    <t>BCOCPE 2022</t>
  </si>
  <si>
    <t>BFIN1BC1A</t>
  </si>
  <si>
    <t>COFI3DBC9A</t>
  </si>
  <si>
    <t>COFIDE 2022</t>
  </si>
  <si>
    <t>BFAL1BC4A</t>
  </si>
  <si>
    <t>INM PAN 2P1E</t>
  </si>
  <si>
    <t>INTEROCEA IV</t>
  </si>
  <si>
    <t>INTER144A</t>
  </si>
  <si>
    <t>CRPAO1</t>
  </si>
  <si>
    <t>BCOCPE 2040</t>
  </si>
  <si>
    <t>BBVA 2020</t>
  </si>
  <si>
    <t>PPDFL2029</t>
  </si>
  <si>
    <t>ACC_SOL BWS</t>
  </si>
  <si>
    <t>ACC_SOL BCO</t>
  </si>
  <si>
    <t>IFS</t>
  </si>
  <si>
    <t>ACC_SOL CL</t>
  </si>
  <si>
    <t>ACC_SOL</t>
  </si>
  <si>
    <t>ACC_SOL LDS</t>
  </si>
  <si>
    <t>ACC_SOL ALI</t>
  </si>
  <si>
    <t>ACC_DOL BAP</t>
  </si>
  <si>
    <t>ACC_SOL GM</t>
  </si>
  <si>
    <t>PLUZENC1 PE</t>
  </si>
  <si>
    <t>ORYGENC1 PE</t>
  </si>
  <si>
    <t>VOLCANC1A</t>
  </si>
  <si>
    <t>CVERDEC1</t>
  </si>
  <si>
    <t>ACC_SOL VCM</t>
  </si>
  <si>
    <t>ACC_SOL ATA</t>
  </si>
  <si>
    <t>ACC_SOL   CP</t>
  </si>
  <si>
    <t>ENGIEC1 PE</t>
  </si>
  <si>
    <t>HOC</t>
  </si>
  <si>
    <t>INRETC1</t>
  </si>
  <si>
    <t>ACC_SOL EFE</t>
  </si>
  <si>
    <t>ACC_SOL MILP</t>
  </si>
  <si>
    <t>ACI_SOL ELCO</t>
  </si>
  <si>
    <t>ACI_SOL MIN</t>
  </si>
  <si>
    <t>ADR_DOL BVN</t>
  </si>
  <si>
    <t>CPAC</t>
  </si>
  <si>
    <t>ACC_DOL PCU</t>
  </si>
  <si>
    <t>BCP-PF</t>
  </si>
  <si>
    <t>FDO COMPYME1</t>
  </si>
  <si>
    <t>COMPASSINMB1</t>
  </si>
  <si>
    <t>COMPASSINM1A</t>
  </si>
  <si>
    <t>FDO SEAF LAT</t>
  </si>
  <si>
    <t>MULTINMOB2</t>
  </si>
  <si>
    <t>FIMI II</t>
  </si>
  <si>
    <t>FIVL_DOL_ACA</t>
  </si>
  <si>
    <t>SIGMA</t>
  </si>
  <si>
    <t>SIGMA INFRA</t>
  </si>
  <si>
    <t>FDO MEZZASUM</t>
  </si>
  <si>
    <t>FDOBIENESRII</t>
  </si>
  <si>
    <t>FDO BIENESRA</t>
  </si>
  <si>
    <t>FORTALEZAI</t>
  </si>
  <si>
    <t>FDOLARRAINF1</t>
  </si>
  <si>
    <t>SPY US</t>
  </si>
  <si>
    <t>XLY US</t>
  </si>
  <si>
    <t>XLE US</t>
  </si>
  <si>
    <t>GLD US</t>
  </si>
  <si>
    <t>XLB US</t>
  </si>
  <si>
    <t>XLF US</t>
  </si>
  <si>
    <t>XLI US</t>
  </si>
  <si>
    <t>MEEMDUC ID</t>
  </si>
  <si>
    <t>MEDLCCU ID</t>
  </si>
  <si>
    <t>VGK US</t>
  </si>
  <si>
    <t>VOO US</t>
  </si>
  <si>
    <t>JBLEMBC LX</t>
  </si>
  <si>
    <t>PFEMGDI LX</t>
  </si>
  <si>
    <t>INLACIA LX</t>
  </si>
  <si>
    <t>GAEUFUB LX</t>
  </si>
  <si>
    <t>PIOUSUI LX</t>
  </si>
  <si>
    <t>MEMDIU1 LX</t>
  </si>
  <si>
    <t>FORBLIC LX</t>
  </si>
  <si>
    <t>TEMEFIA LX</t>
  </si>
  <si>
    <t>TGTRFIA LX</t>
  </si>
  <si>
    <t>IAU US</t>
  </si>
  <si>
    <t>EEMV US</t>
  </si>
  <si>
    <t>EZU US</t>
  </si>
  <si>
    <t>EWW US</t>
  </si>
  <si>
    <t>FXI US</t>
  </si>
  <si>
    <t>IVV US</t>
  </si>
  <si>
    <t>EEM US</t>
  </si>
  <si>
    <t>IWM US</t>
  </si>
  <si>
    <t>EWJ US</t>
  </si>
  <si>
    <t>HYG US</t>
  </si>
  <si>
    <t>FDOLARAENERG</t>
  </si>
  <si>
    <t>ARCFUND</t>
  </si>
  <si>
    <t>TRG LA PF I</t>
  </si>
  <si>
    <t>PARTNERS GDI</t>
  </si>
  <si>
    <t>PINEB CO II</t>
  </si>
  <si>
    <t>PAVIL</t>
  </si>
  <si>
    <t>ARCFUNDII</t>
  </si>
  <si>
    <t>COLLER VI</t>
  </si>
  <si>
    <t>PARTNERS2011</t>
  </si>
  <si>
    <t>CARLYLE PERU</t>
  </si>
  <si>
    <t>APAX VIII</t>
  </si>
  <si>
    <t>EPU</t>
  </si>
  <si>
    <t>EEPPME 2021</t>
  </si>
  <si>
    <t>MBONO 2042</t>
  </si>
  <si>
    <t>MIVIVIE 2023</t>
  </si>
  <si>
    <t>EWG US</t>
  </si>
  <si>
    <t>GUANFI 6</t>
  </si>
  <si>
    <t>ITB US</t>
  </si>
  <si>
    <t>MBONO2029</t>
  </si>
  <si>
    <t>MBONO 2038</t>
  </si>
  <si>
    <t>IXJ US</t>
  </si>
  <si>
    <t>INTER2BS3A</t>
  </si>
  <si>
    <t>AXASDHY LX</t>
  </si>
  <si>
    <t>MINSUR 2024</t>
  </si>
  <si>
    <t>DFLVX US</t>
  </si>
  <si>
    <t>FLEJPEC LX</t>
  </si>
  <si>
    <t>EWP US</t>
  </si>
  <si>
    <t>GUIEURF LX</t>
  </si>
  <si>
    <t>EDEL5BC11A</t>
  </si>
  <si>
    <t>RUTLI 2036</t>
  </si>
  <si>
    <t>COFIDE2029</t>
  </si>
  <si>
    <t>LUZSUR 7.03</t>
  </si>
  <si>
    <t>TITIRSM1</t>
  </si>
  <si>
    <t>SOBFEB55</t>
  </si>
  <si>
    <t>SB12FEB30</t>
  </si>
  <si>
    <t>EDEL5BC9A</t>
  </si>
  <si>
    <t>XLP US</t>
  </si>
  <si>
    <t>SCHPFCA LX</t>
  </si>
  <si>
    <t>EWT US</t>
  </si>
  <si>
    <t>EWY US</t>
  </si>
  <si>
    <t>IEV US</t>
  </si>
  <si>
    <t>AAXJ US</t>
  </si>
  <si>
    <t>IEO US</t>
  </si>
  <si>
    <t>BCOCPE 5 1/4</t>
  </si>
  <si>
    <t>XLV US</t>
  </si>
  <si>
    <t>XLK US</t>
  </si>
  <si>
    <t>PERUGLOB2050</t>
  </si>
  <si>
    <t>SB12AGO24</t>
  </si>
  <si>
    <t>CONGLO6 08/3</t>
  </si>
  <si>
    <t>BFAL1BC7A</t>
  </si>
  <si>
    <t>SCCO 40</t>
  </si>
  <si>
    <t>APOLCRED</t>
  </si>
  <si>
    <t>FARO CAP RET</t>
  </si>
  <si>
    <t>VTV US</t>
  </si>
  <si>
    <t>KANDEOII</t>
  </si>
  <si>
    <t>COLOM 5 06/1</t>
  </si>
  <si>
    <t>ALICO3BC2A</t>
  </si>
  <si>
    <t>COFI4DBC5A</t>
  </si>
  <si>
    <t>GYMFV</t>
  </si>
  <si>
    <t>INT 7.65625%</t>
  </si>
  <si>
    <t>SBCEHKI LX</t>
  </si>
  <si>
    <t>CCINM</t>
  </si>
  <si>
    <t>INTSE2BS2U</t>
  </si>
  <si>
    <t>SOBAGO31 GDN</t>
  </si>
  <si>
    <t>ACWI US</t>
  </si>
  <si>
    <t>SCCO 5 7/8 0</t>
  </si>
  <si>
    <t>YURA4BC1A</t>
  </si>
  <si>
    <t>FDO HMC</t>
  </si>
  <si>
    <t>SCOTI1BS1A</t>
  </si>
  <si>
    <t>SCOTFIDEI</t>
  </si>
  <si>
    <t>PERUPASSA2</t>
  </si>
  <si>
    <t>FODEVI</t>
  </si>
  <si>
    <t>NUSHYIU ID</t>
  </si>
  <si>
    <t>VT US</t>
  </si>
  <si>
    <t>EDEL5BC17A</t>
  </si>
  <si>
    <t>MINFR</t>
  </si>
  <si>
    <t>NORVI1BC1U</t>
  </si>
  <si>
    <t>NORVI1BC2U</t>
  </si>
  <si>
    <t>INNSCH2E1U</t>
  </si>
  <si>
    <t>PERU 2027</t>
  </si>
  <si>
    <t>LEXCAPPARTVIII</t>
  </si>
  <si>
    <t>Ares SS</t>
  </si>
  <si>
    <t>Avenue III</t>
  </si>
  <si>
    <t>CSTNL US</t>
  </si>
  <si>
    <t>Oaktree III</t>
  </si>
  <si>
    <t>FFIBERY LX</t>
  </si>
  <si>
    <t>VFDEF US</t>
  </si>
  <si>
    <t>VNGDF US</t>
  </si>
  <si>
    <t>VNFGF US</t>
  </si>
  <si>
    <t>DBXRF US</t>
  </si>
  <si>
    <t>DXTRF US</t>
  </si>
  <si>
    <t>W Capital FODEVI</t>
  </si>
  <si>
    <t>XMTIF US</t>
  </si>
  <si>
    <t>JPLAZ1BC1A</t>
  </si>
  <si>
    <t>XD5E LN</t>
  </si>
  <si>
    <t>BFIN2PP3E</t>
  </si>
  <si>
    <t>SOB12FEB40</t>
  </si>
  <si>
    <t>ALRRGWT LX</t>
  </si>
  <si>
    <t>ALICO3BC4A</t>
  </si>
  <si>
    <t>MIVIVI 6 2/3 04/08/19</t>
  </si>
  <si>
    <t>SHY US</t>
  </si>
  <si>
    <t>GDX US</t>
  </si>
  <si>
    <t>BRF US</t>
  </si>
  <si>
    <t>AXWESFI LX</t>
  </si>
  <si>
    <t>MIBAN2BS1A</t>
  </si>
  <si>
    <t>MBONO 7 3/4 05/29/31</t>
  </si>
  <si>
    <t>KALLPA 4 7/8 05/24/26</t>
  </si>
  <si>
    <t>FALAB1BC3A</t>
  </si>
  <si>
    <t>MIBAN4BC1B</t>
  </si>
  <si>
    <t>TDP6BC11A</t>
  </si>
  <si>
    <t>ENGIE3BC1A</t>
  </si>
  <si>
    <t>EDEL5BC20A</t>
  </si>
  <si>
    <t>FMV1BC4A</t>
  </si>
  <si>
    <t>LUSUR3BC4A</t>
  </si>
  <si>
    <t>FALAB1BC3B</t>
  </si>
  <si>
    <t>JPLAZ1BC3A</t>
  </si>
  <si>
    <t>IEMG US</t>
  </si>
  <si>
    <t>ABEV US</t>
  </si>
  <si>
    <t>ENIA US</t>
  </si>
  <si>
    <t>GMEXICOB MM</t>
  </si>
  <si>
    <t>CIEL3 BZ</t>
  </si>
  <si>
    <t>CENCOSUD CI</t>
  </si>
  <si>
    <t>EMB US</t>
  </si>
  <si>
    <t>PRIVFAEPGS15</t>
  </si>
  <si>
    <t>COLLER VII</t>
  </si>
  <si>
    <t>CRBN US</t>
  </si>
  <si>
    <t>SB12AGO28</t>
  </si>
  <si>
    <t>PERU 6.35 08/12/28</t>
  </si>
  <si>
    <t>PRIMX1BC1A</t>
  </si>
  <si>
    <t>COF4DBC10B</t>
  </si>
  <si>
    <t>JPEAHIU LX</t>
  </si>
  <si>
    <t>LEMB US</t>
  </si>
  <si>
    <t>GSGEMIA LX</t>
  </si>
  <si>
    <t>OIH US</t>
  </si>
  <si>
    <t>BN1BS1A</t>
  </si>
  <si>
    <t>ILF</t>
  </si>
  <si>
    <t>LIND1BC1U</t>
  </si>
  <si>
    <t>COF4DBC11A</t>
  </si>
  <si>
    <t>KKR Americas Fund XII LP</t>
  </si>
  <si>
    <t>BTADP1EU</t>
  </si>
  <si>
    <t>INVEUEA LN</t>
  </si>
  <si>
    <t>BRIPL4BC2B</t>
  </si>
  <si>
    <t>LUZ SUR 5A</t>
  </si>
  <si>
    <t>MIVIVI</t>
  </si>
  <si>
    <t>FOSSALC1</t>
  </si>
  <si>
    <t>INGSIUH LX</t>
  </si>
  <si>
    <t>HERME1BC1A</t>
  </si>
  <si>
    <t>FSSLY US</t>
  </si>
  <si>
    <t>FINOH1BC1A</t>
  </si>
  <si>
    <t>FALAB2BC1A</t>
  </si>
  <si>
    <t>ORAZEN 5 5/8 04/28/2027</t>
  </si>
  <si>
    <t>ASHIUSA LX</t>
  </si>
  <si>
    <t>Apax IX GP Co. Limited</t>
  </si>
  <si>
    <t>PBIINEY ID</t>
  </si>
  <si>
    <t>EWZ US</t>
  </si>
  <si>
    <t>CVC Capital Partners VII Limited</t>
  </si>
  <si>
    <t>HarbourVest Co</t>
  </si>
  <si>
    <t>ENGIE3BC3A</t>
  </si>
  <si>
    <t>GRUMAB MM</t>
  </si>
  <si>
    <t>FINOH1BC1B</t>
  </si>
  <si>
    <t>SB12AGO32</t>
  </si>
  <si>
    <t>COLOM 3 7/8 04/25/27</t>
  </si>
  <si>
    <t>KALLPA 4 1/8 08/16/27</t>
  </si>
  <si>
    <t>INTERC 2025</t>
  </si>
  <si>
    <t>INNSCH3E1U</t>
  </si>
  <si>
    <t>FIBDCA</t>
  </si>
  <si>
    <t>FIBDCB</t>
  </si>
  <si>
    <t>TDP6BC14A</t>
  </si>
  <si>
    <t>CARLYLE REALTY VIII</t>
  </si>
  <si>
    <t>FENIPE 2027</t>
  </si>
  <si>
    <t>EMLC US</t>
  </si>
  <si>
    <t>SMIPETT 2022</t>
  </si>
  <si>
    <t>SOBAGO2037 GDN</t>
  </si>
  <si>
    <t>TDP6BC15A</t>
  </si>
  <si>
    <t>KOF</t>
  </si>
  <si>
    <t>FALABELLA 2027</t>
  </si>
  <si>
    <t>BCP 4.85% 2020</t>
  </si>
  <si>
    <t>NEXA</t>
  </si>
  <si>
    <t>INKENE 2027</t>
  </si>
  <si>
    <t>SGESOCA LN</t>
  </si>
  <si>
    <t>FINOH1BC2A</t>
  </si>
  <si>
    <t>MBONO 7 1/2 06/</t>
  </si>
  <si>
    <t>BCIR1P1ESA</t>
  </si>
  <si>
    <t>MEXICO 2040</t>
  </si>
  <si>
    <t>Enfoca - Descubridor 1</t>
  </si>
  <si>
    <t>Enfoca - Descubridor 2</t>
  </si>
  <si>
    <t>BINTPE 2023</t>
  </si>
  <si>
    <t>MCHI US</t>
  </si>
  <si>
    <t>PERU 8.2 12/08/26 GDN</t>
  </si>
  <si>
    <t>IFSPE 2027</t>
  </si>
  <si>
    <t>PERULNG 2030</t>
  </si>
  <si>
    <t>EDP6BC2A</t>
  </si>
  <si>
    <t>EDP6BC1A</t>
  </si>
  <si>
    <t>INRSHM 2028</t>
  </si>
  <si>
    <t>PAI Europe VII</t>
  </si>
  <si>
    <t>INRPHARMA1</t>
  </si>
  <si>
    <t>SCOT1TPN1A</t>
  </si>
  <si>
    <t>FINOH1BC2B</t>
  </si>
  <si>
    <t>TDP6BC12B</t>
  </si>
  <si>
    <t>PRIVFAECEPVF</t>
  </si>
  <si>
    <t>HNTOIL 6 3/8</t>
  </si>
  <si>
    <t>CONTI7BC1A</t>
  </si>
  <si>
    <t>QQQ US</t>
  </si>
  <si>
    <t>ENGIE3BC3B</t>
  </si>
  <si>
    <t>CONTI7BC1B</t>
  </si>
  <si>
    <t>CP VII</t>
  </si>
  <si>
    <t>PRIVFAELCPIX</t>
  </si>
  <si>
    <t>MCET 01/31/19</t>
  </si>
  <si>
    <t>IE0030395846</t>
  </si>
  <si>
    <t>PEP73125M049</t>
  </si>
  <si>
    <t>T 2 7/8 08/15/2</t>
  </si>
  <si>
    <t>BGIL</t>
  </si>
  <si>
    <t>COLTES 7 09/11/19</t>
  </si>
  <si>
    <t>BRIPL4BC3B</t>
  </si>
  <si>
    <t>COLTC 0 06/11/1</t>
  </si>
  <si>
    <t>MIJFX US EQUITY</t>
  </si>
  <si>
    <t>BCP 2019</t>
  </si>
  <si>
    <t>INTBC1A</t>
  </si>
  <si>
    <t>CONTI7BC1C</t>
  </si>
  <si>
    <t>Hellman &amp; Friedman</t>
  </si>
  <si>
    <t>TDP1PP1A</t>
  </si>
  <si>
    <t>US33733E3027</t>
  </si>
  <si>
    <t>EFECT2BC1A</t>
  </si>
  <si>
    <t>ALIC1DBC1A</t>
  </si>
  <si>
    <t>US46435G1022</t>
  </si>
  <si>
    <t>TYH9</t>
  </si>
  <si>
    <t>GNB1BC2A</t>
  </si>
  <si>
    <t>SB12FEB29E</t>
  </si>
  <si>
    <t>PERU 5.94 02/12</t>
  </si>
  <si>
    <t>MEX 4 1/2 04/22/29</t>
  </si>
  <si>
    <t>Coller - Coller VIII</t>
  </si>
  <si>
    <t>INTSE3BS1U</t>
  </si>
  <si>
    <t>CPACA2BC2A</t>
  </si>
  <si>
    <t>CPACA2BC1A</t>
  </si>
  <si>
    <t>JP EM LCL</t>
  </si>
  <si>
    <t>CEMB US</t>
  </si>
  <si>
    <t>EIMI LN</t>
  </si>
  <si>
    <t>TYM9 Comdty</t>
  </si>
  <si>
    <t>LUSUR3BC7A</t>
  </si>
  <si>
    <t>BIF3BS2A</t>
  </si>
  <si>
    <t>COLTES 11 07/24/20</t>
  </si>
  <si>
    <t>MCET 0 02/27/2020</t>
  </si>
  <si>
    <t>INTER2BC5A</t>
  </si>
  <si>
    <t>IJR US</t>
  </si>
  <si>
    <t>MBONO 10 12/05/24</t>
  </si>
  <si>
    <t>PALTO1P1E</t>
  </si>
  <si>
    <t>Vista Equity Partners Fund VII GP, L.P.</t>
  </si>
  <si>
    <t>TELEFO 7 3/8 04/10/27</t>
  </si>
  <si>
    <t>VOMSEMG LX</t>
  </si>
  <si>
    <t>ALIPE 6 7/8 04/17/27</t>
  </si>
  <si>
    <t>TRANSM 4.7 04/16/2034</t>
  </si>
  <si>
    <t>VCOF5DBC1A</t>
  </si>
  <si>
    <t>BAEMBUA ID</t>
  </si>
  <si>
    <t>BPICH1CD2A</t>
  </si>
  <si>
    <t>RGHYBID LX - High Yield</t>
  </si>
  <si>
    <t>TYU9</t>
  </si>
  <si>
    <t>BD Capital</t>
  </si>
  <si>
    <t>BNTNF 10 01/01/21</t>
  </si>
  <si>
    <t>SB12AGO34</t>
  </si>
  <si>
    <t>NEXA 5 3/8 05/04/2027</t>
  </si>
  <si>
    <t>APUHI2U LX</t>
  </si>
  <si>
    <t>BNTNF 10 01/01/29</t>
  </si>
  <si>
    <t>VEMIUSD LX - Emerging Markets Debt</t>
  </si>
  <si>
    <t>FMV1BC5A</t>
  </si>
  <si>
    <t>Global Infrastructure GP IV, L.P.</t>
  </si>
  <si>
    <t>IFS US</t>
  </si>
  <si>
    <t>IFHBH 3 7/8 08/15/2029</t>
  </si>
  <si>
    <t>INTER25L29</t>
  </si>
  <si>
    <t>COLTES 7 3/4 09/18/2030</t>
  </si>
  <si>
    <t>IEMB LN</t>
  </si>
  <si>
    <t>BTPCL 4.5 03/01/21</t>
  </si>
  <si>
    <t>CALID1BC5U</t>
  </si>
  <si>
    <t>BCP 2.7 01/11/25</t>
  </si>
  <si>
    <t>SINT1TCP1A</t>
  </si>
  <si>
    <t>IHYU LN - US High Yield UCITS</t>
  </si>
  <si>
    <t>BCP 4.65 09/17/24</t>
  </si>
  <si>
    <t>FGCSIAU LX - Global Convertibles</t>
  </si>
  <si>
    <t>BINTPE 3 1/4 10</t>
  </si>
  <si>
    <t>IBKSNO2026</t>
  </si>
  <si>
    <t>TECSB1P1A</t>
  </si>
  <si>
    <t>IWDA LN</t>
  </si>
  <si>
    <t>SPEM US - Emerging Markets</t>
  </si>
  <si>
    <t>APAX X USD GP L.P.</t>
  </si>
  <si>
    <t>XCOF5DBC3A</t>
  </si>
  <si>
    <t>IJPA LN - Japan</t>
  </si>
  <si>
    <t>TLT US</t>
  </si>
  <si>
    <t>Blackstone Real Estate Associates Europe VI</t>
  </si>
  <si>
    <t>GPAVEUM FP</t>
  </si>
  <si>
    <t>ESJDCJJ LX</t>
  </si>
  <si>
    <t>BTPCL 4 03/01/23</t>
  </si>
  <si>
    <t>COLTES 7 05/04/2022</t>
  </si>
  <si>
    <t>SB12AGO40</t>
  </si>
  <si>
    <t>UCAP LN</t>
  </si>
  <si>
    <t>ASF Cosmos Co-Invest L.P.</t>
  </si>
  <si>
    <t>Sura Credicorp Infraestructura</t>
  </si>
  <si>
    <t>CASAND11A</t>
  </si>
  <si>
    <t>PIMEMLC ID</t>
  </si>
  <si>
    <t>SHV US - Ishares Short Treasury Bond</t>
  </si>
  <si>
    <t>AC Capitales - Infraestructura II</t>
  </si>
  <si>
    <t>MAFJFIU LX - Japan Fund</t>
  </si>
  <si>
    <t>MEX 3 1/4 04/16/30</t>
  </si>
  <si>
    <t>INVSACE LX</t>
  </si>
  <si>
    <t>OBJCGAU FP</t>
  </si>
  <si>
    <t>FMV1BC6A</t>
  </si>
  <si>
    <t>COLOM 5.2 05/15/49</t>
  </si>
  <si>
    <t>LarraínVial Colliers - Fibra III</t>
  </si>
  <si>
    <t>TYH0 Comdty</t>
  </si>
  <si>
    <t>VONEMCX LX - Corp EM Debt USD</t>
  </si>
  <si>
    <t>UXYM0 Comdty</t>
  </si>
  <si>
    <t>FFEDGIE LX</t>
  </si>
  <si>
    <t>LQD US - Iboxx IG Corps</t>
  </si>
  <si>
    <t>BNTNF 10 01/01/25</t>
  </si>
  <si>
    <t>UBCOIA3 LX</t>
  </si>
  <si>
    <t>LQDE LN</t>
  </si>
  <si>
    <t>BINTPE 6 5/8 03/19/29</t>
  </si>
  <si>
    <t>COLTES 7 1/2 08/26/26</t>
  </si>
  <si>
    <t>PIMHYBA ID</t>
  </si>
  <si>
    <t>NEXA 6 1/2 01/18/2028</t>
  </si>
  <si>
    <t>NEXA 5 3/8 05/04/27</t>
  </si>
  <si>
    <t>BCP 3.125 01/07/2030</t>
  </si>
  <si>
    <t>BINTPE 4 08/07/2030</t>
  </si>
  <si>
    <t>TIP US</t>
  </si>
  <si>
    <t>COLTES 6 04/28/28</t>
  </si>
  <si>
    <t>EEPPME 8 3/8 11/08/27</t>
  </si>
  <si>
    <t>VERASCU ID - Asian Fund</t>
  </si>
  <si>
    <t>BTPCL 4.7 09/01/30</t>
  </si>
  <si>
    <t>ASHR US - CSI 300 China-A</t>
  </si>
  <si>
    <t>IEF US - iShares 7-10 Treasury Bond</t>
  </si>
  <si>
    <t>GSEMCBI LX - EM Debt</t>
  </si>
  <si>
    <t>XME - Metals &amp; Mining</t>
  </si>
  <si>
    <t>XLC - Communication Services</t>
  </si>
  <si>
    <t>BCPCL 2.5 03/01/25</t>
  </si>
  <si>
    <t>LU0440072402</t>
  </si>
  <si>
    <t>UXYZ0 Comdty</t>
  </si>
  <si>
    <t>US78467X1090</t>
  </si>
  <si>
    <t>US912828ZQ64</t>
  </si>
  <si>
    <t>LU1200235437</t>
  </si>
  <si>
    <t>USP0592VAA63</t>
  </si>
  <si>
    <t>US715638DR09</t>
  </si>
  <si>
    <t>US715638DQ26</t>
  </si>
  <si>
    <t>US715638DP43</t>
  </si>
  <si>
    <t>LU1997245763</t>
  </si>
  <si>
    <t>WNZ0 Comdty</t>
  </si>
  <si>
    <t>BNTNF 10 01/01/23</t>
  </si>
  <si>
    <t>MBONO 5 3/4 03/05/26</t>
  </si>
  <si>
    <t>WNH1 Comdty</t>
  </si>
  <si>
    <t>UXYH1 Comdty</t>
  </si>
  <si>
    <t>IE00BYXWZK58</t>
  </si>
  <si>
    <t>AESGEN 6.35 10/07/79</t>
  </si>
  <si>
    <t>MEX 3.771 05/04/61</t>
  </si>
  <si>
    <t>ORA CN</t>
  </si>
  <si>
    <t>LGO CN</t>
  </si>
  <si>
    <t>CA82639W1068</t>
  </si>
  <si>
    <t>PEP11100M369</t>
  </si>
  <si>
    <t>PEP736586B20</t>
  </si>
  <si>
    <t>COL17CT02385</t>
  </si>
  <si>
    <t>IE00B53QG562</t>
  </si>
  <si>
    <t>CVL79910FA</t>
  </si>
  <si>
    <t>CVL79910FB</t>
  </si>
  <si>
    <t>US4642866408</t>
  </si>
  <si>
    <t>CL0002535517</t>
  </si>
  <si>
    <t>HHEUC2E LX</t>
  </si>
  <si>
    <t>SINT1INR1U</t>
  </si>
  <si>
    <t>BCP 3.25 09/30/2031</t>
  </si>
  <si>
    <t>PCLCIUS LX</t>
  </si>
  <si>
    <t>MIBAN4BS1A</t>
  </si>
  <si>
    <t>LCTD US</t>
  </si>
  <si>
    <t>AESGEN 7 1/8 03/26/79</t>
  </si>
  <si>
    <t>BSCN 4 1/2 12/13/27</t>
  </si>
  <si>
    <t>VOLCAN 4 3/8 02/11/26</t>
  </si>
  <si>
    <t>CALID1BC2U</t>
  </si>
  <si>
    <t>UXYM1</t>
  </si>
  <si>
    <t>COLTES 7 06/30/32</t>
  </si>
  <si>
    <t>WING LN</t>
  </si>
  <si>
    <t>PERU 3.55 03/10/51</t>
  </si>
  <si>
    <t>UXYU1</t>
  </si>
  <si>
    <t>FINOH1BC3A</t>
  </si>
  <si>
    <t>KRE US</t>
  </si>
  <si>
    <t>BUENAV 5 ½ 07/23/26</t>
  </si>
  <si>
    <t>COLPE1P3E</t>
  </si>
  <si>
    <t>AENZA1BU</t>
  </si>
  <si>
    <t xml:space="preserve">BTPCL 4.5 03/01/26 </t>
  </si>
  <si>
    <t>UXYZ1</t>
  </si>
  <si>
    <t>EUFN US</t>
  </si>
  <si>
    <t>COF4DBC10A</t>
  </si>
  <si>
    <t>SMIPET 28</t>
  </si>
  <si>
    <t>MINSUR 4 1/2 10</t>
  </si>
  <si>
    <t>PERU 3 01/15/34 Corp</t>
  </si>
  <si>
    <t>PERU 3.6 01/15/72 Corp</t>
  </si>
  <si>
    <t>CENSUD 4 3/8 07/17/27</t>
  </si>
  <si>
    <t>FVZ1</t>
  </si>
  <si>
    <t>WNZ1</t>
  </si>
  <si>
    <t>BANORT 6 7/8 PERP</t>
  </si>
  <si>
    <t>BANORT 6 5/8 PERP</t>
  </si>
  <si>
    <t>FVH2 Comdty</t>
  </si>
  <si>
    <t>WNH2 Comdty</t>
  </si>
  <si>
    <t>UXYH2 Comdty</t>
  </si>
  <si>
    <t>ALSEA 7 3/4 12/14/26 Corp</t>
  </si>
  <si>
    <t>ARA CN</t>
  </si>
  <si>
    <t>PBISEAI ID</t>
  </si>
  <si>
    <t>EFA US</t>
  </si>
  <si>
    <t>MLADLAE CI</t>
  </si>
  <si>
    <t>EEPPME 4 3/8 02/15/31</t>
  </si>
  <si>
    <t>CWB US</t>
  </si>
  <si>
    <t>COLTES 5.75 11/03/2027</t>
  </si>
  <si>
    <t>MEX 3 3/4 04/19/71</t>
  </si>
  <si>
    <t>CQQQ US</t>
  </si>
  <si>
    <t>SX7EEX GY</t>
  </si>
  <si>
    <t>COPX US</t>
  </si>
  <si>
    <t>FOH1BC2A</t>
  </si>
  <si>
    <t>ECOPET 6 7/8 04/29/30</t>
  </si>
  <si>
    <t>ECOPET 7 3/8 09/18/2043</t>
  </si>
  <si>
    <t>ECOPET 4 5/8 11/02/31</t>
  </si>
  <si>
    <t>UXYM2</t>
  </si>
  <si>
    <t>AENZCPRO1</t>
  </si>
  <si>
    <t>ECOPET 5 7/8 11/02/51</t>
  </si>
  <si>
    <t>BNTNF 10 01/01/31</t>
  </si>
  <si>
    <t>ACGB 0 1/4 11/21/24 Corp</t>
  </si>
  <si>
    <t>TII 0 1/8 02/15/52</t>
  </si>
  <si>
    <t>EWU US - iShares UK</t>
  </si>
  <si>
    <t xml:space="preserve">LAZCAPS FP </t>
  </si>
  <si>
    <t>ACGB 1 1/4  05/21/2032</t>
  </si>
  <si>
    <t>MOO US</t>
  </si>
  <si>
    <t>USP1400MAA64</t>
  </si>
  <si>
    <t>COLTES 7 03/26/31</t>
  </si>
  <si>
    <t>UXYU2 Comdty</t>
  </si>
  <si>
    <t xml:space="preserve">SRLN US </t>
  </si>
  <si>
    <t>BBFCBIE LX</t>
  </si>
  <si>
    <t>BANORT 5 7/8 PERP</t>
  </si>
  <si>
    <t xml:space="preserve">XOP US </t>
  </si>
  <si>
    <t>IVPRB 6.45 06/30/37</t>
  </si>
  <si>
    <t>HUASC 5.2 04/01/28</t>
  </si>
  <si>
    <t>TABOA 5.965 01/01/29</t>
  </si>
  <si>
    <t>INRCON 3 1/4 03/22/28</t>
  </si>
  <si>
    <t>BCOLO 2029</t>
  </si>
  <si>
    <t>CAN 1 1/2 12/01/31 Corp</t>
  </si>
  <si>
    <t>BANORT 7 ⅝ PERP</t>
  </si>
  <si>
    <t>BBVASM 5 1/8 01/18/2033</t>
  </si>
  <si>
    <t>XLU US</t>
  </si>
  <si>
    <t>BRSTNCNTF1P8</t>
  </si>
  <si>
    <t>BBJP US</t>
  </si>
  <si>
    <t>SKYY US</t>
  </si>
  <si>
    <t>BRAZIL 4 3/4 01/14/50</t>
  </si>
  <si>
    <t>PIAHYIA ID</t>
  </si>
  <si>
    <t>BFALA 3 ⅜ 01/15/32 Corp</t>
  </si>
  <si>
    <t>UXYZ2</t>
  </si>
  <si>
    <t>SCCO 5 1/4 11/08/42</t>
  </si>
  <si>
    <t>WNZ2</t>
  </si>
  <si>
    <t>AVALCB 4 ⅜ 02/04/30 Corp</t>
  </si>
  <si>
    <t>EMXC US</t>
  </si>
  <si>
    <t>ETFPERUD PE</t>
  </si>
  <si>
    <t>UXYH3</t>
  </si>
  <si>
    <t>COLTES 9 ¼ 05/28/42 Corp</t>
  </si>
  <si>
    <t>BTPCL 6 01/01/43 Corp</t>
  </si>
  <si>
    <t>CME 24C-CALL</t>
  </si>
  <si>
    <t>CME 25C-CALL</t>
  </si>
  <si>
    <t>BCOLO 4 7/8 10/18/27</t>
  </si>
  <si>
    <t>FOREGCI LX</t>
  </si>
  <si>
    <t>BTPCL 5.8 06/01/24</t>
  </si>
  <si>
    <t>JGB 0.2 09/20/32</t>
  </si>
  <si>
    <t>CAN 2 3/4 09/01/27 Corp</t>
  </si>
  <si>
    <t>CME 27C-CALL</t>
  </si>
  <si>
    <t>T 3 08/15/52 Govt</t>
  </si>
  <si>
    <t>ECOPET 8 ⅞ 01/13/33 Corp</t>
  </si>
  <si>
    <t>BNTNF 10 01/01/33 Corp</t>
  </si>
  <si>
    <t>JGB 0.1 09/20/27 #154 Corp</t>
  </si>
  <si>
    <t>T 4 11/15/52 Govt</t>
  </si>
  <si>
    <t>INDA US</t>
  </si>
  <si>
    <t>CME 28C-CALL</t>
  </si>
  <si>
    <t>COLOM 7 ½ 02/02/34</t>
  </si>
  <si>
    <t>ECOPET 5 7/8 05/28/45</t>
  </si>
  <si>
    <t>CME 29C-CALL</t>
  </si>
  <si>
    <t>EEPPME 4 1/4 18/07/29</t>
  </si>
  <si>
    <t>CME 30C-CALL</t>
  </si>
  <si>
    <t>KWEB US</t>
  </si>
  <si>
    <t>JNK US</t>
  </si>
  <si>
    <t>COLTES 13 ¼ 02/09/33 Corp</t>
  </si>
  <si>
    <t>UXYM3 Comdty</t>
  </si>
  <si>
    <t>CME 31C-CALL</t>
  </si>
  <si>
    <t>USM3 Comdty</t>
  </si>
  <si>
    <t>CME 32C-PUT</t>
  </si>
  <si>
    <t>CME 22C-PUT</t>
  </si>
  <si>
    <t>TII 1 ½ 02/15/53 Govt</t>
  </si>
  <si>
    <t>FVM3 Comdty</t>
  </si>
  <si>
    <t>CME 32C-CALL</t>
  </si>
  <si>
    <t>BBVASM 5 ⅞ 09/13/34</t>
  </si>
  <si>
    <t>MBONO 7 ½ 05/26/33 Corp</t>
  </si>
  <si>
    <t>ACGB 4 ½ 04/21/33 Corp</t>
  </si>
  <si>
    <t>CME 23C-PUT</t>
  </si>
  <si>
    <t>CME 34C-PUT</t>
  </si>
  <si>
    <t>JGB 1 03/20/62 #15 Corp</t>
  </si>
  <si>
    <t>CME 24C-PUT</t>
  </si>
  <si>
    <t>CME 35C-PUT</t>
  </si>
  <si>
    <t>CME 36C-CALL</t>
  </si>
  <si>
    <t>UKT 0 ½ 10/22/61 Corp</t>
  </si>
  <si>
    <t>CME 38C-CALL</t>
  </si>
  <si>
    <t>CME 37C-CALL</t>
  </si>
  <si>
    <t>FVU3 Comdty</t>
  </si>
  <si>
    <t>UXYU3 Comdty</t>
  </si>
  <si>
    <t>Venta Alts</t>
  </si>
  <si>
    <t>PEP01000C5I0</t>
  </si>
  <si>
    <t>CME 39C-CALL</t>
  </si>
  <si>
    <t>CME 40C-CALL</t>
  </si>
  <si>
    <t>CME 41C-CALL</t>
  </si>
  <si>
    <t>PERU 7.3 08/12/33 Corp</t>
  </si>
  <si>
    <t>T 3 ⅝ 05/15/53 Govt</t>
  </si>
  <si>
    <t>CME 42C-CALL</t>
  </si>
  <si>
    <t>BBVASM 8.45 06/29/38 Corp</t>
  </si>
  <si>
    <t>ACGB 1 ¾ 06/21/51 Corp</t>
  </si>
  <si>
    <t>CME 43C-CALL</t>
  </si>
  <si>
    <t>JGB 0.1 06/20/28 #159 Corp</t>
  </si>
  <si>
    <t>CME 44C-CALL</t>
  </si>
  <si>
    <t>CME 45C-CALL</t>
  </si>
  <si>
    <t>VEMBIUA ID</t>
  </si>
  <si>
    <t>UKT 3 ¾ 10/22/53 Corp</t>
  </si>
  <si>
    <t>OPA Alicorp 07/08/2023</t>
  </si>
  <si>
    <t>T 3 ⅞ 05/15/43 Govt</t>
  </si>
  <si>
    <t>MLATHY1 ID</t>
  </si>
  <si>
    <t>MBONO 7 3/4 11/23/34</t>
  </si>
  <si>
    <t>VEMBIPU ID</t>
  </si>
  <si>
    <t>CME 46C-CALL</t>
  </si>
  <si>
    <t>WNU3</t>
  </si>
  <si>
    <t>BTPCL 6 04/01/33</t>
  </si>
  <si>
    <t>T 4 1/8 08/15/53 Govt</t>
  </si>
  <si>
    <t>ACGB 3 11/21/33 Corp</t>
  </si>
  <si>
    <t>UXYZ3</t>
  </si>
  <si>
    <t>WNZ3</t>
  </si>
  <si>
    <t>EWZS US</t>
  </si>
  <si>
    <t>CME 47C-CALL</t>
  </si>
  <si>
    <t>HNTOIL 8.55 09/18/33 Corp</t>
  </si>
  <si>
    <t>SILAPE 9 ⅛ 09/21/33 Corp</t>
  </si>
  <si>
    <t>T 3 7/8 08/15/33 Govt</t>
  </si>
  <si>
    <t>SCISCAC LX</t>
  </si>
  <si>
    <t>CME 48C-CALL</t>
  </si>
  <si>
    <t>COLOM2061</t>
  </si>
  <si>
    <t>CME 49C-CALL</t>
  </si>
  <si>
    <t>EEPPME 7 5/8 09/10/24</t>
  </si>
  <si>
    <t>BANORT 7.50 PER</t>
  </si>
  <si>
    <t>FALN US</t>
  </si>
  <si>
    <t>TII 1 ⅜ 07/15/33 Govt</t>
  </si>
  <si>
    <t>STIP US</t>
  </si>
  <si>
    <t>CME 50C-CALL</t>
  </si>
  <si>
    <t>COLOM 8 11/14/35 Corp</t>
  </si>
  <si>
    <t>COLOM 8 ¾ 11/14/53 Corp</t>
  </si>
  <si>
    <t>CME 51C-CALL</t>
  </si>
  <si>
    <t>CSP AEN1</t>
  </si>
  <si>
    <t>CME 52C-CALL</t>
  </si>
  <si>
    <t>JP1103721PA1</t>
  </si>
  <si>
    <t>FVH4</t>
  </si>
  <si>
    <t>WNH4</t>
  </si>
  <si>
    <t>MBONO 8 07/31/53 Corp</t>
  </si>
  <si>
    <t xml:space="preserve">AT1 LN </t>
  </si>
  <si>
    <t>XHE US</t>
  </si>
  <si>
    <t>CME 53C-CALL</t>
  </si>
  <si>
    <t>MEX 6 05/07/36</t>
  </si>
  <si>
    <t>BCP110129</t>
  </si>
  <si>
    <t>PBW US</t>
  </si>
  <si>
    <t xml:space="preserve">BINTPE 7 5/8 01/16/2034 </t>
  </si>
  <si>
    <t>ECOPET 8 3/8 01/19/2036</t>
  </si>
  <si>
    <t>BNTNF 10 01/01/35</t>
  </si>
  <si>
    <t>BRAZIL 6 1/8 03/15/34</t>
  </si>
  <si>
    <t>CME 54C-CALL</t>
  </si>
  <si>
    <t>CME 34C-CALL</t>
  </si>
  <si>
    <t>COLTES2050</t>
  </si>
  <si>
    <t>COLTES 7 1/4 10/18/34</t>
  </si>
  <si>
    <t>CME 35C-CALL</t>
  </si>
  <si>
    <t>BEBEFIE LX</t>
  </si>
  <si>
    <t>FVM4 Comdty</t>
  </si>
  <si>
    <t>WNM4 Comdty</t>
  </si>
  <si>
    <t>BCOCPE 6.2 06/07/34</t>
  </si>
  <si>
    <t>SOXX US</t>
  </si>
  <si>
    <t>T 4 ½ 11/15/33 Govt</t>
  </si>
  <si>
    <t>T 4 ¼ 02/15/54 Govt</t>
  </si>
  <si>
    <t>AUNA US</t>
  </si>
  <si>
    <t>ECSCP2CP1H</t>
  </si>
  <si>
    <t>EFECT2CD1F</t>
  </si>
  <si>
    <t>ACGB 4 3/4 06/21/54</t>
  </si>
  <si>
    <t>UKT 0 ¼ 07/31/31 Corp</t>
  </si>
  <si>
    <t>OPA EDEGELC1 07/05/24</t>
  </si>
  <si>
    <t>BTPCL 7 05/01/34 Corp</t>
  </si>
  <si>
    <t>IPCHAC1</t>
  </si>
  <si>
    <t>IPCHBC1</t>
  </si>
  <si>
    <t>EWN US</t>
  </si>
  <si>
    <t>MEX 5  3/4  10/12/110</t>
  </si>
  <si>
    <t>FVU4 Comdty</t>
  </si>
  <si>
    <t>WNU4 Comdty</t>
  </si>
  <si>
    <t>MBONO 8 ½ 03/01/29 Corp</t>
  </si>
  <si>
    <t>BCOLO 5/8 12/24/34 Corp</t>
  </si>
  <si>
    <t>SB12AGO39</t>
  </si>
  <si>
    <t>EDV US</t>
  </si>
  <si>
    <t>COLTES 11 ½ 07/25/46 Corp</t>
  </si>
  <si>
    <t>CME 55C-CALL</t>
  </si>
  <si>
    <t>CME 56C-CALL</t>
  </si>
  <si>
    <t>CME 57C-CALL</t>
  </si>
  <si>
    <t>CME 58C-CALL</t>
  </si>
  <si>
    <t>CME 59C-CALL</t>
  </si>
  <si>
    <t>TII 2 1/8 02/15/54 Govt</t>
  </si>
  <si>
    <t>CME 60C-CALL</t>
  </si>
  <si>
    <t>CME 61C-CALL</t>
  </si>
  <si>
    <t xml:space="preserve">PIMINIA ID </t>
  </si>
  <si>
    <t>PRIMX1BC3A</t>
  </si>
  <si>
    <t>QQQM US</t>
  </si>
  <si>
    <t>WNZ4 Comdty</t>
  </si>
  <si>
    <t>BCP 5.8 03/10/35 Corp</t>
  </si>
  <si>
    <t>FVZ4 Comdty</t>
  </si>
  <si>
    <t>HSBCIIC LX</t>
  </si>
  <si>
    <t>CSPAENZA</t>
  </si>
  <si>
    <t>BBVASM 8 1/8 01/08/39 Corp</t>
  </si>
  <si>
    <t>UKT 4 ¼ 07/31/34 Corp</t>
  </si>
  <si>
    <t>ACGB 3 ¾ 05/21/34 Corp</t>
  </si>
  <si>
    <t>LFMEOBE LN</t>
  </si>
  <si>
    <t>PRIMX2BC2A</t>
  </si>
  <si>
    <t>US91282CKQ32</t>
  </si>
  <si>
    <t>GB00B4ZM1M76</t>
  </si>
  <si>
    <t>GB0006063233</t>
  </si>
  <si>
    <t>CL0002948207</t>
  </si>
  <si>
    <t>CL0002686989</t>
  </si>
  <si>
    <t>IE00BF4NG566</t>
  </si>
  <si>
    <t>DE000A0Q4R85</t>
  </si>
  <si>
    <t>KBWB US</t>
  </si>
  <si>
    <t>CME 62C-CALL</t>
  </si>
  <si>
    <t>RSP US</t>
  </si>
  <si>
    <t>OPA PLUZENC1 21/11/24</t>
  </si>
  <si>
    <t>US912810TV08</t>
  </si>
  <si>
    <t>US91282CKD29</t>
  </si>
  <si>
    <t>AUDHYBI LX</t>
  </si>
  <si>
    <t>SMH US - Semiconductors</t>
  </si>
  <si>
    <t>BANORT 8 3/8 PERP</t>
  </si>
  <si>
    <t>GSINDAI LX</t>
  </si>
  <si>
    <t>COLTES 6 1/4 07/09/36</t>
  </si>
  <si>
    <t>ECOPET32</t>
  </si>
  <si>
    <t>BINTPE 6.397 04/30/35 Corp</t>
  </si>
  <si>
    <t>IGV US</t>
  </si>
  <si>
    <t>BUENAV 6.8 02/04/32 Corp</t>
  </si>
  <si>
    <t>SXGFIUS LX</t>
  </si>
  <si>
    <t>US912810TL26</t>
  </si>
  <si>
    <t>FVM5 Comdty</t>
  </si>
  <si>
    <t>UXYM5 Comdty</t>
  </si>
  <si>
    <t>EQT - Infrastructure VI</t>
  </si>
  <si>
    <t>InfraVia European Fund VI</t>
  </si>
  <si>
    <t>CME 65C-CALL</t>
  </si>
  <si>
    <t>CME 63C-CALL</t>
  </si>
  <si>
    <t>CME 64C-CALL</t>
  </si>
  <si>
    <t>IEI US - iShares 3-7 Year Treasury Bond</t>
  </si>
  <si>
    <t>CME 66C-CALL</t>
  </si>
  <si>
    <t>CME 67C-CALL</t>
  </si>
  <si>
    <t>CME 68C-CALL</t>
  </si>
  <si>
    <t>CME 69C-CALL</t>
  </si>
  <si>
    <t>CME 70C-CALL</t>
  </si>
  <si>
    <t>CME 71C-CALL</t>
  </si>
  <si>
    <t>CME 72C-CALL</t>
  </si>
  <si>
    <t>CME 73C-CALL</t>
  </si>
  <si>
    <t>CME 74C-CALL</t>
  </si>
  <si>
    <t>CME 75C-CALL</t>
  </si>
  <si>
    <t>CME 76C-CALL</t>
  </si>
  <si>
    <t>CME 77C-CALL</t>
  </si>
  <si>
    <t>CME 78C-CALL</t>
  </si>
  <si>
    <t>CME 79C-CALL</t>
  </si>
  <si>
    <t>CME 80C-CALL</t>
  </si>
  <si>
    <t>CME 81C-CALL</t>
  </si>
  <si>
    <t>CME 82C-CALL</t>
  </si>
  <si>
    <t>CME 83C-CALL</t>
  </si>
  <si>
    <t>CME 84C-CALL</t>
  </si>
  <si>
    <t>CME 85C-CALL</t>
  </si>
  <si>
    <t>CME 86C-CALL</t>
  </si>
  <si>
    <t>CME 87C-CALL</t>
  </si>
  <si>
    <t>CME 88C-CALL</t>
  </si>
  <si>
    <t>CME 89C-CALL</t>
  </si>
  <si>
    <t>CME 90C-CALL</t>
  </si>
  <si>
    <t>CME 91C-CALL</t>
  </si>
  <si>
    <t>CME 92C-CALL</t>
  </si>
  <si>
    <t>CME 93C-CALL</t>
  </si>
  <si>
    <t>CME 94C-CALL</t>
  </si>
  <si>
    <t>CME 95C-CALL</t>
  </si>
  <si>
    <t>CME 96C-CALL</t>
  </si>
  <si>
    <t>CME 97C-CALL</t>
  </si>
  <si>
    <t>CME 98C-CALL</t>
  </si>
  <si>
    <t>CME 99C-CALL</t>
  </si>
  <si>
    <t>NEXA 6.6 04/08/37 Corp</t>
  </si>
  <si>
    <t>IHYG US</t>
  </si>
  <si>
    <t>COLOM 8 1/2 25/04/35 Corp</t>
  </si>
  <si>
    <t>HNTOIL 7 ¾ 11/05/38 Corp</t>
  </si>
  <si>
    <t>BCP 6.45 07/30/35 Corp</t>
  </si>
  <si>
    <t>ARIESQE LX</t>
  </si>
  <si>
    <t>T 4 ⅝ 02/15/55 Govt</t>
  </si>
  <si>
    <t>SMIN US</t>
  </si>
  <si>
    <t>DAPP US</t>
  </si>
  <si>
    <t>AIRR US</t>
  </si>
  <si>
    <t>SB12AGO35</t>
  </si>
  <si>
    <t>T 4 ¼ 05/15/35 Govt</t>
  </si>
  <si>
    <t>ALIPE 7.4 06/16/32 Corp</t>
  </si>
  <si>
    <t>HOC LN</t>
  </si>
  <si>
    <t>LNTEDYS LN</t>
  </si>
  <si>
    <t>CME 63C-PUT</t>
  </si>
  <si>
    <t>BCICI 7 ½ PERP Corp</t>
  </si>
  <si>
    <t>DXJ US</t>
  </si>
  <si>
    <t>NBCUI2D ID</t>
  </si>
  <si>
    <t>DAVIVI2035</t>
  </si>
  <si>
    <t>BBVASM 2035</t>
  </si>
  <si>
    <t>COLTES 11 ¾ 01/24/35 Corp</t>
  </si>
  <si>
    <t>MBONO 10 11/20/36</t>
  </si>
  <si>
    <t>HWIUSDS LX - DNCA Alpha Bonds</t>
  </si>
  <si>
    <t>LJSEYIA ID - Japanese Strategic Equity</t>
  </si>
  <si>
    <t>KALLPA 5 ½ 09/11/35</t>
  </si>
  <si>
    <t>FVZ5 Comdty</t>
  </si>
  <si>
    <t>VOVCOIU LX</t>
  </si>
  <si>
    <t>BTPCL 5 03/01/35 Corp</t>
  </si>
  <si>
    <t>ORSAPE 6 ¼ 09/17/32 Corp</t>
  </si>
  <si>
    <t>COLOM 5 ⅝ 02/19/36 Corp</t>
  </si>
  <si>
    <t>ESZ5 Comdty</t>
  </si>
  <si>
    <t>OPA Unacem 23/09/2025</t>
  </si>
  <si>
    <t>HBM</t>
  </si>
  <si>
    <t>LUZSUR 6 ¾ 10/09/32 Corp</t>
  </si>
  <si>
    <t>URA US</t>
  </si>
  <si>
    <t>INROCT32</t>
  </si>
  <si>
    <t>INRSHM 5.65 10/16/2032</t>
  </si>
  <si>
    <t>NUTRESA 9 05/12/35</t>
  </si>
  <si>
    <t>AREIIBA LX</t>
  </si>
  <si>
    <t>ARGT US</t>
  </si>
  <si>
    <t>SIL US</t>
  </si>
  <si>
    <t>JPJFKIA LX</t>
  </si>
  <si>
    <t>WNH6 Comdty</t>
  </si>
  <si>
    <t>FVH6 Comdty</t>
  </si>
  <si>
    <t>ESH6 Comdty</t>
  </si>
  <si>
    <t>NQH6 Comdty</t>
  </si>
  <si>
    <t>PLUZ7BC4A</t>
  </si>
  <si>
    <t xml:space="preserve">SAGB 8 ⅞ 02/28/35 #2035 Corp </t>
  </si>
  <si>
    <t>MARSAC 5 ¾ 01/22/36 Corp</t>
  </si>
  <si>
    <t>JGB 3.1 03/20/65 #18</t>
  </si>
  <si>
    <t>SAGB 8 ¾ 02/28/48 #2048 Corp</t>
  </si>
  <si>
    <t>QGRW US</t>
  </si>
  <si>
    <t>SCHEMCA LX</t>
  </si>
  <si>
    <t>CIBR US</t>
  </si>
  <si>
    <t>WNM6</t>
  </si>
  <si>
    <t>FVM6</t>
  </si>
  <si>
    <t>BNTNF 10 01/01/37 Corp</t>
  </si>
  <si>
    <t>UXYM6</t>
  </si>
  <si>
    <t>RUTW US 3/19/2026 P2410</t>
  </si>
  <si>
    <t>RUTW US 3/23/2026 P2400</t>
  </si>
  <si>
    <t>RUTW US 3/19/2026 P2450</t>
  </si>
  <si>
    <t>RUTW US 3/23/2026 P2280</t>
  </si>
  <si>
    <t>ESM6</t>
  </si>
  <si>
    <t>SPXW US 03/27/26 P7000</t>
  </si>
  <si>
    <t>SPXW US 04/02/26 P6350</t>
  </si>
  <si>
    <t>SPXW US 03/27/26 P6300</t>
  </si>
  <si>
    <t>SPXW US 03/27/26 P6400</t>
  </si>
  <si>
    <t>SPXW US 04/02/26 P6200</t>
  </si>
  <si>
    <t>SPXW US 04/02/26 P7100</t>
  </si>
  <si>
    <t>SPXW US 03/27/26 P7150</t>
  </si>
  <si>
    <t>SPXW US 04/02/26 P6250</t>
  </si>
  <si>
    <t>SPXW US 04/02/26 P6400</t>
  </si>
  <si>
    <t>SPXW US 04/10/26 P6300</t>
  </si>
  <si>
    <t>SPXW US 04/10/26 P6100</t>
  </si>
  <si>
    <t>SPXW US 03/31/26 P7000</t>
  </si>
  <si>
    <t>COLOM 7 3/8 09/18/37</t>
  </si>
  <si>
    <t>MEX 6 3/4 09/27/34</t>
  </si>
  <si>
    <t>MEX 4 ¾ 03/08/44</t>
  </si>
  <si>
    <t>SPXW US 04/08/26 C6000</t>
  </si>
  <si>
    <t>SPXW US 04/17/26 C6900</t>
  </si>
  <si>
    <t>SPXW US 04/17/26 C6750</t>
  </si>
  <si>
    <t>SPXW US 04/10/26 C6670</t>
  </si>
  <si>
    <t>SPXW US 04/10/26 C6750</t>
  </si>
  <si>
    <t>SPXW US 04/10/26 P6400</t>
  </si>
  <si>
    <t>SPXW US 04/09/26 C6100</t>
  </si>
  <si>
    <t>SPXW US 04/13/26 P6720</t>
  </si>
  <si>
    <t>SPXW US 04/13/26 C6820</t>
  </si>
  <si>
    <t>SPXW US 04/10/26 P7300</t>
  </si>
  <si>
    <t>SPXW US 04/20/26 C6040</t>
  </si>
  <si>
    <t>SPXW US 04/20/26 C6100</t>
  </si>
  <si>
    <t>SPXW US 04/20/26 C6160</t>
  </si>
  <si>
    <t>SPXW US 04/20/26 P6600</t>
  </si>
  <si>
    <t>SPXW US 04/20/26 P6700</t>
  </si>
  <si>
    <t>SPXW US 04/20/26 C6900</t>
  </si>
  <si>
    <t>SPXW US 04/20/26 C7000</t>
  </si>
  <si>
    <t>SPXW US 04/21/26 C6170</t>
  </si>
  <si>
    <t>SPXW US 04/21/26 P7500</t>
  </si>
  <si>
    <t>SPXW US 04/21/26 C6000</t>
  </si>
  <si>
    <t>SPXW US 04/24/26 C7150</t>
  </si>
  <si>
    <t>SPXW US 05/15/26 C7350</t>
  </si>
  <si>
    <t>SPXW US 04/24/26 C7250</t>
  </si>
  <si>
    <t>SPXW US 05/15/26 C7150</t>
  </si>
  <si>
    <t>SPXW US 04/24/26 C6000</t>
  </si>
  <si>
    <t>AFMEI2A LX</t>
  </si>
  <si>
    <t>SPXW US 04/21/26 P7030</t>
  </si>
  <si>
    <t>SPXW US 04/21/26 P7080</t>
  </si>
  <si>
    <t>RUTW US 04/24/26 C2400</t>
  </si>
  <si>
    <t>RUTW US 05/15/26 C2780</t>
  </si>
  <si>
    <t>RUTW US 05/01/26 C2900</t>
  </si>
  <si>
    <t>RUTW US 05/01/26 C2800</t>
  </si>
  <si>
    <t>CUMHOLC1</t>
  </si>
  <si>
    <t>RUTW US 04/28/26 C2340</t>
  </si>
  <si>
    <t>RUTW US 04/29/26 C2350</t>
  </si>
  <si>
    <t>RUTW US 04/29/26 P3100</t>
  </si>
  <si>
    <t>RUTW US 05/01/26 P3100</t>
  </si>
  <si>
    <t>RUTW US 05/04/26 P2760</t>
  </si>
  <si>
    <t>RUTW US 05/01/26 P2770</t>
  </si>
  <si>
    <t>RUTW US 05/01/26 P2670</t>
  </si>
  <si>
    <t>RUTW US 05/01/26 C2450</t>
  </si>
  <si>
    <t>GRID US</t>
  </si>
  <si>
    <t xml:space="preserve"> RUTW US 05/11/26 P2780 </t>
  </si>
  <si>
    <t xml:space="preserve"> RUTW US 05/08/26 P2750 </t>
  </si>
  <si>
    <t xml:space="preserve"> RUTW US 05/08/26 P2650 </t>
  </si>
  <si>
    <t>RUTW US 05/06/26 C2400</t>
  </si>
  <si>
    <t>SPXW US 05/08/26 C7270</t>
  </si>
  <si>
    <t>SPXW US 05/08/26 P7265</t>
  </si>
  <si>
    <t>SPXW US 05/08/26 C6500</t>
  </si>
  <si>
    <t>SPXW US 05/22/26 C7500</t>
  </si>
  <si>
    <t>SPXW US 05/22/26 C7475</t>
  </si>
  <si>
    <t>SPXW US 05/22/26 C7400</t>
  </si>
  <si>
    <t>SPXW US 05/22/26 C7375</t>
  </si>
  <si>
    <t>SPXW US 05/11/26 C7400</t>
  </si>
  <si>
    <t>SPXW US 05/11/26 C7375</t>
  </si>
  <si>
    <t>SPXW US 05/11/26 P7250</t>
  </si>
  <si>
    <t>SPXW US 05/11/26 P7200</t>
  </si>
  <si>
    <t>SPXW US 05/08/26 P8000</t>
  </si>
  <si>
    <t>RUTW US 05/15/26 C2770</t>
  </si>
  <si>
    <t>RUTW US 05/14/26 C3000</t>
  </si>
  <si>
    <t>RUTW US 05/14/26 C2850</t>
  </si>
  <si>
    <t>RUTW US 05/11/26 C2600</t>
  </si>
  <si>
    <t>RUTW US 05/29/26 C2900</t>
  </si>
  <si>
    <t>RUTW US 05/22/26 C2950</t>
  </si>
  <si>
    <t>RUTW US 05/22/26 C2890</t>
  </si>
  <si>
    <t>RUTW US 05/20/26 C2500</t>
  </si>
  <si>
    <t>RUTW US 05/21/26 C2820</t>
  </si>
  <si>
    <t>RUTW US 05/20/26 C2860</t>
  </si>
  <si>
    <t>RUTW US 05/20/26 C2810</t>
  </si>
  <si>
    <t>SPXW US 05/29/26 C7475</t>
  </si>
  <si>
    <t>SPXW US 05/29/26 P7470</t>
  </si>
  <si>
    <t>DTCR US</t>
  </si>
  <si>
    <t>SPXW US 06/05/26 C7700</t>
  </si>
  <si>
    <t>SPXW US 06/03/26 C7580</t>
  </si>
  <si>
    <t>SPXW US 06/03/26 C7650</t>
  </si>
  <si>
    <t>SPXW US 06/05/26 C7580</t>
  </si>
  <si>
    <t>BESCIIE LX</t>
  </si>
  <si>
    <t>SPXW US 06/05/26 C6800</t>
  </si>
  <si>
    <t>SPXW US 06/10/26 C7700</t>
  </si>
  <si>
    <t>SPXW US 06/08/26 C7575</t>
  </si>
  <si>
    <t>SPXW US 06/08/26 C7675</t>
  </si>
  <si>
    <t>SPXW US 06/10/26 C7575</t>
  </si>
  <si>
    <t>SOXX US 08/21/26 C710</t>
  </si>
  <si>
    <t>SOXX US 08/21/26 C610</t>
  </si>
  <si>
    <t>SOXX US 08/21/26 P500</t>
  </si>
  <si>
    <t>SOXX US 08/21/26 P600</t>
  </si>
  <si>
    <t>SPXW US 06/12/26 C7400</t>
  </si>
  <si>
    <t>SPXW US 06/10/26 C7525</t>
  </si>
  <si>
    <t>SPXW US 06/10/26 C7400</t>
  </si>
  <si>
    <t>SPXW US 06/12/26 C7550</t>
  </si>
  <si>
    <t>SPXW US 06/08/26 C6600</t>
  </si>
  <si>
    <t>RUTW US 06/12/26 P2840</t>
  </si>
  <si>
    <t>RUTW US 06/09/26 P2775</t>
  </si>
  <si>
    <t>RUTW US 06/09/26 P2825</t>
  </si>
  <si>
    <t>RUTW US 06/09/26 C2600</t>
  </si>
  <si>
    <t>RUTW US 06/10/26 C2600</t>
  </si>
  <si>
    <t>RUTW US 06/10/26 P2800</t>
  </si>
  <si>
    <t>RUTW US 06/10/26 P2725</t>
  </si>
  <si>
    <t>RUTW US 06/12/26 P2815</t>
  </si>
  <si>
    <t>RUTW US 06/11/26 C2500</t>
  </si>
  <si>
    <t>RUTW US 06/11/26 P2775</t>
  </si>
  <si>
    <t>RUTW US 06/11/26 P2725</t>
  </si>
  <si>
    <t>RUTW US 06/15/26 P2800</t>
  </si>
  <si>
    <t>BRAZIL 6 1/4 05/22/36 Corp</t>
  </si>
  <si>
    <t>Und-SPX</t>
  </si>
  <si>
    <t xml:space="preserve"> SPXW US 06/15/26 C7370 </t>
  </si>
  <si>
    <t xml:space="preserve"> SPXW US 06/15/26 P7360 </t>
  </si>
  <si>
    <t>SPXW US 06/17/26 C7550</t>
  </si>
  <si>
    <t>SPXW US 06/16/26 C7420</t>
  </si>
  <si>
    <t>SPXW US 06/16/26 C7500</t>
  </si>
  <si>
    <t>SPXW US 06/17/26 C7430</t>
  </si>
  <si>
    <t>SPXW US 06/17/26 P7425</t>
  </si>
  <si>
    <t>SPXW US 06/16/26 P7550</t>
  </si>
  <si>
    <t>SPXW US 06/16/26 P7475</t>
  </si>
  <si>
    <t>SPXW US 06/17/26 P7550</t>
  </si>
  <si>
    <t>SPXW US 06/18/26 C7640</t>
  </si>
  <si>
    <t>SPXW US 06/17/26 C7515</t>
  </si>
  <si>
    <t>SPXW US 06/17/26 C7580</t>
  </si>
  <si>
    <t>SPXW US 06/18/26 C7515</t>
  </si>
  <si>
    <t>COLOM 7 3/4 11/07/36</t>
  </si>
  <si>
    <t>BANORT 8 PERP Corp</t>
  </si>
  <si>
    <t>BANORT 8.45 PERP Corp</t>
  </si>
  <si>
    <t>PAVE US</t>
  </si>
  <si>
    <t>RUTW US 06/29/26 C3050</t>
  </si>
  <si>
    <t>RUTW US 06/26/26 C3100</t>
  </si>
  <si>
    <t>RUTW US 06/26/26 C3050</t>
  </si>
  <si>
    <t>RUTW US 06/26/26 P3300</t>
  </si>
  <si>
    <t>SPXW US 06/29/26 C7355</t>
  </si>
  <si>
    <t>SPXW US 07/02/26 C7500</t>
  </si>
  <si>
    <t>SPXW US 07/02/26 C7360</t>
  </si>
  <si>
    <t>SPXW US 06/29/26 C7425</t>
  </si>
  <si>
    <t>SPXW US 07/17/26 C7525</t>
  </si>
  <si>
    <t>SPXW US 07/06/26 C7650</t>
  </si>
  <si>
    <t>SPXW US 07/06/26 C7520</t>
  </si>
  <si>
    <t>SPXW US 07/17/26 C7655</t>
  </si>
  <si>
    <t>SPXW US 07/06/26 C7500</t>
  </si>
  <si>
    <t>SPXW US 07/10/26 C7600</t>
  </si>
  <si>
    <t>SPXW US 07/06/26 C7625</t>
  </si>
  <si>
    <t>SPXW US 07/10/26 C7500</t>
  </si>
  <si>
    <t>FVU6</t>
  </si>
  <si>
    <t>SPXW US 07/06/26 C7460</t>
  </si>
  <si>
    <t>SPXW US 07/10/26 C7570</t>
  </si>
  <si>
    <t>SPXW US 07/06/26 C7550</t>
  </si>
  <si>
    <t>SPXW US 07/10/26 C7465</t>
  </si>
  <si>
    <t>SPXW US 07/10/26 P8200</t>
  </si>
  <si>
    <t>WEATSUA LX</t>
  </si>
  <si>
    <t>SPXW US 07/13/26 C7540</t>
  </si>
  <si>
    <t>SPXW US 07/16/26 C7675</t>
  </si>
  <si>
    <t>SPXW US 07/16/26 C7535</t>
  </si>
  <si>
    <t>SPXW US 07/13/26 C7630</t>
  </si>
  <si>
    <t>EWY US 08/07/26 P145</t>
  </si>
  <si>
    <t>EWY US 01/15/27 P160</t>
  </si>
  <si>
    <t>EWY US 08/07/26 C235</t>
  </si>
  <si>
    <t>EWY US 01/15/27 C265</t>
  </si>
  <si>
    <t>EWY US 08/07/26 P160</t>
  </si>
  <si>
    <t>EWY US 08/07/26 C220</t>
  </si>
  <si>
    <t>SPXW US 07/15/26 C7540</t>
  </si>
  <si>
    <t>SPXW US 07/20/26 C7600</t>
  </si>
  <si>
    <t>SPXW US 07/20/26 C7510</t>
  </si>
  <si>
    <t>SPXW US 07/15/26 C7610</t>
  </si>
  <si>
    <t>SPXW US 07/20/26 C7585</t>
  </si>
  <si>
    <t>SPXW US 07/24/26 C7655</t>
  </si>
  <si>
    <t>SPXW US 07/24/26 C7550</t>
  </si>
  <si>
    <t>SPXW US 07/20/26 C7680</t>
  </si>
  <si>
    <t>ALIC2DBC1A</t>
  </si>
  <si>
    <t>RUTW US 07/27/26 C3000</t>
  </si>
  <si>
    <t>RUTW US 07/21/26 C3070</t>
  </si>
  <si>
    <t>RUTW US 07/21/26 P3300</t>
  </si>
  <si>
    <t>RUTW US 07/21/26 C2990</t>
  </si>
  <si>
    <t>KSTR US</t>
  </si>
  <si>
    <t>SPXW US 07/22/26 C7510</t>
  </si>
  <si>
    <t>SPXW US 07/24/26 C7650</t>
  </si>
  <si>
    <t>SPXW US 07/24/26 C7510</t>
  </si>
  <si>
    <t>SPXW US 07/22/26 C7600</t>
  </si>
  <si>
    <t>SPXW US 07/27/26 C7410</t>
  </si>
  <si>
    <t>SPXW US 07/31/26 C7580</t>
  </si>
  <si>
    <t>SPXW US 07/31/26 C7400</t>
  </si>
  <si>
    <t>SPXW US 07/27/26 C7490</t>
  </si>
  <si>
    <t>PSI US</t>
  </si>
  <si>
    <t>EWY US 08/21/26 C165</t>
  </si>
  <si>
    <t>EWY US 08/21/26 C180</t>
  </si>
  <si>
    <t>EWY US 08/21/26 C176</t>
  </si>
  <si>
    <t>EWY US 08/21/26 C185</t>
  </si>
  <si>
    <t>EWY US 10/16/26 P135</t>
  </si>
  <si>
    <t>EWY US 10/16/26 C240</t>
  </si>
  <si>
    <t>EWY US 10/16/26 P160</t>
  </si>
  <si>
    <t>EWY US 10/16/26 C220</t>
  </si>
  <si>
    <t>SOXX US 02/19/27 P470</t>
  </si>
  <si>
    <t>SOXX US 02/19/27 C650</t>
  </si>
  <si>
    <t>SOXX US 02/19/27 P510</t>
  </si>
  <si>
    <t>SOXX US 02/19/27 C610</t>
  </si>
  <si>
    <t>EWY US 08/28/26 C135</t>
  </si>
  <si>
    <t>SOXX US 10/16/26 C600</t>
  </si>
  <si>
    <t>SOXX US 08/28/26 C630</t>
  </si>
  <si>
    <t>SOXX US 08/28/26 C600</t>
  </si>
  <si>
    <t>SOXX US 10/16/26 C630</t>
  </si>
  <si>
    <t>Moneda</t>
  </si>
  <si>
    <t>NSOL</t>
  </si>
  <si>
    <t>CAD</t>
  </si>
  <si>
    <t>BRL</t>
  </si>
  <si>
    <t>RUB</t>
  </si>
  <si>
    <t>CLP</t>
  </si>
  <si>
    <t>COP</t>
  </si>
  <si>
    <t>DOL</t>
  </si>
  <si>
    <t>EUR</t>
  </si>
  <si>
    <t>GBP</t>
  </si>
  <si>
    <t>JPY</t>
  </si>
  <si>
    <t>AUD</t>
  </si>
  <si>
    <t>TRY</t>
  </si>
  <si>
    <t>NOK</t>
  </si>
  <si>
    <t>CNH</t>
  </si>
  <si>
    <t>ZAR</t>
  </si>
  <si>
    <t>MXN</t>
  </si>
  <si>
    <t>VAC</t>
  </si>
  <si>
    <t>USD</t>
  </si>
  <si>
    <t>SINONIMO</t>
  </si>
  <si>
    <t>CAJ</t>
  </si>
  <si>
    <t>DPZ</t>
  </si>
  <si>
    <t>CDBCR</t>
  </si>
  <si>
    <t>BGC</t>
  </si>
  <si>
    <t>TEX</t>
  </si>
  <si>
    <t>BEX</t>
  </si>
  <si>
    <t>OSX</t>
  </si>
  <si>
    <t>BSF</t>
  </si>
  <si>
    <t>BEP</t>
  </si>
  <si>
    <t>OSF</t>
  </si>
  <si>
    <t>TCDC</t>
  </si>
  <si>
    <t>ACC</t>
  </si>
  <si>
    <t>ACT</t>
  </si>
  <si>
    <t>ADR</t>
  </si>
  <si>
    <t>ACX</t>
  </si>
  <si>
    <t>TCDP</t>
  </si>
  <si>
    <t>FIV</t>
  </si>
  <si>
    <t>FMX</t>
  </si>
  <si>
    <t>FIAX</t>
  </si>
  <si>
    <t>ETF PE</t>
  </si>
  <si>
    <t>TDEMEX</t>
  </si>
  <si>
    <t>TDCE</t>
  </si>
  <si>
    <t>GDN</t>
  </si>
  <si>
    <t>OBSF</t>
  </si>
  <si>
    <t>FIT</t>
  </si>
  <si>
    <t>CPT</t>
  </si>
  <si>
    <t>BNP</t>
  </si>
  <si>
    <t>AEX</t>
  </si>
  <si>
    <t>FUT</t>
  </si>
  <si>
    <t>BAF</t>
  </si>
  <si>
    <t>CDLP</t>
  </si>
  <si>
    <t>GOBC</t>
  </si>
  <si>
    <t>CSP</t>
  </si>
  <si>
    <t>BCEML</t>
  </si>
  <si>
    <t>CPAA</t>
  </si>
  <si>
    <t>CSP EXT</t>
  </si>
  <si>
    <t>VRA</t>
  </si>
  <si>
    <t>PCOM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</si>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</sst>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14" fontId="2" fillId="0" borderId="0" xfId="0" applyNumberFormat="1" applyFont="1"/>
    <xf numFmtId="0" fontId="0" fillId="2" borderId="0" xfId="0" applyFill="1"/>
    <xf numFmtId="0" fontId="2" fillId="3" borderId="1" xfId="0" applyFont="1" applyFill="1" applyBorder="1"/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2" xfId="0" applyFont="1" applyFill="1" applyBorder="1"/>
    <xf numFmtId="0" fontId="2" fillId="5" borderId="0" xfId="0" applyFont="1" applyFill="1"/>
    <xf numFmtId="0" fontId="2" fillId="0" borderId="0" xfId="0" applyFont="1"/>
    <xf numFmtId="11" fontId="2" fillId="0" borderId="0" xfId="0" applyNumberFormat="1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quotePrefix="1" applyFont="1"/>
    <xf numFmtId="43" fontId="2" fillId="0" borderId="0" xfId="1" applyFont="1" applyBorder="1"/>
    <xf numFmtId="0" fontId="5" fillId="0" borderId="0" xfId="0" applyFont="1"/>
    <xf numFmtId="11" fontId="0" fillId="0" borderId="0" xfId="0" applyNumberFormat="1"/>
    <xf numFmtId="0" fontId="2" fillId="3" borderId="3" xfId="0" applyFont="1" applyFill="1" applyBorder="1"/>
    <xf numFmtId="0" fontId="2" fillId="0" borderId="4" xfId="0" applyFont="1" applyBorder="1"/>
    <xf numFmtId="0" fontId="2" fillId="4" borderId="4" xfId="0" applyFont="1" applyFill="1" applyBorder="1" applyAlignment="1">
      <alignment horizontal="center"/>
    </xf>
    <xf numFmtId="0" fontId="2" fillId="0" borderId="3" xfId="0" applyFont="1" applyBorder="1"/>
    <xf numFmtId="0" fontId="2" fillId="2" borderId="3" xfId="0" applyFont="1" applyFill="1" applyBorder="1"/>
    <xf numFmtId="0" fontId="1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/>
    <xf numFmtId="0" fontId="2" fillId="4" borderId="4" xfId="0" applyFont="1" applyFill="1" applyBorder="1"/>
    <xf numFmtId="0" fontId="2" fillId="2" borderId="4" xfId="0" applyFont="1" applyFill="1" applyBorder="1"/>
    <xf numFmtId="0" fontId="2" fillId="0" borderId="0" xfId="0" applyFont="1" applyAlignment="1">
      <alignment horizontal="center"/>
    </xf>
    <xf numFmtId="43" fontId="2" fillId="0" borderId="0" xfId="1" applyFont="1" applyFill="1" applyBorder="1"/>
    <xf numFmtId="0" fontId="2" fillId="3" borderId="5" xfId="0" applyFont="1" applyFill="1" applyBorder="1"/>
    <xf numFmtId="0" fontId="2" fillId="0" borderId="6" xfId="0" applyFont="1" applyBorder="1"/>
    <xf numFmtId="0" fontId="2" fillId="4" borderId="6" xfId="0" applyFont="1" applyFill="1" applyBorder="1"/>
    <xf numFmtId="0" fontId="2" fillId="0" borderId="5" xfId="0" applyFont="1" applyBorder="1"/>
    <xf numFmtId="0" fontId="2" fillId="2" borderId="5" xfId="0" applyFont="1" applyFill="1" applyBorder="1"/>
    <xf numFmtId="0" fontId="3" fillId="0" borderId="0" xfId="0" applyFont="1"/>
    <xf numFmtId="14" fontId="2" fillId="2" borderId="0" xfId="0" applyNumberFormat="1" applyFont="1" applyFill="1"/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Normal 23" xfId="2" xr:uid="{7914BF50-37FE-4929-AE77-29C9B7E469CE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Benchmarking\Cuadre_VB_IN.xlsm" TargetMode="External"/><Relationship Id="rId1" Type="http://schemas.openxmlformats.org/officeDocument/2006/relationships/externalLinkPath" Target="file:///Z:\Benchmarking\Cuadre_VB_I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DatosExt"/>
      <sheetName val="Lim"/>
      <sheetName val="EstRV"/>
      <sheetName val="EstRF"/>
      <sheetName val="SOB"/>
      <sheetName val="Sim_AA"/>
      <sheetName val="CuadM"/>
      <sheetName val="IndExp"/>
      <sheetName val="EstMon"/>
      <sheetName val="IN_Mon"/>
      <sheetName val="DatClas"/>
      <sheetName val="Cartera"/>
      <sheetName val="Vector"/>
      <sheetName val="Pat_Int"/>
      <sheetName val="FWD"/>
      <sheetName val="Opciones"/>
      <sheetName val="Futuros"/>
      <sheetName val="TC"/>
      <sheetName val="RetTC"/>
      <sheetName val="DataHist"/>
      <sheetName val="Caja Bancos"/>
      <sheetName val="CXCP"/>
      <sheetName val="ResSob"/>
    </sheetNames>
    <sheetDataSet>
      <sheetData sheetId="0">
        <row r="2">
          <cell r="C2">
            <v>46241</v>
          </cell>
        </row>
      </sheetData>
      <sheetData sheetId="1"/>
      <sheetData sheetId="2">
        <row r="6">
          <cell r="AA6" t="str">
            <v>IN-FONDO1</v>
          </cell>
        </row>
      </sheetData>
      <sheetData sheetId="3">
        <row r="6">
          <cell r="AD6" t="str">
            <v>IN-FONDO1</v>
          </cell>
        </row>
      </sheetData>
      <sheetData sheetId="4"/>
      <sheetData sheetId="5"/>
      <sheetData sheetId="6">
        <row r="6">
          <cell r="CJ6" t="str">
            <v>HA-FONDO1</v>
          </cell>
        </row>
      </sheetData>
      <sheetData sheetId="7">
        <row r="1">
          <cell r="J1" t="str">
            <v>Update</v>
          </cell>
        </row>
      </sheetData>
      <sheetData sheetId="8"/>
      <sheetData sheetId="9">
        <row r="6">
          <cell r="AQ6" t="str">
            <v>IN-FONDO1</v>
          </cell>
          <cell r="AR6" t="str">
            <v>IN-FONDO2</v>
          </cell>
          <cell r="AS6" t="str">
            <v>IN-FONDO3</v>
          </cell>
          <cell r="AT6" t="str">
            <v>IN-FONDO1</v>
          </cell>
          <cell r="AU6" t="str">
            <v>IN-FONDO2</v>
          </cell>
          <cell r="AV6" t="str">
            <v>IN-FONDO3</v>
          </cell>
          <cell r="AZ6" t="str">
            <v>CPC</v>
          </cell>
          <cell r="BA6"/>
          <cell r="BB6"/>
          <cell r="BJ6"/>
          <cell r="BK6"/>
          <cell r="BL6"/>
          <cell r="BT6"/>
          <cell r="BU6"/>
          <cell r="BV6"/>
          <cell r="CD6" t="str">
            <v>CUENTAS POR PAGAR</v>
          </cell>
          <cell r="CE6" t="str">
            <v>CPP</v>
          </cell>
          <cell r="CJ6" t="str">
            <v>Cuadre</v>
          </cell>
          <cell r="CK6">
            <v>1.3411045074462891E-7</v>
          </cell>
          <cell r="CL6">
            <v>-1.0728836059570313E-6</v>
          </cell>
          <cell r="CM6"/>
        </row>
        <row r="7">
          <cell r="AP7" t="str">
            <v>CAJ_NSOL</v>
          </cell>
          <cell r="AQ7">
            <v>4280296</v>
          </cell>
          <cell r="AR7">
            <v>114215967.74999999</v>
          </cell>
          <cell r="AS7">
            <v>2623701.9500000002</v>
          </cell>
          <cell r="AT7">
            <v>4280296</v>
          </cell>
          <cell r="AU7">
            <v>114215967.74999999</v>
          </cell>
          <cell r="AV7">
            <v>2623701.9500000002</v>
          </cell>
        </row>
        <row r="8">
          <cell r="AP8" t="str">
            <v>CAJ_DOL</v>
          </cell>
          <cell r="AQ8">
            <v>2321511.7799999998</v>
          </cell>
          <cell r="AR8">
            <v>13645615.66</v>
          </cell>
          <cell r="AS8">
            <v>4095897.77</v>
          </cell>
          <cell r="AT8">
            <v>7840673.8857720001</v>
          </cell>
          <cell r="AU8">
            <v>46086702.330084004</v>
          </cell>
          <cell r="AV8">
            <v>13833485.128398001</v>
          </cell>
        </row>
        <row r="9">
          <cell r="AP9" t="str">
            <v>CAJ_COP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</row>
        <row r="10">
          <cell r="AP10" t="str">
            <v>CAJ_EUR</v>
          </cell>
          <cell r="AQ10">
            <v>1990.6699999690297</v>
          </cell>
          <cell r="AR10">
            <v>79102.149999988469</v>
          </cell>
          <cell r="AS10">
            <v>1482.1399999278212</v>
          </cell>
          <cell r="AT10">
            <v>7777.5005110000002</v>
          </cell>
          <cell r="AU10">
            <v>309050.22532899998</v>
          </cell>
          <cell r="AV10">
            <v>5790.685853</v>
          </cell>
        </row>
        <row r="11">
          <cell r="AP11" t="str">
            <v>CAJ_JPY</v>
          </cell>
          <cell r="AQ11">
            <v>1100</v>
          </cell>
          <cell r="AR11">
            <v>1000</v>
          </cell>
          <cell r="AS11">
            <v>1100</v>
          </cell>
          <cell r="AT11">
            <v>23.591149999999999</v>
          </cell>
          <cell r="AU11">
            <v>21.4465</v>
          </cell>
          <cell r="AV11">
            <v>23.591149999999999</v>
          </cell>
        </row>
        <row r="12">
          <cell r="AP12" t="str">
            <v>CAJ_CAD</v>
          </cell>
          <cell r="AQ12">
            <v>1000.0000000000001</v>
          </cell>
          <cell r="AR12">
            <v>1018.770000138289</v>
          </cell>
          <cell r="AS12">
            <v>1000.0000000000001</v>
          </cell>
          <cell r="AT12">
            <v>2422.4645</v>
          </cell>
          <cell r="AU12">
            <v>2467.9341589999999</v>
          </cell>
          <cell r="AV12">
            <v>2422.4645</v>
          </cell>
        </row>
        <row r="13">
          <cell r="AP13" t="str">
            <v>CAJ_CLP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</row>
        <row r="14">
          <cell r="AP14" t="str">
            <v>CAJ_MXN</v>
          </cell>
          <cell r="AQ14">
            <v>499.99000044645396</v>
          </cell>
          <cell r="AR14">
            <v>1000</v>
          </cell>
          <cell r="AS14">
            <v>1000</v>
          </cell>
          <cell r="AT14">
            <v>98.552429000000004</v>
          </cell>
          <cell r="AU14">
            <v>197.1088</v>
          </cell>
          <cell r="AV14">
            <v>197.1088</v>
          </cell>
        </row>
        <row r="15">
          <cell r="AP15" t="str">
            <v>CAJ_GBP</v>
          </cell>
          <cell r="AQ15">
            <v>1000</v>
          </cell>
          <cell r="AR15">
            <v>13428.949999950661</v>
          </cell>
          <cell r="AS15">
            <v>3511.7099999989036</v>
          </cell>
          <cell r="AT15">
            <v>4560.1655000000001</v>
          </cell>
          <cell r="AU15">
            <v>61238.234491000003</v>
          </cell>
          <cell r="AV15">
            <v>16013.978788</v>
          </cell>
        </row>
        <row r="16">
          <cell r="AP16" t="str">
            <v>CAJ_RUB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</row>
        <row r="17">
          <cell r="AP17" t="str">
            <v>CAJ_BRL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</row>
        <row r="18">
          <cell r="AP18" t="str">
            <v>CAJ_AUD</v>
          </cell>
          <cell r="AQ18">
            <v>200</v>
          </cell>
          <cell r="AR18">
            <v>200</v>
          </cell>
          <cell r="AS18">
            <v>200</v>
          </cell>
          <cell r="AT18">
            <v>477.767</v>
          </cell>
          <cell r="AU18">
            <v>477.767</v>
          </cell>
          <cell r="AV18">
            <v>477.767</v>
          </cell>
        </row>
        <row r="19">
          <cell r="AP19" t="str">
            <v>CAJ_TRY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</row>
        <row r="20">
          <cell r="AP20" t="str">
            <v>CAJ_ZAR</v>
          </cell>
          <cell r="AQ20">
            <v>300</v>
          </cell>
          <cell r="AR20">
            <v>300</v>
          </cell>
          <cell r="AS20">
            <v>300</v>
          </cell>
          <cell r="AT20">
            <v>62.773829999999997</v>
          </cell>
          <cell r="AU20">
            <v>62.773829999999997</v>
          </cell>
          <cell r="AV20">
            <v>62.773829999999997</v>
          </cell>
        </row>
        <row r="21">
          <cell r="AP21" t="str">
            <v>CAJ_NOK</v>
          </cell>
          <cell r="AQ21">
            <v>199.99999999999997</v>
          </cell>
          <cell r="AR21">
            <v>199.99999999999997</v>
          </cell>
          <cell r="AS21">
            <v>199.99999999999997</v>
          </cell>
          <cell r="AT21">
            <v>71.123379999999997</v>
          </cell>
          <cell r="AU21">
            <v>71.123379999999997</v>
          </cell>
          <cell r="AV21">
            <v>71.123379999999997</v>
          </cell>
        </row>
        <row r="22">
          <cell r="AP22" t="str">
            <v>CAJ_CNH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</row>
        <row r="23">
          <cell r="AP23" t="str">
            <v>CAJ_SEK</v>
          </cell>
          <cell r="AQ23">
            <v>300</v>
          </cell>
          <cell r="AR23">
            <v>300</v>
          </cell>
          <cell r="AS23">
            <v>300</v>
          </cell>
          <cell r="AT23">
            <v>107.0808</v>
          </cell>
          <cell r="AU23">
            <v>107.0808</v>
          </cell>
          <cell r="AV23">
            <v>107.0808</v>
          </cell>
        </row>
        <row r="24">
          <cell r="AP24" t="str">
            <v>CAJ_CHF</v>
          </cell>
          <cell r="AQ24">
            <v>1.0000000955883217</v>
          </cell>
          <cell r="AR24">
            <v>1.0000000955883217</v>
          </cell>
          <cell r="AS24">
            <v>1.0000000955883217</v>
          </cell>
          <cell r="AT24">
            <v>4.1846120000000004</v>
          </cell>
          <cell r="AU24">
            <v>4.1846120000000004</v>
          </cell>
          <cell r="AV24">
            <v>4.1846120000000004</v>
          </cell>
        </row>
        <row r="25">
          <cell r="AP25"/>
          <cell r="AQ25"/>
          <cell r="AR25"/>
          <cell r="AS25"/>
          <cell r="AT25"/>
          <cell r="AU25"/>
          <cell r="AV25"/>
        </row>
        <row r="26">
          <cell r="AP26"/>
          <cell r="AQ26"/>
          <cell r="AR26"/>
          <cell r="AS26"/>
          <cell r="AT26"/>
          <cell r="AU26"/>
          <cell r="AV26"/>
        </row>
        <row r="27">
          <cell r="AP27"/>
          <cell r="AQ27"/>
          <cell r="AR27"/>
          <cell r="AS27"/>
          <cell r="AT27"/>
          <cell r="AU27"/>
          <cell r="AV27"/>
        </row>
        <row r="28">
          <cell r="AP28"/>
          <cell r="AQ28"/>
          <cell r="AR28"/>
          <cell r="AS28"/>
          <cell r="AT28"/>
          <cell r="AU28"/>
          <cell r="AV28"/>
        </row>
        <row r="29">
          <cell r="AP29"/>
          <cell r="AQ29"/>
          <cell r="AR29"/>
          <cell r="AS29"/>
          <cell r="AT29"/>
          <cell r="AU29"/>
          <cell r="AV29"/>
        </row>
        <row r="30">
          <cell r="AP30"/>
          <cell r="AQ30"/>
          <cell r="AR30"/>
          <cell r="AS30"/>
          <cell r="AT30"/>
          <cell r="AU30"/>
          <cell r="AV30"/>
        </row>
        <row r="31">
          <cell r="AP31"/>
          <cell r="AQ31"/>
          <cell r="AR31"/>
          <cell r="AS31"/>
          <cell r="AT31"/>
          <cell r="AU31"/>
          <cell r="AV31"/>
        </row>
        <row r="32">
          <cell r="AP32"/>
          <cell r="AQ32"/>
          <cell r="AR32"/>
          <cell r="AS32"/>
          <cell r="AT32"/>
          <cell r="AU32"/>
          <cell r="AV32"/>
        </row>
        <row r="33">
          <cell r="AP33"/>
          <cell r="AQ33"/>
          <cell r="AR33"/>
          <cell r="AS33"/>
          <cell r="AT33"/>
          <cell r="AU33"/>
          <cell r="AV33"/>
        </row>
        <row r="34">
          <cell r="AP34"/>
          <cell r="AQ34"/>
          <cell r="AR34"/>
          <cell r="AS34"/>
          <cell r="AT34"/>
          <cell r="AU34"/>
          <cell r="AV34"/>
        </row>
        <row r="35">
          <cell r="AP35"/>
          <cell r="AQ35"/>
          <cell r="AR35"/>
          <cell r="AS35"/>
          <cell r="AT35"/>
          <cell r="AU35"/>
          <cell r="AV35"/>
        </row>
        <row r="36">
          <cell r="AP36"/>
          <cell r="AQ36"/>
          <cell r="AR36"/>
          <cell r="AS36"/>
          <cell r="AT36"/>
          <cell r="AU36"/>
          <cell r="AV36"/>
        </row>
        <row r="37">
          <cell r="AP37"/>
          <cell r="AQ37"/>
          <cell r="AR37"/>
          <cell r="AS37"/>
          <cell r="AT37"/>
          <cell r="AU37"/>
          <cell r="AV37"/>
        </row>
        <row r="38">
          <cell r="AP38"/>
          <cell r="AQ38"/>
          <cell r="AR38"/>
          <cell r="AS38"/>
          <cell r="AT38"/>
          <cell r="AU38"/>
          <cell r="AV38"/>
        </row>
        <row r="39">
          <cell r="AP39"/>
          <cell r="AQ39"/>
          <cell r="AR39"/>
          <cell r="AS39"/>
          <cell r="AT39"/>
          <cell r="AU39"/>
          <cell r="AV39"/>
        </row>
        <row r="40">
          <cell r="AP40"/>
          <cell r="AQ40"/>
          <cell r="AR40"/>
          <cell r="AS40"/>
          <cell r="AT40"/>
          <cell r="AU40"/>
          <cell r="AV40"/>
        </row>
        <row r="41">
          <cell r="AP41"/>
          <cell r="AQ41"/>
          <cell r="AR41"/>
          <cell r="AS41"/>
          <cell r="AT41"/>
          <cell r="AU41"/>
          <cell r="AV41"/>
        </row>
        <row r="42">
          <cell r="AP42"/>
          <cell r="AQ42"/>
          <cell r="AR42"/>
          <cell r="AS42"/>
          <cell r="AT42"/>
          <cell r="AU42"/>
          <cell r="AV42"/>
        </row>
        <row r="43">
          <cell r="AP43"/>
          <cell r="AQ43"/>
          <cell r="AR43"/>
          <cell r="AS43"/>
          <cell r="AT43"/>
          <cell r="AU43"/>
          <cell r="AV43"/>
        </row>
        <row r="44">
          <cell r="AP44"/>
          <cell r="AQ44"/>
          <cell r="AR44"/>
          <cell r="AS44"/>
          <cell r="AT44"/>
          <cell r="AU44"/>
          <cell r="AV44"/>
        </row>
        <row r="45">
          <cell r="AP45"/>
          <cell r="AQ45"/>
          <cell r="AR45"/>
          <cell r="AS45"/>
          <cell r="AT45"/>
          <cell r="AU45"/>
          <cell r="AV45"/>
        </row>
        <row r="46">
          <cell r="AP46"/>
          <cell r="AQ46"/>
          <cell r="AR46"/>
          <cell r="AS46"/>
          <cell r="AT46"/>
          <cell r="AU46"/>
          <cell r="AV46"/>
        </row>
        <row r="47">
          <cell r="AP47"/>
          <cell r="AQ47"/>
          <cell r="AR47"/>
          <cell r="AS47"/>
          <cell r="AT47"/>
          <cell r="AU47"/>
          <cell r="AV47"/>
        </row>
        <row r="48">
          <cell r="AP48"/>
          <cell r="AQ48"/>
          <cell r="AR48"/>
          <cell r="AS48"/>
          <cell r="AT48"/>
          <cell r="AU48"/>
          <cell r="AV48"/>
        </row>
        <row r="49">
          <cell r="AP49"/>
          <cell r="AQ49"/>
          <cell r="AR49"/>
          <cell r="AS49"/>
          <cell r="AT49"/>
          <cell r="AU49"/>
          <cell r="AV49"/>
        </row>
        <row r="50">
          <cell r="AP50"/>
          <cell r="AQ50"/>
          <cell r="AR50"/>
          <cell r="AS50"/>
          <cell r="AT50"/>
          <cell r="AU50"/>
          <cell r="AV50"/>
        </row>
        <row r="51">
          <cell r="AP51"/>
          <cell r="AQ51"/>
          <cell r="AR51"/>
          <cell r="AS51"/>
          <cell r="AT51"/>
          <cell r="AU51"/>
          <cell r="AV51"/>
        </row>
        <row r="52">
          <cell r="AP52"/>
          <cell r="AQ52"/>
          <cell r="AR52"/>
          <cell r="AS52"/>
          <cell r="AT52"/>
          <cell r="AU52"/>
          <cell r="AV52"/>
        </row>
      </sheetData>
      <sheetData sheetId="10"/>
      <sheetData sheetId="11">
        <row r="1">
          <cell r="I1"/>
          <cell r="J1"/>
          <cell r="R1"/>
        </row>
        <row r="2">
          <cell r="I2"/>
          <cell r="J2"/>
          <cell r="R2" t="str">
            <v>AFP INTEGRA S.A.</v>
          </cell>
        </row>
        <row r="3">
          <cell r="I3"/>
          <cell r="J3"/>
          <cell r="R3"/>
        </row>
        <row r="4">
          <cell r="I4" t="str">
            <v>VALOR_VECTOR_LOCAL</v>
          </cell>
          <cell r="J4" t="str">
            <v>CANTIDAD_ACCIONES</v>
          </cell>
          <cell r="R4" t="str">
            <v>Fondo_SBS</v>
          </cell>
        </row>
        <row r="5">
          <cell r="I5">
            <v>45010496.436360002</v>
          </cell>
          <cell r="J5">
            <v>42700</v>
          </cell>
          <cell r="R5" t="str">
            <v>IN-FONDO1_011000112F55</v>
          </cell>
        </row>
        <row r="6">
          <cell r="I6">
            <v>211809487.986</v>
          </cell>
          <cell r="J6">
            <v>180000</v>
          </cell>
          <cell r="R6" t="str">
            <v>IN-FONDO1_011000112G31</v>
          </cell>
        </row>
        <row r="7">
          <cell r="I7">
            <v>248443910.52020961</v>
          </cell>
          <cell r="J7">
            <v>224956</v>
          </cell>
          <cell r="R7" t="str">
            <v>IN-FONDO1_011000112G32</v>
          </cell>
        </row>
        <row r="8">
          <cell r="I8">
            <v>23009179.715999998</v>
          </cell>
          <cell r="J8">
            <v>20000</v>
          </cell>
          <cell r="R8" t="str">
            <v>IN-FONDO1_011000112G33</v>
          </cell>
        </row>
        <row r="9">
          <cell r="I9">
            <v>273519444.29214001</v>
          </cell>
          <cell r="J9">
            <v>274200</v>
          </cell>
          <cell r="R9" t="str">
            <v>IN-FONDO1_011000112G34</v>
          </cell>
        </row>
        <row r="10">
          <cell r="I10">
            <v>6486553.1100000003</v>
          </cell>
          <cell r="J10">
            <v>6000</v>
          </cell>
          <cell r="R10" t="str">
            <v>IN-FONDO1_011000112G35</v>
          </cell>
        </row>
        <row r="11">
          <cell r="I11">
            <v>339194260.40647322</v>
          </cell>
          <cell r="J11">
            <v>320589</v>
          </cell>
          <cell r="R11" t="str">
            <v>IN-FONDO1_011000112G37</v>
          </cell>
        </row>
        <row r="12">
          <cell r="I12">
            <v>498382283.83232898</v>
          </cell>
          <cell r="J12">
            <v>449081</v>
          </cell>
          <cell r="R12" t="str">
            <v>IN-FONDO1_011000112G39</v>
          </cell>
        </row>
        <row r="13">
          <cell r="I13">
            <v>166045461.954328</v>
          </cell>
          <cell r="J13">
            <v>185020</v>
          </cell>
          <cell r="R13" t="str">
            <v>IN-FONDO1_011000112G40</v>
          </cell>
        </row>
        <row r="14">
          <cell r="I14">
            <v>25029059.2916</v>
          </cell>
          <cell r="J14">
            <v>23000</v>
          </cell>
          <cell r="R14" t="str">
            <v>IN-FONDO2_011000112B29</v>
          </cell>
        </row>
        <row r="15">
          <cell r="I15">
            <v>119114428.50839999</v>
          </cell>
          <cell r="J15">
            <v>113000</v>
          </cell>
          <cell r="R15" t="str">
            <v>IN-FONDO2_011000112F55</v>
          </cell>
        </row>
        <row r="16">
          <cell r="I16">
            <v>282412650.648</v>
          </cell>
          <cell r="J16">
            <v>240000</v>
          </cell>
          <cell r="R16" t="str">
            <v>IN-FONDO2_011000112G31</v>
          </cell>
        </row>
        <row r="17">
          <cell r="I17">
            <v>380253170.25440639</v>
          </cell>
          <cell r="J17">
            <v>344304</v>
          </cell>
          <cell r="R17" t="str">
            <v>IN-FONDO2_011000112G32</v>
          </cell>
        </row>
        <row r="18">
          <cell r="I18">
            <v>971075969.35710657</v>
          </cell>
          <cell r="J18">
            <v>844077</v>
          </cell>
          <cell r="R18" t="str">
            <v>IN-FONDO2_011000112G33</v>
          </cell>
        </row>
        <row r="19">
          <cell r="I19">
            <v>1078881587.4736421</v>
          </cell>
          <cell r="J19">
            <v>1081566</v>
          </cell>
          <cell r="R19" t="str">
            <v>IN-FONDO2_011000112G34</v>
          </cell>
        </row>
        <row r="20">
          <cell r="I20">
            <v>364003738.68949997</v>
          </cell>
          <cell r="J20">
            <v>336700</v>
          </cell>
          <cell r="R20" t="str">
            <v>IN-FONDO2_011000112G35</v>
          </cell>
        </row>
        <row r="21">
          <cell r="I21">
            <v>1597164623.0864904</v>
          </cell>
          <cell r="J21">
            <v>1509558</v>
          </cell>
          <cell r="R21" t="str">
            <v>IN-FONDO2_011000112G37</v>
          </cell>
        </row>
        <row r="22">
          <cell r="I22">
            <v>1365436569.939676</v>
          </cell>
          <cell r="J22">
            <v>1230364</v>
          </cell>
          <cell r="R22" t="str">
            <v>IN-FONDO2_011000112G39</v>
          </cell>
        </row>
        <row r="23">
          <cell r="I23">
            <v>201748556.8247692</v>
          </cell>
          <cell r="J23">
            <v>224803</v>
          </cell>
          <cell r="R23" t="str">
            <v>IN-FONDO2_011000112G40</v>
          </cell>
        </row>
        <row r="24">
          <cell r="I24">
            <v>116464425</v>
          </cell>
          <cell r="J24">
            <v>6020</v>
          </cell>
          <cell r="R24" t="str">
            <v>IN-FONDO1_084006C39505</v>
          </cell>
        </row>
        <row r="25">
          <cell r="I25">
            <v>40262998.633509599</v>
          </cell>
          <cell r="J25">
            <v>12000</v>
          </cell>
          <cell r="R25" t="str">
            <v>IN-FONDO1_08400326CQ19</v>
          </cell>
        </row>
        <row r="26">
          <cell r="I26">
            <v>215293361.71181759</v>
          </cell>
          <cell r="J26">
            <v>402000</v>
          </cell>
          <cell r="R26" t="str">
            <v>IN-FONDO1_0840038TF238</v>
          </cell>
        </row>
        <row r="27">
          <cell r="I27">
            <v>434121941.26906562</v>
          </cell>
          <cell r="J27">
            <v>834000</v>
          </cell>
          <cell r="R27" t="str">
            <v>IN-FONDO1_0840038TF2K7</v>
          </cell>
        </row>
        <row r="28">
          <cell r="I28">
            <v>41237783.213457599</v>
          </cell>
          <cell r="J28">
            <v>77000</v>
          </cell>
          <cell r="R28" t="str">
            <v>IN-FONDO3_0840038TF238</v>
          </cell>
        </row>
        <row r="29">
          <cell r="I29">
            <v>10566518.630834401</v>
          </cell>
          <cell r="J29">
            <v>4000</v>
          </cell>
          <cell r="R29" t="str">
            <v>IN-FONDO1_08400425CU73</v>
          </cell>
        </row>
        <row r="30">
          <cell r="I30">
            <v>5547409.0505612995</v>
          </cell>
          <cell r="J30">
            <v>1500</v>
          </cell>
          <cell r="R30" t="str">
            <v>IN-FONDO1_08400425EP60</v>
          </cell>
        </row>
        <row r="31">
          <cell r="I31">
            <v>258310395.586</v>
          </cell>
          <cell r="J31">
            <v>2315000</v>
          </cell>
          <cell r="R31" t="str">
            <v>IN-FONDO1_084004F04084</v>
          </cell>
        </row>
        <row r="32">
          <cell r="I32">
            <v>38099740.145999998</v>
          </cell>
          <cell r="J32">
            <v>11300</v>
          </cell>
          <cell r="R32" t="str">
            <v>IN-FONDO1_0840052BAZ31</v>
          </cell>
        </row>
        <row r="33">
          <cell r="I33">
            <v>14478812.478</v>
          </cell>
          <cell r="J33">
            <v>4000</v>
          </cell>
          <cell r="R33" t="str">
            <v>IN-FONDO1_0840052QAS75</v>
          </cell>
        </row>
        <row r="34">
          <cell r="I34">
            <v>55183681.024453796</v>
          </cell>
          <cell r="J34">
            <v>8500</v>
          </cell>
          <cell r="R34" t="str">
            <v>IN-FONDO1_0840052QAV05</v>
          </cell>
        </row>
        <row r="35">
          <cell r="I35">
            <v>34040204.810429998</v>
          </cell>
          <cell r="J35">
            <v>6250</v>
          </cell>
          <cell r="R35" t="str">
            <v>IN-FONDO1_0840052QBB32</v>
          </cell>
        </row>
        <row r="36">
          <cell r="I36">
            <v>96415641.3434982</v>
          </cell>
          <cell r="J36">
            <v>4530000</v>
          </cell>
          <cell r="R36" t="str">
            <v>IN-FONDO1_0840059000B2</v>
          </cell>
        </row>
        <row r="37">
          <cell r="I37">
            <v>39844151.659730896</v>
          </cell>
          <cell r="J37">
            <v>2300000</v>
          </cell>
          <cell r="R37" t="str">
            <v>IN-FONDO1_0840059001E4</v>
          </cell>
        </row>
        <row r="38">
          <cell r="I38">
            <v>67076759.267540403</v>
          </cell>
          <cell r="J38">
            <v>298000000</v>
          </cell>
          <cell r="R38" t="str">
            <v>IN-FONDO1_084015T25972</v>
          </cell>
        </row>
        <row r="39">
          <cell r="I39">
            <v>56644976.473032102</v>
          </cell>
          <cell r="J39">
            <v>267000000</v>
          </cell>
          <cell r="R39" t="str">
            <v>IN-FONDO1_084015T96173</v>
          </cell>
        </row>
        <row r="40">
          <cell r="I40">
            <v>98863516.990385696</v>
          </cell>
          <cell r="J40">
            <v>466000000</v>
          </cell>
          <cell r="R40" t="str">
            <v>IN-FONDO2_084015T96173</v>
          </cell>
        </row>
        <row r="41">
          <cell r="I41">
            <v>45107715.622709997</v>
          </cell>
          <cell r="J41">
            <v>11747</v>
          </cell>
          <cell r="R41" t="str">
            <v>IN-FONDO1_1254342KAB22</v>
          </cell>
        </row>
        <row r="42">
          <cell r="I42">
            <v>32639446.905000001</v>
          </cell>
          <cell r="J42">
            <v>8500</v>
          </cell>
          <cell r="R42" t="str">
            <v>IN-FONDO2_1254342KAB22</v>
          </cell>
        </row>
        <row r="43">
          <cell r="I43">
            <v>21994310.593076602</v>
          </cell>
          <cell r="J43">
            <v>6773</v>
          </cell>
          <cell r="R43" t="str">
            <v>IN-FONDO1_1551192KAB72</v>
          </cell>
        </row>
        <row r="44">
          <cell r="I44">
            <v>64655237.519296698</v>
          </cell>
          <cell r="J44">
            <v>18425</v>
          </cell>
          <cell r="R44" t="str">
            <v>IN-FONDO1_1551192MAD04</v>
          </cell>
        </row>
        <row r="45">
          <cell r="I45">
            <v>20521916.550252002</v>
          </cell>
          <cell r="J45">
            <v>6000</v>
          </cell>
          <cell r="R45" t="str">
            <v>IN-FONDO1_1551192MAF51</v>
          </cell>
        </row>
        <row r="46">
          <cell r="I46">
            <v>20597418.847371601</v>
          </cell>
          <cell r="J46">
            <v>6000</v>
          </cell>
          <cell r="R46" t="str">
            <v>IN-FONDO1_1551192MAG35</v>
          </cell>
        </row>
        <row r="47">
          <cell r="I47">
            <v>68347003.551230296</v>
          </cell>
          <cell r="J47">
            <v>21047</v>
          </cell>
          <cell r="R47" t="str">
            <v>IN-FONDO2_1551192KAB72</v>
          </cell>
        </row>
        <row r="48">
          <cell r="I48">
            <v>64111326.430260502</v>
          </cell>
          <cell r="J48">
            <v>18270</v>
          </cell>
          <cell r="R48" t="str">
            <v>IN-FONDO2_1551192MAD04</v>
          </cell>
        </row>
        <row r="49">
          <cell r="I49">
            <v>16342664.436596099</v>
          </cell>
          <cell r="J49">
            <v>4800</v>
          </cell>
          <cell r="R49" t="str">
            <v>IN-FONDO1_15527829AN67</v>
          </cell>
        </row>
        <row r="50">
          <cell r="I50">
            <v>15534072.682062401</v>
          </cell>
          <cell r="J50">
            <v>4200</v>
          </cell>
          <cell r="R50" t="str">
            <v>IN-FONDO1_1552782BAA64</v>
          </cell>
        </row>
        <row r="51">
          <cell r="I51">
            <v>44383586.474368401</v>
          </cell>
          <cell r="J51">
            <v>12300</v>
          </cell>
          <cell r="R51" t="str">
            <v>IN-FONDO1_1552782BAB48</v>
          </cell>
        </row>
        <row r="52">
          <cell r="I52">
            <v>2530649.4649908999</v>
          </cell>
          <cell r="J52">
            <v>700</v>
          </cell>
          <cell r="R52" t="str">
            <v>IN-FONDO1_1552782GAA15</v>
          </cell>
        </row>
        <row r="53">
          <cell r="I53">
            <v>8323385.3527109995</v>
          </cell>
          <cell r="J53">
            <v>2500</v>
          </cell>
          <cell r="R53" t="str">
            <v>IN-FONDO2_15527829AM84</v>
          </cell>
        </row>
        <row r="54">
          <cell r="I54">
            <v>20428330.545745201</v>
          </cell>
          <cell r="J54">
            <v>6000</v>
          </cell>
          <cell r="R54" t="str">
            <v>IN-FONDO2_15527829AN67</v>
          </cell>
        </row>
        <row r="55">
          <cell r="I55">
            <v>24780544.5166234</v>
          </cell>
          <cell r="J55">
            <v>6700</v>
          </cell>
          <cell r="R55" t="str">
            <v>IN-FONDO2_1552782BAA64</v>
          </cell>
        </row>
        <row r="56">
          <cell r="I56">
            <v>41496849.1427022</v>
          </cell>
          <cell r="J56">
            <v>11500</v>
          </cell>
          <cell r="R56" t="str">
            <v>IN-FONDO2_1552782BAB48</v>
          </cell>
        </row>
        <row r="57">
          <cell r="I57">
            <v>4322985.4556448003</v>
          </cell>
          <cell r="J57">
            <v>1350</v>
          </cell>
          <cell r="R57" t="str">
            <v>IN-FONDO1_15528725AC15</v>
          </cell>
        </row>
        <row r="58">
          <cell r="I58">
            <v>3791418.3551729</v>
          </cell>
          <cell r="J58">
            <v>1184</v>
          </cell>
          <cell r="R58" t="str">
            <v>IN-FONDO2_15528725AC15</v>
          </cell>
        </row>
        <row r="59">
          <cell r="I59">
            <v>66180285.288570002</v>
          </cell>
          <cell r="J59">
            <v>18840</v>
          </cell>
          <cell r="R59" t="str">
            <v>IN-FONDO1_15532427PD99</v>
          </cell>
        </row>
        <row r="60">
          <cell r="I60">
            <v>24353923.4557142</v>
          </cell>
          <cell r="J60">
            <v>6933</v>
          </cell>
          <cell r="R60" t="str">
            <v>IN-FONDO2_15532427PD99</v>
          </cell>
        </row>
        <row r="61">
          <cell r="I61">
            <v>25238609.9446094</v>
          </cell>
          <cell r="J61">
            <v>6920</v>
          </cell>
          <cell r="R61" t="str">
            <v>IN-FONDO1_15515123CH47</v>
          </cell>
        </row>
        <row r="62">
          <cell r="I62">
            <v>34298079.7838796</v>
          </cell>
          <cell r="J62">
            <v>9500</v>
          </cell>
          <cell r="R62" t="str">
            <v>IN-FONDO1_1551112LAN29</v>
          </cell>
        </row>
        <row r="63">
          <cell r="I63">
            <v>48659949.402855702</v>
          </cell>
          <cell r="J63">
            <v>13478</v>
          </cell>
          <cell r="R63" t="str">
            <v>IN-FONDO2_1551112LAN29</v>
          </cell>
        </row>
        <row r="64">
          <cell r="I64">
            <v>21711704.530131001</v>
          </cell>
          <cell r="J64">
            <v>18557</v>
          </cell>
          <cell r="R64" t="str">
            <v>IN-FONDO1_182096345816</v>
          </cell>
        </row>
        <row r="65">
          <cell r="I65">
            <v>248138446.06177199</v>
          </cell>
          <cell r="J65">
            <v>212084</v>
          </cell>
          <cell r="R65" t="str">
            <v>IN-FONDO2_182096345816</v>
          </cell>
        </row>
        <row r="66">
          <cell r="I66">
            <v>20765060.116</v>
          </cell>
          <cell r="J66">
            <v>20000</v>
          </cell>
          <cell r="R66" t="str">
            <v>IN-FONDO1_21003811902A</v>
          </cell>
        </row>
        <row r="67">
          <cell r="I67">
            <v>5191265.0290000001</v>
          </cell>
          <cell r="J67">
            <v>5000</v>
          </cell>
          <cell r="R67" t="str">
            <v>IN-FONDO2_21003811902A</v>
          </cell>
        </row>
        <row r="68">
          <cell r="I68">
            <v>4401774.6456917999</v>
          </cell>
          <cell r="J68">
            <v>4251</v>
          </cell>
          <cell r="R68" t="str">
            <v>IN-FONDO2_21001811601A</v>
          </cell>
        </row>
        <row r="69">
          <cell r="I69">
            <v>12620777.5266956</v>
          </cell>
          <cell r="J69">
            <v>3638</v>
          </cell>
          <cell r="R69" t="str">
            <v>IN-FONDO1_2100022V2H78</v>
          </cell>
        </row>
        <row r="70">
          <cell r="I70">
            <v>88099132.845089599</v>
          </cell>
          <cell r="J70">
            <v>25395</v>
          </cell>
          <cell r="R70" t="str">
            <v>IN-FONDO2_2100022V2H78</v>
          </cell>
        </row>
        <row r="71">
          <cell r="I71">
            <v>25958485.320943501</v>
          </cell>
          <cell r="J71">
            <v>7500</v>
          </cell>
          <cell r="R71" t="str">
            <v>IN-FONDO2_2100022V2J35</v>
          </cell>
        </row>
        <row r="72">
          <cell r="I72">
            <v>77927336.445795596</v>
          </cell>
          <cell r="J72">
            <v>22196</v>
          </cell>
          <cell r="R72" t="str">
            <v>IN-FONDO2_21000325AG03</v>
          </cell>
        </row>
        <row r="73">
          <cell r="I73">
            <v>0</v>
          </cell>
          <cell r="J73">
            <v>56108</v>
          </cell>
          <cell r="R73" t="str">
            <v>IN-FONDO1_22211619AA48</v>
          </cell>
        </row>
        <row r="74">
          <cell r="I74">
            <v>0</v>
          </cell>
          <cell r="J74">
            <v>222932</v>
          </cell>
          <cell r="R74" t="str">
            <v>IN-FONDO2_22211619AA48</v>
          </cell>
        </row>
        <row r="75">
          <cell r="I75">
            <v>4842160.6009499999</v>
          </cell>
          <cell r="J75">
            <v>4500</v>
          </cell>
          <cell r="R75" t="str">
            <v>IN-FONDO1_22212511603A</v>
          </cell>
        </row>
        <row r="76">
          <cell r="I76">
            <v>2463676.8472267999</v>
          </cell>
          <cell r="J76">
            <v>788</v>
          </cell>
          <cell r="R76" t="str">
            <v>IN-FONDO1_22212521501A</v>
          </cell>
        </row>
        <row r="77">
          <cell r="I77">
            <v>30128999.294799998</v>
          </cell>
          <cell r="J77">
            <v>28000</v>
          </cell>
          <cell r="R77" t="str">
            <v>IN-FONDO2_22212511603A</v>
          </cell>
        </row>
        <row r="78">
          <cell r="I78">
            <v>6107656.4406000003</v>
          </cell>
          <cell r="J78">
            <v>5500</v>
          </cell>
          <cell r="R78" t="str">
            <v>IN-FONDO1_22582511603A</v>
          </cell>
        </row>
        <row r="79">
          <cell r="I79">
            <v>7481849.3152900003</v>
          </cell>
          <cell r="J79">
            <v>700</v>
          </cell>
          <cell r="R79" t="str">
            <v>IN-FONDO1_22582511802A</v>
          </cell>
        </row>
        <row r="80">
          <cell r="I80">
            <v>19417905.549151201</v>
          </cell>
          <cell r="J80">
            <v>17486</v>
          </cell>
          <cell r="R80" t="str">
            <v>IN-FONDO2_22582511603A</v>
          </cell>
        </row>
        <row r="81">
          <cell r="I81">
            <v>6197855.0524923997</v>
          </cell>
          <cell r="J81">
            <v>12749</v>
          </cell>
          <cell r="R81" t="str">
            <v>IN-FONDO1_22582811701A</v>
          </cell>
        </row>
        <row r="82">
          <cell r="I82">
            <v>26864366.343356799</v>
          </cell>
          <cell r="J82">
            <v>12000</v>
          </cell>
          <cell r="R82" t="str">
            <v>IN-FONDO1_22583521701U</v>
          </cell>
        </row>
        <row r="83">
          <cell r="I83">
            <v>77790601.514516905</v>
          </cell>
          <cell r="J83">
            <v>20997</v>
          </cell>
          <cell r="R83" t="str">
            <v>IN-FONDO1_2258402PAE36</v>
          </cell>
        </row>
        <row r="84">
          <cell r="I84">
            <v>40753279.8332946</v>
          </cell>
          <cell r="J84">
            <v>11000</v>
          </cell>
          <cell r="R84" t="str">
            <v>IN-FONDO2_2258402PAE36</v>
          </cell>
        </row>
        <row r="85">
          <cell r="I85">
            <v>57480515.661063999</v>
          </cell>
          <cell r="J85">
            <v>3470</v>
          </cell>
          <cell r="R85" t="str">
            <v>IN-FONDO1_22584221801U</v>
          </cell>
        </row>
        <row r="86">
          <cell r="I86">
            <v>57480515.661063999</v>
          </cell>
          <cell r="J86">
            <v>3470</v>
          </cell>
          <cell r="R86" t="str">
            <v>IN-FONDO2_22584221801U</v>
          </cell>
        </row>
        <row r="87">
          <cell r="I87">
            <v>1730131.6742819999</v>
          </cell>
          <cell r="J87">
            <v>180</v>
          </cell>
          <cell r="R87" t="str">
            <v>IN-FONDO1_22586511901A</v>
          </cell>
        </row>
        <row r="88">
          <cell r="I88">
            <v>83518040.213799998</v>
          </cell>
          <cell r="J88">
            <v>75800</v>
          </cell>
          <cell r="R88" t="str">
            <v>IN-FONDO1_225917115156</v>
          </cell>
        </row>
        <row r="89">
          <cell r="I89">
            <v>140151645.31920001</v>
          </cell>
          <cell r="J89">
            <v>127200</v>
          </cell>
          <cell r="R89" t="str">
            <v>IN-FONDO2_225917115156</v>
          </cell>
        </row>
        <row r="90">
          <cell r="I90">
            <v>16413473.321699999</v>
          </cell>
          <cell r="J90">
            <v>4900</v>
          </cell>
          <cell r="R90" t="str">
            <v>IN-FONDO1_2259582AAA36</v>
          </cell>
        </row>
        <row r="91">
          <cell r="I91">
            <v>45614048.935500003</v>
          </cell>
          <cell r="J91">
            <v>45000</v>
          </cell>
          <cell r="R91" t="str">
            <v>IN-FONDO1_22201112601A</v>
          </cell>
        </row>
        <row r="92">
          <cell r="I92">
            <v>137978683</v>
          </cell>
          <cell r="J92">
            <v>130700</v>
          </cell>
          <cell r="R92" t="str">
            <v>IN-FONDO1_2220111KEA71</v>
          </cell>
        </row>
        <row r="93">
          <cell r="I93">
            <v>125415972</v>
          </cell>
          <cell r="J93">
            <v>118800</v>
          </cell>
          <cell r="R93" t="str">
            <v>IN-FONDO2_2220111KEA71</v>
          </cell>
        </row>
        <row r="94">
          <cell r="I94">
            <v>47807347.723197199</v>
          </cell>
          <cell r="J94">
            <v>13765</v>
          </cell>
          <cell r="R94" t="str">
            <v>IN-FONDO1_2220082PAB78</v>
          </cell>
        </row>
        <row r="95">
          <cell r="I95">
            <v>39089843.706835002</v>
          </cell>
          <cell r="J95">
            <v>11255</v>
          </cell>
          <cell r="R95" t="str">
            <v>IN-FONDO2_2220082PAB78</v>
          </cell>
        </row>
        <row r="96">
          <cell r="I96">
            <v>4798302.6378870001</v>
          </cell>
          <cell r="J96">
            <v>2833</v>
          </cell>
          <cell r="R96" t="str">
            <v>IN-FONDO1_22230411801A</v>
          </cell>
        </row>
        <row r="97">
          <cell r="I97">
            <v>32556142.079999998</v>
          </cell>
          <cell r="J97">
            <v>192</v>
          </cell>
          <cell r="R97" t="str">
            <v>IN-FONDO1_2223041GAR67</v>
          </cell>
        </row>
        <row r="98">
          <cell r="I98">
            <v>500173.96413600002</v>
          </cell>
          <cell r="J98">
            <v>168</v>
          </cell>
          <cell r="R98" t="str">
            <v>IN-FONDO1_22230430719A</v>
          </cell>
        </row>
        <row r="99">
          <cell r="I99">
            <v>73081756.439999998</v>
          </cell>
          <cell r="J99">
            <v>431</v>
          </cell>
          <cell r="R99" t="str">
            <v>IN-FONDO2_2223041GAR67</v>
          </cell>
        </row>
        <row r="100">
          <cell r="I100">
            <v>1994741.4045899999</v>
          </cell>
          <cell r="J100">
            <v>670</v>
          </cell>
          <cell r="R100" t="str">
            <v>IN-FONDO2_22230430719A</v>
          </cell>
        </row>
        <row r="101">
          <cell r="I101">
            <v>562481.06640000001</v>
          </cell>
          <cell r="J101">
            <v>200</v>
          </cell>
          <cell r="R101" t="str">
            <v>IN-FONDO2_22230430819C</v>
          </cell>
        </row>
        <row r="102">
          <cell r="I102">
            <v>60933857.351999998</v>
          </cell>
          <cell r="J102">
            <v>60000</v>
          </cell>
          <cell r="R102" t="str">
            <v>IN-FONDO1_22203012504A</v>
          </cell>
        </row>
        <row r="103">
          <cell r="I103">
            <v>74634904.558195993</v>
          </cell>
          <cell r="J103">
            <v>21563</v>
          </cell>
          <cell r="R103" t="str">
            <v>IN-FONDO1_22204726AA03</v>
          </cell>
        </row>
        <row r="104">
          <cell r="I104">
            <v>66694800.163793497</v>
          </cell>
          <cell r="J104">
            <v>19269</v>
          </cell>
          <cell r="R104" t="str">
            <v>IN-FONDO2_22204726AA03</v>
          </cell>
        </row>
        <row r="105">
          <cell r="I105">
            <v>117174709.75</v>
          </cell>
          <cell r="J105">
            <v>114100</v>
          </cell>
          <cell r="R105" t="str">
            <v>IN-FONDO1_2220091VAC83</v>
          </cell>
        </row>
        <row r="106">
          <cell r="I106">
            <v>71886325</v>
          </cell>
          <cell r="J106">
            <v>70000</v>
          </cell>
          <cell r="R106" t="str">
            <v>IN-FONDO2_2220091VAC83</v>
          </cell>
        </row>
        <row r="107">
          <cell r="I107">
            <v>15875431.001496</v>
          </cell>
          <cell r="J107">
            <v>1595</v>
          </cell>
          <cell r="R107" t="str">
            <v>IN-FONDO0_23583412501B</v>
          </cell>
        </row>
        <row r="108">
          <cell r="I108">
            <v>35782325.276450798</v>
          </cell>
          <cell r="J108">
            <v>3628</v>
          </cell>
          <cell r="R108" t="str">
            <v>IN-FONDO0_23583412502A</v>
          </cell>
        </row>
        <row r="109">
          <cell r="I109">
            <v>27517950.2136641</v>
          </cell>
          <cell r="J109">
            <v>2819</v>
          </cell>
          <cell r="R109" t="str">
            <v>IN-FONDO0_23583412602B</v>
          </cell>
        </row>
        <row r="110">
          <cell r="I110">
            <v>5640588.9344833</v>
          </cell>
          <cell r="J110">
            <v>581</v>
          </cell>
          <cell r="R110" t="str">
            <v>IN-FONDO0_23583412602C</v>
          </cell>
        </row>
        <row r="111">
          <cell r="I111">
            <v>17822492.779921599</v>
          </cell>
          <cell r="J111">
            <v>1844</v>
          </cell>
          <cell r="R111" t="str">
            <v>IN-FONDO0_23583412603E</v>
          </cell>
        </row>
        <row r="112">
          <cell r="I112">
            <v>33593907.722199999</v>
          </cell>
          <cell r="J112">
            <v>3500</v>
          </cell>
          <cell r="R112" t="str">
            <v>IN-FONDO0_23583412603F</v>
          </cell>
        </row>
        <row r="113">
          <cell r="I113">
            <v>45291877.991770104</v>
          </cell>
          <cell r="J113">
            <v>46667</v>
          </cell>
          <cell r="R113" t="str">
            <v>IN-FONDO0_23203012602A</v>
          </cell>
        </row>
        <row r="114">
          <cell r="I114">
            <v>20991710.5992615</v>
          </cell>
          <cell r="J114">
            <v>21741</v>
          </cell>
          <cell r="R114" t="str">
            <v>IN-FONDO0_23200912601A</v>
          </cell>
        </row>
        <row r="115">
          <cell r="I115">
            <v>13667669.147312099</v>
          </cell>
          <cell r="J115">
            <v>14211</v>
          </cell>
          <cell r="R115" t="str">
            <v>IN-FONDO0_23200912601B</v>
          </cell>
        </row>
        <row r="116">
          <cell r="I116">
            <v>14175669.25788</v>
          </cell>
          <cell r="J116">
            <v>1300</v>
          </cell>
          <cell r="R116" t="str">
            <v>IN-FONDO1_25517212A018</v>
          </cell>
        </row>
        <row r="117">
          <cell r="I117">
            <v>18068862.605579998</v>
          </cell>
          <cell r="J117">
            <v>1800</v>
          </cell>
          <cell r="R117" t="str">
            <v>IN-FONDO1_25517212A026</v>
          </cell>
        </row>
        <row r="118">
          <cell r="I118">
            <v>46888752.160680003</v>
          </cell>
          <cell r="J118">
            <v>4300</v>
          </cell>
          <cell r="R118" t="str">
            <v>IN-FONDO2_25517212A018</v>
          </cell>
        </row>
        <row r="119">
          <cell r="I119">
            <v>12045908.403720001</v>
          </cell>
          <cell r="J119">
            <v>1200</v>
          </cell>
          <cell r="R119" t="str">
            <v>IN-FONDO2_25517212A026</v>
          </cell>
        </row>
        <row r="120">
          <cell r="I120">
            <v>110357137.76897</v>
          </cell>
          <cell r="J120">
            <v>104270</v>
          </cell>
          <cell r="R120" t="str">
            <v>IN-FONDO2_2500021V2F13</v>
          </cell>
        </row>
        <row r="121">
          <cell r="I121">
            <v>36630000</v>
          </cell>
          <cell r="J121">
            <v>3600</v>
          </cell>
          <cell r="R121" t="str">
            <v>IN-FONDO1_25000310A109</v>
          </cell>
        </row>
        <row r="122">
          <cell r="I122">
            <v>55962500</v>
          </cell>
          <cell r="J122">
            <v>5500</v>
          </cell>
          <cell r="R122" t="str">
            <v>IN-FONDO2_25000310A109</v>
          </cell>
        </row>
        <row r="123">
          <cell r="I123">
            <v>63299079.818400003</v>
          </cell>
          <cell r="J123">
            <v>6000</v>
          </cell>
          <cell r="R123" t="str">
            <v>IN-FONDO1_2721171IRSM3</v>
          </cell>
        </row>
        <row r="124">
          <cell r="I124">
            <v>26638367.910500001</v>
          </cell>
          <cell r="J124">
            <v>2500</v>
          </cell>
          <cell r="R124" t="str">
            <v>IN-FONDO2_2721171IRSM1</v>
          </cell>
        </row>
        <row r="125">
          <cell r="I125">
            <v>33549458.499480002</v>
          </cell>
          <cell r="J125">
            <v>3300</v>
          </cell>
          <cell r="R125" t="str">
            <v>IN-FONDO1_2721181IRC1U</v>
          </cell>
        </row>
        <row r="126">
          <cell r="I126">
            <v>129114582.71012001</v>
          </cell>
          <cell r="J126">
            <v>12700</v>
          </cell>
          <cell r="R126" t="str">
            <v>IN-FONDO2_2721181IRC1U</v>
          </cell>
        </row>
        <row r="127">
          <cell r="I127">
            <v>242854.6100212</v>
          </cell>
          <cell r="J127">
            <v>2131</v>
          </cell>
          <cell r="R127" t="str">
            <v>IN-FONDO1_274325395894</v>
          </cell>
        </row>
        <row r="128">
          <cell r="I128">
            <v>157184.637911</v>
          </cell>
          <cell r="J128">
            <v>1379</v>
          </cell>
          <cell r="R128" t="str">
            <v>IN-FONDO1_274325396355</v>
          </cell>
        </row>
        <row r="129">
          <cell r="I129">
            <v>2775220.7711104001</v>
          </cell>
          <cell r="J129">
            <v>24352</v>
          </cell>
          <cell r="R129" t="str">
            <v>IN-FONDO2_274325395894</v>
          </cell>
        </row>
        <row r="130">
          <cell r="I130">
            <v>1795711.9547860001</v>
          </cell>
          <cell r="J130">
            <v>15754</v>
          </cell>
          <cell r="R130" t="str">
            <v>IN-FONDO2_274325396355</v>
          </cell>
        </row>
        <row r="131">
          <cell r="I131">
            <v>23631756.654279999</v>
          </cell>
          <cell r="J131">
            <v>30700</v>
          </cell>
          <cell r="R131" t="str">
            <v>IN-FONDO1_2702011INS3U</v>
          </cell>
        </row>
        <row r="132">
          <cell r="I132">
            <v>17758427.990625001</v>
          </cell>
          <cell r="J132">
            <v>18750</v>
          </cell>
          <cell r="R132" t="str">
            <v>IN-FONDO1_2702011INSC2</v>
          </cell>
        </row>
        <row r="133">
          <cell r="I133">
            <v>52228732.825499997</v>
          </cell>
          <cell r="J133">
            <v>59500</v>
          </cell>
          <cell r="R133" t="str">
            <v>IN-FONDO1_2702011IS11A</v>
          </cell>
        </row>
        <row r="134">
          <cell r="I134">
            <v>41695206.877499998</v>
          </cell>
          <cell r="J134">
            <v>47500</v>
          </cell>
          <cell r="R134" t="str">
            <v>IN-FONDO2_2702011IS11A</v>
          </cell>
        </row>
        <row r="135">
          <cell r="I135">
            <v>25486090.719793499</v>
          </cell>
          <cell r="J135">
            <v>920</v>
          </cell>
          <cell r="R135" t="str">
            <v>IN-FONDO1_2702042CA11U</v>
          </cell>
        </row>
        <row r="136">
          <cell r="I136">
            <v>1385113.6260756999</v>
          </cell>
          <cell r="J136">
            <v>50</v>
          </cell>
          <cell r="R136" t="str">
            <v>IN-FONDO2_2702042CA11U</v>
          </cell>
        </row>
        <row r="137">
          <cell r="I137">
            <v>5537353.4601956997</v>
          </cell>
          <cell r="J137">
            <v>45101</v>
          </cell>
          <cell r="R137" t="str">
            <v>IN-FONDO1_3021012171A1</v>
          </cell>
        </row>
        <row r="138">
          <cell r="I138">
            <v>451858773.03848612</v>
          </cell>
          <cell r="J138">
            <v>3680329</v>
          </cell>
          <cell r="R138" t="str">
            <v>IN-FONDO2_3021012171A1</v>
          </cell>
        </row>
        <row r="139">
          <cell r="I139">
            <v>85344317.477314204</v>
          </cell>
          <cell r="J139">
            <v>695118</v>
          </cell>
          <cell r="R139" t="str">
            <v>IN-FONDO3_3021012171A1</v>
          </cell>
        </row>
        <row r="140">
          <cell r="I140">
            <v>60037237.3313253</v>
          </cell>
          <cell r="J140">
            <v>13938481</v>
          </cell>
          <cell r="R140" t="str">
            <v>IN-FONDO1_302107100001</v>
          </cell>
        </row>
        <row r="141">
          <cell r="I141">
            <v>380587763.04867631</v>
          </cell>
          <cell r="J141">
            <v>88358751</v>
          </cell>
          <cell r="R141" t="str">
            <v>IN-FONDO2_302107100001</v>
          </cell>
        </row>
        <row r="142">
          <cell r="I142">
            <v>92567514.455489397</v>
          </cell>
          <cell r="J142">
            <v>21490838</v>
          </cell>
          <cell r="R142" t="str">
            <v>IN-FONDO3_302107100001</v>
          </cell>
        </row>
        <row r="143">
          <cell r="I143">
            <v>118.9174357</v>
          </cell>
          <cell r="J143">
            <v>67</v>
          </cell>
          <cell r="R143" t="str">
            <v>IN-FONDO1_305923100001</v>
          </cell>
        </row>
        <row r="144">
          <cell r="I144">
            <v>4149518.8836336001</v>
          </cell>
          <cell r="J144">
            <v>30713698</v>
          </cell>
          <cell r="R144" t="str">
            <v>IN-FONDO1_305923100002</v>
          </cell>
        </row>
        <row r="145">
          <cell r="I145">
            <v>832.42204990000005</v>
          </cell>
          <cell r="J145">
            <v>469</v>
          </cell>
          <cell r="R145" t="str">
            <v>IN-FONDO2_305923100001</v>
          </cell>
        </row>
        <row r="146">
          <cell r="I146">
            <v>32408893.779309601</v>
          </cell>
          <cell r="J146">
            <v>239882503</v>
          </cell>
          <cell r="R146" t="str">
            <v>IN-FONDO2_305923100002</v>
          </cell>
        </row>
        <row r="147">
          <cell r="I147">
            <v>823.54761440000004</v>
          </cell>
          <cell r="J147">
            <v>464</v>
          </cell>
          <cell r="R147" t="str">
            <v>IN-FONDO3_305923100001</v>
          </cell>
        </row>
        <row r="148">
          <cell r="I148">
            <v>12495188.6012064</v>
          </cell>
          <cell r="J148">
            <v>92486252</v>
          </cell>
          <cell r="R148" t="str">
            <v>IN-FONDO3_305923100002</v>
          </cell>
        </row>
        <row r="149">
          <cell r="I149">
            <v>583765.26636030001</v>
          </cell>
          <cell r="J149">
            <v>9573171</v>
          </cell>
          <cell r="R149" t="str">
            <v>IN-FONDO1_305962100001</v>
          </cell>
        </row>
        <row r="150">
          <cell r="I150">
            <v>4128999.2621570001</v>
          </cell>
          <cell r="J150">
            <v>67711490</v>
          </cell>
          <cell r="R150" t="str">
            <v>IN-FONDO2_305962100001</v>
          </cell>
        </row>
        <row r="151">
          <cell r="I151">
            <v>6223519.8563356996</v>
          </cell>
          <cell r="J151">
            <v>102059549</v>
          </cell>
          <cell r="R151" t="str">
            <v>IN-FONDO3_305962100001</v>
          </cell>
        </row>
        <row r="152">
          <cell r="I152">
            <v>485394.848925</v>
          </cell>
          <cell r="J152">
            <v>37534</v>
          </cell>
          <cell r="R152" t="str">
            <v>IN-FONDO1_302011100001</v>
          </cell>
        </row>
        <row r="153">
          <cell r="I153">
            <v>82774784.224800006</v>
          </cell>
          <cell r="J153">
            <v>6400704</v>
          </cell>
          <cell r="R153" t="str">
            <v>IN-FONDO2_302011100001</v>
          </cell>
        </row>
        <row r="154">
          <cell r="I154">
            <v>9256306.7369999997</v>
          </cell>
          <cell r="J154">
            <v>715760</v>
          </cell>
          <cell r="R154" t="str">
            <v>IN-FONDO3_302011100001</v>
          </cell>
        </row>
        <row r="155">
          <cell r="I155">
            <v>115396.265</v>
          </cell>
          <cell r="J155">
            <v>1000</v>
          </cell>
          <cell r="R155" t="str">
            <v>IN-FONDO2_302008100002</v>
          </cell>
        </row>
        <row r="156">
          <cell r="I156">
            <v>9378764.4845516998</v>
          </cell>
          <cell r="J156">
            <v>40260</v>
          </cell>
          <cell r="R156" t="str">
            <v>IN-FONDO2_302072200001</v>
          </cell>
        </row>
        <row r="157">
          <cell r="I157">
            <v>7875949.4202143997</v>
          </cell>
          <cell r="J157">
            <v>3763932</v>
          </cell>
          <cell r="R157" t="str">
            <v>IN-FONDO1_302002100001</v>
          </cell>
        </row>
        <row r="158">
          <cell r="I158">
            <v>100743444.7687248</v>
          </cell>
          <cell r="J158">
            <v>48145494</v>
          </cell>
          <cell r="R158" t="str">
            <v>IN-FONDO2_302002100001</v>
          </cell>
        </row>
        <row r="159">
          <cell r="I159">
            <v>10670187.554476799</v>
          </cell>
          <cell r="J159">
            <v>5099304</v>
          </cell>
          <cell r="R159" t="str">
            <v>IN-FONDO3_302002100001</v>
          </cell>
        </row>
        <row r="160">
          <cell r="I160">
            <v>6574524.0780480001</v>
          </cell>
          <cell r="J160">
            <v>2977340</v>
          </cell>
          <cell r="R160" t="str">
            <v>IN-FONDO1_300011100001</v>
          </cell>
        </row>
        <row r="161">
          <cell r="I161">
            <v>58915088.1194112</v>
          </cell>
          <cell r="J161">
            <v>26680296</v>
          </cell>
          <cell r="R161" t="str">
            <v>IN-FONDO2_300011100001</v>
          </cell>
        </row>
        <row r="162">
          <cell r="I162">
            <v>9824527.3744463995</v>
          </cell>
          <cell r="J162">
            <v>4449137</v>
          </cell>
          <cell r="R162" t="str">
            <v>IN-FONDO3_300011100001</v>
          </cell>
        </row>
        <row r="163">
          <cell r="I163">
            <v>26159191.323558498</v>
          </cell>
          <cell r="J163">
            <v>3263495</v>
          </cell>
          <cell r="R163" t="str">
            <v>IN-FONDO1_302051100001</v>
          </cell>
        </row>
        <row r="164">
          <cell r="I164">
            <v>105700472.5057389</v>
          </cell>
          <cell r="J164">
            <v>13186683</v>
          </cell>
          <cell r="R164" t="str">
            <v>IN-FONDO2_302051100001</v>
          </cell>
        </row>
        <row r="165">
          <cell r="I165">
            <v>30162736.043571401</v>
          </cell>
          <cell r="J165">
            <v>3762958</v>
          </cell>
          <cell r="R165" t="str">
            <v>IN-FONDO3_302051100001</v>
          </cell>
        </row>
        <row r="166">
          <cell r="I166">
            <v>18362091.034481999</v>
          </cell>
          <cell r="J166">
            <v>14051</v>
          </cell>
          <cell r="R166" t="str">
            <v>IN-FONDO1_302012200001</v>
          </cell>
        </row>
        <row r="167">
          <cell r="I167">
            <v>1218416413.377228</v>
          </cell>
          <cell r="J167">
            <v>932354</v>
          </cell>
          <cell r="R167" t="str">
            <v>IN-FONDO2_302012200001</v>
          </cell>
        </row>
        <row r="168">
          <cell r="I168">
            <v>217138162.55835599</v>
          </cell>
          <cell r="J168">
            <v>166158</v>
          </cell>
          <cell r="R168" t="str">
            <v>IN-FONDO3_302012200001</v>
          </cell>
        </row>
        <row r="169">
          <cell r="I169">
            <v>16239455.745146999</v>
          </cell>
          <cell r="J169">
            <v>5787330</v>
          </cell>
          <cell r="R169" t="str">
            <v>IN-FONDO1_302032100002</v>
          </cell>
        </row>
        <row r="170">
          <cell r="I170">
            <v>121292010.1616805</v>
          </cell>
          <cell r="J170">
            <v>43225395</v>
          </cell>
          <cell r="R170" t="str">
            <v>IN-FONDO2_302032100002</v>
          </cell>
        </row>
        <row r="171">
          <cell r="I171">
            <v>20979579.949581001</v>
          </cell>
          <cell r="J171">
            <v>7476590</v>
          </cell>
          <cell r="R171" t="str">
            <v>IN-FONDO3_302032100002</v>
          </cell>
        </row>
        <row r="172">
          <cell r="I172">
            <v>2388568.8774530999</v>
          </cell>
          <cell r="J172">
            <v>1782903</v>
          </cell>
          <cell r="R172" t="str">
            <v>IN-FONDO1_302030100001</v>
          </cell>
        </row>
        <row r="173">
          <cell r="I173">
            <v>27943778.612693202</v>
          </cell>
          <cell r="J173">
            <v>20858116</v>
          </cell>
          <cell r="R173" t="str">
            <v>IN-FONDO2_302030100001</v>
          </cell>
        </row>
        <row r="174">
          <cell r="I174">
            <v>1969667.7341094001</v>
          </cell>
          <cell r="J174">
            <v>1470222</v>
          </cell>
          <cell r="R174" t="str">
            <v>IN-FONDO3_302030100001</v>
          </cell>
        </row>
        <row r="175">
          <cell r="I175">
            <v>12145193.473427599</v>
          </cell>
          <cell r="J175">
            <v>2639321</v>
          </cell>
          <cell r="R175" t="str">
            <v>IN-FONDO1_302061100001</v>
          </cell>
        </row>
        <row r="176">
          <cell r="I176">
            <v>190962314.02255961</v>
          </cell>
          <cell r="J176">
            <v>41498791</v>
          </cell>
          <cell r="R176" t="str">
            <v>IN-FONDO2_302061100001</v>
          </cell>
        </row>
        <row r="177">
          <cell r="I177">
            <v>30149042.140436001</v>
          </cell>
          <cell r="J177">
            <v>6551810</v>
          </cell>
          <cell r="R177" t="str">
            <v>IN-FONDO3_302061100001</v>
          </cell>
        </row>
        <row r="178">
          <cell r="I178">
            <v>3935416.6773651</v>
          </cell>
          <cell r="J178">
            <v>9573171</v>
          </cell>
          <cell r="R178" t="str">
            <v>IN-FONDO1_302029100001</v>
          </cell>
        </row>
        <row r="179">
          <cell r="I179">
            <v>27835387.772268999</v>
          </cell>
          <cell r="J179">
            <v>67711490</v>
          </cell>
          <cell r="R179" t="str">
            <v>IN-FONDO2_302029100001</v>
          </cell>
        </row>
        <row r="180">
          <cell r="I180">
            <v>41955466.085266903</v>
          </cell>
          <cell r="J180">
            <v>102059549</v>
          </cell>
          <cell r="R180" t="str">
            <v>IN-FONDO3_302029100001</v>
          </cell>
        </row>
        <row r="181">
          <cell r="I181">
            <v>257535409.923792</v>
          </cell>
          <cell r="J181">
            <v>1293732</v>
          </cell>
          <cell r="R181" t="str">
            <v>IN-FONDO2_300013200002</v>
          </cell>
        </row>
        <row r="182">
          <cell r="I182">
            <v>8620265.5506239999</v>
          </cell>
          <cell r="J182">
            <v>43304</v>
          </cell>
          <cell r="R182" t="str">
            <v>IN-FONDO3_300013200002</v>
          </cell>
        </row>
        <row r="183">
          <cell r="I183">
            <v>35384335.890872397</v>
          </cell>
          <cell r="J183">
            <v>8223876</v>
          </cell>
          <cell r="R183" t="str">
            <v>IN-FONDO1_302845100002</v>
          </cell>
        </row>
        <row r="184">
          <cell r="I184">
            <v>417387588.29838622</v>
          </cell>
          <cell r="J184">
            <v>97007438</v>
          </cell>
          <cell r="R184" t="str">
            <v>IN-FONDO2_302845100002</v>
          </cell>
        </row>
        <row r="185">
          <cell r="I185">
            <v>36676473.085596099</v>
          </cell>
          <cell r="J185">
            <v>8524189</v>
          </cell>
          <cell r="R185" t="str">
            <v>IN-FONDO3_302845100002</v>
          </cell>
        </row>
        <row r="186">
          <cell r="I186">
            <v>131.6661689</v>
          </cell>
          <cell r="J186">
            <v>67</v>
          </cell>
          <cell r="R186" t="str">
            <v>IN-FONDO1_302043100001</v>
          </cell>
        </row>
        <row r="187">
          <cell r="I187">
            <v>6766562.1571199996</v>
          </cell>
          <cell r="J187">
            <v>7699074</v>
          </cell>
          <cell r="R187" t="str">
            <v>IN-FONDO1_302043100002</v>
          </cell>
        </row>
        <row r="188">
          <cell r="I188">
            <v>921.66318230000002</v>
          </cell>
          <cell r="J188">
            <v>469</v>
          </cell>
          <cell r="R188" t="str">
            <v>IN-FONDO2_302043100001</v>
          </cell>
        </row>
        <row r="189">
          <cell r="I189">
            <v>61414154.283359997</v>
          </cell>
          <cell r="J189">
            <v>69877747</v>
          </cell>
          <cell r="R189" t="str">
            <v>IN-FONDO2_302043100002</v>
          </cell>
        </row>
        <row r="190">
          <cell r="I190">
            <v>911.83734879999997</v>
          </cell>
          <cell r="J190">
            <v>464</v>
          </cell>
          <cell r="R190" t="str">
            <v>IN-FONDO3_302043100001</v>
          </cell>
        </row>
        <row r="191">
          <cell r="I191">
            <v>29798460.676320001</v>
          </cell>
          <cell r="J191">
            <v>33905039</v>
          </cell>
          <cell r="R191" t="str">
            <v>IN-FONDO3_302043100002</v>
          </cell>
        </row>
        <row r="192">
          <cell r="I192">
            <v>623302.68000000005</v>
          </cell>
          <cell r="J192">
            <v>1416597</v>
          </cell>
          <cell r="R192" t="str">
            <v>IN-FONDO1_312025100001</v>
          </cell>
        </row>
        <row r="193">
          <cell r="I193">
            <v>1355462.24</v>
          </cell>
          <cell r="J193">
            <v>3080596</v>
          </cell>
          <cell r="R193" t="str">
            <v>IN-FONDO2_312025100001</v>
          </cell>
        </row>
        <row r="194">
          <cell r="I194">
            <v>85814.080000000002</v>
          </cell>
          <cell r="J194">
            <v>195032</v>
          </cell>
          <cell r="R194" t="str">
            <v>IN-FONDO3_312025100001</v>
          </cell>
        </row>
        <row r="195">
          <cell r="I195">
            <v>83618689.965928197</v>
          </cell>
          <cell r="J195">
            <v>11496126</v>
          </cell>
          <cell r="R195" t="str">
            <v>IN-FONDO1_312039100001</v>
          </cell>
        </row>
        <row r="196">
          <cell r="I196">
            <v>1044755346.329874</v>
          </cell>
          <cell r="J196">
            <v>143635820</v>
          </cell>
          <cell r="R196" t="str">
            <v>IN-FONDO2_312039100001</v>
          </cell>
        </row>
        <row r="197">
          <cell r="I197">
            <v>216680250.80937511</v>
          </cell>
          <cell r="J197">
            <v>29789793</v>
          </cell>
          <cell r="R197" t="str">
            <v>IN-FONDO3_312039100001</v>
          </cell>
        </row>
        <row r="198">
          <cell r="I198">
            <v>206.8958605</v>
          </cell>
          <cell r="J198">
            <v>23</v>
          </cell>
          <cell r="R198" t="str">
            <v>IN-FONDO1_3221282L1089</v>
          </cell>
        </row>
        <row r="199">
          <cell r="I199">
            <v>2482.7503264000002</v>
          </cell>
          <cell r="J199">
            <v>276</v>
          </cell>
          <cell r="R199" t="str">
            <v>IN-FONDO2_3221282L1089</v>
          </cell>
        </row>
        <row r="200">
          <cell r="I200">
            <v>1313.3389407</v>
          </cell>
          <cell r="J200">
            <v>146</v>
          </cell>
          <cell r="R200" t="str">
            <v>IN-FONDO3_3221282L1089</v>
          </cell>
        </row>
        <row r="201">
          <cell r="I201">
            <v>53430310.444289997</v>
          </cell>
          <cell r="J201">
            <v>463249</v>
          </cell>
          <cell r="R201" t="str">
            <v>IN-FONDO1_3220082A1040</v>
          </cell>
        </row>
        <row r="202">
          <cell r="I202">
            <v>1269356976.9191999</v>
          </cell>
          <cell r="J202">
            <v>11005520</v>
          </cell>
          <cell r="R202" t="str">
            <v>IN-FONDO2_3220082A1040</v>
          </cell>
        </row>
        <row r="203">
          <cell r="I203">
            <v>215207720.62764001</v>
          </cell>
          <cell r="J203">
            <v>1865884</v>
          </cell>
          <cell r="R203" t="str">
            <v>IN-FONDO3_3220082A1040</v>
          </cell>
        </row>
        <row r="204">
          <cell r="I204">
            <v>73787280.274247199</v>
          </cell>
          <cell r="J204">
            <v>1841996</v>
          </cell>
          <cell r="R204" t="str">
            <v>IN-FONDO2_3220512Q1094</v>
          </cell>
        </row>
        <row r="205">
          <cell r="I205">
            <v>10522721.937963299</v>
          </cell>
          <cell r="J205">
            <v>262685</v>
          </cell>
          <cell r="R205" t="str">
            <v>IN-FONDO3_3220512Q1094</v>
          </cell>
        </row>
        <row r="206">
          <cell r="I206">
            <v>12868501.932</v>
          </cell>
          <cell r="J206">
            <v>138000</v>
          </cell>
          <cell r="R206" t="str">
            <v>IN-FONDO3_345445281022</v>
          </cell>
        </row>
        <row r="207">
          <cell r="I207">
            <v>7452728.7621579003</v>
          </cell>
          <cell r="J207">
            <v>418965</v>
          </cell>
          <cell r="R207" t="str">
            <v>IN-FONDO1_345874294721</v>
          </cell>
        </row>
        <row r="208">
          <cell r="I208">
            <v>137481530.6778903</v>
          </cell>
          <cell r="J208">
            <v>7728706</v>
          </cell>
          <cell r="R208" t="str">
            <v>IN-FONDO2_345874294721</v>
          </cell>
        </row>
        <row r="209">
          <cell r="I209">
            <v>10947478.915681601</v>
          </cell>
          <cell r="J209">
            <v>615427</v>
          </cell>
          <cell r="R209" t="str">
            <v>IN-FONDO3_345874294721</v>
          </cell>
        </row>
        <row r="210">
          <cell r="I210">
            <v>36280508.364359997</v>
          </cell>
          <cell r="J210">
            <v>761854</v>
          </cell>
          <cell r="R210" t="str">
            <v>IN-FONDO2_395833228291</v>
          </cell>
        </row>
        <row r="211">
          <cell r="I211">
            <v>21432365.037719999</v>
          </cell>
          <cell r="J211">
            <v>450058</v>
          </cell>
          <cell r="R211" t="str">
            <v>IN-FONDO3_395833228291</v>
          </cell>
        </row>
        <row r="212">
          <cell r="I212">
            <v>8129847.2980281003</v>
          </cell>
          <cell r="J212">
            <v>349911</v>
          </cell>
          <cell r="R212" t="str">
            <v>IN-FONDO1_3920836W5029</v>
          </cell>
        </row>
        <row r="213">
          <cell r="I213">
            <v>166640784.71535361</v>
          </cell>
          <cell r="J213">
            <v>7172268</v>
          </cell>
          <cell r="R213" t="str">
            <v>IN-FONDO2_3920836W5029</v>
          </cell>
        </row>
        <row r="214">
          <cell r="I214">
            <v>44893817.378372997</v>
          </cell>
          <cell r="J214">
            <v>1932243</v>
          </cell>
          <cell r="R214" t="str">
            <v>IN-FONDO3_3920836W5029</v>
          </cell>
        </row>
        <row r="215">
          <cell r="I215">
            <v>8341235.2382439999</v>
          </cell>
          <cell r="J215">
            <v>7102</v>
          </cell>
          <cell r="R215" t="str">
            <v>IN-FONDO1_431000112G31</v>
          </cell>
        </row>
        <row r="216">
          <cell r="I216">
            <v>34971644.671071999</v>
          </cell>
          <cell r="J216">
            <v>29776</v>
          </cell>
          <cell r="R216" t="str">
            <v>IN-FONDO2_431000112G31</v>
          </cell>
        </row>
        <row r="217">
          <cell r="I217">
            <v>36419095.239172898</v>
          </cell>
          <cell r="J217">
            <v>85.689041099999997</v>
          </cell>
          <cell r="R217" t="str">
            <v>IN-FONDO2_4871412CLPEF</v>
          </cell>
        </row>
        <row r="218">
          <cell r="I218">
            <v>22774780.8941947</v>
          </cell>
          <cell r="J218">
            <v>53.585876399999997</v>
          </cell>
          <cell r="R218" t="str">
            <v>IN-FONDO3_4871412CLPEF</v>
          </cell>
        </row>
        <row r="219">
          <cell r="I219">
            <v>73126092</v>
          </cell>
          <cell r="J219">
            <v>1200</v>
          </cell>
          <cell r="R219" t="str">
            <v>IN-FONDO2_4911141MIND1</v>
          </cell>
        </row>
        <row r="220">
          <cell r="I220">
            <v>18281523</v>
          </cell>
          <cell r="J220">
            <v>300</v>
          </cell>
          <cell r="R220" t="str">
            <v>IN-FONDO3_4911141MIND1</v>
          </cell>
        </row>
        <row r="221">
          <cell r="I221">
            <v>38867848.170414098</v>
          </cell>
          <cell r="J221">
            <v>11238</v>
          </cell>
          <cell r="R221" t="str">
            <v>IN-FONDO1_4974252SCBDC</v>
          </cell>
        </row>
        <row r="222">
          <cell r="I222">
            <v>4669122.1774388999</v>
          </cell>
          <cell r="J222">
            <v>1350</v>
          </cell>
          <cell r="R222" t="str">
            <v>IN-FONDO2_4974252SCBDC</v>
          </cell>
        </row>
        <row r="223">
          <cell r="I223">
            <v>3806196.6291180002</v>
          </cell>
          <cell r="J223">
            <v>139</v>
          </cell>
          <cell r="R223" t="str">
            <v>IN-FONDO2_491105206SI1</v>
          </cell>
        </row>
        <row r="224">
          <cell r="I224">
            <v>6199901.8399999999</v>
          </cell>
          <cell r="J224">
            <v>583</v>
          </cell>
          <cell r="R224" t="str">
            <v>IN-FONDO2_5111141KFIIP</v>
          </cell>
        </row>
        <row r="225">
          <cell r="I225">
            <v>7412873.7247500001</v>
          </cell>
          <cell r="J225">
            <v>125</v>
          </cell>
          <cell r="R225" t="str">
            <v>IN-FONDO2_5111142FFOR1</v>
          </cell>
        </row>
        <row r="226">
          <cell r="I226">
            <v>1552634.08</v>
          </cell>
          <cell r="J226">
            <v>146</v>
          </cell>
          <cell r="R226" t="str">
            <v>IN-FONDO3_5111141KFIIP</v>
          </cell>
        </row>
        <row r="227">
          <cell r="I227">
            <v>1304665.7755559999</v>
          </cell>
          <cell r="J227">
            <v>22</v>
          </cell>
          <cell r="R227" t="str">
            <v>IN-FONDO3_5111142FFOR1</v>
          </cell>
        </row>
        <row r="228">
          <cell r="I228">
            <v>1095075.7404120001</v>
          </cell>
          <cell r="J228">
            <v>4511646</v>
          </cell>
          <cell r="R228" t="str">
            <v>IN-FONDO2_5111181FDVI1</v>
          </cell>
        </row>
        <row r="229">
          <cell r="I229">
            <v>273768.81374200003</v>
          </cell>
          <cell r="J229">
            <v>1127911</v>
          </cell>
          <cell r="R229" t="str">
            <v>IN-FONDO3_5111181FDVI1</v>
          </cell>
        </row>
        <row r="230">
          <cell r="I230">
            <v>66919116.657644697</v>
          </cell>
          <cell r="J230">
            <v>1800</v>
          </cell>
          <cell r="R230" t="str">
            <v>IN-FONDO2_5111302INFAM</v>
          </cell>
        </row>
        <row r="231">
          <cell r="I231">
            <v>14811573.459530599</v>
          </cell>
          <cell r="J231">
            <v>12434068</v>
          </cell>
          <cell r="R231" t="str">
            <v>IN-FONDO2_5111042FINM2</v>
          </cell>
        </row>
        <row r="232">
          <cell r="I232">
            <v>18243680.796155799</v>
          </cell>
          <cell r="J232">
            <v>1878654</v>
          </cell>
          <cell r="R232" t="str">
            <v>IN-FONDO2_5111042INF1U</v>
          </cell>
        </row>
        <row r="233">
          <cell r="I233">
            <v>112618974.75040831</v>
          </cell>
          <cell r="J233">
            <v>26932294</v>
          </cell>
          <cell r="R233" t="str">
            <v>IN-FONDO2_5111042INF2A</v>
          </cell>
        </row>
        <row r="234">
          <cell r="I234">
            <v>4880113.9778305003</v>
          </cell>
          <cell r="J234">
            <v>4096774</v>
          </cell>
          <cell r="R234" t="str">
            <v>IN-FONDO3_5111042FINM2</v>
          </cell>
        </row>
        <row r="235">
          <cell r="I235">
            <v>5257031.6962441001</v>
          </cell>
          <cell r="J235">
            <v>541346</v>
          </cell>
          <cell r="R235" t="str">
            <v>IN-FONDO3_5111042INF1U</v>
          </cell>
        </row>
        <row r="236">
          <cell r="I236">
            <v>12878021.418</v>
          </cell>
          <cell r="J236">
            <v>58540</v>
          </cell>
          <cell r="R236" t="str">
            <v>IN-FONDO2_5111011CCINM</v>
          </cell>
        </row>
        <row r="237">
          <cell r="I237">
            <v>3219505.3544999999</v>
          </cell>
          <cell r="J237">
            <v>14635</v>
          </cell>
          <cell r="R237" t="str">
            <v>IN-FONDO3_5111011CCINM</v>
          </cell>
        </row>
        <row r="238">
          <cell r="I238">
            <v>7214126.4000000004</v>
          </cell>
          <cell r="J238">
            <v>13350000</v>
          </cell>
          <cell r="R238" t="str">
            <v>IN-FONDO2_5111072DES1B</v>
          </cell>
        </row>
        <row r="239">
          <cell r="I239">
            <v>7214126.4000000004</v>
          </cell>
          <cell r="J239">
            <v>13350000</v>
          </cell>
          <cell r="R239" t="str">
            <v>IN-FONDO2_5111072DES2B</v>
          </cell>
        </row>
        <row r="240">
          <cell r="I240">
            <v>16832961.600000001</v>
          </cell>
          <cell r="J240">
            <v>31150000</v>
          </cell>
          <cell r="R240" t="str">
            <v>IN-FONDO3_5111072DES1B</v>
          </cell>
        </row>
        <row r="241">
          <cell r="I241">
            <v>16832961.600000001</v>
          </cell>
          <cell r="J241">
            <v>31150000</v>
          </cell>
          <cell r="R241" t="str">
            <v>IN-FONDO3_5111072DES2B</v>
          </cell>
        </row>
        <row r="242">
          <cell r="I242">
            <v>355.03228799999999</v>
          </cell>
          <cell r="J242">
            <v>24000</v>
          </cell>
          <cell r="R242" t="str">
            <v>IN-FONDO2_5111152FCRET</v>
          </cell>
        </row>
        <row r="243">
          <cell r="I243">
            <v>88.758071999999999</v>
          </cell>
          <cell r="J243">
            <v>6000</v>
          </cell>
          <cell r="R243" t="str">
            <v>IN-FONDO3_5111152FCRET</v>
          </cell>
        </row>
        <row r="244">
          <cell r="I244">
            <v>33295922.055668999</v>
          </cell>
          <cell r="J244">
            <v>17570</v>
          </cell>
          <cell r="R244" t="str">
            <v>IN-FONDO2_5111102FIBR2</v>
          </cell>
        </row>
        <row r="245">
          <cell r="I245">
            <v>111999834.1115596</v>
          </cell>
          <cell r="J245">
            <v>28776</v>
          </cell>
          <cell r="R245" t="str">
            <v>IN-FONDO2_5111102FIBR3</v>
          </cell>
        </row>
        <row r="246">
          <cell r="I246">
            <v>13619680.808997899</v>
          </cell>
          <cell r="J246">
            <v>7187</v>
          </cell>
          <cell r="R246" t="str">
            <v>IN-FONDO3_5111102FIBR2</v>
          </cell>
        </row>
        <row r="247">
          <cell r="I247">
            <v>8467462.0155359991</v>
          </cell>
          <cell r="J247">
            <v>280</v>
          </cell>
          <cell r="R247" t="str">
            <v>IN-FONDO2_5111052INFS1</v>
          </cell>
        </row>
        <row r="248">
          <cell r="I248">
            <v>2116865.5038839998</v>
          </cell>
          <cell r="J248">
            <v>70</v>
          </cell>
          <cell r="R248" t="str">
            <v>IN-FONDO3_5111052INFS1</v>
          </cell>
        </row>
        <row r="249">
          <cell r="I249">
            <v>888.78510080000001</v>
          </cell>
          <cell r="J249">
            <v>1.19</v>
          </cell>
          <cell r="R249" t="str">
            <v>IN-FONDO1_5270432F9263</v>
          </cell>
        </row>
        <row r="250">
          <cell r="I250">
            <v>1336.1651641999999</v>
          </cell>
          <cell r="J250">
            <v>1.7889999999999999</v>
          </cell>
          <cell r="R250" t="str">
            <v>IN-FONDO2_5270432F9263</v>
          </cell>
        </row>
        <row r="251">
          <cell r="I251">
            <v>266771394.68726829</v>
          </cell>
          <cell r="J251">
            <v>500901.81699999998</v>
          </cell>
          <cell r="R251" t="str">
            <v>IN-FONDO1_5270492F2267</v>
          </cell>
        </row>
        <row r="252">
          <cell r="I252">
            <v>1333144.5291995001</v>
          </cell>
          <cell r="J252">
            <v>2164.4189999999999</v>
          </cell>
          <cell r="R252" t="str">
            <v>IN-FONDO1_5270492F3972</v>
          </cell>
        </row>
        <row r="253">
          <cell r="I253">
            <v>1079.5451785</v>
          </cell>
          <cell r="J253">
            <v>1.726</v>
          </cell>
          <cell r="R253" t="str">
            <v>IN-FONDO1_5270492F8979</v>
          </cell>
        </row>
        <row r="254">
          <cell r="I254">
            <v>150437767.68894431</v>
          </cell>
          <cell r="J254">
            <v>282468.63299999997</v>
          </cell>
          <cell r="R254" t="str">
            <v>IN-FONDO2_5270492F2267</v>
          </cell>
        </row>
        <row r="255">
          <cell r="I255">
            <v>1820.0906543999999</v>
          </cell>
          <cell r="J255">
            <v>2.91</v>
          </cell>
          <cell r="R255" t="str">
            <v>IN-FONDO2_5270492F8979</v>
          </cell>
        </row>
        <row r="256">
          <cell r="I256">
            <v>532.58220600000004</v>
          </cell>
          <cell r="J256">
            <v>1</v>
          </cell>
          <cell r="R256" t="str">
            <v>IN-FONDO3_5270492F2267</v>
          </cell>
        </row>
        <row r="257">
          <cell r="I257">
            <v>751.9974962</v>
          </cell>
          <cell r="J257">
            <v>1.7130000000000001</v>
          </cell>
          <cell r="R257" t="str">
            <v>IN-FONDO1_5270512FGKM4</v>
          </cell>
        </row>
        <row r="258">
          <cell r="I258">
            <v>387.08381400000002</v>
          </cell>
          <cell r="J258">
            <v>1</v>
          </cell>
          <cell r="R258" t="str">
            <v>IN-FONDO1_5270512FWZK5</v>
          </cell>
        </row>
        <row r="259">
          <cell r="I259">
            <v>438.99445200000002</v>
          </cell>
          <cell r="J259">
            <v>1</v>
          </cell>
          <cell r="R259" t="str">
            <v>IN-FONDO2_5270512FGKM4</v>
          </cell>
        </row>
        <row r="260">
          <cell r="I260">
            <v>931.04237599999999</v>
          </cell>
          <cell r="J260">
            <v>1.242</v>
          </cell>
          <cell r="R260" t="str">
            <v>IN-FONDO1_5270604F1414</v>
          </cell>
        </row>
        <row r="261">
          <cell r="I261">
            <v>607.14599229999999</v>
          </cell>
          <cell r="J261">
            <v>1.244</v>
          </cell>
          <cell r="R261" t="str">
            <v>IN-FONDO1_5270604F1743</v>
          </cell>
        </row>
        <row r="262">
          <cell r="I262">
            <v>88366604.683380693</v>
          </cell>
          <cell r="J262">
            <v>181057.04</v>
          </cell>
          <cell r="R262" t="str">
            <v>IN-FONDO2_5270604F1743</v>
          </cell>
        </row>
        <row r="263">
          <cell r="I263">
            <v>5841978.6188399997</v>
          </cell>
          <cell r="J263">
            <v>4870</v>
          </cell>
          <cell r="R263" t="str">
            <v>IN-FONDO1_5270882F3974</v>
          </cell>
        </row>
        <row r="264">
          <cell r="I264">
            <v>196975444.589196</v>
          </cell>
          <cell r="J264">
            <v>164203</v>
          </cell>
          <cell r="R264" t="str">
            <v>IN-FONDO2_5270882F3974</v>
          </cell>
        </row>
        <row r="265">
          <cell r="I265">
            <v>49702402.487556003</v>
          </cell>
          <cell r="J265">
            <v>41433</v>
          </cell>
          <cell r="R265" t="str">
            <v>IN-FONDO3_5270882F3974</v>
          </cell>
        </row>
        <row r="266">
          <cell r="I266">
            <v>5051.1883465999999</v>
          </cell>
          <cell r="J266">
            <v>1.214</v>
          </cell>
          <cell r="R266" t="str">
            <v>IN-FONDO2_5270942F9527</v>
          </cell>
        </row>
        <row r="267">
          <cell r="I267">
            <v>4206.5497680999997</v>
          </cell>
          <cell r="J267">
            <v>1.0109999999999999</v>
          </cell>
          <cell r="R267" t="str">
            <v>IN-FONDO3_5270942F9527</v>
          </cell>
        </row>
        <row r="268">
          <cell r="I268">
            <v>15946468.402799999</v>
          </cell>
          <cell r="J268">
            <v>45800</v>
          </cell>
          <cell r="R268" t="str">
            <v>IN-FONDO1_5271112E6731</v>
          </cell>
        </row>
        <row r="269">
          <cell r="I269">
            <v>79599140.735400006</v>
          </cell>
          <cell r="J269">
            <v>141900</v>
          </cell>
          <cell r="R269" t="str">
            <v>IN-FONDO1_5271112E6772</v>
          </cell>
        </row>
        <row r="270">
          <cell r="I270">
            <v>161465928.62400001</v>
          </cell>
          <cell r="J270">
            <v>88000</v>
          </cell>
          <cell r="R270" t="str">
            <v>IN-FONDO1_5271112E7523</v>
          </cell>
        </row>
        <row r="271">
          <cell r="I271">
            <v>222989883.15239999</v>
          </cell>
          <cell r="J271">
            <v>570600</v>
          </cell>
          <cell r="R271" t="str">
            <v>IN-FONDO1_5271112EG102</v>
          </cell>
        </row>
        <row r="272">
          <cell r="I272">
            <v>316526952.51059997</v>
          </cell>
          <cell r="J272">
            <v>909100</v>
          </cell>
          <cell r="R272" t="str">
            <v>IN-FONDO2_5271112E6731</v>
          </cell>
        </row>
        <row r="273">
          <cell r="I273">
            <v>1579473576.9461999</v>
          </cell>
          <cell r="J273">
            <v>2815700</v>
          </cell>
          <cell r="R273" t="str">
            <v>IN-FONDO2_5271112E6772</v>
          </cell>
        </row>
        <row r="274">
          <cell r="I274">
            <v>1495743299.48862</v>
          </cell>
          <cell r="J274">
            <v>815190</v>
          </cell>
          <cell r="R274" t="str">
            <v>IN-FONDO2_5271112E7523</v>
          </cell>
        </row>
        <row r="275">
          <cell r="I275">
            <v>288878586.79680002</v>
          </cell>
          <cell r="J275">
            <v>739200</v>
          </cell>
          <cell r="R275" t="str">
            <v>IN-FONDO2_5271112EG102</v>
          </cell>
        </row>
        <row r="276">
          <cell r="I276">
            <v>56683079.8248</v>
          </cell>
          <cell r="J276">
            <v>162800</v>
          </cell>
          <cell r="R276" t="str">
            <v>IN-FONDO3_5271112E6731</v>
          </cell>
        </row>
        <row r="277">
          <cell r="I277">
            <v>341339514.71100003</v>
          </cell>
          <cell r="J277">
            <v>608500</v>
          </cell>
          <cell r="R277" t="str">
            <v>IN-FONDO3_5271112E6772</v>
          </cell>
        </row>
        <row r="278">
          <cell r="I278">
            <v>248639181.67998001</v>
          </cell>
          <cell r="J278">
            <v>135510</v>
          </cell>
          <cell r="R278" t="str">
            <v>IN-FONDO3_5271112E7523</v>
          </cell>
        </row>
        <row r="279">
          <cell r="I279">
            <v>56939407.597800002</v>
          </cell>
          <cell r="J279">
            <v>145700</v>
          </cell>
          <cell r="R279" t="str">
            <v>IN-FONDO3_5271112EG102</v>
          </cell>
        </row>
        <row r="280">
          <cell r="I280">
            <v>1509.8656567</v>
          </cell>
          <cell r="J280">
            <v>1</v>
          </cell>
          <cell r="R280" t="str">
            <v>IN-FONDO1_5273862FW849</v>
          </cell>
        </row>
        <row r="281">
          <cell r="I281">
            <v>1509.8656567</v>
          </cell>
          <cell r="J281">
            <v>1</v>
          </cell>
          <cell r="R281" t="str">
            <v>IN-FONDO2_5273862FW849</v>
          </cell>
        </row>
        <row r="282">
          <cell r="I282">
            <v>1369.6032479999999</v>
          </cell>
          <cell r="J282">
            <v>1</v>
          </cell>
          <cell r="R282" t="str">
            <v>IN-FONDO1_5273882F4892</v>
          </cell>
        </row>
        <row r="283">
          <cell r="I283">
            <v>645.65755799999999</v>
          </cell>
          <cell r="J283">
            <v>1</v>
          </cell>
          <cell r="R283" t="str">
            <v>IN-FONDO2_5273882F7240</v>
          </cell>
        </row>
        <row r="284">
          <cell r="I284">
            <v>645.65755799999999</v>
          </cell>
          <cell r="J284">
            <v>1</v>
          </cell>
          <cell r="R284" t="str">
            <v>IN-FONDO3_5273882F7240</v>
          </cell>
        </row>
        <row r="285">
          <cell r="I285">
            <v>131400975.79440001</v>
          </cell>
          <cell r="J285">
            <v>374600</v>
          </cell>
          <cell r="R285" t="str">
            <v>IN-FONDO1_5273932EA359</v>
          </cell>
        </row>
        <row r="286">
          <cell r="I286">
            <v>162479797.0848</v>
          </cell>
          <cell r="J286">
            <v>463200</v>
          </cell>
          <cell r="R286" t="str">
            <v>IN-FONDO2_5273932EA359</v>
          </cell>
        </row>
        <row r="287">
          <cell r="I287">
            <v>6594603.1632000003</v>
          </cell>
          <cell r="J287">
            <v>18800</v>
          </cell>
          <cell r="R287" t="str">
            <v>IN-FONDO3_5273932EA359</v>
          </cell>
        </row>
        <row r="288">
          <cell r="I288">
            <v>65352269.6876361</v>
          </cell>
          <cell r="J288">
            <v>656255</v>
          </cell>
          <cell r="R288" t="str">
            <v>IN-FONDO2_5273992F5753</v>
          </cell>
        </row>
        <row r="289">
          <cell r="I289">
            <v>16275553.7842279</v>
          </cell>
          <cell r="J289">
            <v>163436</v>
          </cell>
          <cell r="R289" t="str">
            <v>IN-FONDO3_5273992F5753</v>
          </cell>
        </row>
        <row r="290">
          <cell r="I290">
            <v>33749169.3552</v>
          </cell>
          <cell r="J290">
            <v>53600</v>
          </cell>
          <cell r="R290" t="str">
            <v>IN-FONDO3_5274042EA108</v>
          </cell>
        </row>
        <row r="291">
          <cell r="I291">
            <v>98.065105099999997</v>
          </cell>
          <cell r="J291">
            <v>1</v>
          </cell>
          <cell r="R291" t="str">
            <v>IN-FONDO2_5274084F6545</v>
          </cell>
        </row>
        <row r="292">
          <cell r="I292">
            <v>81.551560100000003</v>
          </cell>
          <cell r="J292">
            <v>0.997</v>
          </cell>
          <cell r="R292" t="str">
            <v>IN-FONDO2_5274095F6533</v>
          </cell>
        </row>
        <row r="293">
          <cell r="I293">
            <v>81.878747899999993</v>
          </cell>
          <cell r="J293">
            <v>1.0009999999999999</v>
          </cell>
          <cell r="R293" t="str">
            <v>IN-FONDO3_5274095F6533</v>
          </cell>
        </row>
        <row r="294">
          <cell r="I294">
            <v>1705.7858524999999</v>
          </cell>
          <cell r="J294">
            <v>1</v>
          </cell>
          <cell r="R294" t="str">
            <v>IN-FONDO1_5274104F8932</v>
          </cell>
        </row>
        <row r="295">
          <cell r="I295">
            <v>2835.0160869000001</v>
          </cell>
          <cell r="J295">
            <v>1.6619999999999999</v>
          </cell>
          <cell r="R295" t="str">
            <v>IN-FONDO2_5274104F8932</v>
          </cell>
        </row>
        <row r="296">
          <cell r="I296">
            <v>2350.5729047999998</v>
          </cell>
          <cell r="J296">
            <v>1.3779999999999999</v>
          </cell>
          <cell r="R296" t="str">
            <v>IN-FONDO3_5274104F8932</v>
          </cell>
        </row>
        <row r="297">
          <cell r="I297">
            <v>162.824454</v>
          </cell>
          <cell r="J297">
            <v>1</v>
          </cell>
          <cell r="R297" t="str">
            <v>IN-FONDO1_5274122F6097</v>
          </cell>
        </row>
        <row r="298">
          <cell r="I298">
            <v>178197517.51081911</v>
          </cell>
          <cell r="J298">
            <v>2844298.9210000001</v>
          </cell>
          <cell r="R298" t="str">
            <v>IN-FONDO1_5274122FK0P9</v>
          </cell>
        </row>
        <row r="299">
          <cell r="I299">
            <v>1360794.3994099</v>
          </cell>
          <cell r="J299">
            <v>19975.796999999999</v>
          </cell>
          <cell r="R299" t="str">
            <v>IN-FONDO1_5274122FKCF7</v>
          </cell>
        </row>
        <row r="300">
          <cell r="I300">
            <v>2097244.1707600001</v>
          </cell>
          <cell r="J300">
            <v>52848.008999999998</v>
          </cell>
          <cell r="R300" t="str">
            <v>IN-FONDO1_5274122FXQQ0</v>
          </cell>
        </row>
        <row r="301">
          <cell r="I301">
            <v>162.824454</v>
          </cell>
          <cell r="J301">
            <v>1</v>
          </cell>
          <cell r="R301" t="str">
            <v>IN-FONDO2_5274122F6097</v>
          </cell>
        </row>
        <row r="302">
          <cell r="I302">
            <v>466704309.28851908</v>
          </cell>
          <cell r="J302">
            <v>7449298.8559999997</v>
          </cell>
          <cell r="R302" t="str">
            <v>IN-FONDO2_5274122FK0P9</v>
          </cell>
        </row>
        <row r="303">
          <cell r="I303">
            <v>109.54043</v>
          </cell>
          <cell r="J303">
            <v>1.6080000000000001</v>
          </cell>
          <cell r="R303" t="str">
            <v>IN-FONDO2_5274122FKCF7</v>
          </cell>
        </row>
        <row r="304">
          <cell r="I304">
            <v>41.748041399999998</v>
          </cell>
          <cell r="J304">
            <v>1.052</v>
          </cell>
          <cell r="R304" t="str">
            <v>IN-FONDO2_5274122FXQQ0</v>
          </cell>
        </row>
        <row r="305">
          <cell r="I305">
            <v>43.305429199999999</v>
          </cell>
          <cell r="J305">
            <v>1.0389999999999999</v>
          </cell>
          <cell r="R305" t="str">
            <v>IN-FONDO2_5274186F1948</v>
          </cell>
        </row>
        <row r="306">
          <cell r="I306">
            <v>69.230334900000003</v>
          </cell>
          <cell r="J306">
            <v>1.661</v>
          </cell>
          <cell r="R306" t="str">
            <v>IN-FONDO3_5274186F1948</v>
          </cell>
        </row>
        <row r="307">
          <cell r="I307">
            <v>98.690221300000005</v>
          </cell>
          <cell r="J307">
            <v>1</v>
          </cell>
          <cell r="R307" t="str">
            <v>IN-FONDO2_5274244F1260</v>
          </cell>
        </row>
        <row r="308">
          <cell r="I308">
            <v>98.690221300000005</v>
          </cell>
          <cell r="J308">
            <v>1</v>
          </cell>
          <cell r="R308" t="str">
            <v>IN-FONDO3_5274244F1260</v>
          </cell>
        </row>
        <row r="309">
          <cell r="I309">
            <v>210141343.57141221</v>
          </cell>
          <cell r="J309">
            <v>279438.86</v>
          </cell>
          <cell r="R309" t="str">
            <v>IN-FONDO1_5274262F6624</v>
          </cell>
        </row>
        <row r="310">
          <cell r="I310">
            <v>3400.1867443000001</v>
          </cell>
          <cell r="J310">
            <v>1.0045999999999999</v>
          </cell>
          <cell r="R310" t="str">
            <v>IN-FONDO2_5274302F65N6</v>
          </cell>
        </row>
        <row r="311">
          <cell r="I311">
            <v>3390.0328918</v>
          </cell>
          <cell r="J311">
            <v>1.0016</v>
          </cell>
          <cell r="R311" t="str">
            <v>IN-FONDO3_5274302F65N6</v>
          </cell>
        </row>
        <row r="312">
          <cell r="I312">
            <v>74104508.628573</v>
          </cell>
          <cell r="J312">
            <v>136825.198</v>
          </cell>
          <cell r="R312" t="str">
            <v>IN-FONDO1_5274472F3543</v>
          </cell>
        </row>
        <row r="313">
          <cell r="I313">
            <v>541.59986400000003</v>
          </cell>
          <cell r="J313">
            <v>1</v>
          </cell>
          <cell r="R313" t="str">
            <v>IN-FONDO2_5274472F3543</v>
          </cell>
        </row>
        <row r="314">
          <cell r="I314">
            <v>6413.1759899999997</v>
          </cell>
          <cell r="J314">
            <v>1</v>
          </cell>
          <cell r="R314" t="str">
            <v>IN-FONDO1_5274492F8555</v>
          </cell>
        </row>
        <row r="315">
          <cell r="I315">
            <v>63523.488591900001</v>
          </cell>
          <cell r="J315">
            <v>1</v>
          </cell>
          <cell r="R315" t="str">
            <v>IN-FONDO1_5274494F1144</v>
          </cell>
        </row>
        <row r="316">
          <cell r="I316">
            <v>122981.4739139</v>
          </cell>
          <cell r="J316">
            <v>1.9359999999999999</v>
          </cell>
          <cell r="R316" t="str">
            <v>IN-FONDO2_5274494F1144</v>
          </cell>
        </row>
        <row r="317">
          <cell r="I317">
            <v>18172303.344000001</v>
          </cell>
          <cell r="J317">
            <v>211500</v>
          </cell>
          <cell r="R317" t="str">
            <v>IN-FONDO3_5274722E7694</v>
          </cell>
        </row>
        <row r="318">
          <cell r="I318">
            <v>210309999.5796859</v>
          </cell>
          <cell r="J318">
            <v>631749</v>
          </cell>
          <cell r="R318" t="str">
            <v>IN-FONDO1_5274822F3552</v>
          </cell>
        </row>
        <row r="319">
          <cell r="I319">
            <v>84334193.648935601</v>
          </cell>
          <cell r="J319">
            <v>253331</v>
          </cell>
          <cell r="R319" t="str">
            <v>IN-FONDO2_5274822F3552</v>
          </cell>
        </row>
        <row r="320">
          <cell r="I320">
            <v>1177016.6407071</v>
          </cell>
          <cell r="J320">
            <v>2214.9859999999999</v>
          </cell>
          <cell r="R320" t="str">
            <v>IN-FONDO1_5275114F0215</v>
          </cell>
        </row>
        <row r="321">
          <cell r="I321">
            <v>2618319.0269024</v>
          </cell>
          <cell r="J321">
            <v>4927.3220000000001</v>
          </cell>
          <cell r="R321" t="str">
            <v>IN-FONDO2_5275114F0215</v>
          </cell>
        </row>
        <row r="322">
          <cell r="I322">
            <v>69526663.299600005</v>
          </cell>
          <cell r="J322">
            <v>138700</v>
          </cell>
          <cell r="R322" t="str">
            <v>IN-FONDO1_5275122EV647</v>
          </cell>
        </row>
        <row r="323">
          <cell r="I323">
            <v>236901954.40079999</v>
          </cell>
          <cell r="J323">
            <v>472600</v>
          </cell>
          <cell r="R323" t="str">
            <v>IN-FONDO2_5275122EV647</v>
          </cell>
        </row>
        <row r="324">
          <cell r="I324">
            <v>8981546.8391999993</v>
          </cell>
          <cell r="J324">
            <v>50100</v>
          </cell>
          <cell r="R324" t="str">
            <v>IN-FONDO3_5275122EE800</v>
          </cell>
        </row>
        <row r="325">
          <cell r="I325">
            <v>101959072.20720001</v>
          </cell>
          <cell r="J325">
            <v>203400</v>
          </cell>
          <cell r="R325" t="str">
            <v>IN-FONDO3_5275122EV647</v>
          </cell>
        </row>
        <row r="326">
          <cell r="I326">
            <v>927.91183060000003</v>
          </cell>
          <cell r="J326">
            <v>1.43</v>
          </cell>
          <cell r="R326" t="str">
            <v>IN-FONDO2_5275152F0769</v>
          </cell>
        </row>
        <row r="327">
          <cell r="I327">
            <v>1148.5342238999999</v>
          </cell>
          <cell r="J327">
            <v>1.77</v>
          </cell>
          <cell r="R327" t="str">
            <v>IN-FONDO3_5275152F0769</v>
          </cell>
        </row>
        <row r="328">
          <cell r="I328">
            <v>40553428.000799999</v>
          </cell>
          <cell r="J328">
            <v>136400</v>
          </cell>
          <cell r="R328" t="str">
            <v>IN-FONDO1_5275282EY830</v>
          </cell>
        </row>
        <row r="329">
          <cell r="I329">
            <v>11926106.01</v>
          </cell>
          <cell r="J329">
            <v>39900</v>
          </cell>
          <cell r="R329" t="str">
            <v>IN-FONDO1_5275282EY848</v>
          </cell>
        </row>
        <row r="330">
          <cell r="I330">
            <v>556985278.7148</v>
          </cell>
          <cell r="J330">
            <v>1873400</v>
          </cell>
          <cell r="R330" t="str">
            <v>IN-FONDO2_5275282EY830</v>
          </cell>
        </row>
        <row r="331">
          <cell r="I331">
            <v>97979387.219999999</v>
          </cell>
          <cell r="J331">
            <v>327800</v>
          </cell>
          <cell r="R331" t="str">
            <v>IN-FONDO2_5275282EY848</v>
          </cell>
        </row>
        <row r="332">
          <cell r="I332">
            <v>132571653.5598</v>
          </cell>
          <cell r="J332">
            <v>445900</v>
          </cell>
          <cell r="R332" t="str">
            <v>IN-FONDO3_5275282EY830</v>
          </cell>
        </row>
        <row r="333">
          <cell r="I333">
            <v>19010033.640000001</v>
          </cell>
          <cell r="J333">
            <v>63600</v>
          </cell>
          <cell r="R333" t="str">
            <v>IN-FONDO3_5275282EY848</v>
          </cell>
        </row>
        <row r="334">
          <cell r="I334">
            <v>21826612.992600001</v>
          </cell>
          <cell r="J334">
            <v>143900</v>
          </cell>
          <cell r="R334" t="str">
            <v>IN-FONDO3_5275282EY871</v>
          </cell>
        </row>
        <row r="335">
          <cell r="I335">
            <v>176229950.04128891</v>
          </cell>
          <cell r="J335">
            <v>1850838.902</v>
          </cell>
          <cell r="R335" t="str">
            <v>IN-FONDO2_5275336F6323</v>
          </cell>
        </row>
        <row r="336">
          <cell r="I336">
            <v>34837654.200912803</v>
          </cell>
          <cell r="J336">
            <v>365879.27100000001</v>
          </cell>
          <cell r="R336" t="str">
            <v>IN-FONDO3_5275336F6323</v>
          </cell>
        </row>
        <row r="337">
          <cell r="I337">
            <v>11920337.410800001</v>
          </cell>
          <cell r="J337">
            <v>22600</v>
          </cell>
          <cell r="R337" t="str">
            <v>IN-FONDO1_5275522EX192</v>
          </cell>
        </row>
        <row r="338">
          <cell r="I338">
            <v>97419748.662599996</v>
          </cell>
          <cell r="J338">
            <v>184700</v>
          </cell>
          <cell r="R338" t="str">
            <v>IN-FONDO2_5275522EX192</v>
          </cell>
        </row>
        <row r="339">
          <cell r="I339">
            <v>37923551.320200004</v>
          </cell>
          <cell r="J339">
            <v>71900</v>
          </cell>
          <cell r="R339" t="str">
            <v>IN-FONDO3_5275522EX192</v>
          </cell>
        </row>
        <row r="340">
          <cell r="I340">
            <v>14.421891499999999</v>
          </cell>
          <cell r="J340">
            <v>1.667</v>
          </cell>
          <cell r="R340" t="str">
            <v>IN-FONDO2_5276846FQVT8</v>
          </cell>
        </row>
        <row r="341">
          <cell r="I341">
            <v>13.366420099999999</v>
          </cell>
          <cell r="J341">
            <v>1.5449999999999999</v>
          </cell>
          <cell r="R341" t="str">
            <v>IN-FONDO3_5276846FQVT8</v>
          </cell>
        </row>
        <row r="342">
          <cell r="I342">
            <v>321339596.512389</v>
          </cell>
          <cell r="J342">
            <v>6141100.7740000002</v>
          </cell>
          <cell r="R342" t="str">
            <v>IN-FONDO1_5277192F9LZQ</v>
          </cell>
        </row>
        <row r="343">
          <cell r="I343">
            <v>141725331.2935234</v>
          </cell>
          <cell r="J343">
            <v>2708503.8730000001</v>
          </cell>
          <cell r="R343" t="str">
            <v>IN-FONDO2_5277192F9LZQ</v>
          </cell>
        </row>
        <row r="344">
          <cell r="I344">
            <v>60.855205599999998</v>
          </cell>
          <cell r="J344">
            <v>1.163</v>
          </cell>
          <cell r="R344" t="str">
            <v>IN-FONDO3_5277192F9LZQ</v>
          </cell>
        </row>
        <row r="345">
          <cell r="I345">
            <v>203291707.2074928</v>
          </cell>
          <cell r="J345">
            <v>5667775.5999999996</v>
          </cell>
          <cell r="R345" t="str">
            <v>IN-FONDO1_5277312FGRM4</v>
          </cell>
        </row>
        <row r="346">
          <cell r="I346">
            <v>2717938.2899620999</v>
          </cell>
          <cell r="J346">
            <v>75776.157000000007</v>
          </cell>
          <cell r="R346" t="str">
            <v>IN-FONDO2_5277312FGRM4</v>
          </cell>
        </row>
        <row r="347">
          <cell r="I347">
            <v>11.2888251</v>
          </cell>
          <cell r="J347">
            <v>1.7769999999999999</v>
          </cell>
          <cell r="R347" t="str">
            <v>IN-FONDO2_5277324FC1W6</v>
          </cell>
        </row>
        <row r="348">
          <cell r="I348">
            <v>10.3867355</v>
          </cell>
          <cell r="J348">
            <v>1.635</v>
          </cell>
          <cell r="R348" t="str">
            <v>IN-FONDO3_5277324FC1W6</v>
          </cell>
        </row>
        <row r="349">
          <cell r="I349">
            <v>573880.53837269999</v>
          </cell>
          <cell r="J349">
            <v>1490.3767</v>
          </cell>
          <cell r="R349" t="str">
            <v>IN-FONDO1_5277512F3236</v>
          </cell>
        </row>
        <row r="350">
          <cell r="I350">
            <v>2025844.5647143</v>
          </cell>
          <cell r="J350">
            <v>5261.1499000000003</v>
          </cell>
          <cell r="R350" t="str">
            <v>IN-FONDO2_5277512F3236</v>
          </cell>
        </row>
        <row r="351">
          <cell r="I351">
            <v>102021335.7238405</v>
          </cell>
          <cell r="J351">
            <v>1190201</v>
          </cell>
          <cell r="R351" t="str">
            <v>IN-FONDO1_5270252F7606</v>
          </cell>
        </row>
        <row r="352">
          <cell r="I352">
            <v>2669936.0571249002</v>
          </cell>
          <cell r="J352">
            <v>31148</v>
          </cell>
          <cell r="R352" t="str">
            <v>IN-FONDO2_5270252F7606</v>
          </cell>
        </row>
        <row r="353">
          <cell r="I353">
            <v>7722.0766874000001</v>
          </cell>
          <cell r="J353">
            <v>1.274</v>
          </cell>
          <cell r="R353" t="str">
            <v>IN-FONDO1_5270472F4576</v>
          </cell>
        </row>
        <row r="354">
          <cell r="I354">
            <v>9437.8482292999997</v>
          </cell>
          <cell r="J354">
            <v>1</v>
          </cell>
          <cell r="R354" t="str">
            <v>IN-FONDO1_5270474F8219</v>
          </cell>
        </row>
        <row r="355">
          <cell r="I355">
            <v>23299.5783252</v>
          </cell>
          <cell r="J355">
            <v>3.8439999999999999</v>
          </cell>
          <cell r="R355" t="str">
            <v>IN-FONDO2_5270472F4576</v>
          </cell>
        </row>
        <row r="356">
          <cell r="I356">
            <v>9437.8482292999997</v>
          </cell>
          <cell r="J356">
            <v>1</v>
          </cell>
          <cell r="R356" t="str">
            <v>IN-FONDO2_5270474F8219</v>
          </cell>
        </row>
        <row r="357">
          <cell r="I357">
            <v>7806.9346728999999</v>
          </cell>
          <cell r="J357">
            <v>1.288</v>
          </cell>
          <cell r="R357" t="str">
            <v>IN-FONDO3_5270472F4576</v>
          </cell>
        </row>
        <row r="358">
          <cell r="I358">
            <v>9437.8482292999997</v>
          </cell>
          <cell r="J358">
            <v>1</v>
          </cell>
          <cell r="R358" t="str">
            <v>IN-FONDO3_5270474F8219</v>
          </cell>
        </row>
        <row r="359">
          <cell r="I359">
            <v>3877.3935044999998</v>
          </cell>
          <cell r="J359">
            <v>1.855</v>
          </cell>
          <cell r="R359" t="str">
            <v>IN-FONDO2_5270012F2664</v>
          </cell>
        </row>
        <row r="360">
          <cell r="I360">
            <v>2809.2813314999999</v>
          </cell>
          <cell r="J360">
            <v>1.3440000000000001</v>
          </cell>
          <cell r="R360" t="str">
            <v>IN-FONDO3_5270012F2664</v>
          </cell>
        </row>
        <row r="361">
          <cell r="I361">
            <v>228.88639800000001</v>
          </cell>
          <cell r="J361">
            <v>1</v>
          </cell>
          <cell r="R361" t="str">
            <v>IN-FONDO2_5270242F3827</v>
          </cell>
        </row>
        <row r="362">
          <cell r="I362">
            <v>30472905.965403002</v>
          </cell>
          <cell r="J362">
            <v>31922</v>
          </cell>
          <cell r="R362" t="str">
            <v>IN-FONDO1_5270465F0075</v>
          </cell>
        </row>
        <row r="363">
          <cell r="I363">
            <v>265758766.3908999</v>
          </cell>
          <cell r="J363">
            <v>278396.53200000001</v>
          </cell>
          <cell r="R363" t="str">
            <v>IN-FONDO2_5270465F0075</v>
          </cell>
        </row>
        <row r="364">
          <cell r="I364">
            <v>55345112.900920302</v>
          </cell>
          <cell r="J364">
            <v>57976.968000000001</v>
          </cell>
          <cell r="R364" t="str">
            <v>IN-FONDO3_5270465F0075</v>
          </cell>
        </row>
        <row r="365">
          <cell r="I365">
            <v>496.2950151</v>
          </cell>
          <cell r="J365">
            <v>0.71799999999999997</v>
          </cell>
          <cell r="R365" t="str">
            <v>IN-FONDO1_5270272F0606</v>
          </cell>
        </row>
        <row r="366">
          <cell r="I366">
            <v>179.16583499999999</v>
          </cell>
          <cell r="J366">
            <v>1.157</v>
          </cell>
          <cell r="R366" t="str">
            <v>IN-FONDO2_5270272F1107</v>
          </cell>
        </row>
        <row r="367">
          <cell r="I367">
            <v>180.4046653</v>
          </cell>
          <cell r="J367">
            <v>1.165</v>
          </cell>
          <cell r="R367" t="str">
            <v>IN-FONDO3_5270272F1107</v>
          </cell>
        </row>
        <row r="368">
          <cell r="I368">
            <v>178.75423119999999</v>
          </cell>
          <cell r="J368">
            <v>1.4710000000000001</v>
          </cell>
          <cell r="R368" t="str">
            <v>IN-FONDO1_5270132F4904</v>
          </cell>
        </row>
        <row r="369">
          <cell r="I369">
            <v>975753.84996180004</v>
          </cell>
          <cell r="J369">
            <v>8029.65</v>
          </cell>
          <cell r="R369" t="str">
            <v>IN-FONDO2_5270132F4904</v>
          </cell>
        </row>
        <row r="370">
          <cell r="I370">
            <v>149058.30487220001</v>
          </cell>
          <cell r="J370">
            <v>1226.627</v>
          </cell>
          <cell r="R370" t="str">
            <v>IN-FONDO3_5270132F4904</v>
          </cell>
        </row>
        <row r="371">
          <cell r="I371">
            <v>16.440920800000001</v>
          </cell>
          <cell r="J371">
            <v>1.645</v>
          </cell>
          <cell r="R371" t="str">
            <v>IN-FONDO2_5277445FGVH8</v>
          </cell>
        </row>
        <row r="372">
          <cell r="I372">
            <v>18.209943899999999</v>
          </cell>
          <cell r="J372">
            <v>1.8220000000000001</v>
          </cell>
          <cell r="R372" t="str">
            <v>IN-FONDO3_5277445FGVH8</v>
          </cell>
        </row>
        <row r="373">
          <cell r="I373">
            <v>722.33652770000003</v>
          </cell>
          <cell r="J373">
            <v>1.5369999999999999</v>
          </cell>
          <cell r="R373" t="str">
            <v>IN-FONDO1_5270802F0077</v>
          </cell>
        </row>
        <row r="374">
          <cell r="I374">
            <v>469.96521000000001</v>
          </cell>
          <cell r="J374">
            <v>1</v>
          </cell>
          <cell r="R374" t="str">
            <v>IN-FONDO2_5270802F0077</v>
          </cell>
        </row>
        <row r="375">
          <cell r="I375">
            <v>4308578.5665276004</v>
          </cell>
          <cell r="J375">
            <v>24952</v>
          </cell>
          <cell r="R375" t="str">
            <v>IN-FONDO1_5270194F2029</v>
          </cell>
        </row>
        <row r="376">
          <cell r="I376">
            <v>296.04491619999999</v>
          </cell>
          <cell r="J376">
            <v>1.81</v>
          </cell>
          <cell r="R376" t="str">
            <v>IN-FONDO2_5270192F5998</v>
          </cell>
        </row>
        <row r="377">
          <cell r="I377">
            <v>74732737.283598498</v>
          </cell>
          <cell r="J377">
            <v>432795</v>
          </cell>
          <cell r="R377" t="str">
            <v>IN-FONDO2_5270194F2029</v>
          </cell>
        </row>
        <row r="378">
          <cell r="I378">
            <v>184.82362169999999</v>
          </cell>
          <cell r="J378">
            <v>1.1299999999999999</v>
          </cell>
          <cell r="R378" t="str">
            <v>IN-FONDO3_5270192F5998</v>
          </cell>
        </row>
        <row r="379">
          <cell r="I379">
            <v>22560637.385023501</v>
          </cell>
          <cell r="J379">
            <v>130654</v>
          </cell>
          <cell r="R379" t="str">
            <v>IN-FONDO3_5270194F2029</v>
          </cell>
        </row>
        <row r="380">
          <cell r="I380">
            <v>305.24941200000001</v>
          </cell>
          <cell r="J380">
            <v>1</v>
          </cell>
          <cell r="R380" t="str">
            <v>IN-FONDO2_5270082F8671</v>
          </cell>
        </row>
        <row r="381">
          <cell r="I381">
            <v>305.24941200000001</v>
          </cell>
          <cell r="J381">
            <v>1</v>
          </cell>
          <cell r="R381" t="str">
            <v>IN-FONDO3_5270082F8671</v>
          </cell>
        </row>
        <row r="382">
          <cell r="I382">
            <v>43930122.124200001</v>
          </cell>
          <cell r="J382">
            <v>144700</v>
          </cell>
          <cell r="R382" t="str">
            <v>IN-FONDO2_5270652EF106</v>
          </cell>
        </row>
        <row r="383">
          <cell r="I383">
            <v>1144004782.674</v>
          </cell>
          <cell r="J383">
            <v>581300</v>
          </cell>
          <cell r="R383" t="str">
            <v>IN-FONDO2_5270652EF676</v>
          </cell>
        </row>
        <row r="384">
          <cell r="I384">
            <v>26625236.422200002</v>
          </cell>
          <cell r="J384">
            <v>87700</v>
          </cell>
          <cell r="R384" t="str">
            <v>IN-FONDO3_5270652EF106</v>
          </cell>
        </row>
        <row r="385">
          <cell r="I385">
            <v>272372719.63200003</v>
          </cell>
          <cell r="J385">
            <v>138400</v>
          </cell>
          <cell r="R385" t="str">
            <v>IN-FONDO3_5270652EF676</v>
          </cell>
        </row>
        <row r="386">
          <cell r="I386">
            <v>8077687.0511999996</v>
          </cell>
          <cell r="J386">
            <v>135200</v>
          </cell>
          <cell r="R386" t="str">
            <v>IN-FONDO3_5270652EH821</v>
          </cell>
        </row>
        <row r="387">
          <cell r="I387">
            <v>271088699.69999999</v>
          </cell>
          <cell r="J387">
            <v>1330000</v>
          </cell>
          <cell r="R387" t="str">
            <v>IN-FONDO1_5270172E0709</v>
          </cell>
        </row>
        <row r="388">
          <cell r="I388">
            <v>505.36269909999999</v>
          </cell>
          <cell r="J388">
            <v>1.01</v>
          </cell>
          <cell r="R388" t="str">
            <v>IN-FONDO1_5270172FWXM7</v>
          </cell>
        </row>
        <row r="389">
          <cell r="I389">
            <v>1005.7329864</v>
          </cell>
          <cell r="J389">
            <v>1.99</v>
          </cell>
          <cell r="R389" t="str">
            <v>IN-FONDO1_5270172FWXN8</v>
          </cell>
        </row>
        <row r="390">
          <cell r="I390">
            <v>505.36269909999999</v>
          </cell>
          <cell r="J390">
            <v>1.01</v>
          </cell>
          <cell r="R390" t="str">
            <v>IN-FONDO2_5270172FWXM7</v>
          </cell>
        </row>
        <row r="391">
          <cell r="I391">
            <v>626.68789100000004</v>
          </cell>
          <cell r="J391">
            <v>1.24</v>
          </cell>
          <cell r="R391" t="str">
            <v>IN-FONDO2_5270172FWXN8</v>
          </cell>
        </row>
        <row r="392">
          <cell r="I392">
            <v>40316800.601999998</v>
          </cell>
          <cell r="J392">
            <v>197800</v>
          </cell>
          <cell r="R392" t="str">
            <v>IN-FONDO3_5270172E0709</v>
          </cell>
        </row>
        <row r="393">
          <cell r="I393">
            <v>500.35910799999999</v>
          </cell>
          <cell r="J393">
            <v>1</v>
          </cell>
          <cell r="R393" t="str">
            <v>IN-FONDO3_5270172FWXM7</v>
          </cell>
        </row>
        <row r="394">
          <cell r="I394">
            <v>924.87003270000002</v>
          </cell>
          <cell r="J394">
            <v>1.83</v>
          </cell>
          <cell r="R394" t="str">
            <v>IN-FONDO3_5270172FWXN8</v>
          </cell>
        </row>
        <row r="395">
          <cell r="I395">
            <v>282073045.15310371</v>
          </cell>
          <cell r="J395">
            <v>12.265549999999999</v>
          </cell>
          <cell r="R395" t="str">
            <v>IN-FONDO2_5358472ASF8G</v>
          </cell>
        </row>
        <row r="396">
          <cell r="I396">
            <v>42378605.3603357</v>
          </cell>
          <cell r="J396">
            <v>188.03611069999999</v>
          </cell>
          <cell r="R396" t="str">
            <v>IN-FONDO2_5370862TRGL1</v>
          </cell>
        </row>
        <row r="397">
          <cell r="I397">
            <v>12254051.557479599</v>
          </cell>
          <cell r="J397">
            <v>54.371874099999999</v>
          </cell>
          <cell r="R397" t="str">
            <v>IN-FONDO3_5370862TRGL1</v>
          </cell>
        </row>
        <row r="398">
          <cell r="I398">
            <v>758949.67841769999</v>
          </cell>
          <cell r="J398">
            <v>11.868832599999999</v>
          </cell>
          <cell r="R398" t="str">
            <v>IN-FONDO2_5370904PGD09</v>
          </cell>
        </row>
        <row r="399">
          <cell r="I399">
            <v>5009946.3691133996</v>
          </cell>
          <cell r="J399">
            <v>6.1834084999999996</v>
          </cell>
          <cell r="R399" t="str">
            <v>IN-FONDO2_5371242PAVIL</v>
          </cell>
        </row>
        <row r="400">
          <cell r="I400">
            <v>1252741.6305583001</v>
          </cell>
          <cell r="J400">
            <v>1.5461669</v>
          </cell>
          <cell r="R400" t="str">
            <v>IN-FONDO3_5371242PAVIL</v>
          </cell>
        </row>
        <row r="401">
          <cell r="I401">
            <v>17181053.327737901</v>
          </cell>
          <cell r="J401">
            <v>92.841144900000003</v>
          </cell>
          <cell r="R401" t="str">
            <v>IN-FONDO2_5371262AGPII</v>
          </cell>
        </row>
        <row r="402">
          <cell r="I402">
            <v>7914943.6574058998</v>
          </cell>
          <cell r="J402">
            <v>42.769928999999998</v>
          </cell>
          <cell r="R402" t="str">
            <v>IN-FONDO3_5371262AGPII</v>
          </cell>
        </row>
        <row r="403">
          <cell r="I403">
            <v>356842.5743636</v>
          </cell>
          <cell r="J403">
            <v>401.02175979999998</v>
          </cell>
          <cell r="R403" t="str">
            <v>IN-FONDO2_5371332COL6A</v>
          </cell>
        </row>
        <row r="404">
          <cell r="I404">
            <v>39667.562971599997</v>
          </cell>
          <cell r="J404">
            <v>44.578637899999997</v>
          </cell>
          <cell r="R404" t="str">
            <v>IN-FONDO3_5371332COL6A</v>
          </cell>
        </row>
        <row r="405">
          <cell r="I405">
            <v>3487091.2037563999</v>
          </cell>
          <cell r="J405">
            <v>12.856049199999999</v>
          </cell>
          <cell r="R405" t="str">
            <v>IN-FONDO2_5371362PGS11</v>
          </cell>
        </row>
        <row r="406">
          <cell r="I406">
            <v>1365840.8215270999</v>
          </cell>
          <cell r="J406">
            <v>5.0355198000000003</v>
          </cell>
          <cell r="R406" t="str">
            <v>IN-FONDO3_5371362PGS11</v>
          </cell>
        </row>
        <row r="407">
          <cell r="I407">
            <v>3126139.7458156999</v>
          </cell>
          <cell r="J407">
            <v>17.403193000000002</v>
          </cell>
          <cell r="R407" t="str">
            <v>IN-FONDO2_5371484A8AFE</v>
          </cell>
        </row>
        <row r="408">
          <cell r="I408">
            <v>781535.9154387</v>
          </cell>
          <cell r="J408">
            <v>4.3508037000000002</v>
          </cell>
          <cell r="R408" t="str">
            <v>IN-FONDO3_5371484A8AFE</v>
          </cell>
        </row>
        <row r="409">
          <cell r="I409">
            <v>97566976.292390496</v>
          </cell>
          <cell r="J409">
            <v>222.8291266</v>
          </cell>
          <cell r="R409" t="str">
            <v>IN-FONDO2_5372842LCP8F</v>
          </cell>
        </row>
        <row r="410">
          <cell r="I410">
            <v>54203818.305398099</v>
          </cell>
          <cell r="J410">
            <v>123.7938281</v>
          </cell>
          <cell r="R410" t="str">
            <v>IN-FONDO3_5372842LCP8F</v>
          </cell>
        </row>
        <row r="411">
          <cell r="I411">
            <v>89588206.586343795</v>
          </cell>
          <cell r="J411">
            <v>49.052244799999997</v>
          </cell>
          <cell r="R411" t="str">
            <v>IN-FONDO2_5373542PGS15</v>
          </cell>
        </row>
        <row r="412">
          <cell r="I412">
            <v>14931367.1555961</v>
          </cell>
          <cell r="J412">
            <v>8.1753737999999991</v>
          </cell>
          <cell r="R412" t="str">
            <v>IN-FONDO3_5373542PGS15</v>
          </cell>
        </row>
        <row r="413">
          <cell r="I413">
            <v>185447133.69371691</v>
          </cell>
          <cell r="J413">
            <v>251.52658270000001</v>
          </cell>
          <cell r="R413" t="str">
            <v>IN-FONDO2_5373592OPF6F</v>
          </cell>
        </row>
        <row r="414">
          <cell r="I414">
            <v>37089914.424218699</v>
          </cell>
          <cell r="J414">
            <v>50.305978000000003</v>
          </cell>
          <cell r="R414" t="str">
            <v>IN-FONDO3_5373592OPF6F</v>
          </cell>
        </row>
        <row r="415">
          <cell r="I415">
            <v>149891288.4036172</v>
          </cell>
          <cell r="J415">
            <v>43.117439699999998</v>
          </cell>
          <cell r="R415" t="str">
            <v>IN-FONDO2_5373852ASSIV</v>
          </cell>
        </row>
        <row r="416">
          <cell r="I416">
            <v>10706520.1781302</v>
          </cell>
          <cell r="J416">
            <v>3.0798169999999998</v>
          </cell>
          <cell r="R416" t="str">
            <v>IN-FONDO3_5373852ASSIV</v>
          </cell>
        </row>
        <row r="417">
          <cell r="I417">
            <v>52646245.8658996</v>
          </cell>
          <cell r="J417">
            <v>85.847351599999996</v>
          </cell>
          <cell r="R417" t="str">
            <v>IN-FONDO2_5373892AESS3</v>
          </cell>
        </row>
        <row r="418">
          <cell r="I418">
            <v>5849623.0285087004</v>
          </cell>
          <cell r="J418">
            <v>9.5386600999999995</v>
          </cell>
          <cell r="R418" t="str">
            <v>IN-FONDO3_5373892AESS3</v>
          </cell>
        </row>
        <row r="419">
          <cell r="I419">
            <v>74829056.292485803</v>
          </cell>
          <cell r="J419">
            <v>23.307762499999999</v>
          </cell>
          <cell r="R419" t="str">
            <v>IN-FONDO2_5373962COL7F</v>
          </cell>
        </row>
        <row r="420">
          <cell r="I420">
            <v>49886038.705499098</v>
          </cell>
          <cell r="J420">
            <v>15.5385087</v>
          </cell>
          <cell r="R420" t="str">
            <v>IN-FONDO3_5373962COL7F</v>
          </cell>
        </row>
        <row r="421">
          <cell r="I421">
            <v>117574234.6698312</v>
          </cell>
          <cell r="J421">
            <v>23.051779799999998</v>
          </cell>
          <cell r="R421" t="str">
            <v>IN-FONDO2_5374062AIXFE</v>
          </cell>
        </row>
        <row r="422">
          <cell r="I422">
            <v>230237296.99838501</v>
          </cell>
          <cell r="J422">
            <v>5.4670344999999996</v>
          </cell>
          <cell r="R422" t="str">
            <v>IN-FONDO2_5374112KKR12</v>
          </cell>
        </row>
        <row r="423">
          <cell r="I423">
            <v>48720839.145470403</v>
          </cell>
          <cell r="J423">
            <v>19.846667499999999</v>
          </cell>
          <cell r="R423" t="str">
            <v>IN-FONDO2_5374192HCI4A</v>
          </cell>
        </row>
        <row r="424">
          <cell r="I424">
            <v>32480553.865958702</v>
          </cell>
          <cell r="J424">
            <v>13.231109399999999</v>
          </cell>
          <cell r="R424" t="str">
            <v>IN-FONDO3_5374192HCI4A</v>
          </cell>
        </row>
        <row r="425">
          <cell r="I425">
            <v>323302483.32417601</v>
          </cell>
          <cell r="J425">
            <v>4.5199878</v>
          </cell>
          <cell r="R425" t="str">
            <v>IN-FONDO2_5374204CVC7A</v>
          </cell>
        </row>
        <row r="426">
          <cell r="I426">
            <v>65196779.130412303</v>
          </cell>
          <cell r="J426">
            <v>12.938197300000001</v>
          </cell>
          <cell r="R426" t="str">
            <v>IN-FONDO2_5374272CRF8B</v>
          </cell>
        </row>
        <row r="427">
          <cell r="I427">
            <v>16299183.5706212</v>
          </cell>
          <cell r="J427">
            <v>3.2345470999999999</v>
          </cell>
          <cell r="R427" t="str">
            <v>IN-FONDO3_5374272CRF8B</v>
          </cell>
        </row>
        <row r="428">
          <cell r="I428">
            <v>207655520.09244579</v>
          </cell>
          <cell r="J428">
            <v>3.5896050000000002</v>
          </cell>
          <cell r="R428" t="str">
            <v>IN-FONDO2_5374342CPVII</v>
          </cell>
        </row>
        <row r="429">
          <cell r="I429">
            <v>32594982.999288999</v>
          </cell>
          <cell r="J429">
            <v>2.8101645999999998</v>
          </cell>
          <cell r="R429" t="str">
            <v>IN-FONDO2_5374404P7SCS</v>
          </cell>
        </row>
        <row r="430">
          <cell r="I430">
            <v>21907915.9957917</v>
          </cell>
          <cell r="J430">
            <v>2.5805444999999998</v>
          </cell>
          <cell r="R430" t="str">
            <v>IN-FONDO2_5374414P7SLP</v>
          </cell>
        </row>
        <row r="431">
          <cell r="I431">
            <v>113764824.418596</v>
          </cell>
          <cell r="J431">
            <v>7.3830308000000002</v>
          </cell>
          <cell r="R431" t="str">
            <v>IN-FONDO2_5374434CEPVF</v>
          </cell>
        </row>
        <row r="432">
          <cell r="I432">
            <v>333416428.16588742</v>
          </cell>
          <cell r="J432">
            <v>409.72637589999999</v>
          </cell>
          <cell r="R432" t="str">
            <v>IN-FONDO2_5374482LCPIX</v>
          </cell>
        </row>
        <row r="433">
          <cell r="I433">
            <v>37046258.177612603</v>
          </cell>
          <cell r="J433">
            <v>45.525138599999998</v>
          </cell>
          <cell r="R433" t="str">
            <v>IN-FONDO3_5374482LCPIX</v>
          </cell>
        </row>
        <row r="434">
          <cell r="I434">
            <v>157072266.2005266</v>
          </cell>
          <cell r="J434">
            <v>4.3055477</v>
          </cell>
          <cell r="R434" t="str">
            <v>IN-FONDO2_5374552HFCP9</v>
          </cell>
        </row>
        <row r="435">
          <cell r="I435">
            <v>104714824.6769553</v>
          </cell>
          <cell r="J435">
            <v>2.8703645999999998</v>
          </cell>
          <cell r="R435" t="str">
            <v>IN-FONDO3_5374552HFCP9</v>
          </cell>
        </row>
        <row r="436">
          <cell r="I436">
            <v>282363335.941818</v>
          </cell>
          <cell r="J436">
            <v>34.164374600000002</v>
          </cell>
          <cell r="R436" t="str">
            <v>IN-FONDO2_5374632COL8F</v>
          </cell>
        </row>
        <row r="437">
          <cell r="I437">
            <v>672472880.51672399</v>
          </cell>
          <cell r="J437">
            <v>23.505664700000001</v>
          </cell>
          <cell r="R437" t="str">
            <v>IN-FONDO2_5374652VEP7A</v>
          </cell>
        </row>
        <row r="438">
          <cell r="I438">
            <v>426869603.32921332</v>
          </cell>
          <cell r="J438">
            <v>32.692437300000002</v>
          </cell>
          <cell r="R438" t="str">
            <v>IN-FONDO2_5374782A10FE</v>
          </cell>
        </row>
        <row r="439">
          <cell r="I439">
            <v>337810097.92480731</v>
          </cell>
          <cell r="J439">
            <v>914.99998779999999</v>
          </cell>
          <cell r="R439" t="str">
            <v>IN-FONDO2_5374792GIP4F</v>
          </cell>
        </row>
        <row r="440">
          <cell r="I440">
            <v>31381270.849992599</v>
          </cell>
          <cell r="J440">
            <v>85.0000122</v>
          </cell>
          <cell r="R440" t="str">
            <v>IN-FONDO3_5374792GIP4F</v>
          </cell>
        </row>
        <row r="441">
          <cell r="I441">
            <v>214659591.1454632</v>
          </cell>
          <cell r="J441">
            <v>9.1724552999999993</v>
          </cell>
          <cell r="R441" t="str">
            <v>IN-FONDO2_5374842BREVI</v>
          </cell>
        </row>
        <row r="442">
          <cell r="I442">
            <v>78985332.161906198</v>
          </cell>
          <cell r="J442">
            <v>28.973511599999998</v>
          </cell>
          <cell r="R442" t="str">
            <v>IN-FONDO2_5374872ASFCC</v>
          </cell>
        </row>
        <row r="443">
          <cell r="I443">
            <v>29063152.908549201</v>
          </cell>
          <cell r="J443">
            <v>29889494</v>
          </cell>
          <cell r="R443" t="str">
            <v>IN-FONDO2_5311082FIEAM</v>
          </cell>
        </row>
        <row r="444">
          <cell r="I444">
            <v>13993384.6482853</v>
          </cell>
          <cell r="J444">
            <v>14391253</v>
          </cell>
          <cell r="R444" t="str">
            <v>IN-FONDO3_5311082FIEAM</v>
          </cell>
        </row>
        <row r="445">
          <cell r="I445">
            <v>69247054.973304003</v>
          </cell>
          <cell r="J445">
            <v>225954</v>
          </cell>
          <cell r="R445" t="str">
            <v>IN-FONDO3_5460042E8427</v>
          </cell>
        </row>
        <row r="446">
          <cell r="I446">
            <v>15595742.987860801</v>
          </cell>
          <cell r="J446">
            <v>5645</v>
          </cell>
          <cell r="R446" t="str">
            <v>IN-FONDO1_59509428AJ82</v>
          </cell>
        </row>
        <row r="447">
          <cell r="I447">
            <v>82893653.252041698</v>
          </cell>
          <cell r="J447">
            <v>30004</v>
          </cell>
          <cell r="R447" t="str">
            <v>IN-FONDO2_59509428AJ82</v>
          </cell>
        </row>
        <row r="448">
          <cell r="I448">
            <v>91107301.201221794</v>
          </cell>
          <cell r="J448">
            <v>33564</v>
          </cell>
          <cell r="R448" t="str">
            <v>IN-FONDO2_59509428AQ26</v>
          </cell>
        </row>
        <row r="449">
          <cell r="I449">
            <v>3730332.7441770001</v>
          </cell>
          <cell r="J449">
            <v>1000</v>
          </cell>
          <cell r="R449" t="str">
            <v>IN-FONDO2_59509428AS81</v>
          </cell>
        </row>
        <row r="450">
          <cell r="I450">
            <v>30092143.855787501</v>
          </cell>
          <cell r="J450">
            <v>8281</v>
          </cell>
          <cell r="R450" t="str">
            <v>IN-FONDO2_59509428AV11</v>
          </cell>
        </row>
        <row r="451">
          <cell r="I451">
            <v>50217318.073453397</v>
          </cell>
          <cell r="J451">
            <v>14200</v>
          </cell>
          <cell r="R451" t="str">
            <v>IN-FONDO2_59509428AW93</v>
          </cell>
        </row>
        <row r="452">
          <cell r="I452">
            <v>75752151.522569895</v>
          </cell>
          <cell r="J452">
            <v>71529</v>
          </cell>
          <cell r="R452" t="str">
            <v>IN-FONDO1_595132FRAZ03</v>
          </cell>
        </row>
        <row r="453">
          <cell r="I453">
            <v>116011599.30082069</v>
          </cell>
          <cell r="J453">
            <v>109544</v>
          </cell>
          <cell r="R453" t="str">
            <v>IN-FONDO2_595132FRAZ03</v>
          </cell>
        </row>
        <row r="454">
          <cell r="I454">
            <v>30403298.91</v>
          </cell>
          <cell r="J454">
            <v>0</v>
          </cell>
          <cell r="R454" t="str">
            <v>IN-FONDO0_DPZ_NSOL</v>
          </cell>
        </row>
        <row r="455">
          <cell r="I455">
            <v>30403298.91</v>
          </cell>
          <cell r="J455">
            <v>0</v>
          </cell>
          <cell r="R455" t="str">
            <v>IN-FONDO0_DPZ_NSOL</v>
          </cell>
        </row>
        <row r="456">
          <cell r="I456">
            <v>24174399.84</v>
          </cell>
          <cell r="J456">
            <v>0</v>
          </cell>
          <cell r="R456" t="str">
            <v>IN-FONDO0_DPZ_NSOL</v>
          </cell>
        </row>
        <row r="457">
          <cell r="I457">
            <v>15051958.140000001</v>
          </cell>
          <cell r="J457">
            <v>0</v>
          </cell>
          <cell r="R457" t="str">
            <v>IN-FONDO0_DPZ_NSOL</v>
          </cell>
        </row>
        <row r="458">
          <cell r="I458">
            <v>0</v>
          </cell>
          <cell r="J458">
            <v>0</v>
          </cell>
          <cell r="R458" t="str">
            <v>IN-FONDO0_DPZ_NSOL</v>
          </cell>
        </row>
        <row r="459">
          <cell r="I459">
            <v>97000000</v>
          </cell>
          <cell r="J459">
            <v>0</v>
          </cell>
          <cell r="R459" t="str">
            <v>IN-FONDO0_DPZ_NSOL</v>
          </cell>
        </row>
        <row r="460">
          <cell r="I460">
            <v>15215250.615</v>
          </cell>
          <cell r="J460">
            <v>0</v>
          </cell>
          <cell r="R460" t="str">
            <v>IN-FONDO0_DPZ_NSOL</v>
          </cell>
        </row>
        <row r="461">
          <cell r="I461">
            <v>30407932.559999999</v>
          </cell>
          <cell r="J461">
            <v>0</v>
          </cell>
          <cell r="R461" t="str">
            <v>IN-FONDO0_DPZ_NSOL</v>
          </cell>
        </row>
        <row r="462">
          <cell r="I462">
            <v>15203000.58</v>
          </cell>
          <cell r="J462">
            <v>0</v>
          </cell>
          <cell r="R462" t="str">
            <v>IN-FONDO0_DPZ_NSOL</v>
          </cell>
        </row>
        <row r="463">
          <cell r="I463">
            <v>10135333.720000001</v>
          </cell>
          <cell r="J463">
            <v>0</v>
          </cell>
          <cell r="R463" t="str">
            <v>IN-FONDO0_DPZ_NSOL</v>
          </cell>
        </row>
        <row r="464">
          <cell r="I464">
            <v>3022500</v>
          </cell>
          <cell r="J464">
            <v>0</v>
          </cell>
          <cell r="R464" t="str">
            <v>IN-FONDO0_DPZ_NSOL</v>
          </cell>
        </row>
        <row r="465">
          <cell r="I465">
            <v>15096633.42</v>
          </cell>
          <cell r="J465">
            <v>0</v>
          </cell>
          <cell r="R465" t="str">
            <v>IN-FONDO0_DPZ_NSOL</v>
          </cell>
        </row>
        <row r="466">
          <cell r="I466">
            <v>20071855.620000001</v>
          </cell>
          <cell r="J466">
            <v>0</v>
          </cell>
          <cell r="R466" t="str">
            <v>IN-FONDO0_DPZ_NSOL</v>
          </cell>
        </row>
        <row r="467">
          <cell r="I467">
            <v>26547198.096000001</v>
          </cell>
          <cell r="J467">
            <v>0</v>
          </cell>
          <cell r="R467" t="str">
            <v>IN-FONDO0_DPZ_NSOL</v>
          </cell>
        </row>
        <row r="468">
          <cell r="I468">
            <v>32466795.78125</v>
          </cell>
          <cell r="J468">
            <v>0</v>
          </cell>
          <cell r="R468" t="str">
            <v>IN-FONDO0_DPZ_NSOL</v>
          </cell>
        </row>
        <row r="469">
          <cell r="I469">
            <v>32466795.78125</v>
          </cell>
          <cell r="J469">
            <v>0</v>
          </cell>
          <cell r="R469" t="str">
            <v>IN-FONDO0_DPZ_NSOL</v>
          </cell>
        </row>
        <row r="470">
          <cell r="I470">
            <v>31156998.960000001</v>
          </cell>
          <cell r="J470">
            <v>0</v>
          </cell>
          <cell r="R470" t="str">
            <v>IN-FONDO0_DPZ_NSOL</v>
          </cell>
        </row>
        <row r="471">
          <cell r="I471">
            <v>10382200</v>
          </cell>
          <cell r="J471">
            <v>0</v>
          </cell>
          <cell r="R471" t="str">
            <v>IN-FONDO0_DPZ_NSOL</v>
          </cell>
        </row>
        <row r="472">
          <cell r="I472">
            <v>26982439.77</v>
          </cell>
          <cell r="J472">
            <v>0</v>
          </cell>
          <cell r="R472" t="str">
            <v>IN-FONDO0_DPZ_NSOL</v>
          </cell>
        </row>
        <row r="473">
          <cell r="I473">
            <v>31133584.350000001</v>
          </cell>
          <cell r="J473">
            <v>0</v>
          </cell>
          <cell r="R473" t="str">
            <v>IN-FONDO0_DPZ_NSOL</v>
          </cell>
        </row>
        <row r="474">
          <cell r="I474">
            <v>26982439.77</v>
          </cell>
          <cell r="J474">
            <v>0</v>
          </cell>
          <cell r="R474" t="str">
            <v>IN-FONDO0_DPZ_NSOL</v>
          </cell>
        </row>
        <row r="475">
          <cell r="I475">
            <v>41473443.119999997</v>
          </cell>
          <cell r="J475">
            <v>0</v>
          </cell>
          <cell r="R475" t="str">
            <v>IN-FONDO0_DPZ_NSOL</v>
          </cell>
        </row>
        <row r="476">
          <cell r="I476">
            <v>17615624.467999998</v>
          </cell>
          <cell r="J476">
            <v>0</v>
          </cell>
          <cell r="R476" t="str">
            <v>IN-FONDO0_DPZ_NSOL</v>
          </cell>
        </row>
        <row r="477">
          <cell r="I477">
            <v>31071462.84</v>
          </cell>
          <cell r="J477">
            <v>0</v>
          </cell>
          <cell r="R477" t="str">
            <v>IN-FONDO0_DPZ_NSOL</v>
          </cell>
        </row>
        <row r="478">
          <cell r="I478">
            <v>4127507.0159999998</v>
          </cell>
          <cell r="J478">
            <v>0</v>
          </cell>
          <cell r="R478" t="str">
            <v>IN-FONDO0_DPZ_NSOL</v>
          </cell>
        </row>
        <row r="479">
          <cell r="I479">
            <v>8238467.3200000003</v>
          </cell>
          <cell r="J479">
            <v>0</v>
          </cell>
          <cell r="R479" t="str">
            <v>IN-FONDO0_DPZ_NSOL</v>
          </cell>
        </row>
        <row r="480">
          <cell r="I480">
            <v>15439162.5</v>
          </cell>
          <cell r="J480">
            <v>0</v>
          </cell>
          <cell r="R480" t="str">
            <v>IN-FONDO0_DPZ_NSOL</v>
          </cell>
        </row>
        <row r="481">
          <cell r="I481">
            <v>15439162.5</v>
          </cell>
          <cell r="J481">
            <v>0</v>
          </cell>
          <cell r="R481" t="str">
            <v>IN-FONDO0_DPZ_NSOL</v>
          </cell>
        </row>
        <row r="482">
          <cell r="I482">
            <v>15439162.5</v>
          </cell>
          <cell r="J482">
            <v>0</v>
          </cell>
          <cell r="R482" t="str">
            <v>IN-FONDO0_DPZ_NSOL</v>
          </cell>
        </row>
        <row r="483">
          <cell r="I483">
            <v>25684486.725000001</v>
          </cell>
          <cell r="J483">
            <v>0</v>
          </cell>
          <cell r="R483" t="str">
            <v>IN-FONDO0_DPZ_NSOL</v>
          </cell>
        </row>
        <row r="484">
          <cell r="I484">
            <v>25684486.725000001</v>
          </cell>
          <cell r="J484">
            <v>0</v>
          </cell>
          <cell r="R484" t="str">
            <v>IN-FONDO0_DPZ_NSOL</v>
          </cell>
        </row>
        <row r="485">
          <cell r="I485">
            <v>25656862.300000001</v>
          </cell>
          <cell r="J485">
            <v>0</v>
          </cell>
          <cell r="R485" t="str">
            <v>IN-FONDO0_DPZ_NSOL</v>
          </cell>
        </row>
        <row r="486">
          <cell r="I486">
            <v>25656862.300000001</v>
          </cell>
          <cell r="J486">
            <v>0</v>
          </cell>
          <cell r="R486" t="str">
            <v>IN-FONDO0_DPZ_NSOL</v>
          </cell>
        </row>
        <row r="487">
          <cell r="I487">
            <v>30758998.620000001</v>
          </cell>
          <cell r="J487">
            <v>0</v>
          </cell>
          <cell r="R487" t="str">
            <v>IN-FONDO0_DPZ_NSOL</v>
          </cell>
        </row>
        <row r="488">
          <cell r="I488">
            <v>35843538.115000002</v>
          </cell>
          <cell r="J488">
            <v>0</v>
          </cell>
          <cell r="R488" t="str">
            <v>IN-FONDO0_DPZ_NSOL</v>
          </cell>
        </row>
        <row r="489">
          <cell r="I489">
            <v>34620356.622000001</v>
          </cell>
          <cell r="J489">
            <v>0</v>
          </cell>
          <cell r="R489" t="str">
            <v>IN-FONDO0_DPZ_NSOL</v>
          </cell>
        </row>
        <row r="490">
          <cell r="I490">
            <v>20297249.18</v>
          </cell>
          <cell r="J490">
            <v>0</v>
          </cell>
          <cell r="R490" t="str">
            <v>IN-FONDO0_DPZ_NSOL</v>
          </cell>
        </row>
        <row r="491">
          <cell r="I491">
            <v>34261799.523999996</v>
          </cell>
          <cell r="J491">
            <v>0</v>
          </cell>
          <cell r="R491" t="str">
            <v>IN-FONDO0_DPZ_NSOL</v>
          </cell>
        </row>
        <row r="492">
          <cell r="I492">
            <v>20860442.879999999</v>
          </cell>
          <cell r="J492">
            <v>0</v>
          </cell>
          <cell r="R492" t="str">
            <v>IN-FONDO0_DPZ_NSOL</v>
          </cell>
        </row>
        <row r="493">
          <cell r="I493">
            <v>15482082.9</v>
          </cell>
          <cell r="J493">
            <v>0</v>
          </cell>
          <cell r="R493" t="str">
            <v>IN-FONDO0_DPZ_NSOL</v>
          </cell>
        </row>
        <row r="494">
          <cell r="I494">
            <v>20640000</v>
          </cell>
          <cell r="J494">
            <v>0</v>
          </cell>
          <cell r="R494" t="str">
            <v>IN-FONDO0_DPZ_NSOL</v>
          </cell>
        </row>
        <row r="495">
          <cell r="I495">
            <v>20641423.359999999</v>
          </cell>
          <cell r="J495">
            <v>0</v>
          </cell>
          <cell r="R495" t="str">
            <v>IN-FONDO0_DPZ_NSOL</v>
          </cell>
        </row>
        <row r="496">
          <cell r="I496">
            <v>16479110.24</v>
          </cell>
          <cell r="J496">
            <v>0</v>
          </cell>
          <cell r="R496" t="str">
            <v>IN-FONDO0_DPZ_NSOL</v>
          </cell>
        </row>
        <row r="497">
          <cell r="I497">
            <v>25721977.175000001</v>
          </cell>
          <cell r="J497">
            <v>0</v>
          </cell>
          <cell r="R497" t="str">
            <v>IN-FONDO0_DPZ_NSOL</v>
          </cell>
        </row>
        <row r="498">
          <cell r="I498">
            <v>30750372.93</v>
          </cell>
          <cell r="J498">
            <v>0</v>
          </cell>
          <cell r="R498" t="str">
            <v>IN-FONDO0_DPZ_NSOL</v>
          </cell>
        </row>
        <row r="499">
          <cell r="I499">
            <v>23505043.568</v>
          </cell>
          <cell r="J499">
            <v>0</v>
          </cell>
          <cell r="R499" t="str">
            <v>IN-FONDO0_DPZ_NSOL</v>
          </cell>
        </row>
        <row r="500">
          <cell r="I500">
            <v>20439168.32</v>
          </cell>
          <cell r="J500">
            <v>0</v>
          </cell>
          <cell r="R500" t="str">
            <v>IN-FONDO0_DPZ_NSOL</v>
          </cell>
        </row>
        <row r="501">
          <cell r="I501">
            <v>10135333.720000001</v>
          </cell>
          <cell r="J501">
            <v>0</v>
          </cell>
          <cell r="R501" t="str">
            <v>IN-FONDO0_DPZ_NSOL</v>
          </cell>
        </row>
        <row r="502">
          <cell r="I502">
            <v>34261799.523999996</v>
          </cell>
          <cell r="J502">
            <v>0</v>
          </cell>
          <cell r="R502" t="str">
            <v>IN-FONDO0_DPZ_NSOL</v>
          </cell>
        </row>
        <row r="503">
          <cell r="I503">
            <v>34261799.523999996</v>
          </cell>
          <cell r="J503">
            <v>0</v>
          </cell>
          <cell r="R503" t="str">
            <v>IN-FONDO0_DPZ_NSOL</v>
          </cell>
        </row>
        <row r="504">
          <cell r="I504">
            <v>34261799.523999996</v>
          </cell>
          <cell r="J504">
            <v>0</v>
          </cell>
          <cell r="R504" t="str">
            <v>IN-FONDO0_DPZ_NSOL</v>
          </cell>
        </row>
        <row r="505">
          <cell r="I505">
            <v>35224972.020000003</v>
          </cell>
          <cell r="J505">
            <v>0</v>
          </cell>
          <cell r="R505" t="str">
            <v>IN-FONDO0_DPZ_NSOL</v>
          </cell>
        </row>
        <row r="506">
          <cell r="I506">
            <v>15096416.58</v>
          </cell>
          <cell r="J506">
            <v>0</v>
          </cell>
          <cell r="R506" t="str">
            <v>IN-FONDO0_DPZ_NSOL</v>
          </cell>
        </row>
        <row r="507">
          <cell r="I507">
            <v>30133499.879999999</v>
          </cell>
          <cell r="J507">
            <v>0</v>
          </cell>
          <cell r="R507" t="str">
            <v>IN-FONDO0_DPZ_NSOL</v>
          </cell>
        </row>
        <row r="508">
          <cell r="I508">
            <v>30133499.879999999</v>
          </cell>
          <cell r="J508">
            <v>0</v>
          </cell>
          <cell r="R508" t="str">
            <v>IN-FONDO0_DPZ_NSOL</v>
          </cell>
        </row>
        <row r="509">
          <cell r="I509">
            <v>20071855.620000001</v>
          </cell>
          <cell r="J509">
            <v>0</v>
          </cell>
          <cell r="R509" t="str">
            <v>IN-FONDO0_DPZ_NSOL</v>
          </cell>
        </row>
        <row r="510">
          <cell r="I510">
            <v>15053166.57</v>
          </cell>
          <cell r="J510">
            <v>0</v>
          </cell>
          <cell r="R510" t="str">
            <v>IN-FONDO0_DPZ_NSOL</v>
          </cell>
        </row>
        <row r="511">
          <cell r="I511">
            <v>35095821.880000003</v>
          </cell>
          <cell r="J511">
            <v>0</v>
          </cell>
          <cell r="R511" t="str">
            <v>IN-FONDO0_DPZ_NSOL</v>
          </cell>
        </row>
        <row r="512">
          <cell r="I512">
            <v>35095821.880000003</v>
          </cell>
          <cell r="J512">
            <v>0</v>
          </cell>
          <cell r="R512" t="str">
            <v>IN-FONDO0_DPZ_NSOL</v>
          </cell>
        </row>
        <row r="513">
          <cell r="I513">
            <v>26547198.096000001</v>
          </cell>
          <cell r="J513">
            <v>0</v>
          </cell>
          <cell r="R513" t="str">
            <v>IN-FONDO0_DPZ_NSOL</v>
          </cell>
        </row>
        <row r="514">
          <cell r="I514">
            <v>10377861.449999999</v>
          </cell>
          <cell r="J514">
            <v>0</v>
          </cell>
          <cell r="R514" t="str">
            <v>IN-FONDO0_DPZ_NSOL</v>
          </cell>
        </row>
        <row r="515">
          <cell r="I515">
            <v>47518190.302000001</v>
          </cell>
          <cell r="J515">
            <v>0</v>
          </cell>
          <cell r="R515" t="str">
            <v>IN-FONDO0_DPZ_NSOL</v>
          </cell>
        </row>
        <row r="516">
          <cell r="I516">
            <v>35841601.844999999</v>
          </cell>
          <cell r="J516">
            <v>0</v>
          </cell>
          <cell r="R516" t="str">
            <v>IN-FONDO0_DPZ_NSOL</v>
          </cell>
        </row>
        <row r="517">
          <cell r="I517">
            <v>20449498.760000002</v>
          </cell>
          <cell r="J517">
            <v>0</v>
          </cell>
          <cell r="R517" t="str">
            <v>IN-FONDO0_DPZ_NSOL</v>
          </cell>
        </row>
        <row r="518">
          <cell r="I518">
            <v>32692131.423999999</v>
          </cell>
          <cell r="J518">
            <v>0</v>
          </cell>
          <cell r="R518" t="str">
            <v>IN-FONDO0_DPZ_NSOL</v>
          </cell>
        </row>
        <row r="519">
          <cell r="I519">
            <v>30641623.23</v>
          </cell>
          <cell r="J519">
            <v>0</v>
          </cell>
          <cell r="R519" t="str">
            <v>IN-FONDO0_DPZ_NSOL</v>
          </cell>
        </row>
        <row r="520">
          <cell r="I520">
            <v>15270540.66</v>
          </cell>
          <cell r="J520">
            <v>0</v>
          </cell>
          <cell r="R520" t="str">
            <v>IN-FONDO0_DPZ_NSOL</v>
          </cell>
        </row>
        <row r="521">
          <cell r="I521">
            <v>34613225.495999999</v>
          </cell>
          <cell r="J521">
            <v>0</v>
          </cell>
          <cell r="R521" t="str">
            <v>IN-FONDO0_DPZ_NSOL</v>
          </cell>
        </row>
        <row r="522">
          <cell r="I522">
            <v>15215250.615</v>
          </cell>
          <cell r="J522">
            <v>0</v>
          </cell>
          <cell r="R522" t="str">
            <v>IN-FONDO0_DPZ_NSOL</v>
          </cell>
        </row>
        <row r="523">
          <cell r="I523">
            <v>10135333.720000001</v>
          </cell>
          <cell r="J523">
            <v>0</v>
          </cell>
          <cell r="R523" t="str">
            <v>IN-FONDO0_DPZ_NSOL</v>
          </cell>
        </row>
        <row r="524">
          <cell r="I524">
            <v>15203000.58</v>
          </cell>
          <cell r="J524">
            <v>0</v>
          </cell>
          <cell r="R524" t="str">
            <v>IN-FONDO0_DPZ_NSOL</v>
          </cell>
        </row>
        <row r="525">
          <cell r="I525">
            <v>5099052.59</v>
          </cell>
          <cell r="J525">
            <v>0</v>
          </cell>
          <cell r="R525" t="str">
            <v>IN-FONDO0_DPZ_NSOL</v>
          </cell>
        </row>
        <row r="526">
          <cell r="I526">
            <v>8060133.4400000004</v>
          </cell>
          <cell r="J526">
            <v>0</v>
          </cell>
          <cell r="R526" t="str">
            <v>IN-FONDO0_DPZ_NSOL</v>
          </cell>
        </row>
        <row r="527">
          <cell r="I527">
            <v>5032500</v>
          </cell>
          <cell r="J527">
            <v>0</v>
          </cell>
          <cell r="R527" t="str">
            <v>IN-FONDO0_DPZ_NSOL</v>
          </cell>
        </row>
        <row r="528">
          <cell r="I528">
            <v>10435110.720000001</v>
          </cell>
          <cell r="J528">
            <v>0</v>
          </cell>
          <cell r="R528" t="str">
            <v>IN-FONDO0_DPZ_NSOL</v>
          </cell>
        </row>
        <row r="529">
          <cell r="I529">
            <v>20767869.440000001</v>
          </cell>
          <cell r="J529">
            <v>0</v>
          </cell>
          <cell r="R529" t="str">
            <v>IN-FONDO0_DPZ_NSOL</v>
          </cell>
        </row>
        <row r="530">
          <cell r="I530">
            <v>15487500</v>
          </cell>
          <cell r="J530">
            <v>0</v>
          </cell>
          <cell r="R530" t="str">
            <v>IN-FONDO0_DPZ_NSOL</v>
          </cell>
        </row>
        <row r="531">
          <cell r="I531">
            <v>20622500</v>
          </cell>
          <cell r="J531">
            <v>0</v>
          </cell>
          <cell r="R531" t="str">
            <v>IN-FONDO0_DPZ_NSOL</v>
          </cell>
        </row>
        <row r="532">
          <cell r="I532">
            <v>12367500</v>
          </cell>
          <cell r="J532">
            <v>0</v>
          </cell>
          <cell r="R532" t="str">
            <v>IN-FONDO0_DPZ_NSOL</v>
          </cell>
        </row>
        <row r="533">
          <cell r="I533">
            <v>10297500</v>
          </cell>
          <cell r="J533">
            <v>0</v>
          </cell>
          <cell r="R533" t="str">
            <v>IN-FONDO0_DPZ_NSOL</v>
          </cell>
        </row>
        <row r="534">
          <cell r="I534">
            <v>10297500</v>
          </cell>
          <cell r="J534">
            <v>0</v>
          </cell>
          <cell r="R534" t="str">
            <v>IN-FONDO0_DPZ_NSOL</v>
          </cell>
        </row>
        <row r="535">
          <cell r="I535">
            <v>10298161.640000001</v>
          </cell>
          <cell r="J535">
            <v>0</v>
          </cell>
          <cell r="R535" t="str">
            <v>IN-FONDO0_DPZ_NSOL</v>
          </cell>
        </row>
        <row r="536">
          <cell r="I536">
            <v>10298161.640000001</v>
          </cell>
          <cell r="J536">
            <v>0</v>
          </cell>
          <cell r="R536" t="str">
            <v>IN-FONDO0_DPZ_NSOL</v>
          </cell>
        </row>
        <row r="537">
          <cell r="I537">
            <v>30894484.920000002</v>
          </cell>
          <cell r="J537">
            <v>0</v>
          </cell>
          <cell r="R537" t="str">
            <v>IN-FONDO0_DPZ_NSOL</v>
          </cell>
        </row>
        <row r="538">
          <cell r="I538">
            <v>30855000</v>
          </cell>
          <cell r="J538">
            <v>0</v>
          </cell>
          <cell r="R538" t="str">
            <v>IN-FONDO0_DPZ_NSOL</v>
          </cell>
        </row>
        <row r="539">
          <cell r="I539">
            <v>30445873.77</v>
          </cell>
          <cell r="J539">
            <v>0</v>
          </cell>
          <cell r="R539" t="str">
            <v>IN-FONDO0_DPZ_NSOL</v>
          </cell>
        </row>
        <row r="540">
          <cell r="I540">
            <v>10379554.199999999</v>
          </cell>
          <cell r="J540">
            <v>0</v>
          </cell>
          <cell r="R540" t="str">
            <v>IN-FONDO0_DPZ_NSOL</v>
          </cell>
        </row>
        <row r="541">
          <cell r="I541">
            <v>20592721.699999999</v>
          </cell>
          <cell r="J541">
            <v>0</v>
          </cell>
          <cell r="R541" t="str">
            <v>IN-FONDO0_DPZ_NSOL</v>
          </cell>
        </row>
        <row r="542">
          <cell r="I542">
            <v>25720417.300000001</v>
          </cell>
          <cell r="J542">
            <v>0</v>
          </cell>
          <cell r="R542" t="str">
            <v>IN-FONDO0_DPZ_NSOL</v>
          </cell>
        </row>
        <row r="543">
          <cell r="I543">
            <v>9294750</v>
          </cell>
          <cell r="J543">
            <v>0</v>
          </cell>
          <cell r="R543" t="str">
            <v>IN-FONDO0_DPZ_NSOL</v>
          </cell>
        </row>
        <row r="544">
          <cell r="I544">
            <v>20352334.34</v>
          </cell>
          <cell r="J544">
            <v>0</v>
          </cell>
          <cell r="R544" t="str">
            <v>IN-FONDO0_DPZ_NSOL</v>
          </cell>
        </row>
        <row r="545">
          <cell r="I545">
            <v>0</v>
          </cell>
          <cell r="J545">
            <v>0</v>
          </cell>
          <cell r="R545" t="str">
            <v>IN-FONDO1_DPZ_NSOL</v>
          </cell>
        </row>
        <row r="546">
          <cell r="I546">
            <v>0</v>
          </cell>
          <cell r="J546">
            <v>0</v>
          </cell>
          <cell r="R546" t="str">
            <v>IN-FONDO2_DPZ_NSOL</v>
          </cell>
        </row>
        <row r="547">
          <cell r="I547">
            <v>162000000</v>
          </cell>
          <cell r="J547">
            <v>0</v>
          </cell>
          <cell r="R547" t="str">
            <v>IN-FONDO2_DPZ_NSOL</v>
          </cell>
        </row>
        <row r="548">
          <cell r="I548">
            <v>0</v>
          </cell>
          <cell r="J548">
            <v>0</v>
          </cell>
          <cell r="R548" t="str">
            <v>IN-FONDO3_DPZ_NSOL</v>
          </cell>
        </row>
        <row r="549">
          <cell r="I549">
            <v>500000</v>
          </cell>
          <cell r="J549">
            <v>0</v>
          </cell>
          <cell r="R549" t="str">
            <v>IN-FONDO3_DPZ_NSOL</v>
          </cell>
        </row>
        <row r="550">
          <cell r="I550">
            <v>17307587.205327999</v>
          </cell>
          <cell r="J550">
            <v>17360</v>
          </cell>
          <cell r="R550" t="str">
            <v>IN-FONDO0_63594212503B</v>
          </cell>
        </row>
        <row r="551">
          <cell r="I551">
            <v>36102538.326700002</v>
          </cell>
          <cell r="J551">
            <v>37000</v>
          </cell>
          <cell r="R551" t="str">
            <v>IN-FONDO0_63594212603C</v>
          </cell>
        </row>
        <row r="552">
          <cell r="I552">
            <v>19822870.568</v>
          </cell>
          <cell r="J552">
            <v>20000</v>
          </cell>
          <cell r="R552" t="str">
            <v>IN-FONDO0_63588612504A</v>
          </cell>
        </row>
        <row r="553">
          <cell r="I553">
            <v>28657551.495000001</v>
          </cell>
          <cell r="J553">
            <v>30000</v>
          </cell>
          <cell r="R553" t="str">
            <v>IN-FONDO0_63588612601C</v>
          </cell>
        </row>
        <row r="554">
          <cell r="I554">
            <v>12484564.05125</v>
          </cell>
          <cell r="J554">
            <v>12500</v>
          </cell>
          <cell r="R554" t="str">
            <v>IN-FONDO0_63003812501G</v>
          </cell>
        </row>
        <row r="555">
          <cell r="I555">
            <v>37651532.088759802</v>
          </cell>
          <cell r="J555">
            <v>38201</v>
          </cell>
          <cell r="R555" t="str">
            <v>IN-FONDO0_63003812501H</v>
          </cell>
        </row>
        <row r="556">
          <cell r="I556">
            <v>23732897.8737536</v>
          </cell>
          <cell r="J556">
            <v>24248</v>
          </cell>
          <cell r="R556" t="str">
            <v>IN-FONDO0_63003812601I</v>
          </cell>
        </row>
        <row r="557">
          <cell r="I557">
            <v>29012633.1855</v>
          </cell>
          <cell r="J557">
            <v>29976</v>
          </cell>
          <cell r="R557" t="str">
            <v>IN-FONDO0_63003812601J</v>
          </cell>
        </row>
        <row r="558">
          <cell r="I558">
            <v>48229817.015000001</v>
          </cell>
          <cell r="J558">
            <v>50000</v>
          </cell>
          <cell r="R558" t="str">
            <v>IN-FONDO0_63003812601K</v>
          </cell>
        </row>
        <row r="559">
          <cell r="I559">
            <v>40506191.276000001</v>
          </cell>
          <cell r="J559">
            <v>40000</v>
          </cell>
          <cell r="R559" t="str">
            <v>IN-FONDO0_63002212601U</v>
          </cell>
        </row>
        <row r="560">
          <cell r="I560">
            <v>25704466.460749999</v>
          </cell>
          <cell r="J560">
            <v>25900</v>
          </cell>
          <cell r="R560" t="str">
            <v>IN-FONDO0_63004212501B</v>
          </cell>
        </row>
        <row r="561">
          <cell r="I561">
            <v>30013472.8127416</v>
          </cell>
          <cell r="J561">
            <v>31304</v>
          </cell>
          <cell r="R561" t="str">
            <v>IN-FONDO0_63004212602A</v>
          </cell>
        </row>
        <row r="562">
          <cell r="I562">
            <v>31051341.635400001</v>
          </cell>
          <cell r="J562">
            <v>6000</v>
          </cell>
          <cell r="R562" t="str">
            <v>IN-FONDO0_63008612501A</v>
          </cell>
        </row>
        <row r="563">
          <cell r="I563">
            <v>14896060.1427</v>
          </cell>
          <cell r="J563">
            <v>2900</v>
          </cell>
          <cell r="R563" t="str">
            <v>IN-FONDO0_63008612504A</v>
          </cell>
        </row>
        <row r="564">
          <cell r="I564">
            <v>26694700.620840002</v>
          </cell>
          <cell r="J564">
            <v>5220</v>
          </cell>
          <cell r="R564" t="str">
            <v>IN-FONDO0_63008612604B</v>
          </cell>
        </row>
        <row r="565">
          <cell r="I565">
            <v>17100112.989858601</v>
          </cell>
          <cell r="J565">
            <v>17823</v>
          </cell>
          <cell r="R565" t="str">
            <v>IN-FONDO0_63008712601A</v>
          </cell>
        </row>
        <row r="566">
          <cell r="I566">
            <v>28760274.547581401</v>
          </cell>
          <cell r="J566">
            <v>28939</v>
          </cell>
          <cell r="R566" t="str">
            <v>IN-FONDO0_63004912502B</v>
          </cell>
        </row>
        <row r="567">
          <cell r="I567">
            <v>33552735.289500002</v>
          </cell>
          <cell r="J567">
            <v>35000</v>
          </cell>
          <cell r="R567" t="str">
            <v>IN-FONDO0_63004912601E</v>
          </cell>
        </row>
        <row r="568">
          <cell r="I568">
            <v>9696848.318</v>
          </cell>
          <cell r="J568">
            <v>10000</v>
          </cell>
          <cell r="R568" t="str">
            <v>IN-FONDO0_63004912602C</v>
          </cell>
        </row>
        <row r="569">
          <cell r="I569">
            <v>14934823.558499999</v>
          </cell>
          <cell r="J569">
            <v>15000</v>
          </cell>
          <cell r="R569" t="str">
            <v>IN-FONDO0_63000312501E</v>
          </cell>
        </row>
        <row r="570">
          <cell r="I570">
            <v>28986268.664999999</v>
          </cell>
          <cell r="J570">
            <v>30000</v>
          </cell>
          <cell r="R570" t="str">
            <v>IN-FONDO0_63000312601F</v>
          </cell>
        </row>
        <row r="571">
          <cell r="I571">
            <v>24108798.760000002</v>
          </cell>
          <cell r="J571">
            <v>25000</v>
          </cell>
          <cell r="R571" t="str">
            <v>IN-FONDO0_63000312601G</v>
          </cell>
        </row>
        <row r="572">
          <cell r="I572">
            <v>22290044.68093</v>
          </cell>
          <cell r="J572">
            <v>22958</v>
          </cell>
          <cell r="R572" t="str">
            <v>IN-FONDO0_63004812601D</v>
          </cell>
        </row>
        <row r="573">
          <cell r="I573">
            <v>24057658.620000001</v>
          </cell>
          <cell r="J573">
            <v>25000</v>
          </cell>
          <cell r="R573" t="str">
            <v>IN-FONDO0_63004812601E</v>
          </cell>
        </row>
        <row r="574">
          <cell r="I574">
            <v>61189449.6732447</v>
          </cell>
          <cell r="J574">
            <v>6329</v>
          </cell>
          <cell r="R574" t="str">
            <v>IN-FONDO0_63000912601A</v>
          </cell>
        </row>
        <row r="575">
          <cell r="I575">
            <v>0</v>
          </cell>
          <cell r="J575">
            <v>0</v>
          </cell>
          <cell r="R575" t="str">
            <v>IN-FONDO1_DPZ_DOL</v>
          </cell>
        </row>
        <row r="576">
          <cell r="I576">
            <v>0</v>
          </cell>
          <cell r="J576">
            <v>0</v>
          </cell>
          <cell r="R576" t="str">
            <v>IN-FONDO1_DPZ_DOL</v>
          </cell>
        </row>
        <row r="577">
          <cell r="I577">
            <v>0</v>
          </cell>
          <cell r="J577">
            <v>0</v>
          </cell>
          <cell r="R577" t="str">
            <v>IN-FONDO1_DPZ_DOL</v>
          </cell>
        </row>
        <row r="578">
          <cell r="I578">
            <v>0</v>
          </cell>
          <cell r="J578">
            <v>0</v>
          </cell>
          <cell r="R578" t="str">
            <v>IN-FONDO1_DPZ_DOL</v>
          </cell>
        </row>
        <row r="579">
          <cell r="I579">
            <v>0</v>
          </cell>
          <cell r="J579">
            <v>0</v>
          </cell>
          <cell r="R579" t="str">
            <v>IN-FONDO1_DPZ_DOL</v>
          </cell>
        </row>
        <row r="580">
          <cell r="I580">
            <v>1385509.6199099999</v>
          </cell>
          <cell r="J580">
            <v>0</v>
          </cell>
          <cell r="R580" t="str">
            <v>IN-FONDO1_DPZ_DOL</v>
          </cell>
        </row>
        <row r="581">
          <cell r="I581">
            <v>3041362.54734</v>
          </cell>
          <cell r="J581">
            <v>0</v>
          </cell>
          <cell r="R581" t="str">
            <v>IN-FONDO1_DPZ_DOL</v>
          </cell>
        </row>
        <row r="582">
          <cell r="I582">
            <v>509353.05673200003</v>
          </cell>
          <cell r="J582">
            <v>0</v>
          </cell>
          <cell r="R582" t="str">
            <v>IN-FONDO1_DPZ_DOL</v>
          </cell>
        </row>
        <row r="583">
          <cell r="I583">
            <v>0</v>
          </cell>
          <cell r="J583">
            <v>0</v>
          </cell>
          <cell r="R583" t="str">
            <v>IN-FONDO1_DPZ_DOL</v>
          </cell>
        </row>
        <row r="584">
          <cell r="I584">
            <v>0</v>
          </cell>
          <cell r="J584">
            <v>0</v>
          </cell>
          <cell r="R584" t="str">
            <v>IN-FONDO1_DPZ_DOL</v>
          </cell>
        </row>
        <row r="585">
          <cell r="I585">
            <v>0</v>
          </cell>
          <cell r="J585">
            <v>0</v>
          </cell>
          <cell r="R585" t="str">
            <v>IN-FONDO1_DPZ_DOL</v>
          </cell>
        </row>
        <row r="586">
          <cell r="I586">
            <v>2939456.7975240001</v>
          </cell>
          <cell r="J586">
            <v>0</v>
          </cell>
          <cell r="R586" t="str">
            <v>IN-FONDO1_DPZ_DOL</v>
          </cell>
        </row>
        <row r="587">
          <cell r="I587">
            <v>12403081.722953999</v>
          </cell>
          <cell r="J587">
            <v>0</v>
          </cell>
          <cell r="R587" t="str">
            <v>IN-FONDO1_DPZ_DOL</v>
          </cell>
        </row>
        <row r="588">
          <cell r="I588">
            <v>1148959.192056</v>
          </cell>
          <cell r="J588">
            <v>0</v>
          </cell>
          <cell r="R588" t="str">
            <v>IN-FONDO1_DPZ_DOL</v>
          </cell>
        </row>
        <row r="589">
          <cell r="I589">
            <v>7805758.4596680002</v>
          </cell>
          <cell r="J589">
            <v>0</v>
          </cell>
          <cell r="R589" t="str">
            <v>IN-FONDO1_DPZ_DOL</v>
          </cell>
        </row>
        <row r="590">
          <cell r="I590">
            <v>0</v>
          </cell>
          <cell r="J590">
            <v>0</v>
          </cell>
          <cell r="R590" t="str">
            <v>IN-FONDO1_DPZ_DOL</v>
          </cell>
        </row>
        <row r="591">
          <cell r="I591">
            <v>0</v>
          </cell>
          <cell r="J591">
            <v>0</v>
          </cell>
          <cell r="R591" t="str">
            <v>IN-FONDO1_DPZ_DOL</v>
          </cell>
        </row>
        <row r="592">
          <cell r="I592">
            <v>4595836.7344500003</v>
          </cell>
          <cell r="J592">
            <v>0</v>
          </cell>
          <cell r="R592" t="str">
            <v>IN-FONDO1_DPZ_DOL</v>
          </cell>
        </row>
        <row r="593">
          <cell r="I593">
            <v>10002817.108518001</v>
          </cell>
          <cell r="J593">
            <v>0</v>
          </cell>
          <cell r="R593" t="str">
            <v>IN-FONDO1_DPZ_DOL</v>
          </cell>
        </row>
        <row r="594">
          <cell r="I594">
            <v>7314253.6785239996</v>
          </cell>
          <cell r="J594">
            <v>0</v>
          </cell>
          <cell r="R594" t="str">
            <v>IN-FONDO1_DPZ_DOL</v>
          </cell>
        </row>
        <row r="595">
          <cell r="I595">
            <v>0</v>
          </cell>
          <cell r="J595">
            <v>0</v>
          </cell>
          <cell r="R595" t="str">
            <v>IN-FONDO2_DPZ_DOL</v>
          </cell>
        </row>
        <row r="596">
          <cell r="I596">
            <v>0</v>
          </cell>
          <cell r="J596">
            <v>0</v>
          </cell>
          <cell r="R596" t="str">
            <v>IN-FONDO2_DPZ_DOL</v>
          </cell>
        </row>
        <row r="597">
          <cell r="I597">
            <v>0</v>
          </cell>
          <cell r="J597">
            <v>0</v>
          </cell>
          <cell r="R597" t="str">
            <v>IN-FONDO2_DPZ_DOL</v>
          </cell>
        </row>
        <row r="598">
          <cell r="I598">
            <v>4224114.6528359996</v>
          </cell>
          <cell r="J598">
            <v>0</v>
          </cell>
          <cell r="R598" t="str">
            <v>IN-FONDO2_DPZ_DOL</v>
          </cell>
        </row>
        <row r="599">
          <cell r="I599">
            <v>13348202.362404</v>
          </cell>
          <cell r="J599">
            <v>0</v>
          </cell>
          <cell r="R599" t="str">
            <v>IN-FONDO2_DPZ_DOL</v>
          </cell>
        </row>
        <row r="600">
          <cell r="I600">
            <v>17877682.879992001</v>
          </cell>
          <cell r="J600">
            <v>0</v>
          </cell>
          <cell r="R600" t="str">
            <v>IN-FONDO2_DPZ_DOL</v>
          </cell>
        </row>
        <row r="601">
          <cell r="I601">
            <v>36674839.943663999</v>
          </cell>
          <cell r="J601">
            <v>0</v>
          </cell>
          <cell r="R601" t="str">
            <v>IN-FONDO2_DPZ_DOL</v>
          </cell>
        </row>
        <row r="602">
          <cell r="I602">
            <v>0</v>
          </cell>
          <cell r="J602">
            <v>0</v>
          </cell>
          <cell r="R602" t="str">
            <v>IN-FONDO2_DPZ_DOL</v>
          </cell>
        </row>
        <row r="603">
          <cell r="I603">
            <v>0</v>
          </cell>
          <cell r="J603">
            <v>0</v>
          </cell>
          <cell r="R603" t="str">
            <v>IN-FONDO2_DPZ_DOL</v>
          </cell>
        </row>
        <row r="604">
          <cell r="I604">
            <v>6724790.5513620004</v>
          </cell>
          <cell r="J604">
            <v>0</v>
          </cell>
          <cell r="R604" t="str">
            <v>IN-FONDO2_DPZ_DOL</v>
          </cell>
        </row>
        <row r="605">
          <cell r="I605">
            <v>13111651.900776001</v>
          </cell>
          <cell r="J605">
            <v>0</v>
          </cell>
          <cell r="R605" t="str">
            <v>IN-FONDO2_DPZ_DOL</v>
          </cell>
        </row>
        <row r="606">
          <cell r="I606">
            <v>0</v>
          </cell>
          <cell r="J606">
            <v>0</v>
          </cell>
          <cell r="R606" t="str">
            <v>IN-FONDO2_DPZ_DOL</v>
          </cell>
        </row>
        <row r="607">
          <cell r="I607">
            <v>0</v>
          </cell>
          <cell r="J607">
            <v>0</v>
          </cell>
          <cell r="R607" t="str">
            <v>IN-FONDO2_DPZ_DOL</v>
          </cell>
        </row>
        <row r="608">
          <cell r="I608">
            <v>0</v>
          </cell>
          <cell r="J608">
            <v>0</v>
          </cell>
          <cell r="R608" t="str">
            <v>IN-FONDO2_DPZ_DOL</v>
          </cell>
        </row>
        <row r="609">
          <cell r="I609">
            <v>0</v>
          </cell>
          <cell r="J609">
            <v>0</v>
          </cell>
          <cell r="R609" t="str">
            <v>IN-FONDO2_DPZ_DOL</v>
          </cell>
        </row>
        <row r="610">
          <cell r="I610">
            <v>1250337.9323760001</v>
          </cell>
          <cell r="J610">
            <v>0</v>
          </cell>
          <cell r="R610" t="str">
            <v>IN-FONDO2_DPZ_DOL</v>
          </cell>
        </row>
        <row r="611">
          <cell r="I611">
            <v>7297689.1189019997</v>
          </cell>
          <cell r="J611">
            <v>0</v>
          </cell>
          <cell r="R611" t="str">
            <v>IN-FONDO2_DPZ_DOL</v>
          </cell>
        </row>
        <row r="612">
          <cell r="I612">
            <v>18924033.72171</v>
          </cell>
          <cell r="J612">
            <v>0</v>
          </cell>
          <cell r="R612" t="str">
            <v>IN-FONDO2_DPZ_DOL</v>
          </cell>
        </row>
        <row r="613">
          <cell r="I613">
            <v>0</v>
          </cell>
          <cell r="J613">
            <v>0</v>
          </cell>
          <cell r="R613" t="str">
            <v>IN-FONDO2_DPZ_DOL</v>
          </cell>
        </row>
        <row r="614">
          <cell r="I614">
            <v>17845081.783464</v>
          </cell>
          <cell r="J614">
            <v>0</v>
          </cell>
          <cell r="R614" t="str">
            <v>IN-FONDO2_DPZ_DOL</v>
          </cell>
        </row>
        <row r="615">
          <cell r="I615">
            <v>0</v>
          </cell>
          <cell r="J615">
            <v>0</v>
          </cell>
          <cell r="R615" t="str">
            <v>IN-FONDO3_DPZ_DOL</v>
          </cell>
        </row>
        <row r="616">
          <cell r="I616">
            <v>0</v>
          </cell>
          <cell r="J616">
            <v>0</v>
          </cell>
          <cell r="R616" t="str">
            <v>IN-FONDO3_DPZ_DOL</v>
          </cell>
        </row>
        <row r="617">
          <cell r="I617">
            <v>2635847.5185119999</v>
          </cell>
          <cell r="J617">
            <v>0</v>
          </cell>
          <cell r="R617" t="str">
            <v>IN-FONDO3_DPZ_DOL</v>
          </cell>
        </row>
        <row r="618">
          <cell r="I618">
            <v>2872397.9801400001</v>
          </cell>
          <cell r="J618">
            <v>0</v>
          </cell>
          <cell r="R618" t="str">
            <v>IN-FONDO3_DPZ_DOL</v>
          </cell>
        </row>
        <row r="619">
          <cell r="I619">
            <v>4291700.4797160001</v>
          </cell>
          <cell r="J619">
            <v>0</v>
          </cell>
          <cell r="R619" t="str">
            <v>IN-FONDO3_DPZ_DOL</v>
          </cell>
        </row>
        <row r="620">
          <cell r="I620">
            <v>5068937.6239320002</v>
          </cell>
          <cell r="J620">
            <v>0</v>
          </cell>
          <cell r="R620" t="str">
            <v>IN-FONDO3_DPZ_DOL</v>
          </cell>
        </row>
        <row r="621">
          <cell r="I621">
            <v>0</v>
          </cell>
          <cell r="J621">
            <v>0</v>
          </cell>
          <cell r="R621" t="str">
            <v>IN-FONDO3_DPZ_DOL</v>
          </cell>
        </row>
        <row r="622">
          <cell r="I622">
            <v>0</v>
          </cell>
          <cell r="J622">
            <v>0</v>
          </cell>
          <cell r="R622" t="str">
            <v>IN-FONDO3_DPZ_DOL</v>
          </cell>
        </row>
        <row r="623">
          <cell r="I623">
            <v>574479.596028</v>
          </cell>
          <cell r="J623">
            <v>0</v>
          </cell>
          <cell r="R623" t="str">
            <v>IN-FONDO3_DPZ_DOL</v>
          </cell>
        </row>
        <row r="624">
          <cell r="I624">
            <v>0</v>
          </cell>
          <cell r="J624">
            <v>0</v>
          </cell>
          <cell r="R624" t="str">
            <v>IN-FONDO3_DPZ_DOL</v>
          </cell>
        </row>
        <row r="625">
          <cell r="I625">
            <v>0</v>
          </cell>
          <cell r="J625">
            <v>0</v>
          </cell>
          <cell r="R625" t="str">
            <v>IN-FONDO3_DPZ_DOL</v>
          </cell>
        </row>
        <row r="626">
          <cell r="I626">
            <v>8211678.9115920002</v>
          </cell>
          <cell r="J626">
            <v>0</v>
          </cell>
          <cell r="R626" t="str">
            <v>IN-FONDO3_DPZ_DOL</v>
          </cell>
        </row>
        <row r="627">
          <cell r="I627">
            <v>6898255.9768979996</v>
          </cell>
          <cell r="J627">
            <v>0</v>
          </cell>
          <cell r="R627" t="str">
            <v>IN-FONDO3_DPZ_DOL</v>
          </cell>
        </row>
        <row r="628">
          <cell r="I628">
            <v>0</v>
          </cell>
          <cell r="J628">
            <v>0</v>
          </cell>
          <cell r="R628" t="str">
            <v>IN-FONDO3_DPZ_DOL</v>
          </cell>
        </row>
        <row r="629">
          <cell r="I629"/>
          <cell r="J629"/>
          <cell r="R629" t="str">
            <v/>
          </cell>
        </row>
        <row r="630">
          <cell r="I630"/>
          <cell r="J630"/>
          <cell r="R630" t="str">
            <v/>
          </cell>
        </row>
        <row r="631">
          <cell r="I631"/>
          <cell r="J631"/>
          <cell r="R631" t="str">
            <v/>
          </cell>
        </row>
        <row r="632">
          <cell r="I632"/>
          <cell r="J632"/>
          <cell r="R632" t="str">
            <v/>
          </cell>
        </row>
        <row r="633">
          <cell r="I633"/>
          <cell r="J633"/>
          <cell r="R633" t="str">
            <v/>
          </cell>
        </row>
        <row r="634">
          <cell r="I634"/>
          <cell r="J634"/>
          <cell r="R634" t="str">
            <v/>
          </cell>
        </row>
        <row r="635">
          <cell r="I635"/>
          <cell r="J635"/>
          <cell r="R635" t="str">
            <v/>
          </cell>
        </row>
        <row r="636">
          <cell r="I636"/>
          <cell r="J636"/>
          <cell r="R636" t="str">
            <v/>
          </cell>
        </row>
        <row r="637">
          <cell r="I637"/>
          <cell r="J637"/>
          <cell r="R637" t="str">
            <v/>
          </cell>
        </row>
        <row r="638">
          <cell r="I638"/>
          <cell r="J638"/>
          <cell r="R638" t="str">
            <v/>
          </cell>
        </row>
        <row r="639">
          <cell r="I639"/>
          <cell r="J639"/>
          <cell r="R639" t="str">
            <v/>
          </cell>
        </row>
        <row r="640">
          <cell r="I640"/>
          <cell r="J640"/>
          <cell r="R640" t="str">
            <v/>
          </cell>
        </row>
        <row r="641">
          <cell r="I641"/>
          <cell r="J641"/>
          <cell r="R641" t="str">
            <v/>
          </cell>
        </row>
        <row r="642">
          <cell r="I642"/>
          <cell r="J642"/>
          <cell r="R642" t="str">
            <v/>
          </cell>
        </row>
        <row r="643">
          <cell r="I643"/>
          <cell r="J643"/>
          <cell r="R643" t="str">
            <v/>
          </cell>
        </row>
        <row r="644">
          <cell r="I644"/>
          <cell r="J644"/>
          <cell r="R644" t="str">
            <v/>
          </cell>
        </row>
        <row r="645">
          <cell r="I645"/>
          <cell r="J645"/>
          <cell r="R645" t="str">
            <v/>
          </cell>
        </row>
        <row r="646">
          <cell r="I646"/>
          <cell r="J646"/>
          <cell r="R646" t="str">
            <v/>
          </cell>
        </row>
        <row r="647">
          <cell r="I647"/>
          <cell r="J647"/>
          <cell r="R647" t="str">
            <v/>
          </cell>
        </row>
        <row r="648">
          <cell r="I648"/>
          <cell r="J648"/>
          <cell r="R648" t="str">
            <v/>
          </cell>
        </row>
        <row r="649">
          <cell r="I649"/>
          <cell r="J649"/>
          <cell r="R649" t="str">
            <v/>
          </cell>
        </row>
        <row r="650">
          <cell r="I650"/>
          <cell r="J650"/>
          <cell r="R650" t="str">
            <v/>
          </cell>
        </row>
        <row r="651">
          <cell r="I651"/>
          <cell r="J651"/>
          <cell r="R651" t="str">
            <v/>
          </cell>
        </row>
        <row r="652">
          <cell r="I652"/>
          <cell r="J652"/>
          <cell r="R652" t="str">
            <v/>
          </cell>
        </row>
        <row r="653">
          <cell r="I653"/>
          <cell r="J653"/>
          <cell r="R653" t="str">
            <v/>
          </cell>
        </row>
        <row r="654">
          <cell r="I654"/>
          <cell r="J654"/>
          <cell r="R654" t="str">
            <v/>
          </cell>
        </row>
        <row r="655">
          <cell r="I655"/>
          <cell r="J655"/>
          <cell r="R655" t="str">
            <v/>
          </cell>
        </row>
        <row r="656">
          <cell r="I656"/>
          <cell r="J656"/>
          <cell r="R656" t="str">
            <v/>
          </cell>
        </row>
        <row r="657">
          <cell r="I657"/>
          <cell r="J657"/>
          <cell r="R657" t="str">
            <v/>
          </cell>
        </row>
        <row r="658">
          <cell r="I658"/>
          <cell r="J658"/>
          <cell r="R658" t="str">
            <v/>
          </cell>
        </row>
        <row r="659">
          <cell r="I659"/>
          <cell r="J659"/>
          <cell r="R659" t="str">
            <v/>
          </cell>
        </row>
        <row r="660">
          <cell r="I660"/>
          <cell r="J660"/>
          <cell r="R660" t="str">
            <v/>
          </cell>
        </row>
        <row r="661">
          <cell r="I661"/>
          <cell r="J661"/>
          <cell r="R661" t="str">
            <v/>
          </cell>
        </row>
        <row r="662">
          <cell r="I662"/>
          <cell r="J662"/>
          <cell r="R662" t="str">
            <v/>
          </cell>
        </row>
        <row r="663">
          <cell r="I663"/>
          <cell r="J663"/>
          <cell r="R663" t="str">
            <v/>
          </cell>
        </row>
        <row r="664">
          <cell r="I664"/>
          <cell r="J664"/>
          <cell r="R664" t="str">
            <v/>
          </cell>
        </row>
        <row r="665">
          <cell r="I665"/>
          <cell r="J665"/>
          <cell r="R665" t="str">
            <v/>
          </cell>
        </row>
        <row r="666">
          <cell r="I666"/>
          <cell r="J666"/>
          <cell r="R666" t="str">
            <v/>
          </cell>
        </row>
        <row r="667">
          <cell r="I667"/>
          <cell r="J667"/>
          <cell r="R667" t="str">
            <v/>
          </cell>
        </row>
        <row r="668">
          <cell r="I668"/>
          <cell r="J668"/>
          <cell r="R668" t="str">
            <v/>
          </cell>
        </row>
        <row r="669">
          <cell r="I669"/>
          <cell r="J669"/>
          <cell r="R669" t="str">
            <v/>
          </cell>
        </row>
        <row r="670">
          <cell r="I670"/>
          <cell r="J670"/>
          <cell r="R670" t="str">
            <v/>
          </cell>
        </row>
        <row r="671">
          <cell r="I671"/>
          <cell r="J671"/>
          <cell r="R671" t="str">
            <v/>
          </cell>
        </row>
        <row r="672">
          <cell r="I672"/>
          <cell r="J672"/>
          <cell r="R672" t="str">
            <v/>
          </cell>
        </row>
        <row r="673">
          <cell r="I673"/>
          <cell r="J673"/>
          <cell r="R673" t="str">
            <v/>
          </cell>
        </row>
        <row r="674">
          <cell r="I674"/>
          <cell r="J674"/>
          <cell r="R674" t="str">
            <v/>
          </cell>
        </row>
        <row r="675">
          <cell r="I675"/>
          <cell r="J675"/>
          <cell r="R675" t="str">
            <v/>
          </cell>
        </row>
        <row r="676">
          <cell r="I676"/>
          <cell r="J676"/>
          <cell r="R676" t="str">
            <v/>
          </cell>
        </row>
        <row r="677">
          <cell r="I677"/>
          <cell r="J677"/>
          <cell r="R677" t="str">
            <v/>
          </cell>
        </row>
        <row r="678">
          <cell r="I678"/>
          <cell r="J678"/>
          <cell r="R678" t="str">
            <v/>
          </cell>
        </row>
        <row r="679">
          <cell r="I679"/>
          <cell r="J679"/>
          <cell r="R679" t="str">
            <v/>
          </cell>
        </row>
        <row r="680">
          <cell r="I680"/>
          <cell r="J680"/>
          <cell r="R680" t="str">
            <v/>
          </cell>
        </row>
        <row r="681">
          <cell r="I681"/>
          <cell r="J681"/>
          <cell r="R681" t="str">
            <v/>
          </cell>
        </row>
        <row r="682">
          <cell r="I682"/>
          <cell r="J682"/>
          <cell r="R682" t="str">
            <v/>
          </cell>
        </row>
        <row r="683">
          <cell r="I683"/>
          <cell r="J683"/>
          <cell r="R683" t="str">
            <v/>
          </cell>
        </row>
        <row r="684">
          <cell r="I684"/>
          <cell r="J684"/>
          <cell r="R684" t="str">
            <v/>
          </cell>
        </row>
        <row r="685">
          <cell r="I685"/>
          <cell r="J685"/>
          <cell r="R685" t="str">
            <v/>
          </cell>
        </row>
        <row r="686">
          <cell r="I686"/>
          <cell r="J686"/>
          <cell r="R686" t="str">
            <v/>
          </cell>
        </row>
        <row r="687">
          <cell r="I687"/>
          <cell r="J687"/>
          <cell r="R687" t="str">
            <v/>
          </cell>
        </row>
        <row r="688">
          <cell r="I688"/>
          <cell r="J688"/>
          <cell r="R688" t="str">
            <v/>
          </cell>
        </row>
        <row r="689">
          <cell r="I689"/>
          <cell r="J689"/>
          <cell r="R689" t="str">
            <v/>
          </cell>
        </row>
        <row r="690">
          <cell r="I690"/>
          <cell r="J690"/>
          <cell r="R690" t="str">
            <v/>
          </cell>
        </row>
        <row r="691">
          <cell r="I691"/>
          <cell r="J691"/>
          <cell r="R691" t="str">
            <v/>
          </cell>
        </row>
        <row r="692">
          <cell r="I692"/>
          <cell r="J692"/>
          <cell r="R692" t="str">
            <v/>
          </cell>
        </row>
        <row r="693">
          <cell r="I693"/>
          <cell r="J693"/>
          <cell r="R693" t="str">
            <v/>
          </cell>
        </row>
        <row r="694">
          <cell r="I694"/>
          <cell r="J694"/>
          <cell r="R694" t="str">
            <v/>
          </cell>
        </row>
        <row r="695">
          <cell r="I695"/>
          <cell r="J695"/>
          <cell r="R695" t="str">
            <v/>
          </cell>
        </row>
        <row r="696">
          <cell r="I696"/>
          <cell r="J696"/>
          <cell r="R696" t="str">
            <v/>
          </cell>
        </row>
        <row r="697">
          <cell r="I697"/>
          <cell r="J697"/>
          <cell r="R697" t="str">
            <v/>
          </cell>
        </row>
        <row r="698">
          <cell r="I698"/>
          <cell r="J698"/>
          <cell r="R698" t="str">
            <v/>
          </cell>
        </row>
        <row r="699">
          <cell r="I699"/>
          <cell r="J699"/>
          <cell r="R699" t="str">
            <v/>
          </cell>
        </row>
        <row r="700">
          <cell r="I700"/>
          <cell r="J700"/>
          <cell r="R700" t="str">
            <v/>
          </cell>
        </row>
        <row r="701">
          <cell r="I701"/>
          <cell r="J701"/>
          <cell r="R701" t="str">
            <v/>
          </cell>
        </row>
        <row r="702">
          <cell r="I702"/>
          <cell r="J702"/>
          <cell r="R702" t="str">
            <v/>
          </cell>
        </row>
        <row r="703">
          <cell r="I703"/>
          <cell r="J703"/>
          <cell r="R703" t="str">
            <v/>
          </cell>
        </row>
        <row r="704">
          <cell r="I704"/>
          <cell r="J704"/>
          <cell r="R704" t="str">
            <v/>
          </cell>
        </row>
        <row r="705">
          <cell r="I705"/>
          <cell r="J705"/>
          <cell r="R705" t="str">
            <v/>
          </cell>
        </row>
        <row r="706">
          <cell r="I706"/>
          <cell r="J706"/>
          <cell r="R706" t="str">
            <v/>
          </cell>
        </row>
        <row r="707">
          <cell r="I707"/>
          <cell r="J707"/>
          <cell r="R707" t="str">
            <v/>
          </cell>
        </row>
        <row r="708">
          <cell r="I708"/>
          <cell r="J708"/>
          <cell r="R708" t="str">
            <v/>
          </cell>
        </row>
        <row r="709">
          <cell r="I709"/>
          <cell r="J709"/>
          <cell r="R709" t="str">
            <v/>
          </cell>
        </row>
        <row r="710">
          <cell r="I710"/>
          <cell r="J710"/>
          <cell r="R710" t="str">
            <v/>
          </cell>
        </row>
        <row r="711">
          <cell r="I711"/>
          <cell r="J711"/>
          <cell r="R711" t="str">
            <v/>
          </cell>
        </row>
        <row r="712">
          <cell r="I712"/>
          <cell r="J712"/>
          <cell r="R712" t="str">
            <v/>
          </cell>
        </row>
        <row r="713">
          <cell r="I713"/>
          <cell r="J713"/>
          <cell r="R713" t="str">
            <v/>
          </cell>
        </row>
        <row r="714">
          <cell r="I714"/>
          <cell r="J714"/>
          <cell r="R714" t="str">
            <v/>
          </cell>
        </row>
        <row r="715">
          <cell r="I715"/>
          <cell r="J715"/>
          <cell r="R715" t="str">
            <v/>
          </cell>
        </row>
        <row r="716">
          <cell r="I716"/>
          <cell r="J716"/>
          <cell r="R716" t="str">
            <v/>
          </cell>
        </row>
        <row r="717">
          <cell r="I717"/>
          <cell r="J717"/>
          <cell r="R717" t="str">
            <v/>
          </cell>
        </row>
        <row r="718">
          <cell r="I718"/>
          <cell r="J718"/>
          <cell r="R718" t="str">
            <v/>
          </cell>
        </row>
        <row r="719">
          <cell r="I719"/>
          <cell r="J719"/>
          <cell r="R719" t="str">
            <v/>
          </cell>
        </row>
        <row r="720">
          <cell r="I720"/>
          <cell r="J720"/>
          <cell r="R720" t="str">
            <v/>
          </cell>
        </row>
        <row r="721">
          <cell r="I721"/>
          <cell r="J721"/>
          <cell r="R721" t="str">
            <v/>
          </cell>
        </row>
        <row r="722">
          <cell r="I722"/>
          <cell r="J722"/>
          <cell r="R722" t="str">
            <v/>
          </cell>
        </row>
        <row r="723">
          <cell r="I723"/>
          <cell r="J723"/>
          <cell r="R723" t="str">
            <v/>
          </cell>
        </row>
        <row r="724">
          <cell r="I724"/>
          <cell r="J724"/>
          <cell r="R724" t="str">
            <v/>
          </cell>
        </row>
        <row r="725">
          <cell r="I725"/>
          <cell r="J725"/>
          <cell r="R725" t="str">
            <v/>
          </cell>
        </row>
        <row r="726">
          <cell r="I726"/>
          <cell r="J726"/>
          <cell r="R726" t="str">
            <v/>
          </cell>
        </row>
        <row r="727">
          <cell r="I727"/>
          <cell r="J727"/>
          <cell r="R727" t="str">
            <v/>
          </cell>
        </row>
        <row r="728">
          <cell r="I728"/>
          <cell r="J728"/>
          <cell r="R728" t="str">
            <v/>
          </cell>
        </row>
        <row r="729">
          <cell r="I729"/>
          <cell r="J729"/>
          <cell r="R729" t="str">
            <v/>
          </cell>
        </row>
        <row r="730">
          <cell r="I730"/>
          <cell r="J730"/>
          <cell r="R730" t="str">
            <v/>
          </cell>
        </row>
        <row r="731">
          <cell r="I731"/>
          <cell r="J731"/>
          <cell r="R731" t="str">
            <v/>
          </cell>
        </row>
        <row r="732">
          <cell r="I732"/>
          <cell r="J732"/>
          <cell r="R732" t="str">
            <v/>
          </cell>
        </row>
        <row r="733">
          <cell r="I733"/>
          <cell r="J733"/>
          <cell r="R733" t="str">
            <v/>
          </cell>
        </row>
        <row r="734">
          <cell r="I734"/>
          <cell r="J734"/>
          <cell r="R734" t="str">
            <v/>
          </cell>
        </row>
        <row r="735">
          <cell r="I735"/>
          <cell r="J735"/>
          <cell r="R735" t="str">
            <v/>
          </cell>
        </row>
        <row r="736">
          <cell r="I736"/>
          <cell r="J736"/>
          <cell r="R736" t="str">
            <v/>
          </cell>
        </row>
        <row r="737">
          <cell r="I737"/>
          <cell r="J737"/>
          <cell r="R737" t="str">
            <v/>
          </cell>
        </row>
        <row r="738">
          <cell r="I738"/>
          <cell r="J738"/>
          <cell r="R738" t="str">
            <v/>
          </cell>
        </row>
        <row r="739">
          <cell r="I739"/>
          <cell r="J739"/>
          <cell r="R739" t="str">
            <v/>
          </cell>
        </row>
        <row r="740">
          <cell r="I740"/>
          <cell r="J740"/>
          <cell r="R740" t="str">
            <v/>
          </cell>
        </row>
        <row r="741">
          <cell r="I741"/>
          <cell r="J741"/>
          <cell r="R741" t="str">
            <v/>
          </cell>
        </row>
        <row r="742">
          <cell r="I742"/>
          <cell r="J742"/>
          <cell r="R742" t="str">
            <v/>
          </cell>
        </row>
        <row r="743">
          <cell r="I743"/>
          <cell r="J743"/>
          <cell r="R743" t="str">
            <v/>
          </cell>
        </row>
        <row r="744">
          <cell r="I744"/>
          <cell r="J744"/>
          <cell r="R744" t="str">
            <v/>
          </cell>
        </row>
        <row r="745">
          <cell r="I745"/>
          <cell r="J745"/>
          <cell r="R745" t="str">
            <v/>
          </cell>
        </row>
        <row r="746">
          <cell r="I746"/>
          <cell r="J746"/>
          <cell r="R746" t="str">
            <v/>
          </cell>
        </row>
        <row r="747">
          <cell r="I747"/>
          <cell r="J747"/>
          <cell r="R747" t="str">
            <v/>
          </cell>
        </row>
        <row r="748">
          <cell r="I748"/>
          <cell r="J748"/>
          <cell r="R748" t="str">
            <v/>
          </cell>
        </row>
        <row r="749">
          <cell r="I749"/>
          <cell r="J749"/>
          <cell r="R749" t="str">
            <v/>
          </cell>
        </row>
        <row r="750">
          <cell r="I750"/>
          <cell r="J750"/>
          <cell r="R750" t="str">
            <v/>
          </cell>
        </row>
        <row r="751">
          <cell r="I751"/>
          <cell r="J751"/>
          <cell r="R751" t="str">
            <v/>
          </cell>
        </row>
        <row r="752">
          <cell r="I752"/>
          <cell r="J752"/>
          <cell r="R752" t="str">
            <v/>
          </cell>
        </row>
        <row r="753">
          <cell r="I753"/>
          <cell r="J753"/>
          <cell r="R753" t="str">
            <v/>
          </cell>
        </row>
        <row r="754">
          <cell r="I754"/>
          <cell r="J754"/>
          <cell r="R754" t="str">
            <v/>
          </cell>
        </row>
        <row r="755">
          <cell r="I755"/>
          <cell r="J755"/>
          <cell r="R755" t="str">
            <v/>
          </cell>
        </row>
        <row r="756">
          <cell r="I756"/>
          <cell r="J756"/>
          <cell r="R756" t="str">
            <v/>
          </cell>
        </row>
        <row r="757">
          <cell r="I757"/>
          <cell r="J757"/>
          <cell r="R757" t="str">
            <v/>
          </cell>
        </row>
        <row r="758">
          <cell r="I758"/>
          <cell r="J758"/>
          <cell r="R758" t="str">
            <v/>
          </cell>
        </row>
        <row r="759">
          <cell r="I759"/>
          <cell r="J759"/>
          <cell r="R759" t="str">
            <v/>
          </cell>
        </row>
        <row r="760">
          <cell r="I760"/>
          <cell r="J760"/>
          <cell r="R760" t="str">
            <v/>
          </cell>
        </row>
        <row r="761">
          <cell r="I761"/>
          <cell r="J761"/>
          <cell r="R761" t="str">
            <v/>
          </cell>
        </row>
        <row r="762">
          <cell r="I762"/>
          <cell r="J762"/>
          <cell r="R762" t="str">
            <v/>
          </cell>
        </row>
        <row r="763">
          <cell r="I763"/>
          <cell r="J763"/>
          <cell r="R763" t="str">
            <v/>
          </cell>
        </row>
        <row r="764">
          <cell r="I764"/>
          <cell r="J764"/>
          <cell r="R764" t="str">
            <v/>
          </cell>
        </row>
        <row r="765">
          <cell r="I765"/>
          <cell r="J765"/>
          <cell r="R765" t="str">
            <v/>
          </cell>
        </row>
        <row r="766">
          <cell r="I766"/>
          <cell r="J766"/>
          <cell r="R766" t="str">
            <v/>
          </cell>
        </row>
        <row r="767">
          <cell r="I767"/>
          <cell r="J767"/>
          <cell r="R767" t="str">
            <v/>
          </cell>
        </row>
        <row r="768">
          <cell r="I768"/>
          <cell r="J768"/>
          <cell r="R768" t="str">
            <v/>
          </cell>
        </row>
        <row r="769">
          <cell r="I769"/>
          <cell r="J769"/>
          <cell r="R769" t="str">
            <v/>
          </cell>
        </row>
        <row r="770">
          <cell r="I770"/>
          <cell r="J770"/>
          <cell r="R770" t="str">
            <v/>
          </cell>
        </row>
        <row r="771">
          <cell r="I771"/>
          <cell r="J771"/>
          <cell r="R771" t="str">
            <v/>
          </cell>
        </row>
        <row r="772">
          <cell r="I772"/>
          <cell r="J772"/>
          <cell r="R772" t="str">
            <v/>
          </cell>
        </row>
        <row r="773">
          <cell r="I773"/>
          <cell r="J773"/>
          <cell r="R773" t="str">
            <v/>
          </cell>
        </row>
        <row r="774">
          <cell r="I774"/>
          <cell r="J774"/>
          <cell r="R774" t="str">
            <v/>
          </cell>
        </row>
        <row r="775">
          <cell r="I775"/>
          <cell r="J775"/>
          <cell r="R775" t="str">
            <v/>
          </cell>
        </row>
        <row r="776">
          <cell r="I776"/>
          <cell r="J776"/>
          <cell r="R776" t="str">
            <v/>
          </cell>
        </row>
        <row r="777">
          <cell r="I777"/>
          <cell r="J777"/>
          <cell r="R777" t="str">
            <v/>
          </cell>
        </row>
        <row r="778">
          <cell r="I778"/>
          <cell r="J778"/>
          <cell r="R778" t="str">
            <v/>
          </cell>
        </row>
        <row r="779">
          <cell r="I779"/>
          <cell r="J779"/>
          <cell r="R779" t="str">
            <v/>
          </cell>
        </row>
        <row r="780">
          <cell r="I780"/>
          <cell r="J780"/>
          <cell r="R780" t="str">
            <v/>
          </cell>
        </row>
        <row r="781">
          <cell r="I781"/>
          <cell r="J781"/>
          <cell r="R781" t="str">
            <v/>
          </cell>
        </row>
        <row r="782">
          <cell r="I782"/>
          <cell r="J782"/>
          <cell r="R782" t="str">
            <v/>
          </cell>
        </row>
        <row r="783">
          <cell r="I783"/>
          <cell r="J783"/>
          <cell r="R783" t="str">
            <v/>
          </cell>
        </row>
        <row r="784">
          <cell r="I784"/>
          <cell r="J784"/>
          <cell r="R784" t="str">
            <v/>
          </cell>
        </row>
        <row r="785">
          <cell r="I785"/>
          <cell r="J785"/>
          <cell r="R785" t="str">
            <v/>
          </cell>
        </row>
        <row r="786">
          <cell r="I786"/>
          <cell r="J786"/>
          <cell r="R786" t="str">
            <v/>
          </cell>
        </row>
        <row r="787">
          <cell r="I787"/>
          <cell r="J787"/>
          <cell r="R787" t="str">
            <v/>
          </cell>
        </row>
        <row r="788">
          <cell r="I788"/>
          <cell r="J788"/>
          <cell r="R788" t="str">
            <v/>
          </cell>
        </row>
        <row r="789">
          <cell r="I789"/>
          <cell r="J789"/>
          <cell r="R789" t="str">
            <v/>
          </cell>
        </row>
        <row r="790">
          <cell r="I790"/>
          <cell r="J790"/>
          <cell r="R790" t="str">
            <v/>
          </cell>
        </row>
        <row r="791">
          <cell r="I791"/>
          <cell r="J791"/>
          <cell r="R791" t="str">
            <v/>
          </cell>
        </row>
        <row r="792">
          <cell r="I792"/>
          <cell r="J792"/>
          <cell r="R792" t="str">
            <v/>
          </cell>
        </row>
        <row r="793">
          <cell r="I793"/>
          <cell r="J793"/>
          <cell r="R793" t="str">
            <v/>
          </cell>
        </row>
        <row r="794">
          <cell r="I794"/>
          <cell r="J794"/>
          <cell r="R794" t="str">
            <v/>
          </cell>
        </row>
        <row r="795">
          <cell r="I795"/>
          <cell r="J795"/>
          <cell r="R795" t="str">
            <v/>
          </cell>
        </row>
        <row r="796">
          <cell r="I796"/>
          <cell r="J796"/>
          <cell r="R796" t="str">
            <v/>
          </cell>
        </row>
        <row r="797">
          <cell r="I797"/>
          <cell r="J797"/>
          <cell r="R797" t="str">
            <v/>
          </cell>
        </row>
        <row r="798">
          <cell r="I798"/>
          <cell r="J798"/>
          <cell r="R798" t="str">
            <v/>
          </cell>
        </row>
        <row r="799">
          <cell r="I799"/>
          <cell r="J799"/>
          <cell r="R799" t="str">
            <v/>
          </cell>
        </row>
        <row r="800">
          <cell r="I800"/>
          <cell r="J800"/>
          <cell r="R800" t="str">
            <v/>
          </cell>
        </row>
        <row r="801">
          <cell r="I801"/>
          <cell r="J801"/>
          <cell r="R801" t="str">
            <v/>
          </cell>
        </row>
        <row r="802">
          <cell r="I802"/>
          <cell r="J802"/>
          <cell r="R802" t="str">
            <v/>
          </cell>
        </row>
        <row r="803">
          <cell r="I803"/>
          <cell r="J803"/>
          <cell r="R803" t="str">
            <v/>
          </cell>
        </row>
        <row r="804">
          <cell r="I804"/>
          <cell r="J804"/>
          <cell r="R804" t="str">
            <v/>
          </cell>
        </row>
        <row r="805">
          <cell r="I805"/>
          <cell r="J805"/>
          <cell r="R805" t="str">
            <v/>
          </cell>
        </row>
        <row r="806">
          <cell r="I806"/>
          <cell r="J806"/>
          <cell r="R806" t="str">
            <v/>
          </cell>
        </row>
        <row r="807">
          <cell r="I807"/>
          <cell r="J807"/>
          <cell r="R807" t="str">
            <v/>
          </cell>
        </row>
        <row r="808">
          <cell r="I808"/>
          <cell r="J808"/>
          <cell r="R808" t="str">
            <v/>
          </cell>
        </row>
        <row r="809">
          <cell r="I809"/>
          <cell r="J809"/>
          <cell r="R809" t="str">
            <v/>
          </cell>
        </row>
        <row r="810">
          <cell r="I810"/>
          <cell r="J810"/>
          <cell r="R810" t="str">
            <v/>
          </cell>
        </row>
        <row r="811">
          <cell r="I811"/>
          <cell r="J811"/>
          <cell r="R811" t="str">
            <v/>
          </cell>
        </row>
        <row r="812">
          <cell r="I812"/>
          <cell r="J812"/>
          <cell r="R812" t="str">
            <v/>
          </cell>
        </row>
        <row r="813">
          <cell r="I813"/>
          <cell r="J813"/>
          <cell r="R813" t="str">
            <v/>
          </cell>
        </row>
        <row r="814">
          <cell r="I814"/>
          <cell r="J814"/>
          <cell r="R814" t="str">
            <v/>
          </cell>
        </row>
        <row r="815">
          <cell r="I815"/>
          <cell r="J815"/>
          <cell r="R815" t="str">
            <v/>
          </cell>
        </row>
        <row r="816">
          <cell r="I816"/>
          <cell r="J816"/>
          <cell r="R816" t="str">
            <v/>
          </cell>
        </row>
        <row r="817">
          <cell r="I817"/>
          <cell r="J817"/>
          <cell r="R817" t="str">
            <v/>
          </cell>
        </row>
        <row r="818">
          <cell r="I818"/>
          <cell r="J818"/>
          <cell r="R818" t="str">
            <v/>
          </cell>
        </row>
        <row r="819">
          <cell r="I819"/>
          <cell r="J819"/>
          <cell r="R819" t="str">
            <v/>
          </cell>
        </row>
        <row r="820">
          <cell r="I820"/>
          <cell r="J820"/>
          <cell r="R820" t="str">
            <v/>
          </cell>
        </row>
        <row r="821">
          <cell r="I821"/>
          <cell r="J821"/>
          <cell r="R821" t="str">
            <v/>
          </cell>
        </row>
        <row r="822">
          <cell r="I822"/>
          <cell r="J822"/>
          <cell r="R822" t="str">
            <v/>
          </cell>
        </row>
        <row r="823">
          <cell r="I823"/>
          <cell r="J823"/>
          <cell r="R823" t="str">
            <v/>
          </cell>
        </row>
        <row r="824">
          <cell r="I824"/>
          <cell r="J824"/>
          <cell r="R824" t="str">
            <v/>
          </cell>
        </row>
        <row r="825">
          <cell r="I825"/>
          <cell r="J825"/>
          <cell r="R825" t="str">
            <v/>
          </cell>
        </row>
        <row r="826">
          <cell r="I826"/>
          <cell r="J826"/>
          <cell r="R826" t="str">
            <v/>
          </cell>
        </row>
        <row r="827">
          <cell r="I827"/>
          <cell r="J827"/>
          <cell r="R827" t="str">
            <v/>
          </cell>
        </row>
        <row r="828">
          <cell r="I828"/>
          <cell r="J828"/>
          <cell r="R828" t="str">
            <v/>
          </cell>
        </row>
        <row r="829">
          <cell r="I829"/>
          <cell r="J829"/>
          <cell r="R829" t="str">
            <v/>
          </cell>
        </row>
        <row r="830">
          <cell r="I830"/>
          <cell r="J830"/>
          <cell r="R830" t="str">
            <v/>
          </cell>
        </row>
        <row r="831">
          <cell r="I831"/>
          <cell r="J831"/>
          <cell r="R831" t="str">
            <v/>
          </cell>
        </row>
        <row r="832">
          <cell r="I832"/>
          <cell r="J832"/>
          <cell r="R832" t="str">
            <v/>
          </cell>
        </row>
        <row r="833">
          <cell r="I833"/>
          <cell r="J833"/>
          <cell r="R833" t="str">
            <v/>
          </cell>
        </row>
        <row r="834">
          <cell r="I834"/>
          <cell r="J834"/>
          <cell r="R834" t="str">
            <v/>
          </cell>
        </row>
        <row r="835">
          <cell r="I835"/>
          <cell r="J835"/>
          <cell r="R835" t="str">
            <v/>
          </cell>
        </row>
        <row r="836">
          <cell r="I836"/>
          <cell r="J836"/>
          <cell r="R836" t="str">
            <v/>
          </cell>
        </row>
        <row r="837">
          <cell r="I837"/>
          <cell r="J837"/>
          <cell r="R837" t="str">
            <v/>
          </cell>
        </row>
        <row r="838">
          <cell r="I838"/>
          <cell r="J838"/>
          <cell r="R838" t="str">
            <v/>
          </cell>
        </row>
        <row r="839">
          <cell r="I839"/>
          <cell r="J839"/>
          <cell r="R839" t="str">
            <v/>
          </cell>
        </row>
        <row r="840">
          <cell r="I840"/>
          <cell r="J840"/>
          <cell r="R840" t="str">
            <v/>
          </cell>
        </row>
        <row r="841">
          <cell r="I841"/>
          <cell r="J841"/>
          <cell r="R841" t="str">
            <v/>
          </cell>
        </row>
        <row r="842">
          <cell r="I842"/>
          <cell r="J842"/>
          <cell r="R842" t="str">
            <v/>
          </cell>
        </row>
        <row r="843">
          <cell r="I843"/>
          <cell r="J843"/>
          <cell r="R843" t="str">
            <v/>
          </cell>
        </row>
        <row r="844">
          <cell r="I844"/>
          <cell r="J844"/>
          <cell r="R844" t="str">
            <v/>
          </cell>
        </row>
        <row r="845">
          <cell r="I845"/>
          <cell r="J845"/>
          <cell r="R845" t="str">
            <v/>
          </cell>
        </row>
        <row r="846">
          <cell r="I846"/>
          <cell r="J846"/>
          <cell r="R846" t="str">
            <v/>
          </cell>
        </row>
        <row r="847">
          <cell r="I847"/>
          <cell r="J847"/>
          <cell r="R847" t="str">
            <v/>
          </cell>
        </row>
        <row r="848">
          <cell r="I848"/>
          <cell r="J848"/>
          <cell r="R848" t="str">
            <v/>
          </cell>
        </row>
        <row r="849">
          <cell r="I849"/>
          <cell r="J849"/>
          <cell r="R849" t="str">
            <v/>
          </cell>
        </row>
        <row r="850">
          <cell r="I850"/>
          <cell r="J850"/>
          <cell r="R850" t="str">
            <v/>
          </cell>
        </row>
        <row r="851">
          <cell r="I851"/>
          <cell r="J851"/>
          <cell r="R851" t="str">
            <v/>
          </cell>
        </row>
        <row r="852">
          <cell r="I852"/>
          <cell r="J852"/>
          <cell r="R852" t="str">
            <v/>
          </cell>
        </row>
        <row r="853">
          <cell r="I853"/>
          <cell r="J853"/>
          <cell r="R853" t="str">
            <v/>
          </cell>
        </row>
        <row r="854">
          <cell r="I854"/>
          <cell r="J854"/>
          <cell r="R854" t="str">
            <v/>
          </cell>
        </row>
        <row r="855">
          <cell r="I855"/>
          <cell r="J855"/>
          <cell r="R855" t="str">
            <v/>
          </cell>
        </row>
        <row r="856">
          <cell r="I856"/>
          <cell r="J856"/>
          <cell r="R856" t="str">
            <v/>
          </cell>
        </row>
        <row r="857">
          <cell r="I857"/>
          <cell r="J857"/>
          <cell r="R857" t="str">
            <v/>
          </cell>
        </row>
        <row r="858">
          <cell r="I858"/>
          <cell r="J858"/>
          <cell r="R858" t="str">
            <v/>
          </cell>
        </row>
        <row r="859">
          <cell r="I859"/>
          <cell r="J859"/>
          <cell r="R859" t="str">
            <v/>
          </cell>
        </row>
        <row r="860">
          <cell r="I860"/>
          <cell r="J860"/>
          <cell r="R860" t="str">
            <v/>
          </cell>
        </row>
        <row r="861">
          <cell r="I861"/>
          <cell r="J861"/>
          <cell r="R861" t="str">
            <v/>
          </cell>
        </row>
        <row r="862">
          <cell r="I862"/>
          <cell r="J862"/>
          <cell r="R862" t="str">
            <v/>
          </cell>
        </row>
        <row r="863">
          <cell r="I863"/>
          <cell r="J863"/>
          <cell r="R863" t="str">
            <v/>
          </cell>
        </row>
        <row r="864">
          <cell r="I864"/>
          <cell r="J864"/>
          <cell r="R864" t="str">
            <v/>
          </cell>
        </row>
        <row r="865">
          <cell r="I865"/>
          <cell r="J865"/>
          <cell r="R865" t="str">
            <v/>
          </cell>
        </row>
        <row r="866">
          <cell r="I866"/>
          <cell r="J866"/>
          <cell r="R866" t="str">
            <v/>
          </cell>
        </row>
        <row r="867">
          <cell r="I867"/>
          <cell r="J867"/>
          <cell r="R867" t="str">
            <v/>
          </cell>
        </row>
        <row r="868">
          <cell r="I868"/>
          <cell r="J868"/>
          <cell r="R868" t="str">
            <v/>
          </cell>
        </row>
        <row r="869">
          <cell r="I869"/>
          <cell r="J869"/>
          <cell r="R869" t="str">
            <v/>
          </cell>
        </row>
        <row r="870">
          <cell r="I870"/>
          <cell r="J870"/>
          <cell r="R870" t="str">
            <v/>
          </cell>
        </row>
        <row r="871">
          <cell r="I871"/>
          <cell r="J871"/>
          <cell r="R871" t="str">
            <v/>
          </cell>
        </row>
        <row r="872">
          <cell r="I872"/>
          <cell r="J872"/>
          <cell r="R872" t="str">
            <v/>
          </cell>
        </row>
        <row r="873">
          <cell r="I873"/>
          <cell r="J873"/>
          <cell r="R873" t="str">
            <v/>
          </cell>
        </row>
        <row r="874">
          <cell r="I874"/>
          <cell r="J874"/>
          <cell r="R874" t="str">
            <v/>
          </cell>
        </row>
        <row r="875">
          <cell r="I875"/>
          <cell r="J875"/>
          <cell r="R875" t="str">
            <v/>
          </cell>
        </row>
        <row r="876">
          <cell r="I876"/>
          <cell r="J876"/>
          <cell r="R876" t="str">
            <v/>
          </cell>
        </row>
        <row r="877">
          <cell r="I877"/>
          <cell r="J877"/>
          <cell r="R877" t="str">
            <v/>
          </cell>
        </row>
        <row r="878">
          <cell r="I878"/>
          <cell r="J878"/>
          <cell r="R878" t="str">
            <v/>
          </cell>
        </row>
        <row r="879">
          <cell r="I879"/>
          <cell r="J879"/>
          <cell r="R879" t="str">
            <v/>
          </cell>
        </row>
        <row r="880">
          <cell r="I880"/>
          <cell r="J880"/>
          <cell r="R880" t="str">
            <v/>
          </cell>
        </row>
        <row r="881">
          <cell r="I881"/>
          <cell r="J881"/>
          <cell r="R881" t="str">
            <v/>
          </cell>
        </row>
        <row r="882">
          <cell r="I882"/>
          <cell r="J882"/>
          <cell r="R882" t="str">
            <v/>
          </cell>
        </row>
        <row r="883">
          <cell r="I883"/>
          <cell r="J883"/>
          <cell r="R883" t="str">
            <v/>
          </cell>
        </row>
        <row r="884">
          <cell r="I884"/>
          <cell r="J884"/>
          <cell r="R884" t="str">
            <v/>
          </cell>
        </row>
        <row r="885">
          <cell r="I885"/>
          <cell r="J885"/>
          <cell r="R885" t="str">
            <v/>
          </cell>
        </row>
        <row r="886">
          <cell r="I886"/>
          <cell r="J886"/>
          <cell r="R886" t="str">
            <v/>
          </cell>
        </row>
        <row r="887">
          <cell r="I887"/>
          <cell r="J887"/>
          <cell r="R887" t="str">
            <v/>
          </cell>
        </row>
        <row r="888">
          <cell r="I888"/>
          <cell r="J888"/>
          <cell r="R888" t="str">
            <v/>
          </cell>
        </row>
        <row r="889">
          <cell r="I889"/>
          <cell r="J889"/>
          <cell r="R889" t="str">
            <v/>
          </cell>
        </row>
        <row r="890">
          <cell r="I890"/>
          <cell r="J890"/>
          <cell r="R890" t="str">
            <v/>
          </cell>
        </row>
        <row r="891">
          <cell r="I891"/>
          <cell r="J891"/>
          <cell r="R891" t="str">
            <v/>
          </cell>
        </row>
        <row r="892">
          <cell r="I892"/>
          <cell r="J892"/>
          <cell r="R892" t="str">
            <v/>
          </cell>
        </row>
        <row r="893">
          <cell r="I893"/>
          <cell r="J893"/>
          <cell r="R893" t="str">
            <v/>
          </cell>
        </row>
        <row r="894">
          <cell r="I894"/>
          <cell r="J894"/>
          <cell r="R894" t="str">
            <v/>
          </cell>
        </row>
        <row r="895">
          <cell r="I895"/>
          <cell r="J895"/>
          <cell r="R895" t="str">
            <v/>
          </cell>
        </row>
        <row r="896">
          <cell r="I896"/>
          <cell r="J896"/>
          <cell r="R896" t="str">
            <v/>
          </cell>
        </row>
        <row r="897">
          <cell r="I897"/>
          <cell r="J897"/>
          <cell r="R897" t="str">
            <v/>
          </cell>
        </row>
        <row r="898">
          <cell r="I898"/>
          <cell r="J898"/>
          <cell r="R898" t="str">
            <v/>
          </cell>
        </row>
        <row r="899">
          <cell r="I899"/>
          <cell r="J899"/>
          <cell r="R899" t="str">
            <v/>
          </cell>
        </row>
        <row r="900">
          <cell r="I900"/>
          <cell r="J900"/>
          <cell r="R900" t="str">
            <v/>
          </cell>
        </row>
        <row r="901">
          <cell r="I901"/>
          <cell r="J901"/>
          <cell r="R901" t="str">
            <v/>
          </cell>
        </row>
        <row r="902">
          <cell r="I902"/>
          <cell r="J902"/>
          <cell r="R902" t="str">
            <v/>
          </cell>
        </row>
        <row r="903">
          <cell r="I903"/>
          <cell r="J903"/>
          <cell r="R903" t="str">
            <v/>
          </cell>
        </row>
        <row r="904">
          <cell r="I904"/>
          <cell r="J904"/>
          <cell r="R904" t="str">
            <v/>
          </cell>
        </row>
        <row r="905">
          <cell r="I905"/>
          <cell r="J905"/>
          <cell r="R905" t="str">
            <v/>
          </cell>
        </row>
        <row r="906">
          <cell r="I906"/>
          <cell r="J906"/>
          <cell r="R906" t="str">
            <v/>
          </cell>
        </row>
        <row r="907">
          <cell r="I907"/>
          <cell r="J907"/>
          <cell r="R907" t="str">
            <v/>
          </cell>
        </row>
        <row r="908">
          <cell r="I908"/>
          <cell r="J908"/>
          <cell r="R908" t="str">
            <v/>
          </cell>
        </row>
        <row r="909">
          <cell r="I909"/>
          <cell r="J909"/>
          <cell r="R909" t="str">
            <v/>
          </cell>
        </row>
        <row r="910">
          <cell r="I910"/>
          <cell r="J910"/>
          <cell r="R910" t="str">
            <v/>
          </cell>
        </row>
        <row r="911">
          <cell r="I911"/>
          <cell r="J911"/>
          <cell r="R911" t="str">
            <v/>
          </cell>
        </row>
        <row r="912">
          <cell r="I912"/>
          <cell r="J912"/>
          <cell r="R912" t="str">
            <v/>
          </cell>
        </row>
        <row r="913">
          <cell r="I913"/>
          <cell r="J913"/>
          <cell r="R913" t="str">
            <v/>
          </cell>
        </row>
        <row r="914">
          <cell r="I914"/>
          <cell r="J914"/>
          <cell r="R914" t="str">
            <v/>
          </cell>
        </row>
        <row r="915">
          <cell r="I915"/>
          <cell r="J915"/>
          <cell r="R915" t="str">
            <v/>
          </cell>
        </row>
        <row r="916">
          <cell r="I916"/>
          <cell r="J916"/>
          <cell r="R916" t="str">
            <v/>
          </cell>
        </row>
        <row r="917">
          <cell r="I917"/>
          <cell r="J917"/>
          <cell r="R917" t="str">
            <v/>
          </cell>
        </row>
        <row r="918">
          <cell r="I918"/>
          <cell r="J918"/>
          <cell r="R918" t="str">
            <v/>
          </cell>
        </row>
        <row r="919">
          <cell r="I919"/>
          <cell r="J919"/>
          <cell r="R919" t="str">
            <v/>
          </cell>
        </row>
        <row r="920">
          <cell r="I920"/>
          <cell r="J920"/>
          <cell r="R920" t="str">
            <v/>
          </cell>
        </row>
        <row r="921">
          <cell r="I921"/>
          <cell r="J921"/>
          <cell r="R921" t="str">
            <v/>
          </cell>
        </row>
        <row r="922">
          <cell r="I922"/>
          <cell r="J922"/>
          <cell r="R922" t="str">
            <v/>
          </cell>
        </row>
        <row r="923">
          <cell r="I923"/>
          <cell r="J923"/>
          <cell r="R923" t="str">
            <v/>
          </cell>
        </row>
        <row r="924">
          <cell r="I924"/>
          <cell r="J924"/>
          <cell r="R924" t="str">
            <v/>
          </cell>
        </row>
        <row r="925">
          <cell r="I925"/>
          <cell r="J925"/>
          <cell r="R925" t="str">
            <v/>
          </cell>
        </row>
        <row r="926">
          <cell r="I926"/>
          <cell r="J926"/>
          <cell r="R926" t="str">
            <v/>
          </cell>
        </row>
        <row r="927">
          <cell r="I927"/>
          <cell r="J927"/>
          <cell r="R927" t="str">
            <v/>
          </cell>
        </row>
        <row r="928">
          <cell r="I928"/>
          <cell r="J928"/>
          <cell r="R928" t="str">
            <v/>
          </cell>
        </row>
        <row r="929">
          <cell r="I929"/>
          <cell r="J929"/>
          <cell r="R929" t="str">
            <v/>
          </cell>
        </row>
        <row r="930">
          <cell r="I930"/>
          <cell r="J930"/>
          <cell r="R930" t="str">
            <v/>
          </cell>
        </row>
        <row r="931">
          <cell r="I931"/>
          <cell r="J931"/>
          <cell r="R931" t="str">
            <v/>
          </cell>
        </row>
        <row r="932">
          <cell r="I932"/>
          <cell r="J932"/>
          <cell r="R932" t="str">
            <v/>
          </cell>
        </row>
        <row r="933">
          <cell r="I933"/>
          <cell r="J933"/>
          <cell r="R933" t="str">
            <v/>
          </cell>
        </row>
        <row r="934">
          <cell r="I934"/>
          <cell r="J934"/>
          <cell r="R934" t="str">
            <v/>
          </cell>
        </row>
        <row r="935">
          <cell r="I935"/>
          <cell r="J935"/>
          <cell r="R935" t="str">
            <v/>
          </cell>
        </row>
        <row r="936">
          <cell r="I936"/>
          <cell r="J936"/>
          <cell r="R936" t="str">
            <v/>
          </cell>
        </row>
        <row r="937">
          <cell r="I937"/>
          <cell r="J937"/>
          <cell r="R937" t="str">
            <v/>
          </cell>
        </row>
        <row r="938">
          <cell r="I938"/>
          <cell r="J938"/>
          <cell r="R938" t="str">
            <v/>
          </cell>
        </row>
        <row r="939">
          <cell r="I939"/>
          <cell r="J939"/>
          <cell r="R939" t="str">
            <v/>
          </cell>
        </row>
        <row r="940">
          <cell r="I940"/>
          <cell r="J940"/>
          <cell r="R940" t="str">
            <v/>
          </cell>
        </row>
        <row r="941">
          <cell r="I941"/>
          <cell r="J941"/>
          <cell r="R941" t="str">
            <v/>
          </cell>
        </row>
        <row r="942">
          <cell r="I942"/>
          <cell r="J942"/>
          <cell r="R942" t="str">
            <v/>
          </cell>
        </row>
        <row r="943">
          <cell r="I943"/>
          <cell r="J943"/>
          <cell r="R943" t="str">
            <v/>
          </cell>
        </row>
        <row r="944">
          <cell r="I944"/>
          <cell r="J944"/>
          <cell r="R944" t="str">
            <v/>
          </cell>
        </row>
        <row r="945">
          <cell r="I945"/>
          <cell r="J945"/>
          <cell r="R945" t="str">
            <v/>
          </cell>
        </row>
        <row r="946">
          <cell r="I946"/>
          <cell r="J946"/>
          <cell r="R946" t="str">
            <v/>
          </cell>
        </row>
        <row r="947">
          <cell r="I947"/>
          <cell r="J947"/>
          <cell r="R947" t="str">
            <v/>
          </cell>
        </row>
        <row r="948">
          <cell r="I948"/>
          <cell r="J948"/>
          <cell r="R948" t="str">
            <v/>
          </cell>
        </row>
      </sheetData>
      <sheetData sheetId="12"/>
      <sheetData sheetId="13">
        <row r="2">
          <cell r="B2" t="str">
            <v>Fecha desde</v>
          </cell>
        </row>
        <row r="3">
          <cell r="B3" t="str">
            <v>Fecha hasta</v>
          </cell>
          <cell r="G3" t="str">
            <v>OK</v>
          </cell>
        </row>
        <row r="5">
          <cell r="B5" t="str">
            <v>Descripcion</v>
          </cell>
          <cell r="D5" t="str">
            <v>Caja</v>
          </cell>
          <cell r="E5" t="str">
            <v>CXC</v>
          </cell>
          <cell r="F5" t="str">
            <v>CXP</v>
          </cell>
          <cell r="G5" t="str">
            <v>ValPatrimonio</v>
          </cell>
        </row>
        <row r="6">
          <cell r="B6" t="str">
            <v>IN-FONDO1</v>
          </cell>
          <cell r="D6">
            <v>12136575.0894836</v>
          </cell>
          <cell r="E6">
            <v>514999971.6588701</v>
          </cell>
          <cell r="F6">
            <v>582322901.98570538</v>
          </cell>
          <cell r="G6">
            <v>7953430668.2086716</v>
          </cell>
        </row>
        <row r="7">
          <cell r="B7" t="str">
            <v>IN-FONDO2</v>
          </cell>
          <cell r="D7">
            <v>160676367.9589844</v>
          </cell>
          <cell r="E7">
            <v>4215424677.4722257</v>
          </cell>
          <cell r="F7">
            <v>4545897338.93645</v>
          </cell>
          <cell r="G7">
            <v>28150046684.720657</v>
          </cell>
        </row>
        <row r="8">
          <cell r="B8" t="str">
            <v>IN-FONDO3</v>
          </cell>
          <cell r="D8">
            <v>16482357.837110801</v>
          </cell>
          <cell r="E8">
            <v>588217796.67319405</v>
          </cell>
          <cell r="F8">
            <v>593675933.80177402</v>
          </cell>
          <cell r="G8">
            <v>3478860982.2242041</v>
          </cell>
        </row>
        <row r="9">
          <cell r="B9" t="str">
            <v>IN-FONDO0</v>
          </cell>
          <cell r="D9">
            <v>11886274.300000001</v>
          </cell>
          <cell r="E9">
            <v>2268483.81</v>
          </cell>
          <cell r="F9">
            <v>2716510.72</v>
          </cell>
          <cell r="G9">
            <v>2981229477.9683971</v>
          </cell>
        </row>
      </sheetData>
      <sheetData sheetId="14">
        <row r="14">
          <cell r="BR14" t="str">
            <v>IN-FONDO1_Q</v>
          </cell>
        </row>
      </sheetData>
      <sheetData sheetId="15">
        <row r="4">
          <cell r="AF4" t="str">
            <v>Fondo_Moneda</v>
          </cell>
          <cell r="AO4" t="str">
            <v>Contratos (Q)</v>
          </cell>
          <cell r="AQ4" t="str">
            <v>ValorOptPEN (PxQ)</v>
          </cell>
        </row>
        <row r="5">
          <cell r="AF5" t="str">
            <v>IN-FONDO2_PTCMEF0-EI015C-PUT</v>
          </cell>
          <cell r="AO5">
            <v>650</v>
          </cell>
          <cell r="AQ5">
            <v>1176686.1600000001</v>
          </cell>
        </row>
        <row r="6">
          <cell r="AF6" t="str">
            <v>IN-FONDO2_PTCMEF0-EI017C-CALL</v>
          </cell>
          <cell r="AO6">
            <v>650</v>
          </cell>
          <cell r="AQ6">
            <v>458819.79000000004</v>
          </cell>
        </row>
        <row r="7">
          <cell r="AF7" t="str">
            <v>IN-FONDO2_PTCMEF0-EI019C-PUT</v>
          </cell>
          <cell r="AO7">
            <v>-650</v>
          </cell>
          <cell r="AQ7">
            <v>-2886832.6500000004</v>
          </cell>
        </row>
        <row r="8">
          <cell r="AF8" t="str">
            <v>IN-FONDO2_PTCMEF0-EI021C-CALL</v>
          </cell>
          <cell r="AO8">
            <v>-650</v>
          </cell>
          <cell r="AQ8">
            <v>-671764.86</v>
          </cell>
        </row>
        <row r="9">
          <cell r="AF9" t="str">
            <v>IN-FONDO3_PTCMEF0-EI001C-CALL</v>
          </cell>
          <cell r="AO9">
            <v>25</v>
          </cell>
          <cell r="AQ9">
            <v>11229.855000000001</v>
          </cell>
        </row>
        <row r="10">
          <cell r="AF10" t="str">
            <v>IN-FONDO3_PTCMEF0-EI002C-CALL</v>
          </cell>
          <cell r="AO10">
            <v>-25</v>
          </cell>
          <cell r="AQ10">
            <v>-22544.145</v>
          </cell>
        </row>
        <row r="11">
          <cell r="AF11" t="str">
            <v>IN-FONDO3_PTCMEF0-EI003C-PUT</v>
          </cell>
          <cell r="AO11">
            <v>25</v>
          </cell>
          <cell r="AQ11">
            <v>49647.780000000006</v>
          </cell>
        </row>
        <row r="12">
          <cell r="AF12" t="str">
            <v>IN-FONDO3_PTCMEF0-EI004C-PUT</v>
          </cell>
          <cell r="AO12">
            <v>-25</v>
          </cell>
          <cell r="AQ12">
            <v>-514293.58500000002</v>
          </cell>
        </row>
        <row r="13">
          <cell r="AF13" t="str">
            <v>IN-FONDO3_PTCMEF0-EI013C-CALL</v>
          </cell>
          <cell r="AO13">
            <v>2500</v>
          </cell>
          <cell r="AQ13">
            <v>3504052.5</v>
          </cell>
        </row>
        <row r="14">
          <cell r="AF14" t="str">
            <v>IN-FONDO3_PTCMEF0-EI014C-CALL</v>
          </cell>
          <cell r="AO14">
            <v>-2500</v>
          </cell>
          <cell r="AQ14">
            <v>-1519830</v>
          </cell>
        </row>
        <row r="15">
          <cell r="AF15" t="str">
            <v>IN-FONDO3_PTCMEF0-EI016C-PUT</v>
          </cell>
          <cell r="AO15">
            <v>150</v>
          </cell>
          <cell r="AQ15">
            <v>271542.96000000002</v>
          </cell>
        </row>
        <row r="16">
          <cell r="AF16" t="str">
            <v>IN-FONDO3_PTCMEF0-EI018C-CALL</v>
          </cell>
          <cell r="AO16">
            <v>150</v>
          </cell>
          <cell r="AQ16">
            <v>105881.49</v>
          </cell>
        </row>
        <row r="17">
          <cell r="AF17" t="str">
            <v>IN-FONDO3_PTCMEF0-EI020C-PUT</v>
          </cell>
          <cell r="AO17">
            <v>-150</v>
          </cell>
          <cell r="AQ17">
            <v>-666192.15</v>
          </cell>
        </row>
        <row r="18">
          <cell r="AF18" t="str">
            <v>IN-FONDO3_PTCMEF0-EI022C-CALL</v>
          </cell>
          <cell r="AO18">
            <v>-150</v>
          </cell>
          <cell r="AQ18">
            <v>-155022.66</v>
          </cell>
        </row>
        <row r="19">
          <cell r="AF19" t="str">
            <v/>
          </cell>
          <cell r="AO19" t="str">
            <v/>
          </cell>
          <cell r="AQ19" t="str">
            <v/>
          </cell>
        </row>
        <row r="20">
          <cell r="AF20" t="str">
            <v/>
          </cell>
          <cell r="AO20" t="str">
            <v/>
          </cell>
          <cell r="AQ20" t="str">
            <v/>
          </cell>
        </row>
        <row r="21">
          <cell r="AF21" t="str">
            <v/>
          </cell>
          <cell r="AO21" t="str">
            <v/>
          </cell>
          <cell r="AQ21" t="str">
            <v/>
          </cell>
        </row>
        <row r="22">
          <cell r="AF22" t="str">
            <v/>
          </cell>
          <cell r="AO22" t="str">
            <v/>
          </cell>
          <cell r="AQ22" t="str">
            <v/>
          </cell>
        </row>
        <row r="23">
          <cell r="AF23" t="str">
            <v/>
          </cell>
          <cell r="AO23" t="str">
            <v/>
          </cell>
          <cell r="AQ23" t="str">
            <v/>
          </cell>
        </row>
        <row r="24">
          <cell r="AF24" t="str">
            <v/>
          </cell>
          <cell r="AO24" t="str">
            <v/>
          </cell>
          <cell r="AQ24" t="str">
            <v/>
          </cell>
        </row>
        <row r="25">
          <cell r="AF25" t="str">
            <v/>
          </cell>
          <cell r="AO25" t="str">
            <v/>
          </cell>
          <cell r="AQ25" t="str">
            <v/>
          </cell>
        </row>
        <row r="26">
          <cell r="AF26" t="str">
            <v/>
          </cell>
          <cell r="AO26" t="str">
            <v/>
          </cell>
          <cell r="AQ26" t="str">
            <v/>
          </cell>
        </row>
        <row r="27">
          <cell r="AF27" t="str">
            <v/>
          </cell>
          <cell r="AO27" t="str">
            <v/>
          </cell>
          <cell r="AQ27" t="str">
            <v/>
          </cell>
        </row>
        <row r="28">
          <cell r="AF28" t="str">
            <v/>
          </cell>
          <cell r="AO28" t="str">
            <v/>
          </cell>
          <cell r="AQ28" t="str">
            <v/>
          </cell>
        </row>
        <row r="29">
          <cell r="AF29" t="str">
            <v/>
          </cell>
          <cell r="AO29" t="str">
            <v/>
          </cell>
          <cell r="AQ29" t="str">
            <v/>
          </cell>
        </row>
        <row r="30">
          <cell r="AF30" t="str">
            <v/>
          </cell>
          <cell r="AO30" t="str">
            <v/>
          </cell>
          <cell r="AQ30" t="str">
            <v/>
          </cell>
        </row>
        <row r="31">
          <cell r="AF31" t="str">
            <v/>
          </cell>
          <cell r="AO31" t="str">
            <v/>
          </cell>
          <cell r="AQ31" t="str">
            <v/>
          </cell>
        </row>
        <row r="32">
          <cell r="AF32" t="str">
            <v/>
          </cell>
          <cell r="AO32" t="str">
            <v/>
          </cell>
          <cell r="AQ32" t="str">
            <v/>
          </cell>
        </row>
        <row r="33">
          <cell r="AF33" t="str">
            <v/>
          </cell>
          <cell r="AO33" t="str">
            <v/>
          </cell>
          <cell r="AQ33" t="str">
            <v/>
          </cell>
        </row>
        <row r="34">
          <cell r="AF34" t="str">
            <v/>
          </cell>
          <cell r="AO34" t="str">
            <v/>
          </cell>
          <cell r="AQ34" t="str">
            <v/>
          </cell>
        </row>
        <row r="35">
          <cell r="AF35" t="str">
            <v/>
          </cell>
          <cell r="AO35" t="str">
            <v/>
          </cell>
          <cell r="AQ35" t="str">
            <v/>
          </cell>
        </row>
        <row r="36">
          <cell r="AF36" t="str">
            <v/>
          </cell>
          <cell r="AO36" t="str">
            <v/>
          </cell>
          <cell r="AQ36" t="str">
            <v/>
          </cell>
        </row>
        <row r="37">
          <cell r="AF37" t="str">
            <v/>
          </cell>
          <cell r="AO37" t="str">
            <v/>
          </cell>
          <cell r="AQ37" t="str">
            <v/>
          </cell>
        </row>
        <row r="38">
          <cell r="AF38" t="str">
            <v/>
          </cell>
          <cell r="AO38" t="str">
            <v/>
          </cell>
          <cell r="AQ38" t="str">
            <v/>
          </cell>
        </row>
        <row r="39">
          <cell r="AF39" t="str">
            <v/>
          </cell>
          <cell r="AO39" t="str">
            <v/>
          </cell>
          <cell r="AQ39" t="str">
            <v/>
          </cell>
        </row>
        <row r="40">
          <cell r="AF40"/>
          <cell r="AO40"/>
          <cell r="AQ40"/>
        </row>
        <row r="41">
          <cell r="AF41"/>
          <cell r="AO41"/>
          <cell r="AQ41"/>
        </row>
        <row r="42">
          <cell r="AF42" t="str">
            <v>NOCIONAL(USD)</v>
          </cell>
          <cell r="AQ42"/>
        </row>
        <row r="43">
          <cell r="AF43" t="e">
            <v>#VALUE!</v>
          </cell>
          <cell r="AQ43"/>
        </row>
        <row r="44">
          <cell r="AF44" t="e">
            <v>#VALUE!</v>
          </cell>
          <cell r="AQ44"/>
        </row>
        <row r="45">
          <cell r="AF45"/>
          <cell r="AQ45"/>
        </row>
        <row r="46">
          <cell r="AF46"/>
          <cell r="AQ46"/>
        </row>
        <row r="47">
          <cell r="AF47"/>
          <cell r="AO47"/>
          <cell r="AQ47"/>
        </row>
        <row r="48">
          <cell r="AF48" t="str">
            <v>NOCIONAL(USD)</v>
          </cell>
          <cell r="AO48"/>
          <cell r="AQ48"/>
        </row>
        <row r="49">
          <cell r="AF49" t="e">
            <v>#VALUE!</v>
          </cell>
          <cell r="AO49"/>
          <cell r="AQ49"/>
        </row>
        <row r="50">
          <cell r="AF50" t="e">
            <v>#VALUE!</v>
          </cell>
          <cell r="AO50"/>
          <cell r="AQ50"/>
        </row>
        <row r="51">
          <cell r="AF51"/>
          <cell r="AO51"/>
          <cell r="AQ51"/>
        </row>
        <row r="52">
          <cell r="AF52"/>
          <cell r="AO52"/>
          <cell r="AQ52"/>
        </row>
        <row r="53">
          <cell r="AF53"/>
          <cell r="AO53"/>
          <cell r="AQ53"/>
        </row>
        <row r="54">
          <cell r="AF54"/>
          <cell r="AO54"/>
          <cell r="AQ54"/>
        </row>
        <row r="55">
          <cell r="AF55"/>
          <cell r="AO55"/>
          <cell r="AQ55"/>
        </row>
      </sheetData>
      <sheetData sheetId="16">
        <row r="4">
          <cell r="AD4" t="str">
            <v>Fondo_Moneda</v>
          </cell>
          <cell r="AK4" t="str">
            <v>NOTIONAL PEN</v>
          </cell>
        </row>
        <row r="5">
          <cell r="AD5" t="str">
            <v>IN-FONDO1_FTCMEF0-WNU6</v>
          </cell>
          <cell r="AK5">
            <v>-387466410.09375</v>
          </cell>
        </row>
        <row r="6">
          <cell r="AD6" t="str">
            <v>IN-FONDO1_FTCMEF0-UXYU6</v>
          </cell>
          <cell r="AK6">
            <v>705426930.8531251</v>
          </cell>
        </row>
        <row r="7">
          <cell r="AD7" t="str">
            <v/>
          </cell>
          <cell r="AK7" t="str">
            <v/>
          </cell>
        </row>
        <row r="8">
          <cell r="AD8" t="str">
            <v/>
          </cell>
          <cell r="AK8" t="str">
            <v/>
          </cell>
        </row>
        <row r="9">
          <cell r="AD9" t="str">
            <v/>
          </cell>
          <cell r="AK9" t="str">
            <v/>
          </cell>
        </row>
        <row r="10">
          <cell r="AD10" t="str">
            <v/>
          </cell>
          <cell r="AK10" t="str">
            <v/>
          </cell>
        </row>
        <row r="11">
          <cell r="AD11" t="str">
            <v/>
          </cell>
          <cell r="AK11" t="str">
            <v/>
          </cell>
        </row>
        <row r="12">
          <cell r="AD12" t="str">
            <v/>
          </cell>
          <cell r="AK12" t="str">
            <v/>
          </cell>
        </row>
        <row r="13">
          <cell r="AD13" t="str">
            <v/>
          </cell>
          <cell r="AK13" t="str">
            <v/>
          </cell>
        </row>
        <row r="14">
          <cell r="AD14" t="str">
            <v/>
          </cell>
          <cell r="AK14" t="str">
            <v/>
          </cell>
        </row>
        <row r="15">
          <cell r="AD15" t="str">
            <v/>
          </cell>
          <cell r="AK15" t="str">
            <v/>
          </cell>
        </row>
        <row r="16">
          <cell r="AD16" t="str">
            <v/>
          </cell>
          <cell r="AK16" t="str">
            <v/>
          </cell>
        </row>
        <row r="17">
          <cell r="AD17" t="str">
            <v/>
          </cell>
          <cell r="AK17" t="str">
            <v/>
          </cell>
        </row>
        <row r="18">
          <cell r="AD18" t="str">
            <v/>
          </cell>
          <cell r="AK18" t="str">
            <v/>
          </cell>
        </row>
        <row r="19">
          <cell r="AD19" t="str">
            <v/>
          </cell>
          <cell r="AK19" t="str">
            <v/>
          </cell>
        </row>
        <row r="20">
          <cell r="AD20" t="str">
            <v/>
          </cell>
          <cell r="AK20" t="str">
            <v/>
          </cell>
        </row>
        <row r="21">
          <cell r="AD21" t="str">
            <v/>
          </cell>
          <cell r="AK21" t="str">
            <v/>
          </cell>
        </row>
        <row r="22">
          <cell r="AD22" t="str">
            <v/>
          </cell>
          <cell r="AK22" t="str">
            <v/>
          </cell>
        </row>
        <row r="23">
          <cell r="AD23" t="str">
            <v/>
          </cell>
          <cell r="AK23" t="str">
            <v/>
          </cell>
        </row>
        <row r="24">
          <cell r="AD24" t="str">
            <v/>
          </cell>
          <cell r="AK24" t="str">
            <v/>
          </cell>
        </row>
        <row r="25">
          <cell r="AD25" t="str">
            <v/>
          </cell>
          <cell r="AK25" t="str">
            <v/>
          </cell>
        </row>
        <row r="26">
          <cell r="AD26" t="str">
            <v/>
          </cell>
          <cell r="AK26" t="str">
            <v/>
          </cell>
        </row>
        <row r="27">
          <cell r="AD27" t="str">
            <v/>
          </cell>
          <cell r="AK27" t="str">
            <v/>
          </cell>
        </row>
        <row r="28">
          <cell r="AD28"/>
          <cell r="AK28"/>
        </row>
        <row r="29">
          <cell r="AD29"/>
          <cell r="AK29"/>
        </row>
        <row r="30">
          <cell r="AD30"/>
          <cell r="AK30"/>
        </row>
        <row r="31">
          <cell r="AD31"/>
          <cell r="AK31"/>
        </row>
        <row r="32">
          <cell r="AD32"/>
          <cell r="AK32"/>
        </row>
        <row r="33">
          <cell r="AD33"/>
          <cell r="AK33"/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4004-4222-4A4C-844E-3A608D49F695}">
  <dimension ref="A1:ATQ32"/>
  <sheetViews>
    <sheetView tabSelected="1" zoomScale="115" zoomScaleNormal="115" workbookViewId="0">
      <selection activeCell="O14" sqref="O14"/>
    </sheetView>
  </sheetViews>
  <sheetFormatPr defaultRowHeight="15" x14ac:dyDescent="0.25"/>
  <cols>
    <col min="1" max="1" width="11.28515625" bestFit="1" customWidth="1"/>
    <col min="3" max="3" width="10.42578125" bestFit="1" customWidth="1"/>
  </cols>
  <sheetData>
    <row r="1" spans="1:1213" x14ac:dyDescent="0.25">
      <c r="A1" s="8" t="s">
        <v>0</v>
      </c>
      <c r="B1" s="38" t="s">
        <v>1</v>
      </c>
      <c r="C1" s="1">
        <f>[1]ModDatosExt!$C$2</f>
        <v>46241</v>
      </c>
      <c r="D1" s="8" t="str">
        <f t="shared" ref="D1:D9" si="0">+A1&amp;"_"&amp;B1&amp;"_"&amp;TEXT(C1,"DD/MM/YYYY")</f>
        <v>IN-FONDO1_Q_07/08/2026</v>
      </c>
      <c r="E1">
        <f>+INDEX([1]Pat_Int!$G:$G,MATCH($A1,[1]Pat_Int!$B:$B,0))</f>
        <v>7953430668.2086716</v>
      </c>
      <c r="F1">
        <f>+INDEX([1]Pat_Int!$D:$D,MATCH($A1,[1]Pat_Int!$B:$B,0))</f>
        <v>12136575.0894836</v>
      </c>
      <c r="G1">
        <f>+INDEX([1]IN_Mon!$AQ$7:$AS$52,MATCH(G$11,[1]IN_Mon!$AP$7:$AP$52,0),MATCH($A1,[1]IN_Mon!$AQ$6:$ASV$6,0))</f>
        <v>1000.0000000000001</v>
      </c>
      <c r="H1">
        <f>+INDEX([1]IN_Mon!$AQ$7:$AS$52,MATCH(H$11,[1]IN_Mon!$AP$7:$AP$52,0),MATCH($A1,[1]IN_Mon!$AQ$6:$ASV$6,0))</f>
        <v>0</v>
      </c>
      <c r="I1">
        <f>+INDEX([1]IN_Mon!$AQ$7:$AS$52,MATCH(I$11,[1]IN_Mon!$AP$7:$AP$52,0),MATCH($A1,[1]IN_Mon!$AQ$6:$ASV$6,0))</f>
        <v>0</v>
      </c>
      <c r="J1">
        <f>+INDEX([1]IN_Mon!$AQ$7:$AS$52,MATCH(J$11,[1]IN_Mon!$AP$7:$AP$52,0),MATCH($A1,[1]IN_Mon!$AQ$6:$ASV$6,0))</f>
        <v>0</v>
      </c>
      <c r="K1">
        <f>+INDEX([1]IN_Mon!$AQ$7:$AS$52,MATCH(K$11,[1]IN_Mon!$AP$7:$AP$52,0),MATCH($A1,[1]IN_Mon!$AQ$6:$ASV$6,0))</f>
        <v>0</v>
      </c>
      <c r="L1">
        <f>+INDEX([1]IN_Mon!$AQ$7:$AS$52,MATCH(L$11,[1]IN_Mon!$AP$7:$AP$52,0),MATCH($A1,[1]IN_Mon!$AQ$6:$ASV$6,0))</f>
        <v>2321511.7799999998</v>
      </c>
      <c r="M1">
        <f>+INDEX([1]IN_Mon!$AQ$7:$AS$52,MATCH(M$11,[1]IN_Mon!$AP$7:$AP$52,0),MATCH($A1,[1]IN_Mon!$AQ$6:$ASV$6,0))</f>
        <v>1990.6699999690297</v>
      </c>
      <c r="N1">
        <f>+INDEX([1]IN_Mon!$AQ$7:$AS$52,MATCH(N$11,[1]IN_Mon!$AP$7:$AP$52,0),MATCH($A1,[1]IN_Mon!$AQ$6:$ASV$6,0))</f>
        <v>1000</v>
      </c>
      <c r="O1">
        <f>+INDEX([1]IN_Mon!$AQ$7:$AS$52,MATCH(O$11,[1]IN_Mon!$AP$7:$AP$52,0),MATCH($A1,[1]IN_Mon!$AQ$6:$ASV$6,0))</f>
        <v>1100</v>
      </c>
      <c r="P1">
        <f>+INDEX([1]IN_Mon!$AQ$7:$AS$52,MATCH(P$11,[1]IN_Mon!$AP$7:$AP$52,0),MATCH($A1,[1]IN_Mon!$AQ$6:$ASV$6,0))</f>
        <v>200</v>
      </c>
      <c r="Q1">
        <f>+INDEX([1]IN_Mon!$AQ$7:$AS$52,MATCH(Q$11,[1]IN_Mon!$AP$7:$AP$52,0),MATCH($A1,[1]IN_Mon!$AQ$6:$ASV$6,0))</f>
        <v>0</v>
      </c>
      <c r="R1">
        <f>+INDEX([1]IN_Mon!$AQ$7:$AS$52,MATCH(R$11,[1]IN_Mon!$AP$7:$AP$52,0),MATCH($A1,[1]IN_Mon!$AQ$6:$ASV$6,0))</f>
        <v>199.99999999999997</v>
      </c>
      <c r="S1">
        <f>+INDEX([1]IN_Mon!$AQ$7:$AS$52,MATCH(S$11,[1]IN_Mon!$AP$7:$AP$52,0),MATCH($A1,[1]IN_Mon!$AQ$6:$ASV$6,0))</f>
        <v>0</v>
      </c>
      <c r="T1">
        <f>+INDEX([1]IN_Mon!$AQ$7:$AS$52,MATCH(T$11,[1]IN_Mon!$AP$7:$AP$52,0),MATCH($A1,[1]IN_Mon!$AQ$6:$ASV$6,0))</f>
        <v>300</v>
      </c>
      <c r="U1">
        <f>+INDEX([1]IN_Mon!$AQ$7:$AS$52,MATCH(U$11,[1]IN_Mon!$AP$7:$AP$52,0),MATCH($A1,[1]IN_Mon!$AQ$6:$ASV$6,0))</f>
        <v>300</v>
      </c>
      <c r="V1">
        <f>+INDEX([1]IN_Mon!$AQ$7:$AS$52,MATCH(V$11,[1]IN_Mon!$AP$7:$AP$52,0),MATCH($A1,[1]IN_Mon!$AQ$6:$ASV$6,0))</f>
        <v>1.0000000955883217</v>
      </c>
      <c r="W1">
        <f>+INDEX([1]IN_Mon!$AQ$7:$AS$52,MATCH(W$11,[1]IN_Mon!$AP$7:$AP$52,0),MATCH($A1,[1]IN_Mon!$AQ$6:$ASV$6,0))</f>
        <v>499.99000044645396</v>
      </c>
      <c r="X1">
        <f>+INDEX([1]Pat_Int!$E:$E,MATCH($A1,[1]Pat_Int!$B:$B,0))</f>
        <v>514999971.6588701</v>
      </c>
      <c r="Y1">
        <f>+INDEX([1]Pat_Int!$F:$F,MATCH($A1,[1]Pat_Int!$B:$B,0))</f>
        <v>582322901.98570538</v>
      </c>
      <c r="Z1">
        <f>+F1-SUM(G4:W4)</f>
        <v>4280295.9999996005</v>
      </c>
      <c r="AA1" t="e">
        <f>+SUMIF([1]Cartera!$R:$R,$A1&amp;"_"&amp;AA$11,[1]Cartera!$J:$J)</f>
        <v>#VALUE!</v>
      </c>
      <c r="AB1" t="e">
        <f>+SUMIF([1]Cartera!$R:$R,$A1&amp;"_"&amp;AB$11,[1]Cartera!$J:$J)</f>
        <v>#VALUE!</v>
      </c>
      <c r="AC1" t="e">
        <f>+SUMIF([1]Cartera!$R:$R,$A1&amp;"_"&amp;AC$11,[1]Cartera!$J:$J)</f>
        <v>#VALUE!</v>
      </c>
      <c r="AD1" t="e">
        <f>+SUMIF([1]Cartera!$R:$R,$A1&amp;"_"&amp;AD$11,[1]Cartera!$J:$J)</f>
        <v>#VALUE!</v>
      </c>
      <c r="AE1" t="e">
        <f>+SUMIF([1]Cartera!$R:$R,$A1&amp;"_"&amp;AE$11,[1]Cartera!$J:$J)</f>
        <v>#VALUE!</v>
      </c>
      <c r="AF1" t="e">
        <f>+SUMIF([1]Cartera!$R:$R,$A1&amp;"_"&amp;AF$11,[1]Cartera!$J:$J)</f>
        <v>#VALUE!</v>
      </c>
      <c r="AG1" t="e">
        <f>+SUMIF([1]Cartera!$R:$R,$A1&amp;"_"&amp;AG$11,[1]Cartera!$J:$J)</f>
        <v>#VALUE!</v>
      </c>
      <c r="AH1" t="e">
        <f>+SUMIF([1]Cartera!$R:$R,$A1&amp;"_"&amp;AH$11,[1]Cartera!$J:$J)</f>
        <v>#VALUE!</v>
      </c>
      <c r="AI1" t="e">
        <f>+SUMIF([1]Cartera!$R:$R,$A1&amp;"_"&amp;AI$11,[1]Cartera!$J:$J)+SUMIF([1]Futuros!$AD:$AD,$A1&amp;"_"&amp;AI$11,[1]Futuros!$AK:$AK)+SUMIF([1]Opciones!$AF:$AF,$A1&amp;"_"&amp;AI$11,[1]Opciones!$AO:$AO)</f>
        <v>#VALUE!</v>
      </c>
      <c r="AJ1" t="e">
        <f>+SUMIF([1]Cartera!$R:$R,$A1&amp;"_"&amp;AJ$11,[1]Cartera!$J:$J)+SUMIF([1]Futuros!$AD:$AD,$A1&amp;"_"&amp;AJ$11,[1]Futuros!$AK:$AK)+SUMIF([1]Opciones!$AF:$AF,$A1&amp;"_"&amp;AJ$11,[1]Opciones!$AO:$AO)</f>
        <v>#VALUE!</v>
      </c>
      <c r="AK1" t="e">
        <f>+SUMIF([1]Cartera!$R:$R,$A1&amp;"_"&amp;AK$11,[1]Cartera!$J:$J)+SUMIF([1]Futuros!$AD:$AD,$A1&amp;"_"&amp;AK$11,[1]Futuros!$AK:$AK)+SUMIF([1]Opciones!$AF:$AF,$A1&amp;"_"&amp;AK$11,[1]Opciones!$AO:$AO)</f>
        <v>#VALUE!</v>
      </c>
      <c r="AL1" t="e">
        <f>+SUMIF([1]Cartera!$R:$R,$A1&amp;"_"&amp;AL$11,[1]Cartera!$J:$J)+SUMIF([1]Futuros!$AD:$AD,$A1&amp;"_"&amp;AL$11,[1]Futuros!$AK:$AK)+SUMIF([1]Opciones!$AF:$AF,$A1&amp;"_"&amp;AL$11,[1]Opciones!$AO:$AO)</f>
        <v>#VALUE!</v>
      </c>
      <c r="AM1" t="e">
        <f>+SUMIF([1]Cartera!$R:$R,$A1&amp;"_"&amp;AM$11,[1]Cartera!$J:$J)+SUMIF([1]Futuros!$AD:$AD,$A1&amp;"_"&amp;AM$11,[1]Futuros!$AK:$AK)+SUMIF([1]Opciones!$AF:$AF,$A1&amp;"_"&amp;AM$11,[1]Opciones!$AO:$AO)</f>
        <v>#VALUE!</v>
      </c>
      <c r="AN1" t="e">
        <f>+SUMIF([1]Cartera!$R:$R,$A1&amp;"_"&amp;AN$11,[1]Cartera!$J:$J)+SUMIF([1]Futuros!$AD:$AD,$A1&amp;"_"&amp;AN$11,[1]Futuros!$AK:$AK)+SUMIF([1]Opciones!$AF:$AF,$A1&amp;"_"&amp;AN$11,[1]Opciones!$AO:$AO)</f>
        <v>#VALUE!</v>
      </c>
      <c r="AO1" t="e">
        <f>+SUMIF([1]Cartera!$R:$R,$A1&amp;"_"&amp;AO$11,[1]Cartera!$J:$J)+SUMIF([1]Futuros!$AD:$AD,$A1&amp;"_"&amp;AO$11,[1]Futuros!$AK:$AK)+SUMIF([1]Opciones!$AF:$AF,$A1&amp;"_"&amp;AO$11,[1]Opciones!$AO:$AO)</f>
        <v>#VALUE!</v>
      </c>
      <c r="AP1" t="e">
        <f>+SUMIF([1]Cartera!$R:$R,$A1&amp;"_"&amp;AP$11,[1]Cartera!$J:$J)+SUMIF([1]Futuros!$AD:$AD,$A1&amp;"_"&amp;AP$11,[1]Futuros!$AK:$AK)+SUMIF([1]Opciones!$AF:$AF,$A1&amp;"_"&amp;AP$11,[1]Opciones!$AO:$AO)</f>
        <v>#VALUE!</v>
      </c>
      <c r="AQ1" t="e">
        <f>+SUMIF([1]Cartera!$R:$R,$A1&amp;"_"&amp;AQ$11,[1]Cartera!$J:$J)+SUMIF([1]Futuros!$AD:$AD,$A1&amp;"_"&amp;AQ$11,[1]Futuros!$AK:$AK)+SUMIF([1]Opciones!$AF:$AF,$A1&amp;"_"&amp;AQ$11,[1]Opciones!$AO:$AO)</f>
        <v>#VALUE!</v>
      </c>
      <c r="AR1" t="e">
        <f>+SUMIF([1]Cartera!$R:$R,$A1&amp;"_"&amp;AR$11,[1]Cartera!$J:$J)+SUMIF([1]Futuros!$AD:$AD,$A1&amp;"_"&amp;AR$11,[1]Futuros!$AK:$AK)+SUMIF([1]Opciones!$AF:$AF,$A1&amp;"_"&amp;AR$11,[1]Opciones!$AO:$AO)</f>
        <v>#VALUE!</v>
      </c>
      <c r="AS1" t="e">
        <f>+SUMIF([1]Cartera!$R:$R,$A1&amp;"_"&amp;AS$11,[1]Cartera!$J:$J)+SUMIF([1]Futuros!$AD:$AD,$A1&amp;"_"&amp;AS$11,[1]Futuros!$AK:$AK)+SUMIF([1]Opciones!$AF:$AF,$A1&amp;"_"&amp;AS$11,[1]Opciones!$AO:$AO)</f>
        <v>#VALUE!</v>
      </c>
      <c r="AT1" t="e">
        <f>+SUMIF([1]Cartera!$R:$R,$A1&amp;"_"&amp;AT$11,[1]Cartera!$J:$J)+SUMIF([1]Futuros!$AD:$AD,$A1&amp;"_"&amp;AT$11,[1]Futuros!$AK:$AK)+SUMIF([1]Opciones!$AF:$AF,$A1&amp;"_"&amp;AT$11,[1]Opciones!$AO:$AO)</f>
        <v>#VALUE!</v>
      </c>
      <c r="AU1" t="e">
        <f>+SUMIF([1]Cartera!$R:$R,$A1&amp;"_"&amp;AU$11,[1]Cartera!$J:$J)+SUMIF([1]Futuros!$AD:$AD,$A1&amp;"_"&amp;AU$11,[1]Futuros!$AK:$AK)+SUMIF([1]Opciones!$AF:$AF,$A1&amp;"_"&amp;AU$11,[1]Opciones!$AO:$AO)</f>
        <v>#VALUE!</v>
      </c>
      <c r="AV1" t="e">
        <f>+SUMIF([1]Cartera!$R:$R,$A1&amp;"_"&amp;AV$11,[1]Cartera!$J:$J)+SUMIF([1]Futuros!$AD:$AD,$A1&amp;"_"&amp;AV$11,[1]Futuros!$AK:$AK)+SUMIF([1]Opciones!$AF:$AF,$A1&amp;"_"&amp;AV$11,[1]Opciones!$AO:$AO)</f>
        <v>#VALUE!</v>
      </c>
      <c r="AW1" t="e">
        <f>+SUMIF([1]Cartera!$R:$R,$A1&amp;"_"&amp;AW$11,[1]Cartera!$J:$J)+SUMIF([1]Futuros!$AD:$AD,$A1&amp;"_"&amp;AW$11,[1]Futuros!$AK:$AK)+SUMIF([1]Opciones!$AF:$AF,$A1&amp;"_"&amp;AW$11,[1]Opciones!$AO:$AO)</f>
        <v>#VALUE!</v>
      </c>
      <c r="AX1" t="e">
        <f>+SUMIF([1]Cartera!$R:$R,$A1&amp;"_"&amp;AX$11,[1]Cartera!$J:$J)+SUMIF([1]Futuros!$AD:$AD,$A1&amp;"_"&amp;AX$11,[1]Futuros!$AK:$AK)+SUMIF([1]Opciones!$AF:$AF,$A1&amp;"_"&amp;AX$11,[1]Opciones!$AO:$AO)</f>
        <v>#VALUE!</v>
      </c>
      <c r="AY1" t="e">
        <f>+SUMIF([1]Cartera!$R:$R,$A1&amp;"_"&amp;AY$11,[1]Cartera!$J:$J)+SUMIF([1]Futuros!$AD:$AD,$A1&amp;"_"&amp;AY$11,[1]Futuros!$AK:$AK)+SUMIF([1]Opciones!$AF:$AF,$A1&amp;"_"&amp;AY$11,[1]Opciones!$AO:$AO)</f>
        <v>#VALUE!</v>
      </c>
      <c r="AZ1" t="e">
        <f>+SUMIF([1]Cartera!$R:$R,$A1&amp;"_"&amp;AZ$11,[1]Cartera!$J:$J)+SUMIF([1]Futuros!$AD:$AD,$A1&amp;"_"&amp;AZ$11,[1]Futuros!$AK:$AK)+SUMIF([1]Opciones!$AF:$AF,$A1&amp;"_"&amp;AZ$11,[1]Opciones!$AO:$AO)</f>
        <v>#VALUE!</v>
      </c>
      <c r="BA1" t="e">
        <f>+SUMIF([1]Cartera!$R:$R,$A1&amp;"_"&amp;BA$11,[1]Cartera!$J:$J)+SUMIF([1]Futuros!$AD:$AD,$A1&amp;"_"&amp;BA$11,[1]Futuros!$AK:$AK)+SUMIF([1]Opciones!$AF:$AF,$A1&amp;"_"&amp;BA$11,[1]Opciones!$AO:$AO)</f>
        <v>#VALUE!</v>
      </c>
      <c r="BB1" t="e">
        <f>+SUMIF([1]Cartera!$R:$R,$A1&amp;"_"&amp;BB$11,[1]Cartera!$J:$J)+SUMIF([1]Futuros!$AD:$AD,$A1&amp;"_"&amp;BB$11,[1]Futuros!$AK:$AK)+SUMIF([1]Opciones!$AF:$AF,$A1&amp;"_"&amp;BB$11,[1]Opciones!$AO:$AO)</f>
        <v>#VALUE!</v>
      </c>
      <c r="BC1" t="e">
        <f>+SUMIF([1]Cartera!$R:$R,$A1&amp;"_"&amp;BC$11,[1]Cartera!$J:$J)+SUMIF([1]Futuros!$AD:$AD,$A1&amp;"_"&amp;BC$11,[1]Futuros!$AK:$AK)+SUMIF([1]Opciones!$AF:$AF,$A1&amp;"_"&amp;BC$11,[1]Opciones!$AO:$AO)</f>
        <v>#VALUE!</v>
      </c>
      <c r="BD1" t="e">
        <f>+SUMIF([1]Cartera!$R:$R,$A1&amp;"_"&amp;BD$11,[1]Cartera!$J:$J)+SUMIF([1]Futuros!$AD:$AD,$A1&amp;"_"&amp;BD$11,[1]Futuros!$AK:$AK)+SUMIF([1]Opciones!$AF:$AF,$A1&amp;"_"&amp;BD$11,[1]Opciones!$AO:$AO)</f>
        <v>#VALUE!</v>
      </c>
      <c r="BE1" t="e">
        <f>+SUMIF([1]Cartera!$R:$R,$A1&amp;"_"&amp;BE$11,[1]Cartera!$J:$J)+SUMIF([1]Futuros!$AD:$AD,$A1&amp;"_"&amp;BE$11,[1]Futuros!$AK:$AK)+SUMIF([1]Opciones!$AF:$AF,$A1&amp;"_"&amp;BE$11,[1]Opciones!$AO:$AO)</f>
        <v>#VALUE!</v>
      </c>
      <c r="BF1" t="e">
        <f>+SUMIF([1]Cartera!$R:$R,$A1&amp;"_"&amp;BF$11,[1]Cartera!$J:$J)+SUMIF([1]Futuros!$AD:$AD,$A1&amp;"_"&amp;BF$11,[1]Futuros!$AK:$AK)+SUMIF([1]Opciones!$AF:$AF,$A1&amp;"_"&amp;BF$11,[1]Opciones!$AO:$AO)</f>
        <v>#VALUE!</v>
      </c>
      <c r="BG1" t="e">
        <f>+SUMIF([1]Cartera!$R:$R,$A1&amp;"_"&amp;BG$11,[1]Cartera!$J:$J)+SUMIF([1]Futuros!$AD:$AD,$A1&amp;"_"&amp;BG$11,[1]Futuros!$AK:$AK)+SUMIF([1]Opciones!$AF:$AF,$A1&amp;"_"&amp;BG$11,[1]Opciones!$AO:$AO)</f>
        <v>#VALUE!</v>
      </c>
      <c r="BH1" t="e">
        <f>+SUMIF([1]Cartera!$R:$R,$A1&amp;"_"&amp;BH$11,[1]Cartera!$J:$J)+SUMIF([1]Futuros!$AD:$AD,$A1&amp;"_"&amp;BH$11,[1]Futuros!$AK:$AK)+SUMIF([1]Opciones!$AF:$AF,$A1&amp;"_"&amp;BH$11,[1]Opciones!$AO:$AO)</f>
        <v>#VALUE!</v>
      </c>
      <c r="BI1" t="e">
        <f>+SUMIF([1]Cartera!$R:$R,$A1&amp;"_"&amp;BI$11,[1]Cartera!$J:$J)+SUMIF([1]Futuros!$AD:$AD,$A1&amp;"_"&amp;BI$11,[1]Futuros!$AK:$AK)+SUMIF([1]Opciones!$AF:$AF,$A1&amp;"_"&amp;BI$11,[1]Opciones!$AO:$AO)</f>
        <v>#VALUE!</v>
      </c>
      <c r="BJ1" t="e">
        <f>+SUMIF([1]Cartera!$R:$R,$A1&amp;"_"&amp;BJ$11,[1]Cartera!$J:$J)+SUMIF([1]Futuros!$AD:$AD,$A1&amp;"_"&amp;BJ$11,[1]Futuros!$AK:$AK)+SUMIF([1]Opciones!$AF:$AF,$A1&amp;"_"&amp;BJ$11,[1]Opciones!$AO:$AO)</f>
        <v>#VALUE!</v>
      </c>
      <c r="BK1" t="e">
        <f>+SUMIF([1]Cartera!$R:$R,$A1&amp;"_"&amp;BK$11,[1]Cartera!$J:$J)+SUMIF([1]Futuros!$AD:$AD,$A1&amp;"_"&amp;BK$11,[1]Futuros!$AK:$AK)+SUMIF([1]Opciones!$AF:$AF,$A1&amp;"_"&amp;BK$11,[1]Opciones!$AO:$AO)</f>
        <v>#VALUE!</v>
      </c>
      <c r="BL1" t="e">
        <f>+SUMIF([1]Cartera!$R:$R,$A1&amp;"_"&amp;BL$11,[1]Cartera!$J:$J)+SUMIF([1]Futuros!$AD:$AD,$A1&amp;"_"&amp;BL$11,[1]Futuros!$AK:$AK)+SUMIF([1]Opciones!$AF:$AF,$A1&amp;"_"&amp;BL$11,[1]Opciones!$AO:$AO)</f>
        <v>#VALUE!</v>
      </c>
      <c r="BM1" t="e">
        <f>+SUMIF([1]Cartera!$R:$R,$A1&amp;"_"&amp;BM$11,[1]Cartera!$J:$J)+SUMIF([1]Futuros!$AD:$AD,$A1&amp;"_"&amp;BM$11,[1]Futuros!$AK:$AK)+SUMIF([1]Opciones!$AF:$AF,$A1&amp;"_"&amp;BM$11,[1]Opciones!$AO:$AO)</f>
        <v>#VALUE!</v>
      </c>
      <c r="BN1" t="e">
        <f>+SUMIF([1]Cartera!$R:$R,$A1&amp;"_"&amp;BN$11,[1]Cartera!$J:$J)+SUMIF([1]Futuros!$AD:$AD,$A1&amp;"_"&amp;BN$11,[1]Futuros!$AK:$AK)+SUMIF([1]Opciones!$AF:$AF,$A1&amp;"_"&amp;BN$11,[1]Opciones!$AO:$AO)</f>
        <v>#VALUE!</v>
      </c>
      <c r="BO1" t="e">
        <f>+SUMIF([1]Cartera!$R:$R,$A1&amp;"_"&amp;BO$11,[1]Cartera!$J:$J)+SUMIF([1]Futuros!$AD:$AD,$A1&amp;"_"&amp;BO$11,[1]Futuros!$AK:$AK)+SUMIF([1]Opciones!$AF:$AF,$A1&amp;"_"&amp;BO$11,[1]Opciones!$AO:$AO)</f>
        <v>#VALUE!</v>
      </c>
      <c r="BP1" t="e">
        <f>+SUMIF([1]Cartera!$R:$R,$A1&amp;"_"&amp;BP$11,[1]Cartera!$J:$J)+SUMIF([1]Futuros!$AD:$AD,$A1&amp;"_"&amp;BP$11,[1]Futuros!$AK:$AK)+SUMIF([1]Opciones!$AF:$AF,$A1&amp;"_"&amp;BP$11,[1]Opciones!$AO:$AO)</f>
        <v>#VALUE!</v>
      </c>
      <c r="BQ1" t="e">
        <f>+SUMIF([1]Cartera!$R:$R,$A1&amp;"_"&amp;BQ$11,[1]Cartera!$J:$J)+SUMIF([1]Futuros!$AD:$AD,$A1&amp;"_"&amp;BQ$11,[1]Futuros!$AK:$AK)+SUMIF([1]Opciones!$AF:$AF,$A1&amp;"_"&amp;BQ$11,[1]Opciones!$AO:$AO)</f>
        <v>#VALUE!</v>
      </c>
      <c r="BR1" t="e">
        <f>+SUMIF([1]Cartera!$R:$R,$A1&amp;"_"&amp;BR$11,[1]Cartera!$J:$J)+SUMIF([1]Futuros!$AD:$AD,$A1&amp;"_"&amp;BR$11,[1]Futuros!$AK:$AK)+SUMIF([1]Opciones!$AF:$AF,$A1&amp;"_"&amp;BR$11,[1]Opciones!$AO:$AO)</f>
        <v>#VALUE!</v>
      </c>
      <c r="BS1" t="e">
        <f>+SUMIF([1]Cartera!$R:$R,$A1&amp;"_"&amp;BS$11,[1]Cartera!$J:$J)+SUMIF([1]Futuros!$AD:$AD,$A1&amp;"_"&amp;BS$11,[1]Futuros!$AK:$AK)+SUMIF([1]Opciones!$AF:$AF,$A1&amp;"_"&amp;BS$11,[1]Opciones!$AO:$AO)</f>
        <v>#VALUE!</v>
      </c>
      <c r="BT1" t="e">
        <f>+SUMIF([1]Cartera!$R:$R,$A1&amp;"_"&amp;BT$11,[1]Cartera!$J:$J)+SUMIF([1]Futuros!$AD:$AD,$A1&amp;"_"&amp;BT$11,[1]Futuros!$AK:$AK)+SUMIF([1]Opciones!$AF:$AF,$A1&amp;"_"&amp;BT$11,[1]Opciones!$AO:$AO)</f>
        <v>#VALUE!</v>
      </c>
      <c r="BU1" t="e">
        <f>+SUMIF([1]Cartera!$R:$R,$A1&amp;"_"&amp;BU$11,[1]Cartera!$J:$J)+SUMIF([1]Futuros!$AD:$AD,$A1&amp;"_"&amp;BU$11,[1]Futuros!$AK:$AK)+SUMIF([1]Opciones!$AF:$AF,$A1&amp;"_"&amp;BU$11,[1]Opciones!$AO:$AO)</f>
        <v>#VALUE!</v>
      </c>
      <c r="BV1" t="e">
        <f>+SUMIF([1]Cartera!$R:$R,$A1&amp;"_"&amp;BV$11,[1]Cartera!$J:$J)+SUMIF([1]Futuros!$AD:$AD,$A1&amp;"_"&amp;BV$11,[1]Futuros!$AK:$AK)+SUMIF([1]Opciones!$AF:$AF,$A1&amp;"_"&amp;BV$11,[1]Opciones!$AO:$AO)</f>
        <v>#VALUE!</v>
      </c>
      <c r="BW1" t="e">
        <f>+SUMIF([1]Cartera!$R:$R,$A1&amp;"_"&amp;BW$11,[1]Cartera!$J:$J)+SUMIF([1]Futuros!$AD:$AD,$A1&amp;"_"&amp;BW$11,[1]Futuros!$AK:$AK)+SUMIF([1]Opciones!$AF:$AF,$A1&amp;"_"&amp;BW$11,[1]Opciones!$AO:$AO)</f>
        <v>#VALUE!</v>
      </c>
      <c r="BX1" t="e">
        <f>+SUMIF([1]Cartera!$R:$R,$A1&amp;"_"&amp;BX$11,[1]Cartera!$J:$J)+SUMIF([1]Futuros!$AD:$AD,$A1&amp;"_"&amp;BX$11,[1]Futuros!$AK:$AK)+SUMIF([1]Opciones!$AF:$AF,$A1&amp;"_"&amp;BX$11,[1]Opciones!$AO:$AO)</f>
        <v>#VALUE!</v>
      </c>
      <c r="BY1" t="e">
        <f>+SUMIF([1]Cartera!$R:$R,$A1&amp;"_"&amp;BY$11,[1]Cartera!$J:$J)+SUMIF([1]Futuros!$AD:$AD,$A1&amp;"_"&amp;BY$11,[1]Futuros!$AK:$AK)+SUMIF([1]Opciones!$AF:$AF,$A1&amp;"_"&amp;BY$11,[1]Opciones!$AO:$AO)</f>
        <v>#VALUE!</v>
      </c>
      <c r="BZ1" t="e">
        <f>+SUMIF([1]Cartera!$R:$R,$A1&amp;"_"&amp;BZ$11,[1]Cartera!$J:$J)+SUMIF([1]Futuros!$AD:$AD,$A1&amp;"_"&amp;BZ$11,[1]Futuros!$AK:$AK)+SUMIF([1]Opciones!$AF:$AF,$A1&amp;"_"&amp;BZ$11,[1]Opciones!$AO:$AO)</f>
        <v>#VALUE!</v>
      </c>
      <c r="CA1" t="e">
        <f>+SUMIF([1]Cartera!$R:$R,$A1&amp;"_"&amp;CA$11,[1]Cartera!$J:$J)+SUMIF([1]Futuros!$AD:$AD,$A1&amp;"_"&amp;CA$11,[1]Futuros!$AK:$AK)+SUMIF([1]Opciones!$AF:$AF,$A1&amp;"_"&amp;CA$11,[1]Opciones!$AO:$AO)</f>
        <v>#VALUE!</v>
      </c>
      <c r="CB1" t="e">
        <f>+SUMIF([1]Cartera!$R:$R,$A1&amp;"_"&amp;CB$11,[1]Cartera!$J:$J)+SUMIF([1]Futuros!$AD:$AD,$A1&amp;"_"&amp;CB$11,[1]Futuros!$AK:$AK)+SUMIF([1]Opciones!$AF:$AF,$A1&amp;"_"&amp;CB$11,[1]Opciones!$AO:$AO)</f>
        <v>#VALUE!</v>
      </c>
      <c r="CC1" t="e">
        <f>+SUMIF([1]Cartera!$R:$R,$A1&amp;"_"&amp;CC$11,[1]Cartera!$J:$J)+SUMIF([1]Futuros!$AD:$AD,$A1&amp;"_"&amp;CC$11,[1]Futuros!$AK:$AK)+SUMIF([1]Opciones!$AF:$AF,$A1&amp;"_"&amp;CC$11,[1]Opciones!$AO:$AO)</f>
        <v>#VALUE!</v>
      </c>
      <c r="CD1" t="e">
        <f>+SUMIF([1]Cartera!$R:$R,$A1&amp;"_"&amp;CD$11,[1]Cartera!$J:$J)+SUMIF([1]Futuros!$AD:$AD,$A1&amp;"_"&amp;CD$11,[1]Futuros!$AK:$AK)+SUMIF([1]Opciones!$AF:$AF,$A1&amp;"_"&amp;CD$11,[1]Opciones!$AO:$AO)</f>
        <v>#VALUE!</v>
      </c>
      <c r="CE1" t="e">
        <f>+SUMIF([1]Cartera!$R:$R,$A1&amp;"_"&amp;CE$11,[1]Cartera!$J:$J)+SUMIF([1]Futuros!$AD:$AD,$A1&amp;"_"&amp;CE$11,[1]Futuros!$AK:$AK)+SUMIF([1]Opciones!$AF:$AF,$A1&amp;"_"&amp;CE$11,[1]Opciones!$AO:$AO)</f>
        <v>#VALUE!</v>
      </c>
      <c r="CF1" t="e">
        <f>+SUMIF([1]Cartera!$R:$R,$A1&amp;"_"&amp;CF$11,[1]Cartera!$J:$J)+SUMIF([1]Futuros!$AD:$AD,$A1&amp;"_"&amp;CF$11,[1]Futuros!$AK:$AK)+SUMIF([1]Opciones!$AF:$AF,$A1&amp;"_"&amp;CF$11,[1]Opciones!$AO:$AO)</f>
        <v>#VALUE!</v>
      </c>
      <c r="CG1" t="e">
        <f>+SUMIF([1]Cartera!$R:$R,$A1&amp;"_"&amp;CG$11,[1]Cartera!$J:$J)+SUMIF([1]Futuros!$AD:$AD,$A1&amp;"_"&amp;CG$11,[1]Futuros!$AK:$AK)+SUMIF([1]Opciones!$AF:$AF,$A1&amp;"_"&amp;CG$11,[1]Opciones!$AO:$AO)</f>
        <v>#VALUE!</v>
      </c>
      <c r="CH1" t="e">
        <f>+SUMIF([1]Cartera!$R:$R,$A1&amp;"_"&amp;CH$11,[1]Cartera!$J:$J)+SUMIF([1]Futuros!$AD:$AD,$A1&amp;"_"&amp;CH$11,[1]Futuros!$AK:$AK)+SUMIF([1]Opciones!$AF:$AF,$A1&amp;"_"&amp;CH$11,[1]Opciones!$AO:$AO)</f>
        <v>#VALUE!</v>
      </c>
      <c r="CI1" t="e">
        <f>+SUMIF([1]Cartera!$R:$R,$A1&amp;"_"&amp;CI$11,[1]Cartera!$J:$J)+SUMIF([1]Futuros!$AD:$AD,$A1&amp;"_"&amp;CI$11,[1]Futuros!$AK:$AK)+SUMIF([1]Opciones!$AF:$AF,$A1&amp;"_"&amp;CI$11,[1]Opciones!$AO:$AO)</f>
        <v>#VALUE!</v>
      </c>
      <c r="CJ1" t="e">
        <f>+SUMIF([1]Cartera!$R:$R,$A1&amp;"_"&amp;CJ$11,[1]Cartera!$J:$J)+SUMIF([1]Futuros!$AD:$AD,$A1&amp;"_"&amp;CJ$11,[1]Futuros!$AK:$AK)+SUMIF([1]Opciones!$AF:$AF,$A1&amp;"_"&amp;CJ$11,[1]Opciones!$AO:$AO)</f>
        <v>#VALUE!</v>
      </c>
      <c r="CK1" t="e">
        <f>+SUMIF([1]Cartera!$R:$R,$A1&amp;"_"&amp;CK$11,[1]Cartera!$J:$J)+SUMIF([1]Futuros!$AD:$AD,$A1&amp;"_"&amp;CK$11,[1]Futuros!$AK:$AK)+SUMIF([1]Opciones!$AF:$AF,$A1&amp;"_"&amp;CK$11,[1]Opciones!$AO:$AO)</f>
        <v>#VALUE!</v>
      </c>
      <c r="CL1" t="e">
        <f>+SUMIF([1]Cartera!$R:$R,$A1&amp;"_"&amp;CL$11,[1]Cartera!$J:$J)+SUMIF([1]Futuros!$AD:$AD,$A1&amp;"_"&amp;CL$11,[1]Futuros!$AK:$AK)+SUMIF([1]Opciones!$AF:$AF,$A1&amp;"_"&amp;CL$11,[1]Opciones!$AO:$AO)</f>
        <v>#VALUE!</v>
      </c>
      <c r="CM1" t="e">
        <f>+SUMIF([1]Cartera!$R:$R,$A1&amp;"_"&amp;CM$11,[1]Cartera!$J:$J)+SUMIF([1]Futuros!$AD:$AD,$A1&amp;"_"&amp;CM$11,[1]Futuros!$AK:$AK)+SUMIF([1]Opciones!$AF:$AF,$A1&amp;"_"&amp;CM$11,[1]Opciones!$AO:$AO)</f>
        <v>#VALUE!</v>
      </c>
      <c r="CN1" t="e">
        <f>+SUMIF([1]Cartera!$R:$R,$A1&amp;"_"&amp;CN$11,[1]Cartera!$J:$J)+SUMIF([1]Futuros!$AD:$AD,$A1&amp;"_"&amp;CN$11,[1]Futuros!$AK:$AK)+SUMIF([1]Opciones!$AF:$AF,$A1&amp;"_"&amp;CN$11,[1]Opciones!$AO:$AO)</f>
        <v>#VALUE!</v>
      </c>
      <c r="CO1" t="e">
        <f>+SUMIF([1]Cartera!$R:$R,$A1&amp;"_"&amp;CO$11,[1]Cartera!$J:$J)+SUMIF([1]Futuros!$AD:$AD,$A1&amp;"_"&amp;CO$11,[1]Futuros!$AK:$AK)+SUMIF([1]Opciones!$AF:$AF,$A1&amp;"_"&amp;CO$11,[1]Opciones!$AO:$AO)</f>
        <v>#VALUE!</v>
      </c>
      <c r="CP1" t="e">
        <f>+SUMIF([1]Cartera!$R:$R,$A1&amp;"_"&amp;CP$11,[1]Cartera!$J:$J)+SUMIF([1]Futuros!$AD:$AD,$A1&amp;"_"&amp;CP$11,[1]Futuros!$AK:$AK)+SUMIF([1]Opciones!$AF:$AF,$A1&amp;"_"&amp;CP$11,[1]Opciones!$AO:$AO)</f>
        <v>#VALUE!</v>
      </c>
      <c r="CQ1" t="e">
        <f>+SUMIF([1]Cartera!$R:$R,$A1&amp;"_"&amp;CQ$11,[1]Cartera!$J:$J)+SUMIF([1]Futuros!$AD:$AD,$A1&amp;"_"&amp;CQ$11,[1]Futuros!$AK:$AK)+SUMIF([1]Opciones!$AF:$AF,$A1&amp;"_"&amp;CQ$11,[1]Opciones!$AO:$AO)</f>
        <v>#VALUE!</v>
      </c>
      <c r="CR1" t="e">
        <f>+SUMIF([1]Cartera!$R:$R,$A1&amp;"_"&amp;CR$11,[1]Cartera!$J:$J)+SUMIF([1]Futuros!$AD:$AD,$A1&amp;"_"&amp;CR$11,[1]Futuros!$AK:$AK)+SUMIF([1]Opciones!$AF:$AF,$A1&amp;"_"&amp;CR$11,[1]Opciones!$AO:$AO)</f>
        <v>#VALUE!</v>
      </c>
      <c r="CS1" t="e">
        <f>+SUMIF([1]Cartera!$R:$R,$A1&amp;"_"&amp;CS$11,[1]Cartera!$J:$J)+SUMIF([1]Futuros!$AD:$AD,$A1&amp;"_"&amp;CS$11,[1]Futuros!$AK:$AK)+SUMIF([1]Opciones!$AF:$AF,$A1&amp;"_"&amp;CS$11,[1]Opciones!$AO:$AO)</f>
        <v>#VALUE!</v>
      </c>
      <c r="CT1" t="e">
        <f>+SUMIF([1]Cartera!$R:$R,$A1&amp;"_"&amp;CT$11,[1]Cartera!$J:$J)+SUMIF([1]Futuros!$AD:$AD,$A1&amp;"_"&amp;CT$11,[1]Futuros!$AK:$AK)+SUMIF([1]Opciones!$AF:$AF,$A1&amp;"_"&amp;CT$11,[1]Opciones!$AO:$AO)</f>
        <v>#VALUE!</v>
      </c>
      <c r="CU1" t="e">
        <f>+SUMIF([1]Cartera!$R:$R,$A1&amp;"_"&amp;CU$11,[1]Cartera!$J:$J)+SUMIF([1]Futuros!$AD:$AD,$A1&amp;"_"&amp;CU$11,[1]Futuros!$AK:$AK)+SUMIF([1]Opciones!$AF:$AF,$A1&amp;"_"&amp;CU$11,[1]Opciones!$AO:$AO)</f>
        <v>#VALUE!</v>
      </c>
      <c r="CV1" t="e">
        <f>+SUMIF([1]Cartera!$R:$R,$A1&amp;"_"&amp;CV$11,[1]Cartera!$J:$J)+SUMIF([1]Futuros!$AD:$AD,$A1&amp;"_"&amp;CV$11,[1]Futuros!$AK:$AK)+SUMIF([1]Opciones!$AF:$AF,$A1&amp;"_"&amp;CV$11,[1]Opciones!$AO:$AO)</f>
        <v>#VALUE!</v>
      </c>
      <c r="CW1" t="e">
        <f>+SUMIF([1]Cartera!$R:$R,$A1&amp;"_"&amp;CW$11,[1]Cartera!$J:$J)+SUMIF([1]Futuros!$AD:$AD,$A1&amp;"_"&amp;CW$11,[1]Futuros!$AK:$AK)+SUMIF([1]Opciones!$AF:$AF,$A1&amp;"_"&amp;CW$11,[1]Opciones!$AO:$AO)</f>
        <v>#VALUE!</v>
      </c>
      <c r="CX1" t="e">
        <f>+SUMIF([1]Cartera!$R:$R,$A1&amp;"_"&amp;CX$11,[1]Cartera!$J:$J)+SUMIF([1]Futuros!$AD:$AD,$A1&amp;"_"&amp;CX$11,[1]Futuros!$AK:$AK)+SUMIF([1]Opciones!$AF:$AF,$A1&amp;"_"&amp;CX$11,[1]Opciones!$AO:$AO)</f>
        <v>#VALUE!</v>
      </c>
      <c r="CY1" t="e">
        <f>+SUMIF([1]Cartera!$R:$R,$A1&amp;"_"&amp;CY$11,[1]Cartera!$J:$J)+SUMIF([1]Futuros!$AD:$AD,$A1&amp;"_"&amp;CY$11,[1]Futuros!$AK:$AK)+SUMIF([1]Opciones!$AF:$AF,$A1&amp;"_"&amp;CY$11,[1]Opciones!$AO:$AO)</f>
        <v>#VALUE!</v>
      </c>
      <c r="CZ1" t="e">
        <f>+SUMIF([1]Cartera!$R:$R,$A1&amp;"_"&amp;CZ$11,[1]Cartera!$J:$J)+SUMIF([1]Futuros!$AD:$AD,$A1&amp;"_"&amp;CZ$11,[1]Futuros!$AK:$AK)+SUMIF([1]Opciones!$AF:$AF,$A1&amp;"_"&amp;CZ$11,[1]Opciones!$AO:$AO)</f>
        <v>#VALUE!</v>
      </c>
      <c r="DA1" t="e">
        <f>+SUMIF([1]Cartera!$R:$R,$A1&amp;"_"&amp;DA$11,[1]Cartera!$J:$J)+SUMIF([1]Futuros!$AD:$AD,$A1&amp;"_"&amp;DA$11,[1]Futuros!$AK:$AK)+SUMIF([1]Opciones!$AF:$AF,$A1&amp;"_"&amp;DA$11,[1]Opciones!$AO:$AO)</f>
        <v>#VALUE!</v>
      </c>
      <c r="DB1" t="e">
        <f>+SUMIF([1]Cartera!$R:$R,$A1&amp;"_"&amp;DB$11,[1]Cartera!$J:$J)+SUMIF([1]Futuros!$AD:$AD,$A1&amp;"_"&amp;DB$11,[1]Futuros!$AK:$AK)+SUMIF([1]Opciones!$AF:$AF,$A1&amp;"_"&amp;DB$11,[1]Opciones!$AO:$AO)</f>
        <v>#VALUE!</v>
      </c>
      <c r="DC1" t="e">
        <f>+SUMIF([1]Cartera!$R:$R,$A1&amp;"_"&amp;DC$11,[1]Cartera!$J:$J)+SUMIF([1]Futuros!$AD:$AD,$A1&amp;"_"&amp;DC$11,[1]Futuros!$AK:$AK)+SUMIF([1]Opciones!$AF:$AF,$A1&amp;"_"&amp;DC$11,[1]Opciones!$AO:$AO)</f>
        <v>#VALUE!</v>
      </c>
      <c r="DD1" t="e">
        <f>+SUMIF([1]Cartera!$R:$R,$A1&amp;"_"&amp;DD$11,[1]Cartera!$J:$J)+SUMIF([1]Futuros!$AD:$AD,$A1&amp;"_"&amp;DD$11,[1]Futuros!$AK:$AK)+SUMIF([1]Opciones!$AF:$AF,$A1&amp;"_"&amp;DD$11,[1]Opciones!$AO:$AO)</f>
        <v>#VALUE!</v>
      </c>
      <c r="DE1" t="e">
        <f>+SUMIF([1]Cartera!$R:$R,$A1&amp;"_"&amp;DE$11,[1]Cartera!$J:$J)+SUMIF([1]Futuros!$AD:$AD,$A1&amp;"_"&amp;DE$11,[1]Futuros!$AK:$AK)+SUMIF([1]Opciones!$AF:$AF,$A1&amp;"_"&amp;DE$11,[1]Opciones!$AO:$AO)</f>
        <v>#VALUE!</v>
      </c>
      <c r="DF1" t="e">
        <f>+SUMIF([1]Cartera!$R:$R,$A1&amp;"_"&amp;DF$11,[1]Cartera!$J:$J)+SUMIF([1]Futuros!$AD:$AD,$A1&amp;"_"&amp;DF$11,[1]Futuros!$AK:$AK)+SUMIF([1]Opciones!$AF:$AF,$A1&amp;"_"&amp;DF$11,[1]Opciones!$AO:$AO)</f>
        <v>#VALUE!</v>
      </c>
      <c r="DG1" t="e">
        <f>+SUMIF([1]Cartera!$R:$R,$A1&amp;"_"&amp;DG$11,[1]Cartera!$J:$J)+SUMIF([1]Futuros!$AD:$AD,$A1&amp;"_"&amp;DG$11,[1]Futuros!$AK:$AK)+SUMIF([1]Opciones!$AF:$AF,$A1&amp;"_"&amp;DG$11,[1]Opciones!$AO:$AO)</f>
        <v>#VALUE!</v>
      </c>
      <c r="DH1" t="e">
        <f>+SUMIF([1]Cartera!$R:$R,$A1&amp;"_"&amp;DH$11,[1]Cartera!$J:$J)+SUMIF([1]Futuros!$AD:$AD,$A1&amp;"_"&amp;DH$11,[1]Futuros!$AK:$AK)+SUMIF([1]Opciones!$AF:$AF,$A1&amp;"_"&amp;DH$11,[1]Opciones!$AO:$AO)</f>
        <v>#VALUE!</v>
      </c>
      <c r="DI1" t="e">
        <f>+SUMIF([1]Cartera!$R:$R,$A1&amp;"_"&amp;DI$11,[1]Cartera!$J:$J)+SUMIF([1]Futuros!$AD:$AD,$A1&amp;"_"&amp;DI$11,[1]Futuros!$AK:$AK)+SUMIF([1]Opciones!$AF:$AF,$A1&amp;"_"&amp;DI$11,[1]Opciones!$AO:$AO)</f>
        <v>#VALUE!</v>
      </c>
      <c r="DJ1" t="e">
        <f>+SUMIF([1]Cartera!$R:$R,$A1&amp;"_"&amp;DJ$11,[1]Cartera!$J:$J)+SUMIF([1]Futuros!$AD:$AD,$A1&amp;"_"&amp;DJ$11,[1]Futuros!$AK:$AK)+SUMIF([1]Opciones!$AF:$AF,$A1&amp;"_"&amp;DJ$11,[1]Opciones!$AO:$AO)</f>
        <v>#VALUE!</v>
      </c>
      <c r="DK1" t="e">
        <f>+SUMIF([1]Cartera!$R:$R,$A1&amp;"_"&amp;DK$11,[1]Cartera!$J:$J)+SUMIF([1]Futuros!$AD:$AD,$A1&amp;"_"&amp;DK$11,[1]Futuros!$AK:$AK)+SUMIF([1]Opciones!$AF:$AF,$A1&amp;"_"&amp;DK$11,[1]Opciones!$AO:$AO)</f>
        <v>#VALUE!</v>
      </c>
      <c r="DL1" t="e">
        <f>+SUMIF([1]Cartera!$R:$R,$A1&amp;"_"&amp;DL$11,[1]Cartera!$J:$J)+SUMIF([1]Futuros!$AD:$AD,$A1&amp;"_"&amp;DL$11,[1]Futuros!$AK:$AK)+SUMIF([1]Opciones!$AF:$AF,$A1&amp;"_"&amp;DL$11,[1]Opciones!$AO:$AO)</f>
        <v>#VALUE!</v>
      </c>
      <c r="DM1" t="e">
        <f>+SUMIF([1]Cartera!$R:$R,$A1&amp;"_"&amp;DM$11,[1]Cartera!$J:$J)+SUMIF([1]Futuros!$AD:$AD,$A1&amp;"_"&amp;DM$11,[1]Futuros!$AK:$AK)+SUMIF([1]Opciones!$AF:$AF,$A1&amp;"_"&amp;DM$11,[1]Opciones!$AO:$AO)</f>
        <v>#VALUE!</v>
      </c>
      <c r="DN1" t="e">
        <f>+SUMIF([1]Cartera!$R:$R,$A1&amp;"_"&amp;DN$11,[1]Cartera!$J:$J)+SUMIF([1]Futuros!$AD:$AD,$A1&amp;"_"&amp;DN$11,[1]Futuros!$AK:$AK)+SUMIF([1]Opciones!$AF:$AF,$A1&amp;"_"&amp;DN$11,[1]Opciones!$AO:$AO)</f>
        <v>#VALUE!</v>
      </c>
      <c r="DO1" t="e">
        <f>+SUMIF([1]Cartera!$R:$R,$A1&amp;"_"&amp;DO$11,[1]Cartera!$J:$J)+SUMIF([1]Futuros!$AD:$AD,$A1&amp;"_"&amp;DO$11,[1]Futuros!$AK:$AK)+SUMIF([1]Opciones!$AF:$AF,$A1&amp;"_"&amp;DO$11,[1]Opciones!$AO:$AO)</f>
        <v>#VALUE!</v>
      </c>
      <c r="DP1" t="e">
        <f>+SUMIF([1]Cartera!$R:$R,$A1&amp;"_"&amp;DP$11,[1]Cartera!$J:$J)+SUMIF([1]Futuros!$AD:$AD,$A1&amp;"_"&amp;DP$11,[1]Futuros!$AK:$AK)+SUMIF([1]Opciones!$AF:$AF,$A1&amp;"_"&amp;DP$11,[1]Opciones!$AO:$AO)</f>
        <v>#VALUE!</v>
      </c>
      <c r="DQ1" t="e">
        <f>+SUMIF([1]Cartera!$R:$R,$A1&amp;"_"&amp;DQ$11,[1]Cartera!$J:$J)+SUMIF([1]Futuros!$AD:$AD,$A1&amp;"_"&amp;DQ$11,[1]Futuros!$AK:$AK)+SUMIF([1]Opciones!$AF:$AF,$A1&amp;"_"&amp;DQ$11,[1]Opciones!$AO:$AO)</f>
        <v>#VALUE!</v>
      </c>
      <c r="DR1" t="e">
        <f>+SUMIF([1]Cartera!$R:$R,$A1&amp;"_"&amp;DR$11,[1]Cartera!$J:$J)+SUMIF([1]Futuros!$AD:$AD,$A1&amp;"_"&amp;DR$11,[1]Futuros!$AK:$AK)+SUMIF([1]Opciones!$AF:$AF,$A1&amp;"_"&amp;DR$11,[1]Opciones!$AO:$AO)</f>
        <v>#VALUE!</v>
      </c>
      <c r="DS1" t="e">
        <f>+SUMIF([1]Cartera!$R:$R,$A1&amp;"_"&amp;DS$11,[1]Cartera!$J:$J)+SUMIF([1]Futuros!$AD:$AD,$A1&amp;"_"&amp;DS$11,[1]Futuros!$AK:$AK)+SUMIF([1]Opciones!$AF:$AF,$A1&amp;"_"&amp;DS$11,[1]Opciones!$AO:$AO)</f>
        <v>#VALUE!</v>
      </c>
      <c r="DT1" t="e">
        <f>+SUMIF([1]Cartera!$R:$R,$A1&amp;"_"&amp;DT$11,[1]Cartera!$J:$J)+SUMIF([1]Futuros!$AD:$AD,$A1&amp;"_"&amp;DT$11,[1]Futuros!$AK:$AK)+SUMIF([1]Opciones!$AF:$AF,$A1&amp;"_"&amp;DT$11,[1]Opciones!$AO:$AO)</f>
        <v>#VALUE!</v>
      </c>
      <c r="DU1" t="e">
        <f>+SUMIF([1]Cartera!$R:$R,$A1&amp;"_"&amp;DU$11,[1]Cartera!$J:$J)+SUMIF([1]Futuros!$AD:$AD,$A1&amp;"_"&amp;DU$11,[1]Futuros!$AK:$AK)+SUMIF([1]Opciones!$AF:$AF,$A1&amp;"_"&amp;DU$11,[1]Opciones!$AO:$AO)</f>
        <v>#VALUE!</v>
      </c>
      <c r="DV1" t="e">
        <f>+SUMIF([1]Cartera!$R:$R,$A1&amp;"_"&amp;DV$11,[1]Cartera!$J:$J)+SUMIF([1]Futuros!$AD:$AD,$A1&amp;"_"&amp;DV$11,[1]Futuros!$AK:$AK)+SUMIF([1]Opciones!$AF:$AF,$A1&amp;"_"&amp;DV$11,[1]Opciones!$AO:$AO)</f>
        <v>#VALUE!</v>
      </c>
      <c r="DW1" t="e">
        <f>+SUMIF([1]Cartera!$R:$R,$A1&amp;"_"&amp;DW$11,[1]Cartera!$J:$J)+SUMIF([1]Futuros!$AD:$AD,$A1&amp;"_"&amp;DW$11,[1]Futuros!$AK:$AK)+SUMIF([1]Opciones!$AF:$AF,$A1&amp;"_"&amp;DW$11,[1]Opciones!$AO:$AO)</f>
        <v>#VALUE!</v>
      </c>
      <c r="DX1" t="e">
        <f>+SUMIF([1]Cartera!$R:$R,$A1&amp;"_"&amp;DX$11,[1]Cartera!$J:$J)+SUMIF([1]Futuros!$AD:$AD,$A1&amp;"_"&amp;DX$11,[1]Futuros!$AK:$AK)+SUMIF([1]Opciones!$AF:$AF,$A1&amp;"_"&amp;DX$11,[1]Opciones!$AO:$AO)</f>
        <v>#VALUE!</v>
      </c>
      <c r="DY1" t="e">
        <f>+SUMIF([1]Cartera!$R:$R,$A1&amp;"_"&amp;DY$11,[1]Cartera!$J:$J)+SUMIF([1]Futuros!$AD:$AD,$A1&amp;"_"&amp;DY$11,[1]Futuros!$AK:$AK)+SUMIF([1]Opciones!$AF:$AF,$A1&amp;"_"&amp;DY$11,[1]Opciones!$AO:$AO)</f>
        <v>#VALUE!</v>
      </c>
      <c r="DZ1" t="e">
        <f>+SUMIF([1]Cartera!$R:$R,$A1&amp;"_"&amp;DZ$11,[1]Cartera!$J:$J)+SUMIF([1]Futuros!$AD:$AD,$A1&amp;"_"&amp;DZ$11,[1]Futuros!$AK:$AK)+SUMIF([1]Opciones!$AF:$AF,$A1&amp;"_"&amp;DZ$11,[1]Opciones!$AO:$AO)</f>
        <v>#VALUE!</v>
      </c>
      <c r="EA1" t="e">
        <f>+SUMIF([1]Cartera!$R:$R,$A1&amp;"_"&amp;EA$11,[1]Cartera!$J:$J)+SUMIF([1]Futuros!$AD:$AD,$A1&amp;"_"&amp;EA$11,[1]Futuros!$AK:$AK)+SUMIF([1]Opciones!$AF:$AF,$A1&amp;"_"&amp;EA$11,[1]Opciones!$AO:$AO)</f>
        <v>#VALUE!</v>
      </c>
      <c r="EB1" t="e">
        <f>+SUMIF([1]Cartera!$R:$R,$A1&amp;"_"&amp;EB$11,[1]Cartera!$J:$J)+SUMIF([1]Futuros!$AD:$AD,$A1&amp;"_"&amp;EB$11,[1]Futuros!$AK:$AK)+SUMIF([1]Opciones!$AF:$AF,$A1&amp;"_"&amp;EB$11,[1]Opciones!$AO:$AO)</f>
        <v>#VALUE!</v>
      </c>
      <c r="EC1" t="e">
        <f>+SUMIF([1]Cartera!$R:$R,$A1&amp;"_"&amp;EC$11,[1]Cartera!$J:$J)+SUMIF([1]Futuros!$AD:$AD,$A1&amp;"_"&amp;EC$11,[1]Futuros!$AK:$AK)+SUMIF([1]Opciones!$AF:$AF,$A1&amp;"_"&amp;EC$11,[1]Opciones!$AO:$AO)</f>
        <v>#VALUE!</v>
      </c>
      <c r="ED1" t="e">
        <f>+SUMIF([1]Cartera!$R:$R,$A1&amp;"_"&amp;ED$11,[1]Cartera!$J:$J)+SUMIF([1]Futuros!$AD:$AD,$A1&amp;"_"&amp;ED$11,[1]Futuros!$AK:$AK)+SUMIF([1]Opciones!$AF:$AF,$A1&amp;"_"&amp;ED$11,[1]Opciones!$AO:$AO)</f>
        <v>#VALUE!</v>
      </c>
      <c r="EE1" t="e">
        <f>+SUMIF([1]Cartera!$R:$R,$A1&amp;"_"&amp;EE$11,[1]Cartera!$J:$J)+SUMIF([1]Futuros!$AD:$AD,$A1&amp;"_"&amp;EE$11,[1]Futuros!$AK:$AK)+SUMIF([1]Opciones!$AF:$AF,$A1&amp;"_"&amp;EE$11,[1]Opciones!$AO:$AO)</f>
        <v>#VALUE!</v>
      </c>
      <c r="EF1" t="e">
        <f>+SUMIF([1]Cartera!$R:$R,$A1&amp;"_"&amp;EF$11,[1]Cartera!$J:$J)+SUMIF([1]Futuros!$AD:$AD,$A1&amp;"_"&amp;EF$11,[1]Futuros!$AK:$AK)+SUMIF([1]Opciones!$AF:$AF,$A1&amp;"_"&amp;EF$11,[1]Opciones!$AO:$AO)</f>
        <v>#VALUE!</v>
      </c>
      <c r="EG1" t="e">
        <f>+SUMIF([1]Cartera!$R:$R,$A1&amp;"_"&amp;EG$11,[1]Cartera!$J:$J)+SUMIF([1]Futuros!$AD:$AD,$A1&amp;"_"&amp;EG$11,[1]Futuros!$AK:$AK)+SUMIF([1]Opciones!$AF:$AF,$A1&amp;"_"&amp;EG$11,[1]Opciones!$AO:$AO)</f>
        <v>#VALUE!</v>
      </c>
      <c r="EH1" t="e">
        <f>+SUMIF([1]Cartera!$R:$R,$A1&amp;"_"&amp;EH$11,[1]Cartera!$J:$J)+SUMIF([1]Futuros!$AD:$AD,$A1&amp;"_"&amp;EH$11,[1]Futuros!$AK:$AK)+SUMIF([1]Opciones!$AF:$AF,$A1&amp;"_"&amp;EH$11,[1]Opciones!$AO:$AO)</f>
        <v>#VALUE!</v>
      </c>
      <c r="EI1" t="e">
        <f>+SUMIF([1]Cartera!$R:$R,$A1&amp;"_"&amp;EI$11,[1]Cartera!$J:$J)+SUMIF([1]Futuros!$AD:$AD,$A1&amp;"_"&amp;EI$11,[1]Futuros!$AK:$AK)+SUMIF([1]Opciones!$AF:$AF,$A1&amp;"_"&amp;EI$11,[1]Opciones!$AO:$AO)</f>
        <v>#VALUE!</v>
      </c>
      <c r="EJ1" t="e">
        <f>+SUMIF([1]Cartera!$R:$R,$A1&amp;"_"&amp;EJ$11,[1]Cartera!$J:$J)+SUMIF([1]Futuros!$AD:$AD,$A1&amp;"_"&amp;EJ$11,[1]Futuros!$AK:$AK)+SUMIF([1]Opciones!$AF:$AF,$A1&amp;"_"&amp;EJ$11,[1]Opciones!$AO:$AO)</f>
        <v>#VALUE!</v>
      </c>
      <c r="EK1" t="e">
        <f>+SUMIF([1]Cartera!$R:$R,$A1&amp;"_"&amp;EK$11,[1]Cartera!$J:$J)+SUMIF([1]Futuros!$AD:$AD,$A1&amp;"_"&amp;EK$11,[1]Futuros!$AK:$AK)+SUMIF([1]Opciones!$AF:$AF,$A1&amp;"_"&amp;EK$11,[1]Opciones!$AO:$AO)</f>
        <v>#VALUE!</v>
      </c>
      <c r="EL1" t="e">
        <f>+SUMIF([1]Cartera!$R:$R,$A1&amp;"_"&amp;EL$11,[1]Cartera!$J:$J)+SUMIF([1]Futuros!$AD:$AD,$A1&amp;"_"&amp;EL$11,[1]Futuros!$AK:$AK)+SUMIF([1]Opciones!$AF:$AF,$A1&amp;"_"&amp;EL$11,[1]Opciones!$AO:$AO)</f>
        <v>#VALUE!</v>
      </c>
      <c r="EM1" t="e">
        <f>+SUMIF([1]Cartera!$R:$R,$A1&amp;"_"&amp;EM$11,[1]Cartera!$J:$J)+SUMIF([1]Futuros!$AD:$AD,$A1&amp;"_"&amp;EM$11,[1]Futuros!$AK:$AK)+SUMIF([1]Opciones!$AF:$AF,$A1&amp;"_"&amp;EM$11,[1]Opciones!$AO:$AO)</f>
        <v>#VALUE!</v>
      </c>
      <c r="EN1" t="e">
        <f>+SUMIF([1]Cartera!$R:$R,$A1&amp;"_"&amp;EN$11,[1]Cartera!$J:$J)+SUMIF([1]Futuros!$AD:$AD,$A1&amp;"_"&amp;EN$11,[1]Futuros!$AK:$AK)+SUMIF([1]Opciones!$AF:$AF,$A1&amp;"_"&amp;EN$11,[1]Opciones!$AO:$AO)</f>
        <v>#VALUE!</v>
      </c>
      <c r="EO1" t="e">
        <f>+SUMIF([1]Cartera!$R:$R,$A1&amp;"_"&amp;EO$11,[1]Cartera!$J:$J)+SUMIF([1]Futuros!$AD:$AD,$A1&amp;"_"&amp;EO$11,[1]Futuros!$AK:$AK)+SUMIF([1]Opciones!$AF:$AF,$A1&amp;"_"&amp;EO$11,[1]Opciones!$AO:$AO)</f>
        <v>#VALUE!</v>
      </c>
      <c r="EP1" t="e">
        <f>+SUMIF([1]Cartera!$R:$R,$A1&amp;"_"&amp;EP$11,[1]Cartera!$J:$J)+SUMIF([1]Futuros!$AD:$AD,$A1&amp;"_"&amp;EP$11,[1]Futuros!$AK:$AK)+SUMIF([1]Opciones!$AF:$AF,$A1&amp;"_"&amp;EP$11,[1]Opciones!$AO:$AO)</f>
        <v>#VALUE!</v>
      </c>
      <c r="EQ1" t="e">
        <f>+SUMIF([1]Cartera!$R:$R,$A1&amp;"_"&amp;EQ$11,[1]Cartera!$J:$J)+SUMIF([1]Futuros!$AD:$AD,$A1&amp;"_"&amp;EQ$11,[1]Futuros!$AK:$AK)+SUMIF([1]Opciones!$AF:$AF,$A1&amp;"_"&amp;EQ$11,[1]Opciones!$AO:$AO)</f>
        <v>#VALUE!</v>
      </c>
      <c r="ER1" t="e">
        <f>+SUMIF([1]Cartera!$R:$R,$A1&amp;"_"&amp;ER$11,[1]Cartera!$J:$J)+SUMIF([1]Futuros!$AD:$AD,$A1&amp;"_"&amp;ER$11,[1]Futuros!$AK:$AK)+SUMIF([1]Opciones!$AF:$AF,$A1&amp;"_"&amp;ER$11,[1]Opciones!$AO:$AO)</f>
        <v>#VALUE!</v>
      </c>
      <c r="ES1" t="e">
        <f>+SUMIF([1]Cartera!$R:$R,$A1&amp;"_"&amp;ES$11,[1]Cartera!$J:$J)+SUMIF([1]Futuros!$AD:$AD,$A1&amp;"_"&amp;ES$11,[1]Futuros!$AK:$AK)+SUMIF([1]Opciones!$AF:$AF,$A1&amp;"_"&amp;ES$11,[1]Opciones!$AO:$AO)</f>
        <v>#VALUE!</v>
      </c>
      <c r="ET1" t="e">
        <f>+SUMIF([1]Cartera!$R:$R,$A1&amp;"_"&amp;ET$11,[1]Cartera!$J:$J)+SUMIF([1]Futuros!$AD:$AD,$A1&amp;"_"&amp;ET$11,[1]Futuros!$AK:$AK)+SUMIF([1]Opciones!$AF:$AF,$A1&amp;"_"&amp;ET$11,[1]Opciones!$AO:$AO)</f>
        <v>#VALUE!</v>
      </c>
      <c r="EU1" t="e">
        <f>+SUMIF([1]Cartera!$R:$R,$A1&amp;"_"&amp;EU$11,[1]Cartera!$J:$J)+SUMIF([1]Futuros!$AD:$AD,$A1&amp;"_"&amp;EU$11,[1]Futuros!$AK:$AK)+SUMIF([1]Opciones!$AF:$AF,$A1&amp;"_"&amp;EU$11,[1]Opciones!$AO:$AO)</f>
        <v>#VALUE!</v>
      </c>
      <c r="EV1" t="e">
        <f>+SUMIF([1]Cartera!$R:$R,$A1&amp;"_"&amp;EV$11,[1]Cartera!$J:$J)+SUMIF([1]Futuros!$AD:$AD,$A1&amp;"_"&amp;EV$11,[1]Futuros!$AK:$AK)+SUMIF([1]Opciones!$AF:$AF,$A1&amp;"_"&amp;EV$11,[1]Opciones!$AO:$AO)</f>
        <v>#VALUE!</v>
      </c>
      <c r="EW1" t="e">
        <f>+SUMIF([1]Cartera!$R:$R,$A1&amp;"_"&amp;EW$11,[1]Cartera!$J:$J)+SUMIF([1]Futuros!$AD:$AD,$A1&amp;"_"&amp;EW$11,[1]Futuros!$AK:$AK)+SUMIF([1]Opciones!$AF:$AF,$A1&amp;"_"&amp;EW$11,[1]Opciones!$AO:$AO)</f>
        <v>#VALUE!</v>
      </c>
      <c r="EX1" t="e">
        <f>+SUMIF([1]Cartera!$R:$R,$A1&amp;"_"&amp;EX$11,[1]Cartera!$J:$J)+SUMIF([1]Futuros!$AD:$AD,$A1&amp;"_"&amp;EX$11,[1]Futuros!$AK:$AK)+SUMIF([1]Opciones!$AF:$AF,$A1&amp;"_"&amp;EX$11,[1]Opciones!$AO:$AO)</f>
        <v>#VALUE!</v>
      </c>
      <c r="EY1" t="e">
        <f>+SUMIF([1]Cartera!$R:$R,$A1&amp;"_"&amp;EY$11,[1]Cartera!$J:$J)+SUMIF([1]Futuros!$AD:$AD,$A1&amp;"_"&amp;EY$11,[1]Futuros!$AK:$AK)+SUMIF([1]Opciones!$AF:$AF,$A1&amp;"_"&amp;EY$11,[1]Opciones!$AO:$AO)</f>
        <v>#VALUE!</v>
      </c>
      <c r="EZ1" t="e">
        <f>+SUMIF([1]Cartera!$R:$R,$A1&amp;"_"&amp;EZ$11,[1]Cartera!$J:$J)+SUMIF([1]Futuros!$AD:$AD,$A1&amp;"_"&amp;EZ$11,[1]Futuros!$AK:$AK)+SUMIF([1]Opciones!$AF:$AF,$A1&amp;"_"&amp;EZ$11,[1]Opciones!$AO:$AO)</f>
        <v>#VALUE!</v>
      </c>
      <c r="FA1" t="e">
        <f>+SUMIF([1]Cartera!$R:$R,$A1&amp;"_"&amp;FA$11,[1]Cartera!$J:$J)+SUMIF([1]Futuros!$AD:$AD,$A1&amp;"_"&amp;FA$11,[1]Futuros!$AK:$AK)+SUMIF([1]Opciones!$AF:$AF,$A1&amp;"_"&amp;FA$11,[1]Opciones!$AO:$AO)</f>
        <v>#VALUE!</v>
      </c>
      <c r="FB1" t="e">
        <f>+SUMIF([1]Cartera!$R:$R,$A1&amp;"_"&amp;FB$11,[1]Cartera!$J:$J)+SUMIF([1]Futuros!$AD:$AD,$A1&amp;"_"&amp;FB$11,[1]Futuros!$AK:$AK)+SUMIF([1]Opciones!$AF:$AF,$A1&amp;"_"&amp;FB$11,[1]Opciones!$AO:$AO)</f>
        <v>#VALUE!</v>
      </c>
      <c r="FC1" t="e">
        <f>+SUMIF([1]Cartera!$R:$R,$A1&amp;"_"&amp;FC$11,[1]Cartera!$J:$J)+SUMIF([1]Futuros!$AD:$AD,$A1&amp;"_"&amp;FC$11,[1]Futuros!$AK:$AK)+SUMIF([1]Opciones!$AF:$AF,$A1&amp;"_"&amp;FC$11,[1]Opciones!$AO:$AO)</f>
        <v>#VALUE!</v>
      </c>
      <c r="FD1" t="e">
        <f>+SUMIF([1]Cartera!$R:$R,$A1&amp;"_"&amp;FD$11,[1]Cartera!$J:$J)+SUMIF([1]Futuros!$AD:$AD,$A1&amp;"_"&amp;FD$11,[1]Futuros!$AK:$AK)+SUMIF([1]Opciones!$AF:$AF,$A1&amp;"_"&amp;FD$11,[1]Opciones!$AO:$AO)</f>
        <v>#VALUE!</v>
      </c>
      <c r="FE1" t="e">
        <f>+SUMIF([1]Cartera!$R:$R,$A1&amp;"_"&amp;FE$11,[1]Cartera!$J:$J)+SUMIF([1]Futuros!$AD:$AD,$A1&amp;"_"&amp;FE$11,[1]Futuros!$AK:$AK)+SUMIF([1]Opciones!$AF:$AF,$A1&amp;"_"&amp;FE$11,[1]Opciones!$AO:$AO)</f>
        <v>#VALUE!</v>
      </c>
      <c r="FF1" t="e">
        <f>+SUMIF([1]Cartera!$R:$R,$A1&amp;"_"&amp;FF$11,[1]Cartera!$J:$J)+SUMIF([1]Futuros!$AD:$AD,$A1&amp;"_"&amp;FF$11,[1]Futuros!$AK:$AK)+SUMIF([1]Opciones!$AF:$AF,$A1&amp;"_"&amp;FF$11,[1]Opciones!$AO:$AO)</f>
        <v>#VALUE!</v>
      </c>
      <c r="FG1" t="e">
        <f>+SUMIF([1]Cartera!$R:$R,$A1&amp;"_"&amp;FG$11,[1]Cartera!$J:$J)+SUMIF([1]Futuros!$AD:$AD,$A1&amp;"_"&amp;FG$11,[1]Futuros!$AK:$AK)+SUMIF([1]Opciones!$AF:$AF,$A1&amp;"_"&amp;FG$11,[1]Opciones!$AO:$AO)</f>
        <v>#VALUE!</v>
      </c>
      <c r="FH1" t="e">
        <f>+SUMIF([1]Cartera!$R:$R,$A1&amp;"_"&amp;FH$11,[1]Cartera!$J:$J)+SUMIF([1]Futuros!$AD:$AD,$A1&amp;"_"&amp;FH$11,[1]Futuros!$AK:$AK)+SUMIF([1]Opciones!$AF:$AF,$A1&amp;"_"&amp;FH$11,[1]Opciones!$AO:$AO)</f>
        <v>#VALUE!</v>
      </c>
      <c r="FI1" t="e">
        <f>+SUMIF([1]Cartera!$R:$R,$A1&amp;"_"&amp;FI$11,[1]Cartera!$J:$J)+SUMIF([1]Futuros!$AD:$AD,$A1&amp;"_"&amp;FI$11,[1]Futuros!$AK:$AK)+SUMIF([1]Opciones!$AF:$AF,$A1&amp;"_"&amp;FI$11,[1]Opciones!$AO:$AO)</f>
        <v>#VALUE!</v>
      </c>
      <c r="FJ1" t="e">
        <f>+SUMIF([1]Cartera!$R:$R,$A1&amp;"_"&amp;FJ$11,[1]Cartera!$J:$J)+SUMIF([1]Futuros!$AD:$AD,$A1&amp;"_"&amp;FJ$11,[1]Futuros!$AK:$AK)+SUMIF([1]Opciones!$AF:$AF,$A1&amp;"_"&amp;FJ$11,[1]Opciones!$AO:$AO)</f>
        <v>#VALUE!</v>
      </c>
      <c r="FK1" t="e">
        <f>+SUMIF([1]Cartera!$R:$R,$A1&amp;"_"&amp;FK$11,[1]Cartera!$J:$J)+SUMIF([1]Futuros!$AD:$AD,$A1&amp;"_"&amp;FK$11,[1]Futuros!$AK:$AK)+SUMIF([1]Opciones!$AF:$AF,$A1&amp;"_"&amp;FK$11,[1]Opciones!$AO:$AO)</f>
        <v>#VALUE!</v>
      </c>
      <c r="FL1" t="e">
        <f>+SUMIF([1]Cartera!$R:$R,$A1&amp;"_"&amp;FL$11,[1]Cartera!$J:$J)+SUMIF([1]Futuros!$AD:$AD,$A1&amp;"_"&amp;FL$11,[1]Futuros!$AK:$AK)+SUMIF([1]Opciones!$AF:$AF,$A1&amp;"_"&amp;FL$11,[1]Opciones!$AO:$AO)</f>
        <v>#VALUE!</v>
      </c>
      <c r="FM1" t="e">
        <f>+SUMIF([1]Cartera!$R:$R,$A1&amp;"_"&amp;FM$11,[1]Cartera!$J:$J)+SUMIF([1]Futuros!$AD:$AD,$A1&amp;"_"&amp;FM$11,[1]Futuros!$AK:$AK)+SUMIF([1]Opciones!$AF:$AF,$A1&amp;"_"&amp;FM$11,[1]Opciones!$AO:$AO)</f>
        <v>#VALUE!</v>
      </c>
      <c r="FN1" t="e">
        <f>+SUMIF([1]Cartera!$R:$R,$A1&amp;"_"&amp;FN$11,[1]Cartera!$J:$J)+SUMIF([1]Futuros!$AD:$AD,$A1&amp;"_"&amp;FN$11,[1]Futuros!$AK:$AK)+SUMIF([1]Opciones!$AF:$AF,$A1&amp;"_"&amp;FN$11,[1]Opciones!$AO:$AO)</f>
        <v>#VALUE!</v>
      </c>
      <c r="FO1" t="e">
        <f>+SUMIF([1]Cartera!$R:$R,$A1&amp;"_"&amp;FO$11,[1]Cartera!$J:$J)+SUMIF([1]Futuros!$AD:$AD,$A1&amp;"_"&amp;FO$11,[1]Futuros!$AK:$AK)+SUMIF([1]Opciones!$AF:$AF,$A1&amp;"_"&amp;FO$11,[1]Opciones!$AO:$AO)</f>
        <v>#VALUE!</v>
      </c>
      <c r="FP1" t="e">
        <f>+SUMIF([1]Cartera!$R:$R,$A1&amp;"_"&amp;FP$11,[1]Cartera!$J:$J)+SUMIF([1]Futuros!$AD:$AD,$A1&amp;"_"&amp;FP$11,[1]Futuros!$AK:$AK)+SUMIF([1]Opciones!$AF:$AF,$A1&amp;"_"&amp;FP$11,[1]Opciones!$AO:$AO)</f>
        <v>#VALUE!</v>
      </c>
      <c r="FQ1" t="e">
        <f>+SUMIF([1]Cartera!$R:$R,$A1&amp;"_"&amp;FQ$11,[1]Cartera!$J:$J)+SUMIF([1]Futuros!$AD:$AD,$A1&amp;"_"&amp;FQ$11,[1]Futuros!$AK:$AK)+SUMIF([1]Opciones!$AF:$AF,$A1&amp;"_"&amp;FQ$11,[1]Opciones!$AO:$AO)</f>
        <v>#VALUE!</v>
      </c>
      <c r="FR1" t="e">
        <f>+SUMIF([1]Cartera!$R:$R,$A1&amp;"_"&amp;FR$11,[1]Cartera!$J:$J)+SUMIF([1]Futuros!$AD:$AD,$A1&amp;"_"&amp;FR$11,[1]Futuros!$AK:$AK)+SUMIF([1]Opciones!$AF:$AF,$A1&amp;"_"&amp;FR$11,[1]Opciones!$AO:$AO)</f>
        <v>#VALUE!</v>
      </c>
      <c r="FS1" t="e">
        <f>+SUMIF([1]Cartera!$R:$R,$A1&amp;"_"&amp;FS$11,[1]Cartera!$J:$J)+SUMIF([1]Futuros!$AD:$AD,$A1&amp;"_"&amp;FS$11,[1]Futuros!$AK:$AK)+SUMIF([1]Opciones!$AF:$AF,$A1&amp;"_"&amp;FS$11,[1]Opciones!$AO:$AO)</f>
        <v>#VALUE!</v>
      </c>
      <c r="FT1" t="e">
        <f>+SUMIF([1]Cartera!$R:$R,$A1&amp;"_"&amp;FT$11,[1]Cartera!$J:$J)+SUMIF([1]Futuros!$AD:$AD,$A1&amp;"_"&amp;FT$11,[1]Futuros!$AK:$AK)+SUMIF([1]Opciones!$AF:$AF,$A1&amp;"_"&amp;FT$11,[1]Opciones!$AO:$AO)</f>
        <v>#VALUE!</v>
      </c>
      <c r="FU1" t="e">
        <f>+SUMIF([1]Cartera!$R:$R,$A1&amp;"_"&amp;FU$11,[1]Cartera!$J:$J)+SUMIF([1]Futuros!$AD:$AD,$A1&amp;"_"&amp;FU$11,[1]Futuros!$AK:$AK)+SUMIF([1]Opciones!$AF:$AF,$A1&amp;"_"&amp;FU$11,[1]Opciones!$AO:$AO)</f>
        <v>#VALUE!</v>
      </c>
      <c r="FV1" t="e">
        <f>+SUMIF([1]Cartera!$R:$R,$A1&amp;"_"&amp;FV$11,[1]Cartera!$J:$J)+SUMIF([1]Futuros!$AD:$AD,$A1&amp;"_"&amp;FV$11,[1]Futuros!$AK:$AK)+SUMIF([1]Opciones!$AF:$AF,$A1&amp;"_"&amp;FV$11,[1]Opciones!$AO:$AO)</f>
        <v>#VALUE!</v>
      </c>
      <c r="FW1" t="e">
        <f>+SUMIF([1]Cartera!$R:$R,$A1&amp;"_"&amp;FW$11,[1]Cartera!$J:$J)+SUMIF([1]Futuros!$AD:$AD,$A1&amp;"_"&amp;FW$11,[1]Futuros!$AK:$AK)+SUMIF([1]Opciones!$AF:$AF,$A1&amp;"_"&amp;FW$11,[1]Opciones!$AO:$AO)</f>
        <v>#VALUE!</v>
      </c>
      <c r="FX1" t="e">
        <f>+SUMIF([1]Cartera!$R:$R,$A1&amp;"_"&amp;FX$11,[1]Cartera!$J:$J)+SUMIF([1]Futuros!$AD:$AD,$A1&amp;"_"&amp;FX$11,[1]Futuros!$AK:$AK)+SUMIF([1]Opciones!$AF:$AF,$A1&amp;"_"&amp;FX$11,[1]Opciones!$AO:$AO)</f>
        <v>#VALUE!</v>
      </c>
      <c r="FY1" t="e">
        <f>+SUMIF([1]Cartera!$R:$R,$A1&amp;"_"&amp;FY$11,[1]Cartera!$J:$J)+SUMIF([1]Futuros!$AD:$AD,$A1&amp;"_"&amp;FY$11,[1]Futuros!$AK:$AK)+SUMIF([1]Opciones!$AF:$AF,$A1&amp;"_"&amp;FY$11,[1]Opciones!$AO:$AO)</f>
        <v>#VALUE!</v>
      </c>
      <c r="FZ1" t="e">
        <f>+SUMIF([1]Cartera!$R:$R,$A1&amp;"_"&amp;FZ$11,[1]Cartera!$J:$J)+SUMIF([1]Futuros!$AD:$AD,$A1&amp;"_"&amp;FZ$11,[1]Futuros!$AK:$AK)+SUMIF([1]Opciones!$AF:$AF,$A1&amp;"_"&amp;FZ$11,[1]Opciones!$AO:$AO)</f>
        <v>#VALUE!</v>
      </c>
      <c r="GA1" t="e">
        <f>+SUMIF([1]Cartera!$R:$R,$A1&amp;"_"&amp;GA$11,[1]Cartera!$J:$J)+SUMIF([1]Futuros!$AD:$AD,$A1&amp;"_"&amp;GA$11,[1]Futuros!$AK:$AK)+SUMIF([1]Opciones!$AF:$AF,$A1&amp;"_"&amp;GA$11,[1]Opciones!$AO:$AO)</f>
        <v>#VALUE!</v>
      </c>
      <c r="GB1" t="e">
        <f>+SUMIF([1]Cartera!$R:$R,$A1&amp;"_"&amp;GB$11,[1]Cartera!$J:$J)+SUMIF([1]Futuros!$AD:$AD,$A1&amp;"_"&amp;GB$11,[1]Futuros!$AK:$AK)+SUMIF([1]Opciones!$AF:$AF,$A1&amp;"_"&amp;GB$11,[1]Opciones!$AO:$AO)</f>
        <v>#VALUE!</v>
      </c>
      <c r="GC1" t="e">
        <f>+SUMIF([1]Cartera!$R:$R,$A1&amp;"_"&amp;GC$11,[1]Cartera!$J:$J)+SUMIF([1]Futuros!$AD:$AD,$A1&amp;"_"&amp;GC$11,[1]Futuros!$AK:$AK)+SUMIF([1]Opciones!$AF:$AF,$A1&amp;"_"&amp;GC$11,[1]Opciones!$AO:$AO)</f>
        <v>#VALUE!</v>
      </c>
      <c r="GD1" t="e">
        <f>+SUMIF([1]Cartera!$R:$R,$A1&amp;"_"&amp;GD$11,[1]Cartera!$J:$J)+SUMIF([1]Futuros!$AD:$AD,$A1&amp;"_"&amp;GD$11,[1]Futuros!$AK:$AK)+SUMIF([1]Opciones!$AF:$AF,$A1&amp;"_"&amp;GD$11,[1]Opciones!$AO:$AO)</f>
        <v>#VALUE!</v>
      </c>
      <c r="GE1" t="e">
        <f>+SUMIF([1]Cartera!$R:$R,$A1&amp;"_"&amp;GE$11,[1]Cartera!$J:$J)+SUMIF([1]Futuros!$AD:$AD,$A1&amp;"_"&amp;GE$11,[1]Futuros!$AK:$AK)+SUMIF([1]Opciones!$AF:$AF,$A1&amp;"_"&amp;GE$11,[1]Opciones!$AO:$AO)</f>
        <v>#VALUE!</v>
      </c>
      <c r="GF1" t="e">
        <f>+SUMIF([1]Cartera!$R:$R,$A1&amp;"_"&amp;GF$11,[1]Cartera!$J:$J)+SUMIF([1]Futuros!$AD:$AD,$A1&amp;"_"&amp;GF$11,[1]Futuros!$AK:$AK)+SUMIF([1]Opciones!$AF:$AF,$A1&amp;"_"&amp;GF$11,[1]Opciones!$AO:$AO)</f>
        <v>#VALUE!</v>
      </c>
      <c r="GG1" t="e">
        <f>+SUMIF([1]Cartera!$R:$R,$A1&amp;"_"&amp;GG$11,[1]Cartera!$J:$J)+SUMIF([1]Futuros!$AD:$AD,$A1&amp;"_"&amp;GG$11,[1]Futuros!$AK:$AK)+SUMIF([1]Opciones!$AF:$AF,$A1&amp;"_"&amp;GG$11,[1]Opciones!$AO:$AO)</f>
        <v>#VALUE!</v>
      </c>
      <c r="GH1" t="e">
        <f>+SUMIF([1]Cartera!$R:$R,$A1&amp;"_"&amp;GH$11,[1]Cartera!$J:$J)+SUMIF([1]Futuros!$AD:$AD,$A1&amp;"_"&amp;GH$11,[1]Futuros!$AK:$AK)+SUMIF([1]Opciones!$AF:$AF,$A1&amp;"_"&amp;GH$11,[1]Opciones!$AO:$AO)</f>
        <v>#VALUE!</v>
      </c>
      <c r="GI1" t="e">
        <f>+SUMIF([1]Cartera!$R:$R,$A1&amp;"_"&amp;GI$11,[1]Cartera!$J:$J)+SUMIF([1]Futuros!$AD:$AD,$A1&amp;"_"&amp;GI$11,[1]Futuros!$AK:$AK)+SUMIF([1]Opciones!$AF:$AF,$A1&amp;"_"&amp;GI$11,[1]Opciones!$AO:$AO)</f>
        <v>#VALUE!</v>
      </c>
      <c r="GJ1" t="e">
        <f>+SUMIF([1]Cartera!$R:$R,$A1&amp;"_"&amp;GJ$11,[1]Cartera!$J:$J)+SUMIF([1]Futuros!$AD:$AD,$A1&amp;"_"&amp;GJ$11,[1]Futuros!$AK:$AK)+SUMIF([1]Opciones!$AF:$AF,$A1&amp;"_"&amp;GJ$11,[1]Opciones!$AO:$AO)</f>
        <v>#VALUE!</v>
      </c>
      <c r="GK1" t="e">
        <f>+SUMIF([1]Cartera!$R:$R,$A1&amp;"_"&amp;GK$11,[1]Cartera!$J:$J)+SUMIF([1]Futuros!$AD:$AD,$A1&amp;"_"&amp;GK$11,[1]Futuros!$AK:$AK)+SUMIF([1]Opciones!$AF:$AF,$A1&amp;"_"&amp;GK$11,[1]Opciones!$AO:$AO)</f>
        <v>#VALUE!</v>
      </c>
      <c r="GL1" t="e">
        <f>+SUMIF([1]Cartera!$R:$R,$A1&amp;"_"&amp;GL$11,[1]Cartera!$J:$J)+SUMIF([1]Futuros!$AD:$AD,$A1&amp;"_"&amp;GL$11,[1]Futuros!$AK:$AK)+SUMIF([1]Opciones!$AF:$AF,$A1&amp;"_"&amp;GL$11,[1]Opciones!$AO:$AO)</f>
        <v>#VALUE!</v>
      </c>
      <c r="GM1" t="e">
        <f>+SUMIF([1]Cartera!$R:$R,$A1&amp;"_"&amp;GM$11,[1]Cartera!$J:$J)+SUMIF([1]Futuros!$AD:$AD,$A1&amp;"_"&amp;GM$11,[1]Futuros!$AK:$AK)+SUMIF([1]Opciones!$AF:$AF,$A1&amp;"_"&amp;GM$11,[1]Opciones!$AO:$AO)</f>
        <v>#VALUE!</v>
      </c>
      <c r="GN1" t="e">
        <f>+SUMIF([1]Cartera!$R:$R,$A1&amp;"_"&amp;GN$11,[1]Cartera!$J:$J)+SUMIF([1]Futuros!$AD:$AD,$A1&amp;"_"&amp;GN$11,[1]Futuros!$AK:$AK)+SUMIF([1]Opciones!$AF:$AF,$A1&amp;"_"&amp;GN$11,[1]Opciones!$AO:$AO)</f>
        <v>#VALUE!</v>
      </c>
      <c r="GO1" t="e">
        <f>+SUMIF([1]Cartera!$R:$R,$A1&amp;"_"&amp;GO$11,[1]Cartera!$J:$J)+SUMIF([1]Futuros!$AD:$AD,$A1&amp;"_"&amp;GO$11,[1]Futuros!$AK:$AK)+SUMIF([1]Opciones!$AF:$AF,$A1&amp;"_"&amp;GO$11,[1]Opciones!$AO:$AO)</f>
        <v>#VALUE!</v>
      </c>
      <c r="GP1" t="e">
        <f>+SUMIF([1]Cartera!$R:$R,$A1&amp;"_"&amp;GP$11,[1]Cartera!$J:$J)+SUMIF([1]Futuros!$AD:$AD,$A1&amp;"_"&amp;GP$11,[1]Futuros!$AK:$AK)+SUMIF([1]Opciones!$AF:$AF,$A1&amp;"_"&amp;GP$11,[1]Opciones!$AO:$AO)</f>
        <v>#VALUE!</v>
      </c>
      <c r="GQ1" t="e">
        <f>+SUMIF([1]Cartera!$R:$R,$A1&amp;"_"&amp;GQ$11,[1]Cartera!$J:$J)+SUMIF([1]Futuros!$AD:$AD,$A1&amp;"_"&amp;GQ$11,[1]Futuros!$AK:$AK)+SUMIF([1]Opciones!$AF:$AF,$A1&amp;"_"&amp;GQ$11,[1]Opciones!$AO:$AO)</f>
        <v>#VALUE!</v>
      </c>
      <c r="GR1" t="e">
        <f>+SUMIF([1]Cartera!$R:$R,$A1&amp;"_"&amp;GR$11,[1]Cartera!$J:$J)+SUMIF([1]Futuros!$AD:$AD,$A1&amp;"_"&amp;GR$11,[1]Futuros!$AK:$AK)+SUMIF([1]Opciones!$AF:$AF,$A1&amp;"_"&amp;GR$11,[1]Opciones!$AO:$AO)</f>
        <v>#VALUE!</v>
      </c>
      <c r="GS1" t="e">
        <f>+SUMIF([1]Cartera!$R:$R,$A1&amp;"_"&amp;GS$11,[1]Cartera!$J:$J)+SUMIF([1]Futuros!$AD:$AD,$A1&amp;"_"&amp;GS$11,[1]Futuros!$AK:$AK)+SUMIF([1]Opciones!$AF:$AF,$A1&amp;"_"&amp;GS$11,[1]Opciones!$AO:$AO)</f>
        <v>#VALUE!</v>
      </c>
      <c r="GT1" t="e">
        <f>+SUMIF([1]Cartera!$R:$R,$A1&amp;"_"&amp;GT$11,[1]Cartera!$J:$J)+SUMIF([1]Futuros!$AD:$AD,$A1&amp;"_"&amp;GT$11,[1]Futuros!$AK:$AK)+SUMIF([1]Opciones!$AF:$AF,$A1&amp;"_"&amp;GT$11,[1]Opciones!$AO:$AO)</f>
        <v>#VALUE!</v>
      </c>
      <c r="GU1" t="e">
        <f>+SUMIF([1]Cartera!$R:$R,$A1&amp;"_"&amp;GU$11,[1]Cartera!$J:$J)+SUMIF([1]Futuros!$AD:$AD,$A1&amp;"_"&amp;GU$11,[1]Futuros!$AK:$AK)+SUMIF([1]Opciones!$AF:$AF,$A1&amp;"_"&amp;GU$11,[1]Opciones!$AO:$AO)</f>
        <v>#VALUE!</v>
      </c>
      <c r="GV1" t="e">
        <f>+SUMIF([1]Cartera!$R:$R,$A1&amp;"_"&amp;GV$11,[1]Cartera!$J:$J)+SUMIF([1]Futuros!$AD:$AD,$A1&amp;"_"&amp;GV$11,[1]Futuros!$AK:$AK)+SUMIF([1]Opciones!$AF:$AF,$A1&amp;"_"&amp;GV$11,[1]Opciones!$AO:$AO)</f>
        <v>#VALUE!</v>
      </c>
      <c r="GW1" t="e">
        <f>+SUMIF([1]Cartera!$R:$R,$A1&amp;"_"&amp;GW$11,[1]Cartera!$J:$J)+SUMIF([1]Futuros!$AD:$AD,$A1&amp;"_"&amp;GW$11,[1]Futuros!$AK:$AK)+SUMIF([1]Opciones!$AF:$AF,$A1&amp;"_"&amp;GW$11,[1]Opciones!$AO:$AO)</f>
        <v>#VALUE!</v>
      </c>
      <c r="GX1" t="e">
        <f>+SUMIF([1]Cartera!$R:$R,$A1&amp;"_"&amp;GX$11,[1]Cartera!$J:$J)+SUMIF([1]Futuros!$AD:$AD,$A1&amp;"_"&amp;GX$11,[1]Futuros!$AK:$AK)+SUMIF([1]Opciones!$AF:$AF,$A1&amp;"_"&amp;GX$11,[1]Opciones!$AO:$AO)</f>
        <v>#VALUE!</v>
      </c>
      <c r="GY1" t="e">
        <f>+SUMIF([1]Cartera!$R:$R,$A1&amp;"_"&amp;GY$11,[1]Cartera!$J:$J)+SUMIF([1]Futuros!$AD:$AD,$A1&amp;"_"&amp;GY$11,[1]Futuros!$AK:$AK)+SUMIF([1]Opciones!$AF:$AF,$A1&amp;"_"&amp;GY$11,[1]Opciones!$AO:$AO)</f>
        <v>#VALUE!</v>
      </c>
      <c r="GZ1" t="e">
        <f>+SUMIF([1]Cartera!$R:$R,$A1&amp;"_"&amp;GZ$11,[1]Cartera!$J:$J)+SUMIF([1]Futuros!$AD:$AD,$A1&amp;"_"&amp;GZ$11,[1]Futuros!$AK:$AK)+SUMIF([1]Opciones!$AF:$AF,$A1&amp;"_"&amp;GZ$11,[1]Opciones!$AO:$AO)</f>
        <v>#VALUE!</v>
      </c>
      <c r="HA1" t="e">
        <f>+SUMIF([1]Cartera!$R:$R,$A1&amp;"_"&amp;HA$11,[1]Cartera!$J:$J)+SUMIF([1]Futuros!$AD:$AD,$A1&amp;"_"&amp;HA$11,[1]Futuros!$AK:$AK)+SUMIF([1]Opciones!$AF:$AF,$A1&amp;"_"&amp;HA$11,[1]Opciones!$AO:$AO)</f>
        <v>#VALUE!</v>
      </c>
      <c r="HB1" t="e">
        <f>+SUMIF([1]Cartera!$R:$R,$A1&amp;"_"&amp;HB$11,[1]Cartera!$J:$J)+SUMIF([1]Futuros!$AD:$AD,$A1&amp;"_"&amp;HB$11,[1]Futuros!$AK:$AK)+SUMIF([1]Opciones!$AF:$AF,$A1&amp;"_"&amp;HB$11,[1]Opciones!$AO:$AO)</f>
        <v>#VALUE!</v>
      </c>
      <c r="HC1" t="e">
        <f>+SUMIF([1]Cartera!$R:$R,$A1&amp;"_"&amp;HC$11,[1]Cartera!$J:$J)+SUMIF([1]Futuros!$AD:$AD,$A1&amp;"_"&amp;HC$11,[1]Futuros!$AK:$AK)+SUMIF([1]Opciones!$AF:$AF,$A1&amp;"_"&amp;HC$11,[1]Opciones!$AO:$AO)</f>
        <v>#VALUE!</v>
      </c>
      <c r="HD1" t="e">
        <f>+SUMIF([1]Cartera!$R:$R,$A1&amp;"_"&amp;HD$11,[1]Cartera!$J:$J)+SUMIF([1]Futuros!$AD:$AD,$A1&amp;"_"&amp;HD$11,[1]Futuros!$AK:$AK)+SUMIF([1]Opciones!$AF:$AF,$A1&amp;"_"&amp;HD$11,[1]Opciones!$AO:$AO)</f>
        <v>#VALUE!</v>
      </c>
      <c r="HE1" t="e">
        <f>+SUMIF([1]Cartera!$R:$R,$A1&amp;"_"&amp;HE$11,[1]Cartera!$J:$J)+SUMIF([1]Futuros!$AD:$AD,$A1&amp;"_"&amp;HE$11,[1]Futuros!$AK:$AK)+SUMIF([1]Opciones!$AF:$AF,$A1&amp;"_"&amp;HE$11,[1]Opciones!$AO:$AO)</f>
        <v>#VALUE!</v>
      </c>
      <c r="HF1" t="e">
        <f>+SUMIF([1]Cartera!$R:$R,$A1&amp;"_"&amp;HF$11,[1]Cartera!$J:$J)+SUMIF([1]Futuros!$AD:$AD,$A1&amp;"_"&amp;HF$11,[1]Futuros!$AK:$AK)+SUMIF([1]Opciones!$AF:$AF,$A1&amp;"_"&amp;HF$11,[1]Opciones!$AO:$AO)</f>
        <v>#VALUE!</v>
      </c>
      <c r="HG1" t="e">
        <f>+SUMIF([1]Cartera!$R:$R,$A1&amp;"_"&amp;HG$11,[1]Cartera!$J:$J)+SUMIF([1]Futuros!$AD:$AD,$A1&amp;"_"&amp;HG$11,[1]Futuros!$AK:$AK)+SUMIF([1]Opciones!$AF:$AF,$A1&amp;"_"&amp;HG$11,[1]Opciones!$AO:$AO)</f>
        <v>#VALUE!</v>
      </c>
      <c r="HH1" t="e">
        <f>+SUMIF([1]Cartera!$R:$R,$A1&amp;"_"&amp;HH$11,[1]Cartera!$J:$J)+SUMIF([1]Futuros!$AD:$AD,$A1&amp;"_"&amp;HH$11,[1]Futuros!$AK:$AK)+SUMIF([1]Opciones!$AF:$AF,$A1&amp;"_"&amp;HH$11,[1]Opciones!$AO:$AO)</f>
        <v>#VALUE!</v>
      </c>
      <c r="HI1" t="e">
        <f>+SUMIF([1]Cartera!$R:$R,$A1&amp;"_"&amp;HI$11,[1]Cartera!$J:$J)+SUMIF([1]Futuros!$AD:$AD,$A1&amp;"_"&amp;HI$11,[1]Futuros!$AK:$AK)+SUMIF([1]Opciones!$AF:$AF,$A1&amp;"_"&amp;HI$11,[1]Opciones!$AO:$AO)</f>
        <v>#VALUE!</v>
      </c>
      <c r="HJ1" t="e">
        <f>+SUMIF([1]Cartera!$R:$R,$A1&amp;"_"&amp;HJ$11,[1]Cartera!$J:$J)+SUMIF([1]Futuros!$AD:$AD,$A1&amp;"_"&amp;HJ$11,[1]Futuros!$AK:$AK)+SUMIF([1]Opciones!$AF:$AF,$A1&amp;"_"&amp;HJ$11,[1]Opciones!$AO:$AO)</f>
        <v>#VALUE!</v>
      </c>
      <c r="HK1" t="e">
        <f>+SUMIF([1]Cartera!$R:$R,$A1&amp;"_"&amp;HK$11,[1]Cartera!$J:$J)+SUMIF([1]Futuros!$AD:$AD,$A1&amp;"_"&amp;HK$11,[1]Futuros!$AK:$AK)+SUMIF([1]Opciones!$AF:$AF,$A1&amp;"_"&amp;HK$11,[1]Opciones!$AO:$AO)</f>
        <v>#VALUE!</v>
      </c>
      <c r="HL1" t="e">
        <f>+SUMIF([1]Cartera!$R:$R,$A1&amp;"_"&amp;HL$11,[1]Cartera!$J:$J)+SUMIF([1]Futuros!$AD:$AD,$A1&amp;"_"&amp;HL$11,[1]Futuros!$AK:$AK)+SUMIF([1]Opciones!$AF:$AF,$A1&amp;"_"&amp;HL$11,[1]Opciones!$AO:$AO)</f>
        <v>#VALUE!</v>
      </c>
      <c r="HM1" t="e">
        <f>+SUMIF([1]Cartera!$R:$R,$A1&amp;"_"&amp;HM$11,[1]Cartera!$J:$J)+SUMIF([1]Futuros!$AD:$AD,$A1&amp;"_"&amp;HM$11,[1]Futuros!$AK:$AK)+SUMIF([1]Opciones!$AF:$AF,$A1&amp;"_"&amp;HM$11,[1]Opciones!$AO:$AO)</f>
        <v>#VALUE!</v>
      </c>
      <c r="HN1" t="e">
        <f>+SUMIF([1]Cartera!$R:$R,$A1&amp;"_"&amp;HN$11,[1]Cartera!$J:$J)+SUMIF([1]Futuros!$AD:$AD,$A1&amp;"_"&amp;HN$11,[1]Futuros!$AK:$AK)+SUMIF([1]Opciones!$AF:$AF,$A1&amp;"_"&amp;HN$11,[1]Opciones!$AO:$AO)</f>
        <v>#VALUE!</v>
      </c>
      <c r="HO1" t="e">
        <f>+SUMIF([1]Cartera!$R:$R,$A1&amp;"_"&amp;HO$11,[1]Cartera!$J:$J)+SUMIF([1]Futuros!$AD:$AD,$A1&amp;"_"&amp;HO$11,[1]Futuros!$AK:$AK)+SUMIF([1]Opciones!$AF:$AF,$A1&amp;"_"&amp;HO$11,[1]Opciones!$AO:$AO)</f>
        <v>#VALUE!</v>
      </c>
      <c r="HP1" t="e">
        <f>+SUMIF([1]Cartera!$R:$R,$A1&amp;"_"&amp;HP$11,[1]Cartera!$J:$J)+SUMIF([1]Futuros!$AD:$AD,$A1&amp;"_"&amp;HP$11,[1]Futuros!$AK:$AK)+SUMIF([1]Opciones!$AF:$AF,$A1&amp;"_"&amp;HP$11,[1]Opciones!$AO:$AO)</f>
        <v>#VALUE!</v>
      </c>
      <c r="HQ1" t="e">
        <f>+SUMIF([1]Cartera!$R:$R,$A1&amp;"_"&amp;HQ$11,[1]Cartera!$J:$J)+SUMIF([1]Futuros!$AD:$AD,$A1&amp;"_"&amp;HQ$11,[1]Futuros!$AK:$AK)+SUMIF([1]Opciones!$AF:$AF,$A1&amp;"_"&amp;HQ$11,[1]Opciones!$AO:$AO)</f>
        <v>#VALUE!</v>
      </c>
      <c r="HR1" t="e">
        <f>+SUMIF([1]Cartera!$R:$R,$A1&amp;"_"&amp;HR$11,[1]Cartera!$J:$J)+SUMIF([1]Futuros!$AD:$AD,$A1&amp;"_"&amp;HR$11,[1]Futuros!$AK:$AK)+SUMIF([1]Opciones!$AF:$AF,$A1&amp;"_"&amp;HR$11,[1]Opciones!$AO:$AO)</f>
        <v>#VALUE!</v>
      </c>
      <c r="HS1" t="e">
        <f>+SUMIF([1]Cartera!$R:$R,$A1&amp;"_"&amp;HS$11,[1]Cartera!$J:$J)+SUMIF([1]Futuros!$AD:$AD,$A1&amp;"_"&amp;HS$11,[1]Futuros!$AK:$AK)+SUMIF([1]Opciones!$AF:$AF,$A1&amp;"_"&amp;HS$11,[1]Opciones!$AO:$AO)</f>
        <v>#VALUE!</v>
      </c>
      <c r="HT1" t="e">
        <f>+SUMIF([1]Cartera!$R:$R,$A1&amp;"_"&amp;HT$11,[1]Cartera!$J:$J)+SUMIF([1]Futuros!$AD:$AD,$A1&amp;"_"&amp;HT$11,[1]Futuros!$AK:$AK)+SUMIF([1]Opciones!$AF:$AF,$A1&amp;"_"&amp;HT$11,[1]Opciones!$AO:$AO)</f>
        <v>#VALUE!</v>
      </c>
      <c r="HU1" t="e">
        <f>+SUMIF([1]Cartera!$R:$R,$A1&amp;"_"&amp;HU$11,[1]Cartera!$J:$J)+SUMIF([1]Futuros!$AD:$AD,$A1&amp;"_"&amp;HU$11,[1]Futuros!$AK:$AK)+SUMIF([1]Opciones!$AF:$AF,$A1&amp;"_"&amp;HU$11,[1]Opciones!$AO:$AO)</f>
        <v>#VALUE!</v>
      </c>
      <c r="HV1" t="e">
        <f>+SUMIF([1]Cartera!$R:$R,$A1&amp;"_"&amp;HV$11,[1]Cartera!$J:$J)+SUMIF([1]Futuros!$AD:$AD,$A1&amp;"_"&amp;HV$11,[1]Futuros!$AK:$AK)+SUMIF([1]Opciones!$AF:$AF,$A1&amp;"_"&amp;HV$11,[1]Opciones!$AO:$AO)</f>
        <v>#VALUE!</v>
      </c>
      <c r="HW1" t="e">
        <f>+SUMIF([1]Cartera!$R:$R,$A1&amp;"_"&amp;HW$11,[1]Cartera!$J:$J)+SUMIF([1]Futuros!$AD:$AD,$A1&amp;"_"&amp;HW$11,[1]Futuros!$AK:$AK)+SUMIF([1]Opciones!$AF:$AF,$A1&amp;"_"&amp;HW$11,[1]Opciones!$AO:$AO)</f>
        <v>#VALUE!</v>
      </c>
      <c r="HX1" t="e">
        <f>+SUMIF([1]Cartera!$R:$R,$A1&amp;"_"&amp;HX$11,[1]Cartera!$J:$J)+SUMIF([1]Futuros!$AD:$AD,$A1&amp;"_"&amp;HX$11,[1]Futuros!$AK:$AK)+SUMIF([1]Opciones!$AF:$AF,$A1&amp;"_"&amp;HX$11,[1]Opciones!$AO:$AO)</f>
        <v>#VALUE!</v>
      </c>
      <c r="HY1" t="e">
        <f>+SUMIF([1]Cartera!$R:$R,$A1&amp;"_"&amp;HY$11,[1]Cartera!$J:$J)+SUMIF([1]Futuros!$AD:$AD,$A1&amp;"_"&amp;HY$11,[1]Futuros!$AK:$AK)+SUMIF([1]Opciones!$AF:$AF,$A1&amp;"_"&amp;HY$11,[1]Opciones!$AO:$AO)</f>
        <v>#VALUE!</v>
      </c>
      <c r="HZ1" t="e">
        <f>+SUMIF([1]Cartera!$R:$R,$A1&amp;"_"&amp;HZ$11,[1]Cartera!$J:$J)+SUMIF([1]Futuros!$AD:$AD,$A1&amp;"_"&amp;HZ$11,[1]Futuros!$AK:$AK)+SUMIF([1]Opciones!$AF:$AF,$A1&amp;"_"&amp;HZ$11,[1]Opciones!$AO:$AO)</f>
        <v>#VALUE!</v>
      </c>
      <c r="IA1" t="e">
        <f>+SUMIF([1]Cartera!$R:$R,$A1&amp;"_"&amp;IA$11,[1]Cartera!$J:$J)+SUMIF([1]Futuros!$AD:$AD,$A1&amp;"_"&amp;IA$11,[1]Futuros!$AK:$AK)+SUMIF([1]Opciones!$AF:$AF,$A1&amp;"_"&amp;IA$11,[1]Opciones!$AO:$AO)</f>
        <v>#VALUE!</v>
      </c>
      <c r="IB1" t="e">
        <f>+SUMIF([1]Cartera!$R:$R,$A1&amp;"_"&amp;IB$11,[1]Cartera!$J:$J)+SUMIF([1]Futuros!$AD:$AD,$A1&amp;"_"&amp;IB$11,[1]Futuros!$AK:$AK)+SUMIF([1]Opciones!$AF:$AF,$A1&amp;"_"&amp;IB$11,[1]Opciones!$AO:$AO)</f>
        <v>#VALUE!</v>
      </c>
      <c r="IC1" t="e">
        <f>+SUMIF([1]Cartera!$R:$R,$A1&amp;"_"&amp;IC$11,[1]Cartera!$J:$J)+SUMIF([1]Futuros!$AD:$AD,$A1&amp;"_"&amp;IC$11,[1]Futuros!$AK:$AK)+SUMIF([1]Opciones!$AF:$AF,$A1&amp;"_"&amp;IC$11,[1]Opciones!$AO:$AO)</f>
        <v>#VALUE!</v>
      </c>
      <c r="ID1" t="e">
        <f>+SUMIF([1]Cartera!$R:$R,$A1&amp;"_"&amp;ID$11,[1]Cartera!$J:$J)+SUMIF([1]Futuros!$AD:$AD,$A1&amp;"_"&amp;ID$11,[1]Futuros!$AK:$AK)+SUMIF([1]Opciones!$AF:$AF,$A1&amp;"_"&amp;ID$11,[1]Opciones!$AO:$AO)</f>
        <v>#VALUE!</v>
      </c>
      <c r="IE1" t="e">
        <f>+SUMIF([1]Cartera!$R:$R,$A1&amp;"_"&amp;IE$11,[1]Cartera!$J:$J)+SUMIF([1]Futuros!$AD:$AD,$A1&amp;"_"&amp;IE$11,[1]Futuros!$AK:$AK)+SUMIF([1]Opciones!$AF:$AF,$A1&amp;"_"&amp;IE$11,[1]Opciones!$AO:$AO)</f>
        <v>#VALUE!</v>
      </c>
      <c r="IF1" t="e">
        <f>+SUMIF([1]Cartera!$R:$R,$A1&amp;"_"&amp;IF$11,[1]Cartera!$J:$J)+SUMIF([1]Futuros!$AD:$AD,$A1&amp;"_"&amp;IF$11,[1]Futuros!$AK:$AK)+SUMIF([1]Opciones!$AF:$AF,$A1&amp;"_"&amp;IF$11,[1]Opciones!$AO:$AO)</f>
        <v>#VALUE!</v>
      </c>
      <c r="IG1" t="e">
        <f>+SUMIF([1]Cartera!$R:$R,$A1&amp;"_"&amp;IG$11,[1]Cartera!$J:$J)+SUMIF([1]Futuros!$AD:$AD,$A1&amp;"_"&amp;IG$11,[1]Futuros!$AK:$AK)+SUMIF([1]Opciones!$AF:$AF,$A1&amp;"_"&amp;IG$11,[1]Opciones!$AO:$AO)</f>
        <v>#VALUE!</v>
      </c>
      <c r="IH1" t="e">
        <f>+SUMIF([1]Cartera!$R:$R,$A1&amp;"_"&amp;IH$11,[1]Cartera!$J:$J)+SUMIF([1]Futuros!$AD:$AD,$A1&amp;"_"&amp;IH$11,[1]Futuros!$AK:$AK)+SUMIF([1]Opciones!$AF:$AF,$A1&amp;"_"&amp;IH$11,[1]Opciones!$AO:$AO)</f>
        <v>#VALUE!</v>
      </c>
      <c r="II1" t="e">
        <f>+SUMIF([1]Cartera!$R:$R,$A1&amp;"_"&amp;II$11,[1]Cartera!$J:$J)+SUMIF([1]Futuros!$AD:$AD,$A1&amp;"_"&amp;II$11,[1]Futuros!$AK:$AK)+SUMIF([1]Opciones!$AF:$AF,$A1&amp;"_"&amp;II$11,[1]Opciones!$AO:$AO)</f>
        <v>#VALUE!</v>
      </c>
      <c r="IJ1" t="e">
        <f>+SUMIF([1]Cartera!$R:$R,$A1&amp;"_"&amp;IJ$11,[1]Cartera!$J:$J)+SUMIF([1]Futuros!$AD:$AD,$A1&amp;"_"&amp;IJ$11,[1]Futuros!$AK:$AK)+SUMIF([1]Opciones!$AF:$AF,$A1&amp;"_"&amp;IJ$11,[1]Opciones!$AO:$AO)</f>
        <v>#VALUE!</v>
      </c>
      <c r="IK1" t="e">
        <f>+SUMIF([1]Cartera!$R:$R,$A1&amp;"_"&amp;IK$11,[1]Cartera!$J:$J)+SUMIF([1]Futuros!$AD:$AD,$A1&amp;"_"&amp;IK$11,[1]Futuros!$AK:$AK)+SUMIF([1]Opciones!$AF:$AF,$A1&amp;"_"&amp;IK$11,[1]Opciones!$AO:$AO)</f>
        <v>#VALUE!</v>
      </c>
      <c r="IL1" t="e">
        <f>+SUMIF([1]Cartera!$R:$R,$A1&amp;"_"&amp;IL$11,[1]Cartera!$J:$J)+SUMIF([1]Futuros!$AD:$AD,$A1&amp;"_"&amp;IL$11,[1]Futuros!$AK:$AK)+SUMIF([1]Opciones!$AF:$AF,$A1&amp;"_"&amp;IL$11,[1]Opciones!$AO:$AO)</f>
        <v>#VALUE!</v>
      </c>
      <c r="IM1" t="e">
        <f>+SUMIF([1]Cartera!$R:$R,$A1&amp;"_"&amp;IM$11,[1]Cartera!$J:$J)+SUMIF([1]Futuros!$AD:$AD,$A1&amp;"_"&amp;IM$11,[1]Futuros!$AK:$AK)+SUMIF([1]Opciones!$AF:$AF,$A1&amp;"_"&amp;IM$11,[1]Opciones!$AO:$AO)</f>
        <v>#VALUE!</v>
      </c>
      <c r="IN1" t="e">
        <f>+SUMIF([1]Cartera!$R:$R,$A1&amp;"_"&amp;IN$11,[1]Cartera!$J:$J)+SUMIF([1]Futuros!$AD:$AD,$A1&amp;"_"&amp;IN$11,[1]Futuros!$AK:$AK)+SUMIF([1]Opciones!$AF:$AF,$A1&amp;"_"&amp;IN$11,[1]Opciones!$AO:$AO)</f>
        <v>#VALUE!</v>
      </c>
      <c r="IO1" t="e">
        <f>+SUMIF([1]Cartera!$R:$R,$A1&amp;"_"&amp;IO$11,[1]Cartera!$J:$J)+SUMIF([1]Futuros!$AD:$AD,$A1&amp;"_"&amp;IO$11,[1]Futuros!$AK:$AK)+SUMIF([1]Opciones!$AF:$AF,$A1&amp;"_"&amp;IO$11,[1]Opciones!$AO:$AO)</f>
        <v>#VALUE!</v>
      </c>
      <c r="IP1" t="e">
        <f>+SUMIF([1]Cartera!$R:$R,$A1&amp;"_"&amp;IP$11,[1]Cartera!$J:$J)+SUMIF([1]Futuros!$AD:$AD,$A1&amp;"_"&amp;IP$11,[1]Futuros!$AK:$AK)+SUMIF([1]Opciones!$AF:$AF,$A1&amp;"_"&amp;IP$11,[1]Opciones!$AO:$AO)</f>
        <v>#VALUE!</v>
      </c>
      <c r="IQ1" t="e">
        <f>+SUMIF([1]Cartera!$R:$R,$A1&amp;"_"&amp;IQ$11,[1]Cartera!$J:$J)+SUMIF([1]Futuros!$AD:$AD,$A1&amp;"_"&amp;IQ$11,[1]Futuros!$AK:$AK)+SUMIF([1]Opciones!$AF:$AF,$A1&amp;"_"&amp;IQ$11,[1]Opciones!$AO:$AO)</f>
        <v>#VALUE!</v>
      </c>
      <c r="IR1" t="e">
        <f>+SUMIF([1]Cartera!$R:$R,$A1&amp;"_"&amp;IR$11,[1]Cartera!$J:$J)+SUMIF([1]Futuros!$AD:$AD,$A1&amp;"_"&amp;IR$11,[1]Futuros!$AK:$AK)+SUMIF([1]Opciones!$AF:$AF,$A1&amp;"_"&amp;IR$11,[1]Opciones!$AO:$AO)</f>
        <v>#VALUE!</v>
      </c>
      <c r="IS1" t="e">
        <f>+SUMIF([1]Cartera!$R:$R,$A1&amp;"_"&amp;IS$11,[1]Cartera!$J:$J)+SUMIF([1]Futuros!$AD:$AD,$A1&amp;"_"&amp;IS$11,[1]Futuros!$AK:$AK)+SUMIF([1]Opciones!$AF:$AF,$A1&amp;"_"&amp;IS$11,[1]Opciones!$AO:$AO)</f>
        <v>#VALUE!</v>
      </c>
      <c r="IT1" t="e">
        <f>+SUMIF([1]Cartera!$R:$R,$A1&amp;"_"&amp;IT$11,[1]Cartera!$J:$J)+SUMIF([1]Futuros!$AD:$AD,$A1&amp;"_"&amp;IT$11,[1]Futuros!$AK:$AK)+SUMIF([1]Opciones!$AF:$AF,$A1&amp;"_"&amp;IT$11,[1]Opciones!$AO:$AO)</f>
        <v>#VALUE!</v>
      </c>
      <c r="IU1" t="e">
        <f>+SUMIF([1]Cartera!$R:$R,$A1&amp;"_"&amp;IU$11,[1]Cartera!$J:$J)+SUMIF([1]Futuros!$AD:$AD,$A1&amp;"_"&amp;IU$11,[1]Futuros!$AK:$AK)+SUMIF([1]Opciones!$AF:$AF,$A1&amp;"_"&amp;IU$11,[1]Opciones!$AO:$AO)</f>
        <v>#VALUE!</v>
      </c>
      <c r="IV1" t="e">
        <f>+SUMIF([1]Cartera!$R:$R,$A1&amp;"_"&amp;IV$11,[1]Cartera!$J:$J)+SUMIF([1]Futuros!$AD:$AD,$A1&amp;"_"&amp;IV$11,[1]Futuros!$AK:$AK)+SUMIF([1]Opciones!$AF:$AF,$A1&amp;"_"&amp;IV$11,[1]Opciones!$AO:$AO)</f>
        <v>#VALUE!</v>
      </c>
      <c r="IW1" t="e">
        <f>+SUMIF([1]Cartera!$R:$R,$A1&amp;"_"&amp;IW$11,[1]Cartera!$J:$J)+SUMIF([1]Futuros!$AD:$AD,$A1&amp;"_"&amp;IW$11,[1]Futuros!$AK:$AK)+SUMIF([1]Opciones!$AF:$AF,$A1&amp;"_"&amp;IW$11,[1]Opciones!$AO:$AO)</f>
        <v>#VALUE!</v>
      </c>
      <c r="IX1" t="e">
        <f>+SUMIF([1]Cartera!$R:$R,$A1&amp;"_"&amp;IX$11,[1]Cartera!$J:$J)+SUMIF([1]Futuros!$AD:$AD,$A1&amp;"_"&amp;IX$11,[1]Futuros!$AK:$AK)+SUMIF([1]Opciones!$AF:$AF,$A1&amp;"_"&amp;IX$11,[1]Opciones!$AO:$AO)</f>
        <v>#VALUE!</v>
      </c>
      <c r="IY1" t="e">
        <f>+SUMIF([1]Cartera!$R:$R,$A1&amp;"_"&amp;IY$11,[1]Cartera!$J:$J)+SUMIF([1]Futuros!$AD:$AD,$A1&amp;"_"&amp;IY$11,[1]Futuros!$AK:$AK)+SUMIF([1]Opciones!$AF:$AF,$A1&amp;"_"&amp;IY$11,[1]Opciones!$AO:$AO)</f>
        <v>#VALUE!</v>
      </c>
      <c r="IZ1" t="e">
        <f>+SUMIF([1]Cartera!$R:$R,$A1&amp;"_"&amp;IZ$11,[1]Cartera!$J:$J)+SUMIF([1]Futuros!$AD:$AD,$A1&amp;"_"&amp;IZ$11,[1]Futuros!$AK:$AK)+SUMIF([1]Opciones!$AF:$AF,$A1&amp;"_"&amp;IZ$11,[1]Opciones!$AO:$AO)</f>
        <v>#VALUE!</v>
      </c>
      <c r="JA1" t="e">
        <f>+SUMIF([1]Cartera!$R:$R,$A1&amp;"_"&amp;JA$11,[1]Cartera!$J:$J)+SUMIF([1]Futuros!$AD:$AD,$A1&amp;"_"&amp;JA$11,[1]Futuros!$AK:$AK)+SUMIF([1]Opciones!$AF:$AF,$A1&amp;"_"&amp;JA$11,[1]Opciones!$AO:$AO)</f>
        <v>#VALUE!</v>
      </c>
      <c r="JB1" t="e">
        <f>+SUMIF([1]Cartera!$R:$R,$A1&amp;"_"&amp;JB$11,[1]Cartera!$J:$J)+SUMIF([1]Futuros!$AD:$AD,$A1&amp;"_"&amp;JB$11,[1]Futuros!$AK:$AK)+SUMIF([1]Opciones!$AF:$AF,$A1&amp;"_"&amp;JB$11,[1]Opciones!$AO:$AO)</f>
        <v>#VALUE!</v>
      </c>
      <c r="JC1" t="e">
        <f>+SUMIF([1]Cartera!$R:$R,$A1&amp;"_"&amp;JC$11,[1]Cartera!$J:$J)+SUMIF([1]Futuros!$AD:$AD,$A1&amp;"_"&amp;JC$11,[1]Futuros!$AK:$AK)+SUMIF([1]Opciones!$AF:$AF,$A1&amp;"_"&amp;JC$11,[1]Opciones!$AO:$AO)</f>
        <v>#VALUE!</v>
      </c>
      <c r="JD1" t="e">
        <f>+SUMIF([1]Cartera!$R:$R,$A1&amp;"_"&amp;JD$11,[1]Cartera!$J:$J)+SUMIF([1]Futuros!$AD:$AD,$A1&amp;"_"&amp;JD$11,[1]Futuros!$AK:$AK)+SUMIF([1]Opciones!$AF:$AF,$A1&amp;"_"&amp;JD$11,[1]Opciones!$AO:$AO)</f>
        <v>#VALUE!</v>
      </c>
      <c r="JE1" t="e">
        <f>+SUMIF([1]Cartera!$R:$R,$A1&amp;"_"&amp;JE$11,[1]Cartera!$J:$J)+SUMIF([1]Futuros!$AD:$AD,$A1&amp;"_"&amp;JE$11,[1]Futuros!$AK:$AK)+SUMIF([1]Opciones!$AF:$AF,$A1&amp;"_"&amp;JE$11,[1]Opciones!$AO:$AO)</f>
        <v>#VALUE!</v>
      </c>
      <c r="JF1" t="e">
        <f>+SUMIF([1]Cartera!$R:$R,$A1&amp;"_"&amp;JF$11,[1]Cartera!$J:$J)+SUMIF([1]Futuros!$AD:$AD,$A1&amp;"_"&amp;JF$11,[1]Futuros!$AK:$AK)+SUMIF([1]Opciones!$AF:$AF,$A1&amp;"_"&amp;JF$11,[1]Opciones!$AO:$AO)</f>
        <v>#VALUE!</v>
      </c>
      <c r="JG1" t="e">
        <f>+SUMIF([1]Cartera!$R:$R,$A1&amp;"_"&amp;JG$11,[1]Cartera!$J:$J)+SUMIF([1]Futuros!$AD:$AD,$A1&amp;"_"&amp;JG$11,[1]Futuros!$AK:$AK)+SUMIF([1]Opciones!$AF:$AF,$A1&amp;"_"&amp;JG$11,[1]Opciones!$AO:$AO)</f>
        <v>#VALUE!</v>
      </c>
      <c r="JH1" t="e">
        <f>+SUMIF([1]Cartera!$R:$R,$A1&amp;"_"&amp;JH$11,[1]Cartera!$J:$J)+SUMIF([1]Futuros!$AD:$AD,$A1&amp;"_"&amp;JH$11,[1]Futuros!$AK:$AK)+SUMIF([1]Opciones!$AF:$AF,$A1&amp;"_"&amp;JH$11,[1]Opciones!$AO:$AO)</f>
        <v>#VALUE!</v>
      </c>
      <c r="JI1" t="e">
        <f>+SUMIF([1]Cartera!$R:$R,$A1&amp;"_"&amp;JI$11,[1]Cartera!$J:$J)+SUMIF([1]Futuros!$AD:$AD,$A1&amp;"_"&amp;JI$11,[1]Futuros!$AK:$AK)+SUMIF([1]Opciones!$AF:$AF,$A1&amp;"_"&amp;JI$11,[1]Opciones!$AO:$AO)</f>
        <v>#VALUE!</v>
      </c>
      <c r="JJ1" t="e">
        <f>+SUMIF([1]Cartera!$R:$R,$A1&amp;"_"&amp;JJ$11,[1]Cartera!$J:$J)+SUMIF([1]Futuros!$AD:$AD,$A1&amp;"_"&amp;JJ$11,[1]Futuros!$AK:$AK)+SUMIF([1]Opciones!$AF:$AF,$A1&amp;"_"&amp;JJ$11,[1]Opciones!$AO:$AO)</f>
        <v>#VALUE!</v>
      </c>
      <c r="JK1" t="e">
        <f>+SUMIF([1]Cartera!$R:$R,$A1&amp;"_"&amp;JK$11,[1]Cartera!$J:$J)+SUMIF([1]Futuros!$AD:$AD,$A1&amp;"_"&amp;JK$11,[1]Futuros!$AK:$AK)+SUMIF([1]Opciones!$AF:$AF,$A1&amp;"_"&amp;JK$11,[1]Opciones!$AO:$AO)</f>
        <v>#VALUE!</v>
      </c>
      <c r="JL1" t="e">
        <f>+SUMIF([1]Cartera!$R:$R,$A1&amp;"_"&amp;JL$11,[1]Cartera!$J:$J)+SUMIF([1]Futuros!$AD:$AD,$A1&amp;"_"&amp;JL$11,[1]Futuros!$AK:$AK)+SUMIF([1]Opciones!$AF:$AF,$A1&amp;"_"&amp;JL$11,[1]Opciones!$AO:$AO)</f>
        <v>#VALUE!</v>
      </c>
      <c r="JM1" t="e">
        <f>+SUMIF([1]Cartera!$R:$R,$A1&amp;"_"&amp;JM$11,[1]Cartera!$J:$J)+SUMIF([1]Futuros!$AD:$AD,$A1&amp;"_"&amp;JM$11,[1]Futuros!$AK:$AK)+SUMIF([1]Opciones!$AF:$AF,$A1&amp;"_"&amp;JM$11,[1]Opciones!$AO:$AO)</f>
        <v>#VALUE!</v>
      </c>
      <c r="JN1" t="e">
        <f>+SUMIF([1]Cartera!$R:$R,$A1&amp;"_"&amp;JN$11,[1]Cartera!$J:$J)+SUMIF([1]Futuros!$AD:$AD,$A1&amp;"_"&amp;JN$11,[1]Futuros!$AK:$AK)+SUMIF([1]Opciones!$AF:$AF,$A1&amp;"_"&amp;JN$11,[1]Opciones!$AO:$AO)</f>
        <v>#VALUE!</v>
      </c>
      <c r="JO1" t="e">
        <f>+SUMIF([1]Cartera!$R:$R,$A1&amp;"_"&amp;JO$11,[1]Cartera!$J:$J)+SUMIF([1]Futuros!$AD:$AD,$A1&amp;"_"&amp;JO$11,[1]Futuros!$AK:$AK)+SUMIF([1]Opciones!$AF:$AF,$A1&amp;"_"&amp;JO$11,[1]Opciones!$AO:$AO)</f>
        <v>#VALUE!</v>
      </c>
      <c r="JP1" t="e">
        <f>+SUMIF([1]Cartera!$R:$R,$A1&amp;"_"&amp;JP$11,[1]Cartera!$J:$J)+SUMIF([1]Futuros!$AD:$AD,$A1&amp;"_"&amp;JP$11,[1]Futuros!$AK:$AK)+SUMIF([1]Opciones!$AF:$AF,$A1&amp;"_"&amp;JP$11,[1]Opciones!$AO:$AO)</f>
        <v>#VALUE!</v>
      </c>
      <c r="JQ1" t="e">
        <f>+SUMIF([1]Cartera!$R:$R,$A1&amp;"_"&amp;JQ$11,[1]Cartera!$J:$J)+SUMIF([1]Futuros!$AD:$AD,$A1&amp;"_"&amp;JQ$11,[1]Futuros!$AK:$AK)+SUMIF([1]Opciones!$AF:$AF,$A1&amp;"_"&amp;JQ$11,[1]Opciones!$AO:$AO)</f>
        <v>#VALUE!</v>
      </c>
      <c r="JR1" t="e">
        <f>+SUMIF([1]Cartera!$R:$R,$A1&amp;"_"&amp;JR$11,[1]Cartera!$J:$J)+SUMIF([1]Futuros!$AD:$AD,$A1&amp;"_"&amp;JR$11,[1]Futuros!$AK:$AK)+SUMIF([1]Opciones!$AF:$AF,$A1&amp;"_"&amp;JR$11,[1]Opciones!$AO:$AO)</f>
        <v>#VALUE!</v>
      </c>
      <c r="JS1" t="e">
        <f>+SUMIF([1]Cartera!$R:$R,$A1&amp;"_"&amp;JS$11,[1]Cartera!$J:$J)+SUMIF([1]Futuros!$AD:$AD,$A1&amp;"_"&amp;JS$11,[1]Futuros!$AK:$AK)+SUMIF([1]Opciones!$AF:$AF,$A1&amp;"_"&amp;JS$11,[1]Opciones!$AO:$AO)</f>
        <v>#VALUE!</v>
      </c>
      <c r="JT1" t="e">
        <f>+SUMIF([1]Cartera!$R:$R,$A1&amp;"_"&amp;JT$11,[1]Cartera!$J:$J)+SUMIF([1]Futuros!$AD:$AD,$A1&amp;"_"&amp;JT$11,[1]Futuros!$AK:$AK)+SUMIF([1]Opciones!$AF:$AF,$A1&amp;"_"&amp;JT$11,[1]Opciones!$AO:$AO)</f>
        <v>#VALUE!</v>
      </c>
      <c r="JU1" t="e">
        <f>+SUMIF([1]Cartera!$R:$R,$A1&amp;"_"&amp;JU$11,[1]Cartera!$J:$J)+SUMIF([1]Futuros!$AD:$AD,$A1&amp;"_"&amp;JU$11,[1]Futuros!$AK:$AK)+SUMIF([1]Opciones!$AF:$AF,$A1&amp;"_"&amp;JU$11,[1]Opciones!$AO:$AO)</f>
        <v>#VALUE!</v>
      </c>
      <c r="JV1" t="e">
        <f>+SUMIF([1]Cartera!$R:$R,$A1&amp;"_"&amp;JV$11,[1]Cartera!$J:$J)+SUMIF([1]Futuros!$AD:$AD,$A1&amp;"_"&amp;JV$11,[1]Futuros!$AK:$AK)+SUMIF([1]Opciones!$AF:$AF,$A1&amp;"_"&amp;JV$11,[1]Opciones!$AO:$AO)</f>
        <v>#VALUE!</v>
      </c>
      <c r="JW1" t="e">
        <f>+SUMIF([1]Cartera!$R:$R,$A1&amp;"_"&amp;JW$11,[1]Cartera!$J:$J)+SUMIF([1]Futuros!$AD:$AD,$A1&amp;"_"&amp;JW$11,[1]Futuros!$AK:$AK)+SUMIF([1]Opciones!$AF:$AF,$A1&amp;"_"&amp;JW$11,[1]Opciones!$AO:$AO)</f>
        <v>#VALUE!</v>
      </c>
      <c r="JX1" t="e">
        <f>+SUMIF([1]Cartera!$R:$R,$A1&amp;"_"&amp;JX$11,[1]Cartera!$J:$J)+SUMIF([1]Futuros!$AD:$AD,$A1&amp;"_"&amp;JX$11,[1]Futuros!$AK:$AK)+SUMIF([1]Opciones!$AF:$AF,$A1&amp;"_"&amp;JX$11,[1]Opciones!$AO:$AO)</f>
        <v>#VALUE!</v>
      </c>
      <c r="JY1" t="e">
        <f>+SUMIF([1]Cartera!$R:$R,$A1&amp;"_"&amp;JY$11,[1]Cartera!$J:$J)+SUMIF([1]Futuros!$AD:$AD,$A1&amp;"_"&amp;JY$11,[1]Futuros!$AK:$AK)+SUMIF([1]Opciones!$AF:$AF,$A1&amp;"_"&amp;JY$11,[1]Opciones!$AO:$AO)</f>
        <v>#VALUE!</v>
      </c>
      <c r="JZ1" t="e">
        <f>+SUMIF([1]Cartera!$R:$R,$A1&amp;"_"&amp;JZ$11,[1]Cartera!$J:$J)+SUMIF([1]Futuros!$AD:$AD,$A1&amp;"_"&amp;JZ$11,[1]Futuros!$AK:$AK)+SUMIF([1]Opciones!$AF:$AF,$A1&amp;"_"&amp;JZ$11,[1]Opciones!$AO:$AO)</f>
        <v>#VALUE!</v>
      </c>
      <c r="KA1" t="e">
        <f>+SUMIF([1]Cartera!$R:$R,$A1&amp;"_"&amp;KA$11,[1]Cartera!$J:$J)+SUMIF([1]Futuros!$AD:$AD,$A1&amp;"_"&amp;KA$11,[1]Futuros!$AK:$AK)+SUMIF([1]Opciones!$AF:$AF,$A1&amp;"_"&amp;KA$11,[1]Opciones!$AO:$AO)</f>
        <v>#VALUE!</v>
      </c>
      <c r="KB1" t="e">
        <f>+SUMIF([1]Cartera!$R:$R,$A1&amp;"_"&amp;KB$11,[1]Cartera!$J:$J)+SUMIF([1]Futuros!$AD:$AD,$A1&amp;"_"&amp;KB$11,[1]Futuros!$AK:$AK)+SUMIF([1]Opciones!$AF:$AF,$A1&amp;"_"&amp;KB$11,[1]Opciones!$AO:$AO)</f>
        <v>#VALUE!</v>
      </c>
      <c r="KC1" t="e">
        <f>+SUMIF([1]Cartera!$R:$R,$A1&amp;"_"&amp;KC$11,[1]Cartera!$J:$J)+SUMIF([1]Futuros!$AD:$AD,$A1&amp;"_"&amp;KC$11,[1]Futuros!$AK:$AK)+SUMIF([1]Opciones!$AF:$AF,$A1&amp;"_"&amp;KC$11,[1]Opciones!$AO:$AO)</f>
        <v>#VALUE!</v>
      </c>
      <c r="KD1" t="e">
        <f>+SUMIF([1]Cartera!$R:$R,$A1&amp;"_"&amp;KD$11,[1]Cartera!$J:$J)+SUMIF([1]Futuros!$AD:$AD,$A1&amp;"_"&amp;KD$11,[1]Futuros!$AK:$AK)+SUMIF([1]Opciones!$AF:$AF,$A1&amp;"_"&amp;KD$11,[1]Opciones!$AO:$AO)</f>
        <v>#VALUE!</v>
      </c>
      <c r="KE1" t="e">
        <f>+SUMIF([1]Cartera!$R:$R,$A1&amp;"_"&amp;KE$11,[1]Cartera!$J:$J)+SUMIF([1]Futuros!$AD:$AD,$A1&amp;"_"&amp;KE$11,[1]Futuros!$AK:$AK)+SUMIF([1]Opciones!$AF:$AF,$A1&amp;"_"&amp;KE$11,[1]Opciones!$AO:$AO)</f>
        <v>#VALUE!</v>
      </c>
      <c r="KF1" t="e">
        <f>+SUMIF([1]Cartera!$R:$R,$A1&amp;"_"&amp;KF$11,[1]Cartera!$J:$J)+SUMIF([1]Futuros!$AD:$AD,$A1&amp;"_"&amp;KF$11,[1]Futuros!$AK:$AK)+SUMIF([1]Opciones!$AF:$AF,$A1&amp;"_"&amp;KF$11,[1]Opciones!$AO:$AO)</f>
        <v>#VALUE!</v>
      </c>
      <c r="KG1" t="e">
        <f>+SUMIF([1]Cartera!$R:$R,$A1&amp;"_"&amp;KG$11,[1]Cartera!$J:$J)+SUMIF([1]Futuros!$AD:$AD,$A1&amp;"_"&amp;KG$11,[1]Futuros!$AK:$AK)+SUMIF([1]Opciones!$AF:$AF,$A1&amp;"_"&amp;KG$11,[1]Opciones!$AO:$AO)</f>
        <v>#VALUE!</v>
      </c>
      <c r="KH1" t="e">
        <f>+SUMIF([1]Cartera!$R:$R,$A1&amp;"_"&amp;KH$11,[1]Cartera!$J:$J)+SUMIF([1]Futuros!$AD:$AD,$A1&amp;"_"&amp;KH$11,[1]Futuros!$AK:$AK)+SUMIF([1]Opciones!$AF:$AF,$A1&amp;"_"&amp;KH$11,[1]Opciones!$AO:$AO)</f>
        <v>#VALUE!</v>
      </c>
      <c r="KI1" t="e">
        <f>+SUMIF([1]Cartera!$R:$R,$A1&amp;"_"&amp;KI$11,[1]Cartera!$J:$J)+SUMIF([1]Futuros!$AD:$AD,$A1&amp;"_"&amp;KI$11,[1]Futuros!$AK:$AK)+SUMIF([1]Opciones!$AF:$AF,$A1&amp;"_"&amp;KI$11,[1]Opciones!$AO:$AO)</f>
        <v>#VALUE!</v>
      </c>
      <c r="KJ1" t="e">
        <f>+SUMIF([1]Cartera!$R:$R,$A1&amp;"_"&amp;KJ$11,[1]Cartera!$J:$J)+SUMIF([1]Futuros!$AD:$AD,$A1&amp;"_"&amp;KJ$11,[1]Futuros!$AK:$AK)+SUMIF([1]Opciones!$AF:$AF,$A1&amp;"_"&amp;KJ$11,[1]Opciones!$AO:$AO)</f>
        <v>#VALUE!</v>
      </c>
      <c r="KK1" t="e">
        <f>+SUMIF([1]Cartera!$R:$R,$A1&amp;"_"&amp;KK$11,[1]Cartera!$J:$J)+SUMIF([1]Futuros!$AD:$AD,$A1&amp;"_"&amp;KK$11,[1]Futuros!$AK:$AK)+SUMIF([1]Opciones!$AF:$AF,$A1&amp;"_"&amp;KK$11,[1]Opciones!$AO:$AO)</f>
        <v>#VALUE!</v>
      </c>
      <c r="KL1" t="e">
        <f>+SUMIF([1]Cartera!$R:$R,$A1&amp;"_"&amp;KL$11,[1]Cartera!$J:$J)+SUMIF([1]Futuros!$AD:$AD,$A1&amp;"_"&amp;KL$11,[1]Futuros!$AK:$AK)+SUMIF([1]Opciones!$AF:$AF,$A1&amp;"_"&amp;KL$11,[1]Opciones!$AO:$AO)</f>
        <v>#VALUE!</v>
      </c>
      <c r="KM1" t="e">
        <f>+SUMIF([1]Cartera!$R:$R,$A1&amp;"_"&amp;KM$11,[1]Cartera!$J:$J)+SUMIF([1]Futuros!$AD:$AD,$A1&amp;"_"&amp;KM$11,[1]Futuros!$AK:$AK)+SUMIF([1]Opciones!$AF:$AF,$A1&amp;"_"&amp;KM$11,[1]Opciones!$AO:$AO)</f>
        <v>#VALUE!</v>
      </c>
      <c r="KN1" t="e">
        <f>+SUMIF([1]Cartera!$R:$R,$A1&amp;"_"&amp;KN$11,[1]Cartera!$J:$J)+SUMIF([1]Futuros!$AD:$AD,$A1&amp;"_"&amp;KN$11,[1]Futuros!$AK:$AK)+SUMIF([1]Opciones!$AF:$AF,$A1&amp;"_"&amp;KN$11,[1]Opciones!$AO:$AO)</f>
        <v>#VALUE!</v>
      </c>
      <c r="KO1" t="e">
        <f>+SUMIF([1]Cartera!$R:$R,$A1&amp;"_"&amp;KO$11,[1]Cartera!$J:$J)+SUMIF([1]Futuros!$AD:$AD,$A1&amp;"_"&amp;KO$11,[1]Futuros!$AK:$AK)+SUMIF([1]Opciones!$AF:$AF,$A1&amp;"_"&amp;KO$11,[1]Opciones!$AO:$AO)</f>
        <v>#VALUE!</v>
      </c>
      <c r="KP1" t="e">
        <f>+SUMIF([1]Cartera!$R:$R,$A1&amp;"_"&amp;KP$11,[1]Cartera!$J:$J)+SUMIF([1]Futuros!$AD:$AD,$A1&amp;"_"&amp;KP$11,[1]Futuros!$AK:$AK)+SUMIF([1]Opciones!$AF:$AF,$A1&amp;"_"&amp;KP$11,[1]Opciones!$AO:$AO)</f>
        <v>#VALUE!</v>
      </c>
      <c r="KQ1" t="e">
        <f>+SUMIF([1]Cartera!$R:$R,$A1&amp;"_"&amp;KQ$11,[1]Cartera!$J:$J)+SUMIF([1]Futuros!$AD:$AD,$A1&amp;"_"&amp;KQ$11,[1]Futuros!$AK:$AK)+SUMIF([1]Opciones!$AF:$AF,$A1&amp;"_"&amp;KQ$11,[1]Opciones!$AO:$AO)</f>
        <v>#VALUE!</v>
      </c>
      <c r="KR1" t="e">
        <f>+SUMIF([1]Cartera!$R:$R,$A1&amp;"_"&amp;KR$11,[1]Cartera!$J:$J)+SUMIF([1]Futuros!$AD:$AD,$A1&amp;"_"&amp;KR$11,[1]Futuros!$AK:$AK)+SUMIF([1]Opciones!$AF:$AF,$A1&amp;"_"&amp;KR$11,[1]Opciones!$AO:$AO)</f>
        <v>#VALUE!</v>
      </c>
      <c r="KS1" t="e">
        <f>+SUMIF([1]Cartera!$R:$R,$A1&amp;"_"&amp;KS$11,[1]Cartera!$J:$J)+SUMIF([1]Futuros!$AD:$AD,$A1&amp;"_"&amp;KS$11,[1]Futuros!$AK:$AK)+SUMIF([1]Opciones!$AF:$AF,$A1&amp;"_"&amp;KS$11,[1]Opciones!$AO:$AO)</f>
        <v>#VALUE!</v>
      </c>
      <c r="KT1" t="e">
        <f>+SUMIF([1]Cartera!$R:$R,$A1&amp;"_"&amp;KT$11,[1]Cartera!$J:$J)+SUMIF([1]Futuros!$AD:$AD,$A1&amp;"_"&amp;KT$11,[1]Futuros!$AK:$AK)+SUMIF([1]Opciones!$AF:$AF,$A1&amp;"_"&amp;KT$11,[1]Opciones!$AO:$AO)</f>
        <v>#VALUE!</v>
      </c>
      <c r="KU1" t="e">
        <f>+SUMIF([1]Cartera!$R:$R,$A1&amp;"_"&amp;KU$11,[1]Cartera!$J:$J)+SUMIF([1]Futuros!$AD:$AD,$A1&amp;"_"&amp;KU$11,[1]Futuros!$AK:$AK)+SUMIF([1]Opciones!$AF:$AF,$A1&amp;"_"&amp;KU$11,[1]Opciones!$AO:$AO)</f>
        <v>#VALUE!</v>
      </c>
      <c r="KV1" t="e">
        <f>+SUMIF([1]Cartera!$R:$R,$A1&amp;"_"&amp;KV$11,[1]Cartera!$J:$J)+SUMIF([1]Futuros!$AD:$AD,$A1&amp;"_"&amp;KV$11,[1]Futuros!$AK:$AK)+SUMIF([1]Opciones!$AF:$AF,$A1&amp;"_"&amp;KV$11,[1]Opciones!$AO:$AO)</f>
        <v>#VALUE!</v>
      </c>
      <c r="KW1" t="e">
        <f>+SUMIF([1]Cartera!$R:$R,$A1&amp;"_"&amp;KW$11,[1]Cartera!$J:$J)+SUMIF([1]Futuros!$AD:$AD,$A1&amp;"_"&amp;KW$11,[1]Futuros!$AK:$AK)+SUMIF([1]Opciones!$AF:$AF,$A1&amp;"_"&amp;KW$11,[1]Opciones!$AO:$AO)</f>
        <v>#VALUE!</v>
      </c>
      <c r="KX1" t="e">
        <f>+SUMIF([1]Cartera!$R:$R,$A1&amp;"_"&amp;KX$11,[1]Cartera!$J:$J)+SUMIF([1]Futuros!$AD:$AD,$A1&amp;"_"&amp;KX$11,[1]Futuros!$AK:$AK)+SUMIF([1]Opciones!$AF:$AF,$A1&amp;"_"&amp;KX$11,[1]Opciones!$AO:$AO)</f>
        <v>#VALUE!</v>
      </c>
      <c r="KY1" t="e">
        <f>+SUMIF([1]Cartera!$R:$R,$A1&amp;"_"&amp;KY$11,[1]Cartera!$J:$J)+SUMIF([1]Futuros!$AD:$AD,$A1&amp;"_"&amp;KY$11,[1]Futuros!$AK:$AK)+SUMIF([1]Opciones!$AF:$AF,$A1&amp;"_"&amp;KY$11,[1]Opciones!$AO:$AO)</f>
        <v>#VALUE!</v>
      </c>
      <c r="KZ1" t="e">
        <f>+SUMIF([1]Cartera!$R:$R,$A1&amp;"_"&amp;KZ$11,[1]Cartera!$J:$J)+SUMIF([1]Futuros!$AD:$AD,$A1&amp;"_"&amp;KZ$11,[1]Futuros!$AK:$AK)+SUMIF([1]Opciones!$AF:$AF,$A1&amp;"_"&amp;KZ$11,[1]Opciones!$AO:$AO)</f>
        <v>#VALUE!</v>
      </c>
      <c r="LA1" t="e">
        <f>+SUMIF([1]Cartera!$R:$R,$A1&amp;"_"&amp;LA$11,[1]Cartera!$J:$J)+SUMIF([1]Futuros!$AD:$AD,$A1&amp;"_"&amp;LA$11,[1]Futuros!$AK:$AK)+SUMIF([1]Opciones!$AF:$AF,$A1&amp;"_"&amp;LA$11,[1]Opciones!$AO:$AO)</f>
        <v>#VALUE!</v>
      </c>
      <c r="LB1" t="e">
        <f>+SUMIF([1]Cartera!$R:$R,$A1&amp;"_"&amp;LB$11,[1]Cartera!$J:$J)+SUMIF([1]Futuros!$AD:$AD,$A1&amp;"_"&amp;LB$11,[1]Futuros!$AK:$AK)+SUMIF([1]Opciones!$AF:$AF,$A1&amp;"_"&amp;LB$11,[1]Opciones!$AO:$AO)</f>
        <v>#VALUE!</v>
      </c>
      <c r="LC1" t="e">
        <f>+SUMIF([1]Cartera!$R:$R,$A1&amp;"_"&amp;LC$11,[1]Cartera!$J:$J)+SUMIF([1]Futuros!$AD:$AD,$A1&amp;"_"&amp;LC$11,[1]Futuros!$AK:$AK)+SUMIF([1]Opciones!$AF:$AF,$A1&amp;"_"&amp;LC$11,[1]Opciones!$AO:$AO)</f>
        <v>#VALUE!</v>
      </c>
      <c r="LD1" t="e">
        <f>+SUMIF([1]Cartera!$R:$R,$A1&amp;"_"&amp;LD$11,[1]Cartera!$J:$J)+SUMIF([1]Futuros!$AD:$AD,$A1&amp;"_"&amp;LD$11,[1]Futuros!$AK:$AK)+SUMIF([1]Opciones!$AF:$AF,$A1&amp;"_"&amp;LD$11,[1]Opciones!$AO:$AO)</f>
        <v>#VALUE!</v>
      </c>
      <c r="LE1" t="e">
        <f>+SUMIF([1]Cartera!$R:$R,$A1&amp;"_"&amp;LE$11,[1]Cartera!$J:$J)+SUMIF([1]Futuros!$AD:$AD,$A1&amp;"_"&amp;LE$11,[1]Futuros!$AK:$AK)+SUMIF([1]Opciones!$AF:$AF,$A1&amp;"_"&amp;LE$11,[1]Opciones!$AO:$AO)</f>
        <v>#VALUE!</v>
      </c>
      <c r="LF1" t="e">
        <f>+SUMIF([1]Cartera!$R:$R,$A1&amp;"_"&amp;LF$11,[1]Cartera!$J:$J)+SUMIF([1]Futuros!$AD:$AD,$A1&amp;"_"&amp;LF$11,[1]Futuros!$AK:$AK)+SUMIF([1]Opciones!$AF:$AF,$A1&amp;"_"&amp;LF$11,[1]Opciones!$AO:$AO)</f>
        <v>#VALUE!</v>
      </c>
      <c r="LG1" t="e">
        <f>+SUMIF([1]Cartera!$R:$R,$A1&amp;"_"&amp;LG$11,[1]Cartera!$J:$J)+SUMIF([1]Futuros!$AD:$AD,$A1&amp;"_"&amp;LG$11,[1]Futuros!$AK:$AK)+SUMIF([1]Opciones!$AF:$AF,$A1&amp;"_"&amp;LG$11,[1]Opciones!$AO:$AO)</f>
        <v>#VALUE!</v>
      </c>
      <c r="LH1" t="e">
        <f>+SUMIF([1]Cartera!$R:$R,$A1&amp;"_"&amp;LH$11,[1]Cartera!$J:$J)+SUMIF([1]Futuros!$AD:$AD,$A1&amp;"_"&amp;LH$11,[1]Futuros!$AK:$AK)+SUMIF([1]Opciones!$AF:$AF,$A1&amp;"_"&amp;LH$11,[1]Opciones!$AO:$AO)</f>
        <v>#VALUE!</v>
      </c>
      <c r="LI1" t="e">
        <f>+SUMIF([1]Cartera!$R:$R,$A1&amp;"_"&amp;LI$11,[1]Cartera!$J:$J)+SUMIF([1]Futuros!$AD:$AD,$A1&amp;"_"&amp;LI$11,[1]Futuros!$AK:$AK)+SUMIF([1]Opciones!$AF:$AF,$A1&amp;"_"&amp;LI$11,[1]Opciones!$AO:$AO)</f>
        <v>#VALUE!</v>
      </c>
      <c r="LJ1" t="e">
        <f>+SUMIF([1]Cartera!$R:$R,$A1&amp;"_"&amp;LJ$11,[1]Cartera!$J:$J)+SUMIF([1]Futuros!$AD:$AD,$A1&amp;"_"&amp;LJ$11,[1]Futuros!$AK:$AK)+SUMIF([1]Opciones!$AF:$AF,$A1&amp;"_"&amp;LJ$11,[1]Opciones!$AO:$AO)</f>
        <v>#VALUE!</v>
      </c>
      <c r="LK1" t="e">
        <f>+SUMIF([1]Cartera!$R:$R,$A1&amp;"_"&amp;LK$11,[1]Cartera!$J:$J)+SUMIF([1]Futuros!$AD:$AD,$A1&amp;"_"&amp;LK$11,[1]Futuros!$AK:$AK)+SUMIF([1]Opciones!$AF:$AF,$A1&amp;"_"&amp;LK$11,[1]Opciones!$AO:$AO)</f>
        <v>#VALUE!</v>
      </c>
      <c r="LL1" t="e">
        <f>+SUMIF([1]Cartera!$R:$R,$A1&amp;"_"&amp;LL$11,[1]Cartera!$J:$J)+SUMIF([1]Futuros!$AD:$AD,$A1&amp;"_"&amp;LL$11,[1]Futuros!$AK:$AK)+SUMIF([1]Opciones!$AF:$AF,$A1&amp;"_"&amp;LL$11,[1]Opciones!$AO:$AO)</f>
        <v>#VALUE!</v>
      </c>
      <c r="LM1" t="e">
        <f>+SUMIF([1]Cartera!$R:$R,$A1&amp;"_"&amp;LM$11,[1]Cartera!$J:$J)+SUMIF([1]Futuros!$AD:$AD,$A1&amp;"_"&amp;LM$11,[1]Futuros!$AK:$AK)+SUMIF([1]Opciones!$AF:$AF,$A1&amp;"_"&amp;LM$11,[1]Opciones!$AO:$AO)</f>
        <v>#VALUE!</v>
      </c>
      <c r="LN1" t="e">
        <f>+SUMIF([1]Cartera!$R:$R,$A1&amp;"_"&amp;LN$11,[1]Cartera!$J:$J)+SUMIF([1]Futuros!$AD:$AD,$A1&amp;"_"&amp;LN$11,[1]Futuros!$AK:$AK)+SUMIF([1]Opciones!$AF:$AF,$A1&amp;"_"&amp;LN$11,[1]Opciones!$AO:$AO)</f>
        <v>#VALUE!</v>
      </c>
      <c r="LO1" t="e">
        <f>+SUMIF([1]Cartera!$R:$R,$A1&amp;"_"&amp;LO$11,[1]Cartera!$J:$J)+SUMIF([1]Futuros!$AD:$AD,$A1&amp;"_"&amp;LO$11,[1]Futuros!$AK:$AK)+SUMIF([1]Opciones!$AF:$AF,$A1&amp;"_"&amp;LO$11,[1]Opciones!$AO:$AO)</f>
        <v>#VALUE!</v>
      </c>
      <c r="LP1" t="e">
        <f>+SUMIF([1]Cartera!$R:$R,$A1&amp;"_"&amp;LP$11,[1]Cartera!$J:$J)+SUMIF([1]Futuros!$AD:$AD,$A1&amp;"_"&amp;LP$11,[1]Futuros!$AK:$AK)+SUMIF([1]Opciones!$AF:$AF,$A1&amp;"_"&amp;LP$11,[1]Opciones!$AO:$AO)</f>
        <v>#VALUE!</v>
      </c>
      <c r="LQ1" t="e">
        <f>+SUMIF([1]Cartera!$R:$R,$A1&amp;"_"&amp;LQ$11,[1]Cartera!$J:$J)+SUMIF([1]Futuros!$AD:$AD,$A1&amp;"_"&amp;LQ$11,[1]Futuros!$AK:$AK)+SUMIF([1]Opciones!$AF:$AF,$A1&amp;"_"&amp;LQ$11,[1]Opciones!$AO:$AO)</f>
        <v>#VALUE!</v>
      </c>
      <c r="LR1" t="e">
        <f>+SUMIF([1]Cartera!$R:$R,$A1&amp;"_"&amp;LR$11,[1]Cartera!$J:$J)+SUMIF([1]Futuros!$AD:$AD,$A1&amp;"_"&amp;LR$11,[1]Futuros!$AK:$AK)+SUMIF([1]Opciones!$AF:$AF,$A1&amp;"_"&amp;LR$11,[1]Opciones!$AO:$AO)</f>
        <v>#VALUE!</v>
      </c>
      <c r="LS1" t="e">
        <f>+SUMIF([1]Cartera!$R:$R,$A1&amp;"_"&amp;LS$11,[1]Cartera!$J:$J)+SUMIF([1]Futuros!$AD:$AD,$A1&amp;"_"&amp;LS$11,[1]Futuros!$AK:$AK)+SUMIF([1]Opciones!$AF:$AF,$A1&amp;"_"&amp;LS$11,[1]Opciones!$AO:$AO)</f>
        <v>#VALUE!</v>
      </c>
      <c r="LT1" t="e">
        <f>+SUMIF([1]Cartera!$R:$R,$A1&amp;"_"&amp;LT$11,[1]Cartera!$J:$J)+SUMIF([1]Futuros!$AD:$AD,$A1&amp;"_"&amp;LT$11,[1]Futuros!$AK:$AK)+SUMIF([1]Opciones!$AF:$AF,$A1&amp;"_"&amp;LT$11,[1]Opciones!$AO:$AO)</f>
        <v>#VALUE!</v>
      </c>
      <c r="LU1" t="e">
        <f>+SUMIF([1]Cartera!$R:$R,$A1&amp;"_"&amp;LU$11,[1]Cartera!$J:$J)+SUMIF([1]Futuros!$AD:$AD,$A1&amp;"_"&amp;LU$11,[1]Futuros!$AK:$AK)+SUMIF([1]Opciones!$AF:$AF,$A1&amp;"_"&amp;LU$11,[1]Opciones!$AO:$AO)</f>
        <v>#VALUE!</v>
      </c>
      <c r="LV1" t="e">
        <f>+SUMIF([1]Cartera!$R:$R,$A1&amp;"_"&amp;LV$11,[1]Cartera!$J:$J)+SUMIF([1]Futuros!$AD:$AD,$A1&amp;"_"&amp;LV$11,[1]Futuros!$AK:$AK)+SUMIF([1]Opciones!$AF:$AF,$A1&amp;"_"&amp;LV$11,[1]Opciones!$AO:$AO)</f>
        <v>#VALUE!</v>
      </c>
      <c r="LW1" t="e">
        <f>+SUMIF([1]Cartera!$R:$R,$A1&amp;"_"&amp;LW$11,[1]Cartera!$J:$J)+SUMIF([1]Futuros!$AD:$AD,$A1&amp;"_"&amp;LW$11,[1]Futuros!$AK:$AK)+SUMIF([1]Opciones!$AF:$AF,$A1&amp;"_"&amp;LW$11,[1]Opciones!$AO:$AO)</f>
        <v>#VALUE!</v>
      </c>
      <c r="LX1" t="e">
        <f>+SUMIF([1]Cartera!$R:$R,$A1&amp;"_"&amp;LX$11,[1]Cartera!$J:$J)+SUMIF([1]Futuros!$AD:$AD,$A1&amp;"_"&amp;LX$11,[1]Futuros!$AK:$AK)+SUMIF([1]Opciones!$AF:$AF,$A1&amp;"_"&amp;LX$11,[1]Opciones!$AO:$AO)</f>
        <v>#VALUE!</v>
      </c>
      <c r="LY1" t="e">
        <f>+SUMIF([1]Cartera!$R:$R,$A1&amp;"_"&amp;LY$11,[1]Cartera!$J:$J)+SUMIF([1]Futuros!$AD:$AD,$A1&amp;"_"&amp;LY$11,[1]Futuros!$AK:$AK)+SUMIF([1]Opciones!$AF:$AF,$A1&amp;"_"&amp;LY$11,[1]Opciones!$AO:$AO)</f>
        <v>#VALUE!</v>
      </c>
      <c r="LZ1" t="e">
        <f>+SUMIF([1]Cartera!$R:$R,$A1&amp;"_"&amp;LZ$11,[1]Cartera!$J:$J)+SUMIF([1]Futuros!$AD:$AD,$A1&amp;"_"&amp;LZ$11,[1]Futuros!$AK:$AK)+SUMIF([1]Opciones!$AF:$AF,$A1&amp;"_"&amp;LZ$11,[1]Opciones!$AO:$AO)</f>
        <v>#VALUE!</v>
      </c>
      <c r="MA1" t="e">
        <f>+SUMIF([1]Cartera!$R:$R,$A1&amp;"_"&amp;MA$11,[1]Cartera!$J:$J)+SUMIF([1]Futuros!$AD:$AD,$A1&amp;"_"&amp;MA$11,[1]Futuros!$AK:$AK)+SUMIF([1]Opciones!$AF:$AF,$A1&amp;"_"&amp;MA$11,[1]Opciones!$AO:$AO)</f>
        <v>#VALUE!</v>
      </c>
      <c r="MB1" t="e">
        <f>+SUMIF([1]Cartera!$R:$R,$A1&amp;"_"&amp;MB$11,[1]Cartera!$J:$J)+SUMIF([1]Futuros!$AD:$AD,$A1&amp;"_"&amp;MB$11,[1]Futuros!$AK:$AK)+SUMIF([1]Opciones!$AF:$AF,$A1&amp;"_"&amp;MB$11,[1]Opciones!$AO:$AO)</f>
        <v>#VALUE!</v>
      </c>
      <c r="MC1" t="e">
        <f>+SUMIF([1]Cartera!$R:$R,$A1&amp;"_"&amp;MC$11,[1]Cartera!$J:$J)+SUMIF([1]Futuros!$AD:$AD,$A1&amp;"_"&amp;MC$11,[1]Futuros!$AK:$AK)+SUMIF([1]Opciones!$AF:$AF,$A1&amp;"_"&amp;MC$11,[1]Opciones!$AO:$AO)</f>
        <v>#VALUE!</v>
      </c>
      <c r="MD1" t="e">
        <f>+SUMIF([1]Cartera!$R:$R,$A1&amp;"_"&amp;MD$11,[1]Cartera!$J:$J)+SUMIF([1]Futuros!$AD:$AD,$A1&amp;"_"&amp;MD$11,[1]Futuros!$AK:$AK)+SUMIF([1]Opciones!$AF:$AF,$A1&amp;"_"&amp;MD$11,[1]Opciones!$AO:$AO)</f>
        <v>#VALUE!</v>
      </c>
      <c r="ME1" t="e">
        <f>+SUMIF([1]Cartera!$R:$R,$A1&amp;"_"&amp;ME$11,[1]Cartera!$J:$J)+SUMIF([1]Futuros!$AD:$AD,$A1&amp;"_"&amp;ME$11,[1]Futuros!$AK:$AK)+SUMIF([1]Opciones!$AF:$AF,$A1&amp;"_"&amp;ME$11,[1]Opciones!$AO:$AO)</f>
        <v>#VALUE!</v>
      </c>
      <c r="MF1" t="e">
        <f>+SUMIF([1]Cartera!$R:$R,$A1&amp;"_"&amp;MF$11,[1]Cartera!$J:$J)+SUMIF([1]Futuros!$AD:$AD,$A1&amp;"_"&amp;MF$11,[1]Futuros!$AK:$AK)+SUMIF([1]Opciones!$AF:$AF,$A1&amp;"_"&amp;MF$11,[1]Opciones!$AO:$AO)</f>
        <v>#VALUE!</v>
      </c>
      <c r="MG1" t="e">
        <f>+SUMIF([1]Cartera!$R:$R,$A1&amp;"_"&amp;MG$11,[1]Cartera!$J:$J)+SUMIF([1]Futuros!$AD:$AD,$A1&amp;"_"&amp;MG$11,[1]Futuros!$AK:$AK)+SUMIF([1]Opciones!$AF:$AF,$A1&amp;"_"&amp;MG$11,[1]Opciones!$AO:$AO)</f>
        <v>#VALUE!</v>
      </c>
      <c r="MH1" t="e">
        <f>+SUMIF([1]Cartera!$R:$R,$A1&amp;"_"&amp;MH$11,[1]Cartera!$J:$J)+SUMIF([1]Futuros!$AD:$AD,$A1&amp;"_"&amp;MH$11,[1]Futuros!$AK:$AK)+SUMIF([1]Opciones!$AF:$AF,$A1&amp;"_"&amp;MH$11,[1]Opciones!$AO:$AO)</f>
        <v>#VALUE!</v>
      </c>
      <c r="MI1" t="e">
        <f>+SUMIF([1]Cartera!$R:$R,$A1&amp;"_"&amp;MI$11,[1]Cartera!$J:$J)+SUMIF([1]Futuros!$AD:$AD,$A1&amp;"_"&amp;MI$11,[1]Futuros!$AK:$AK)+SUMIF([1]Opciones!$AF:$AF,$A1&amp;"_"&amp;MI$11,[1]Opciones!$AO:$AO)</f>
        <v>#VALUE!</v>
      </c>
      <c r="MJ1" t="e">
        <f>+SUMIF([1]Cartera!$R:$R,$A1&amp;"_"&amp;MJ$11,[1]Cartera!$J:$J)+SUMIF([1]Futuros!$AD:$AD,$A1&amp;"_"&amp;MJ$11,[1]Futuros!$AK:$AK)+SUMIF([1]Opciones!$AF:$AF,$A1&amp;"_"&amp;MJ$11,[1]Opciones!$AO:$AO)</f>
        <v>#VALUE!</v>
      </c>
      <c r="MK1" t="e">
        <f>+SUMIF([1]Cartera!$R:$R,$A1&amp;"_"&amp;MK$11,[1]Cartera!$J:$J)+SUMIF([1]Futuros!$AD:$AD,$A1&amp;"_"&amp;MK$11,[1]Futuros!$AK:$AK)+SUMIF([1]Opciones!$AF:$AF,$A1&amp;"_"&amp;MK$11,[1]Opciones!$AO:$AO)</f>
        <v>#VALUE!</v>
      </c>
      <c r="ML1" t="e">
        <f>+SUMIF([1]Cartera!$R:$R,$A1&amp;"_"&amp;ML$11,[1]Cartera!$J:$J)+SUMIF([1]Futuros!$AD:$AD,$A1&amp;"_"&amp;ML$11,[1]Futuros!$AK:$AK)+SUMIF([1]Opciones!$AF:$AF,$A1&amp;"_"&amp;ML$11,[1]Opciones!$AO:$AO)</f>
        <v>#VALUE!</v>
      </c>
      <c r="MM1" t="e">
        <f>+SUMIF([1]Cartera!$R:$R,$A1&amp;"_"&amp;MM$11,[1]Cartera!$J:$J)+SUMIF([1]Futuros!$AD:$AD,$A1&amp;"_"&amp;MM$11,[1]Futuros!$AK:$AK)+SUMIF([1]Opciones!$AF:$AF,$A1&amp;"_"&amp;MM$11,[1]Opciones!$AO:$AO)</f>
        <v>#VALUE!</v>
      </c>
      <c r="MN1" t="e">
        <f>+SUMIF([1]Cartera!$R:$R,$A1&amp;"_"&amp;MN$11,[1]Cartera!$J:$J)+SUMIF([1]Futuros!$AD:$AD,$A1&amp;"_"&amp;MN$11,[1]Futuros!$AK:$AK)+SUMIF([1]Opciones!$AF:$AF,$A1&amp;"_"&amp;MN$11,[1]Opciones!$AO:$AO)</f>
        <v>#VALUE!</v>
      </c>
      <c r="MO1" t="e">
        <f>+SUMIF([1]Cartera!$R:$R,$A1&amp;"_"&amp;MO$11,[1]Cartera!$J:$J)+SUMIF([1]Futuros!$AD:$AD,$A1&amp;"_"&amp;MO$11,[1]Futuros!$AK:$AK)+SUMIF([1]Opciones!$AF:$AF,$A1&amp;"_"&amp;MO$11,[1]Opciones!$AO:$AO)</f>
        <v>#VALUE!</v>
      </c>
      <c r="MP1" t="e">
        <f>+SUMIF([1]Cartera!$R:$R,$A1&amp;"_"&amp;MP$11,[1]Cartera!$J:$J)+SUMIF([1]Futuros!$AD:$AD,$A1&amp;"_"&amp;MP$11,[1]Futuros!$AK:$AK)+SUMIF([1]Opciones!$AF:$AF,$A1&amp;"_"&amp;MP$11,[1]Opciones!$AO:$AO)</f>
        <v>#VALUE!</v>
      </c>
      <c r="MQ1" t="e">
        <f>+SUMIF([1]Cartera!$R:$R,$A1&amp;"_"&amp;MQ$11,[1]Cartera!$J:$J)+SUMIF([1]Futuros!$AD:$AD,$A1&amp;"_"&amp;MQ$11,[1]Futuros!$AK:$AK)+SUMIF([1]Opciones!$AF:$AF,$A1&amp;"_"&amp;MQ$11,[1]Opciones!$AO:$AO)</f>
        <v>#VALUE!</v>
      </c>
      <c r="MR1" t="e">
        <f>+SUMIF([1]Cartera!$R:$R,$A1&amp;"_"&amp;MR$11,[1]Cartera!$J:$J)+SUMIF([1]Futuros!$AD:$AD,$A1&amp;"_"&amp;MR$11,[1]Futuros!$AK:$AK)+SUMIF([1]Opciones!$AF:$AF,$A1&amp;"_"&amp;MR$11,[1]Opciones!$AO:$AO)</f>
        <v>#VALUE!</v>
      </c>
      <c r="MS1" t="e">
        <f>+SUMIF([1]Cartera!$R:$R,$A1&amp;"_"&amp;MS$11,[1]Cartera!$J:$J)+SUMIF([1]Futuros!$AD:$AD,$A1&amp;"_"&amp;MS$11,[1]Futuros!$AK:$AK)+SUMIF([1]Opciones!$AF:$AF,$A1&amp;"_"&amp;MS$11,[1]Opciones!$AO:$AO)</f>
        <v>#VALUE!</v>
      </c>
      <c r="MT1" t="e">
        <f>+SUMIF([1]Cartera!$R:$R,$A1&amp;"_"&amp;MT$11,[1]Cartera!$J:$J)+SUMIF([1]Futuros!$AD:$AD,$A1&amp;"_"&amp;MT$11,[1]Futuros!$AK:$AK)+SUMIF([1]Opciones!$AF:$AF,$A1&amp;"_"&amp;MT$11,[1]Opciones!$AO:$AO)</f>
        <v>#VALUE!</v>
      </c>
      <c r="MU1" t="e">
        <f>+SUMIF([1]Cartera!$R:$R,$A1&amp;"_"&amp;MU$11,[1]Cartera!$J:$J)+SUMIF([1]Futuros!$AD:$AD,$A1&amp;"_"&amp;MU$11,[1]Futuros!$AK:$AK)+SUMIF([1]Opciones!$AF:$AF,$A1&amp;"_"&amp;MU$11,[1]Opciones!$AO:$AO)</f>
        <v>#VALUE!</v>
      </c>
      <c r="MV1" t="e">
        <f>+SUMIF([1]Cartera!$R:$R,$A1&amp;"_"&amp;MV$11,[1]Cartera!$J:$J)+SUMIF([1]Futuros!$AD:$AD,$A1&amp;"_"&amp;MV$11,[1]Futuros!$AK:$AK)+SUMIF([1]Opciones!$AF:$AF,$A1&amp;"_"&amp;MV$11,[1]Opciones!$AO:$AO)</f>
        <v>#VALUE!</v>
      </c>
      <c r="MW1" t="e">
        <f>+SUMIF([1]Cartera!$R:$R,$A1&amp;"_"&amp;MW$11,[1]Cartera!$J:$J)+SUMIF([1]Futuros!$AD:$AD,$A1&amp;"_"&amp;MW$11,[1]Futuros!$AK:$AK)+SUMIF([1]Opciones!$AF:$AF,$A1&amp;"_"&amp;MW$11,[1]Opciones!$AO:$AO)</f>
        <v>#VALUE!</v>
      </c>
      <c r="MX1" t="e">
        <f>+SUMIF([1]Cartera!$R:$R,$A1&amp;"_"&amp;MX$11,[1]Cartera!$J:$J)+SUMIF([1]Futuros!$AD:$AD,$A1&amp;"_"&amp;MX$11,[1]Futuros!$AK:$AK)+SUMIF([1]Opciones!$AF:$AF,$A1&amp;"_"&amp;MX$11,[1]Opciones!$AO:$AO)</f>
        <v>#VALUE!</v>
      </c>
      <c r="MY1" t="e">
        <f>+SUMIF([1]Cartera!$R:$R,$A1&amp;"_"&amp;MY$11,[1]Cartera!$J:$J)+SUMIF([1]Futuros!$AD:$AD,$A1&amp;"_"&amp;MY$11,[1]Futuros!$AK:$AK)+SUMIF([1]Opciones!$AF:$AF,$A1&amp;"_"&amp;MY$11,[1]Opciones!$AO:$AO)</f>
        <v>#VALUE!</v>
      </c>
      <c r="MZ1" t="e">
        <f>+SUMIF([1]Cartera!$R:$R,$A1&amp;"_"&amp;MZ$11,[1]Cartera!$J:$J)+SUMIF([1]Futuros!$AD:$AD,$A1&amp;"_"&amp;MZ$11,[1]Futuros!$AK:$AK)+SUMIF([1]Opciones!$AF:$AF,$A1&amp;"_"&amp;MZ$11,[1]Opciones!$AO:$AO)</f>
        <v>#VALUE!</v>
      </c>
      <c r="NA1" t="e">
        <f>+SUMIF([1]Cartera!$R:$R,$A1&amp;"_"&amp;NA$11,[1]Cartera!$J:$J)+SUMIF([1]Futuros!$AD:$AD,$A1&amp;"_"&amp;NA$11,[1]Futuros!$AK:$AK)+SUMIF([1]Opciones!$AF:$AF,$A1&amp;"_"&amp;NA$11,[1]Opciones!$AO:$AO)</f>
        <v>#VALUE!</v>
      </c>
      <c r="NB1" t="e">
        <f>+SUMIF([1]Cartera!$R:$R,$A1&amp;"_"&amp;NB$11,[1]Cartera!$J:$J)+SUMIF([1]Futuros!$AD:$AD,$A1&amp;"_"&amp;NB$11,[1]Futuros!$AK:$AK)+SUMIF([1]Opciones!$AF:$AF,$A1&amp;"_"&amp;NB$11,[1]Opciones!$AO:$AO)</f>
        <v>#VALUE!</v>
      </c>
      <c r="NC1" t="e">
        <f>+SUMIF([1]Cartera!$R:$R,$A1&amp;"_"&amp;NC$11,[1]Cartera!$J:$J)+SUMIF([1]Futuros!$AD:$AD,$A1&amp;"_"&amp;NC$11,[1]Futuros!$AK:$AK)+SUMIF([1]Opciones!$AF:$AF,$A1&amp;"_"&amp;NC$11,[1]Opciones!$AO:$AO)</f>
        <v>#VALUE!</v>
      </c>
      <c r="ND1" t="e">
        <f>+SUMIF([1]Cartera!$R:$R,$A1&amp;"_"&amp;ND$11,[1]Cartera!$J:$J)+SUMIF([1]Futuros!$AD:$AD,$A1&amp;"_"&amp;ND$11,[1]Futuros!$AK:$AK)+SUMIF([1]Opciones!$AF:$AF,$A1&amp;"_"&amp;ND$11,[1]Opciones!$AO:$AO)</f>
        <v>#VALUE!</v>
      </c>
      <c r="NE1" t="e">
        <f>+SUMIF([1]Cartera!$R:$R,$A1&amp;"_"&amp;NE$11,[1]Cartera!$J:$J)+SUMIF([1]Futuros!$AD:$AD,$A1&amp;"_"&amp;NE$11,[1]Futuros!$AK:$AK)+SUMIF([1]Opciones!$AF:$AF,$A1&amp;"_"&amp;NE$11,[1]Opciones!$AO:$AO)</f>
        <v>#VALUE!</v>
      </c>
      <c r="NF1" t="e">
        <f>+SUMIF([1]Cartera!$R:$R,$A1&amp;"_"&amp;NF$11,[1]Cartera!$J:$J)+SUMIF([1]Futuros!$AD:$AD,$A1&amp;"_"&amp;NF$11,[1]Futuros!$AK:$AK)+SUMIF([1]Opciones!$AF:$AF,$A1&amp;"_"&amp;NF$11,[1]Opciones!$AO:$AO)</f>
        <v>#VALUE!</v>
      </c>
      <c r="NG1" t="e">
        <f>+SUMIF([1]Cartera!$R:$R,$A1&amp;"_"&amp;NG$11,[1]Cartera!$J:$J)+SUMIF([1]Futuros!$AD:$AD,$A1&amp;"_"&amp;NG$11,[1]Futuros!$AK:$AK)+SUMIF([1]Opciones!$AF:$AF,$A1&amp;"_"&amp;NG$11,[1]Opciones!$AO:$AO)</f>
        <v>#VALUE!</v>
      </c>
      <c r="NH1" t="e">
        <f>+SUMIF([1]Cartera!$R:$R,$A1&amp;"_"&amp;NH$11,[1]Cartera!$J:$J)+SUMIF([1]Futuros!$AD:$AD,$A1&amp;"_"&amp;NH$11,[1]Futuros!$AK:$AK)+SUMIF([1]Opciones!$AF:$AF,$A1&amp;"_"&amp;NH$11,[1]Opciones!$AO:$AO)</f>
        <v>#VALUE!</v>
      </c>
      <c r="NI1" t="e">
        <f>+SUMIF([1]Cartera!$R:$R,$A1&amp;"_"&amp;NI$11,[1]Cartera!$J:$J)+SUMIF([1]Futuros!$AD:$AD,$A1&amp;"_"&amp;NI$11,[1]Futuros!$AK:$AK)+SUMIF([1]Opciones!$AF:$AF,$A1&amp;"_"&amp;NI$11,[1]Opciones!$AO:$AO)</f>
        <v>#VALUE!</v>
      </c>
      <c r="NJ1" t="e">
        <f>+SUMIF([1]Cartera!$R:$R,$A1&amp;"_"&amp;NJ$11,[1]Cartera!$J:$J)+SUMIF([1]Futuros!$AD:$AD,$A1&amp;"_"&amp;NJ$11,[1]Futuros!$AK:$AK)+SUMIF([1]Opciones!$AF:$AF,$A1&amp;"_"&amp;NJ$11,[1]Opciones!$AO:$AO)</f>
        <v>#VALUE!</v>
      </c>
      <c r="NK1" t="e">
        <f>+SUMIF([1]Cartera!$R:$R,$A1&amp;"_"&amp;NK$11,[1]Cartera!$J:$J)+SUMIF([1]Futuros!$AD:$AD,$A1&amp;"_"&amp;NK$11,[1]Futuros!$AK:$AK)+SUMIF([1]Opciones!$AF:$AF,$A1&amp;"_"&amp;NK$11,[1]Opciones!$AO:$AO)</f>
        <v>#VALUE!</v>
      </c>
      <c r="NL1" t="e">
        <f>+SUMIF([1]Cartera!$R:$R,$A1&amp;"_"&amp;NL$11,[1]Cartera!$J:$J)+SUMIF([1]Futuros!$AD:$AD,$A1&amp;"_"&amp;NL$11,[1]Futuros!$AK:$AK)+SUMIF([1]Opciones!$AF:$AF,$A1&amp;"_"&amp;NL$11,[1]Opciones!$AO:$AO)</f>
        <v>#VALUE!</v>
      </c>
      <c r="NM1" t="e">
        <f>+SUMIF([1]Cartera!$R:$R,$A1&amp;"_"&amp;NM$11,[1]Cartera!$J:$J)+SUMIF([1]Futuros!$AD:$AD,$A1&amp;"_"&amp;NM$11,[1]Futuros!$AK:$AK)+SUMIF([1]Opciones!$AF:$AF,$A1&amp;"_"&amp;NM$11,[1]Opciones!$AO:$AO)</f>
        <v>#VALUE!</v>
      </c>
      <c r="NN1" t="e">
        <f>+SUMIF([1]Cartera!$R:$R,$A1&amp;"_"&amp;NN$11,[1]Cartera!$J:$J)+SUMIF([1]Futuros!$AD:$AD,$A1&amp;"_"&amp;NN$11,[1]Futuros!$AK:$AK)+SUMIF([1]Opciones!$AF:$AF,$A1&amp;"_"&amp;NN$11,[1]Opciones!$AO:$AO)</f>
        <v>#VALUE!</v>
      </c>
      <c r="NO1" t="e">
        <f>+SUMIF([1]Cartera!$R:$R,$A1&amp;"_"&amp;NO$11,[1]Cartera!$J:$J)+SUMIF([1]Futuros!$AD:$AD,$A1&amp;"_"&amp;NO$11,[1]Futuros!$AK:$AK)+SUMIF([1]Opciones!$AF:$AF,$A1&amp;"_"&amp;NO$11,[1]Opciones!$AO:$AO)</f>
        <v>#VALUE!</v>
      </c>
      <c r="NP1" t="e">
        <f>+SUMIF([1]Cartera!$R:$R,$A1&amp;"_"&amp;NP$11,[1]Cartera!$J:$J)+SUMIF([1]Futuros!$AD:$AD,$A1&amp;"_"&amp;NP$11,[1]Futuros!$AK:$AK)+SUMIF([1]Opciones!$AF:$AF,$A1&amp;"_"&amp;NP$11,[1]Opciones!$AO:$AO)</f>
        <v>#VALUE!</v>
      </c>
      <c r="NQ1" t="e">
        <f>+SUMIF([1]Cartera!$R:$R,$A1&amp;"_"&amp;NQ$11,[1]Cartera!$J:$J)+SUMIF([1]Futuros!$AD:$AD,$A1&amp;"_"&amp;NQ$11,[1]Futuros!$AK:$AK)+SUMIF([1]Opciones!$AF:$AF,$A1&amp;"_"&amp;NQ$11,[1]Opciones!$AO:$AO)</f>
        <v>#VALUE!</v>
      </c>
      <c r="NR1" t="e">
        <f>+SUMIF([1]Cartera!$R:$R,$A1&amp;"_"&amp;NR$11,[1]Cartera!$J:$J)+SUMIF([1]Futuros!$AD:$AD,$A1&amp;"_"&amp;NR$11,[1]Futuros!$AK:$AK)+SUMIF([1]Opciones!$AF:$AF,$A1&amp;"_"&amp;NR$11,[1]Opciones!$AO:$AO)</f>
        <v>#VALUE!</v>
      </c>
      <c r="NS1" t="e">
        <f>+SUMIF([1]Cartera!$R:$R,$A1&amp;"_"&amp;NS$11,[1]Cartera!$J:$J)+SUMIF([1]Futuros!$AD:$AD,$A1&amp;"_"&amp;NS$11,[1]Futuros!$AK:$AK)+SUMIF([1]Opciones!$AF:$AF,$A1&amp;"_"&amp;NS$11,[1]Opciones!$AO:$AO)</f>
        <v>#VALUE!</v>
      </c>
      <c r="NT1" t="e">
        <f>+SUMIF([1]Cartera!$R:$R,$A1&amp;"_"&amp;NT$11,[1]Cartera!$J:$J)+SUMIF([1]Futuros!$AD:$AD,$A1&amp;"_"&amp;NT$11,[1]Futuros!$AK:$AK)+SUMIF([1]Opciones!$AF:$AF,$A1&amp;"_"&amp;NT$11,[1]Opciones!$AO:$AO)</f>
        <v>#VALUE!</v>
      </c>
      <c r="NU1" t="e">
        <f>+SUMIF([1]Cartera!$R:$R,$A1&amp;"_"&amp;NU$11,[1]Cartera!$J:$J)+SUMIF([1]Futuros!$AD:$AD,$A1&amp;"_"&amp;NU$11,[1]Futuros!$AK:$AK)+SUMIF([1]Opciones!$AF:$AF,$A1&amp;"_"&amp;NU$11,[1]Opciones!$AO:$AO)</f>
        <v>#VALUE!</v>
      </c>
      <c r="NV1" t="e">
        <f>+SUMIF([1]Cartera!$R:$R,$A1&amp;"_"&amp;NV$11,[1]Cartera!$J:$J)+SUMIF([1]Futuros!$AD:$AD,$A1&amp;"_"&amp;NV$11,[1]Futuros!$AK:$AK)+SUMIF([1]Opciones!$AF:$AF,$A1&amp;"_"&amp;NV$11,[1]Opciones!$AO:$AO)</f>
        <v>#VALUE!</v>
      </c>
      <c r="NW1" t="e">
        <f>+SUMIF([1]Cartera!$R:$R,$A1&amp;"_"&amp;NW$11,[1]Cartera!$J:$J)+SUMIF([1]Futuros!$AD:$AD,$A1&amp;"_"&amp;NW$11,[1]Futuros!$AK:$AK)+SUMIF([1]Opciones!$AF:$AF,$A1&amp;"_"&amp;NW$11,[1]Opciones!$AO:$AO)</f>
        <v>#VALUE!</v>
      </c>
      <c r="NX1" t="e">
        <f>+SUMIF([1]Cartera!$R:$R,$A1&amp;"_"&amp;NX$11,[1]Cartera!$J:$J)+SUMIF([1]Futuros!$AD:$AD,$A1&amp;"_"&amp;NX$11,[1]Futuros!$AK:$AK)+SUMIF([1]Opciones!$AF:$AF,$A1&amp;"_"&amp;NX$11,[1]Opciones!$AO:$AO)</f>
        <v>#VALUE!</v>
      </c>
      <c r="NY1" t="e">
        <f>+SUMIF([1]Cartera!$R:$R,$A1&amp;"_"&amp;NY$11,[1]Cartera!$J:$J)+SUMIF([1]Futuros!$AD:$AD,$A1&amp;"_"&amp;NY$11,[1]Futuros!$AK:$AK)+SUMIF([1]Opciones!$AF:$AF,$A1&amp;"_"&amp;NY$11,[1]Opciones!$AO:$AO)</f>
        <v>#VALUE!</v>
      </c>
      <c r="NZ1" t="e">
        <f>+SUMIF([1]Cartera!$R:$R,$A1&amp;"_"&amp;NZ$11,[1]Cartera!$J:$J)+SUMIF([1]Futuros!$AD:$AD,$A1&amp;"_"&amp;NZ$11,[1]Futuros!$AK:$AK)+SUMIF([1]Opciones!$AF:$AF,$A1&amp;"_"&amp;NZ$11,[1]Opciones!$AO:$AO)</f>
        <v>#VALUE!</v>
      </c>
      <c r="OA1" t="e">
        <f>+SUMIF([1]Cartera!$R:$R,$A1&amp;"_"&amp;OA$11,[1]Cartera!$J:$J)+SUMIF([1]Futuros!$AD:$AD,$A1&amp;"_"&amp;OA$11,[1]Futuros!$AK:$AK)+SUMIF([1]Opciones!$AF:$AF,$A1&amp;"_"&amp;OA$11,[1]Opciones!$AO:$AO)</f>
        <v>#VALUE!</v>
      </c>
      <c r="OB1" t="e">
        <f>+SUMIF([1]Cartera!$R:$R,$A1&amp;"_"&amp;OB$11,[1]Cartera!$J:$J)+SUMIF([1]Futuros!$AD:$AD,$A1&amp;"_"&amp;OB$11,[1]Futuros!$AK:$AK)+SUMIF([1]Opciones!$AF:$AF,$A1&amp;"_"&amp;OB$11,[1]Opciones!$AO:$AO)</f>
        <v>#VALUE!</v>
      </c>
      <c r="OC1" t="e">
        <f>+SUMIF([1]Cartera!$R:$R,$A1&amp;"_"&amp;OC$11,[1]Cartera!$J:$J)+SUMIF([1]Futuros!$AD:$AD,$A1&amp;"_"&amp;OC$11,[1]Futuros!$AK:$AK)+SUMIF([1]Opciones!$AF:$AF,$A1&amp;"_"&amp;OC$11,[1]Opciones!$AO:$AO)</f>
        <v>#VALUE!</v>
      </c>
      <c r="OD1" t="e">
        <f>+SUMIF([1]Cartera!$R:$R,$A1&amp;"_"&amp;OD$11,[1]Cartera!$J:$J)+SUMIF([1]Futuros!$AD:$AD,$A1&amp;"_"&amp;OD$11,[1]Futuros!$AK:$AK)+SUMIF([1]Opciones!$AF:$AF,$A1&amp;"_"&amp;OD$11,[1]Opciones!$AO:$AO)</f>
        <v>#VALUE!</v>
      </c>
      <c r="OE1" t="e">
        <f>+SUMIF([1]Cartera!$R:$R,$A1&amp;"_"&amp;OE$11,[1]Cartera!$J:$J)+SUMIF([1]Futuros!$AD:$AD,$A1&amp;"_"&amp;OE$11,[1]Futuros!$AK:$AK)+SUMIF([1]Opciones!$AF:$AF,$A1&amp;"_"&amp;OE$11,[1]Opciones!$AO:$AO)</f>
        <v>#VALUE!</v>
      </c>
      <c r="OF1" t="e">
        <f>+SUMIF([1]Cartera!$R:$R,$A1&amp;"_"&amp;OF$11,[1]Cartera!$J:$J)+SUMIF([1]Futuros!$AD:$AD,$A1&amp;"_"&amp;OF$11,[1]Futuros!$AK:$AK)+SUMIF([1]Opciones!$AF:$AF,$A1&amp;"_"&amp;OF$11,[1]Opciones!$AO:$AO)</f>
        <v>#VALUE!</v>
      </c>
      <c r="OG1" t="e">
        <f>+SUMIF([1]Cartera!$R:$R,$A1&amp;"_"&amp;OG$11,[1]Cartera!$J:$J)+SUMIF([1]Futuros!$AD:$AD,$A1&amp;"_"&amp;OG$11,[1]Futuros!$AK:$AK)+SUMIF([1]Opciones!$AF:$AF,$A1&amp;"_"&amp;OG$11,[1]Opciones!$AO:$AO)</f>
        <v>#VALUE!</v>
      </c>
      <c r="OH1" t="e">
        <f>+SUMIF([1]Cartera!$R:$R,$A1&amp;"_"&amp;OH$11,[1]Cartera!$J:$J)+SUMIF([1]Futuros!$AD:$AD,$A1&amp;"_"&amp;OH$11,[1]Futuros!$AK:$AK)+SUMIF([1]Opciones!$AF:$AF,$A1&amp;"_"&amp;OH$11,[1]Opciones!$AO:$AO)</f>
        <v>#VALUE!</v>
      </c>
      <c r="OI1" t="e">
        <f>+SUMIF([1]Cartera!$R:$R,$A1&amp;"_"&amp;OI$11,[1]Cartera!$J:$J)+SUMIF([1]Futuros!$AD:$AD,$A1&amp;"_"&amp;OI$11,[1]Futuros!$AK:$AK)+SUMIF([1]Opciones!$AF:$AF,$A1&amp;"_"&amp;OI$11,[1]Opciones!$AO:$AO)</f>
        <v>#VALUE!</v>
      </c>
      <c r="OJ1" t="e">
        <f>+SUMIF([1]Cartera!$R:$R,$A1&amp;"_"&amp;OJ$11,[1]Cartera!$J:$J)+SUMIF([1]Futuros!$AD:$AD,$A1&amp;"_"&amp;OJ$11,[1]Futuros!$AK:$AK)+SUMIF([1]Opciones!$AF:$AF,$A1&amp;"_"&amp;OJ$11,[1]Opciones!$AO:$AO)</f>
        <v>#VALUE!</v>
      </c>
      <c r="OK1" t="e">
        <f>+SUMIF([1]Cartera!$R:$R,$A1&amp;"_"&amp;OK$11,[1]Cartera!$J:$J)+SUMIF([1]Futuros!$AD:$AD,$A1&amp;"_"&amp;OK$11,[1]Futuros!$AK:$AK)+SUMIF([1]Opciones!$AF:$AF,$A1&amp;"_"&amp;OK$11,[1]Opciones!$AO:$AO)</f>
        <v>#VALUE!</v>
      </c>
      <c r="OL1" t="e">
        <f>+SUMIF([1]Cartera!$R:$R,$A1&amp;"_"&amp;OL$11,[1]Cartera!$J:$J)+SUMIF([1]Futuros!$AD:$AD,$A1&amp;"_"&amp;OL$11,[1]Futuros!$AK:$AK)+SUMIF([1]Opciones!$AF:$AF,$A1&amp;"_"&amp;OL$11,[1]Opciones!$AO:$AO)</f>
        <v>#VALUE!</v>
      </c>
      <c r="OM1" t="e">
        <f>+SUMIF([1]Cartera!$R:$R,$A1&amp;"_"&amp;OM$11,[1]Cartera!$J:$J)+SUMIF([1]Futuros!$AD:$AD,$A1&amp;"_"&amp;OM$11,[1]Futuros!$AK:$AK)+SUMIF([1]Opciones!$AF:$AF,$A1&amp;"_"&amp;OM$11,[1]Opciones!$AO:$AO)</f>
        <v>#VALUE!</v>
      </c>
      <c r="ON1" t="e">
        <f>+SUMIF([1]Cartera!$R:$R,$A1&amp;"_"&amp;ON$11,[1]Cartera!$J:$J)+SUMIF([1]Futuros!$AD:$AD,$A1&amp;"_"&amp;ON$11,[1]Futuros!$AK:$AK)+SUMIF([1]Opciones!$AF:$AF,$A1&amp;"_"&amp;ON$11,[1]Opciones!$AO:$AO)</f>
        <v>#VALUE!</v>
      </c>
      <c r="OO1" t="e">
        <f>+SUMIF([1]Cartera!$R:$R,$A1&amp;"_"&amp;OO$11,[1]Cartera!$J:$J)+SUMIF([1]Futuros!$AD:$AD,$A1&amp;"_"&amp;OO$11,[1]Futuros!$AK:$AK)+SUMIF([1]Opciones!$AF:$AF,$A1&amp;"_"&amp;OO$11,[1]Opciones!$AO:$AO)</f>
        <v>#VALUE!</v>
      </c>
      <c r="OP1" t="e">
        <f>+SUMIF([1]Cartera!$R:$R,$A1&amp;"_"&amp;OP$11,[1]Cartera!$J:$J)+SUMIF([1]Futuros!$AD:$AD,$A1&amp;"_"&amp;OP$11,[1]Futuros!$AK:$AK)+SUMIF([1]Opciones!$AF:$AF,$A1&amp;"_"&amp;OP$11,[1]Opciones!$AO:$AO)</f>
        <v>#VALUE!</v>
      </c>
      <c r="OQ1" t="e">
        <f>+SUMIF([1]Cartera!$R:$R,$A1&amp;"_"&amp;OQ$11,[1]Cartera!$J:$J)+SUMIF([1]Futuros!$AD:$AD,$A1&amp;"_"&amp;OQ$11,[1]Futuros!$AK:$AK)+SUMIF([1]Opciones!$AF:$AF,$A1&amp;"_"&amp;OQ$11,[1]Opciones!$AO:$AO)</f>
        <v>#VALUE!</v>
      </c>
      <c r="OR1" t="e">
        <f>+SUMIF([1]Cartera!$R:$R,$A1&amp;"_"&amp;OR$11,[1]Cartera!$J:$J)+SUMIF([1]Futuros!$AD:$AD,$A1&amp;"_"&amp;OR$11,[1]Futuros!$AK:$AK)+SUMIF([1]Opciones!$AF:$AF,$A1&amp;"_"&amp;OR$11,[1]Opciones!$AO:$AO)</f>
        <v>#VALUE!</v>
      </c>
      <c r="OS1" t="e">
        <f>+SUMIF([1]Cartera!$R:$R,$A1&amp;"_"&amp;OS$11,[1]Cartera!$J:$J)+SUMIF([1]Futuros!$AD:$AD,$A1&amp;"_"&amp;OS$11,[1]Futuros!$AK:$AK)+SUMIF([1]Opciones!$AF:$AF,$A1&amp;"_"&amp;OS$11,[1]Opciones!$AO:$AO)</f>
        <v>#VALUE!</v>
      </c>
      <c r="OT1" t="e">
        <f>+SUMIF([1]Cartera!$R:$R,$A1&amp;"_"&amp;OT$11,[1]Cartera!$J:$J)+SUMIF([1]Futuros!$AD:$AD,$A1&amp;"_"&amp;OT$11,[1]Futuros!$AK:$AK)+SUMIF([1]Opciones!$AF:$AF,$A1&amp;"_"&amp;OT$11,[1]Opciones!$AO:$AO)</f>
        <v>#VALUE!</v>
      </c>
      <c r="OU1" t="e">
        <f>+SUMIF([1]Cartera!$R:$R,$A1&amp;"_"&amp;OU$11,[1]Cartera!$J:$J)+SUMIF([1]Futuros!$AD:$AD,$A1&amp;"_"&amp;OU$11,[1]Futuros!$AK:$AK)+SUMIF([1]Opciones!$AF:$AF,$A1&amp;"_"&amp;OU$11,[1]Opciones!$AO:$AO)</f>
        <v>#VALUE!</v>
      </c>
      <c r="OV1" t="e">
        <f>+SUMIF([1]Cartera!$R:$R,$A1&amp;"_"&amp;OV$11,[1]Cartera!$J:$J)+SUMIF([1]Futuros!$AD:$AD,$A1&amp;"_"&amp;OV$11,[1]Futuros!$AK:$AK)+SUMIF([1]Opciones!$AF:$AF,$A1&amp;"_"&amp;OV$11,[1]Opciones!$AO:$AO)</f>
        <v>#VALUE!</v>
      </c>
      <c r="OW1" t="e">
        <f>+SUMIF([1]Cartera!$R:$R,$A1&amp;"_"&amp;OW$11,[1]Cartera!$J:$J)+SUMIF([1]Futuros!$AD:$AD,$A1&amp;"_"&amp;OW$11,[1]Futuros!$AK:$AK)+SUMIF([1]Opciones!$AF:$AF,$A1&amp;"_"&amp;OW$11,[1]Opciones!$AO:$AO)</f>
        <v>#VALUE!</v>
      </c>
      <c r="OX1" t="e">
        <f>+SUMIF([1]Cartera!$R:$R,$A1&amp;"_"&amp;OX$11,[1]Cartera!$J:$J)+SUMIF([1]Futuros!$AD:$AD,$A1&amp;"_"&amp;OX$11,[1]Futuros!$AK:$AK)+SUMIF([1]Opciones!$AF:$AF,$A1&amp;"_"&amp;OX$11,[1]Opciones!$AO:$AO)</f>
        <v>#VALUE!</v>
      </c>
      <c r="OY1" t="e">
        <f>+SUMIF([1]Cartera!$R:$R,$A1&amp;"_"&amp;OY$11,[1]Cartera!$J:$J)+SUMIF([1]Futuros!$AD:$AD,$A1&amp;"_"&amp;OY$11,[1]Futuros!$AK:$AK)+SUMIF([1]Opciones!$AF:$AF,$A1&amp;"_"&amp;OY$11,[1]Opciones!$AO:$AO)</f>
        <v>#VALUE!</v>
      </c>
      <c r="OZ1" t="e">
        <f>+SUMIF([1]Cartera!$R:$R,$A1&amp;"_"&amp;OZ$11,[1]Cartera!$J:$J)+SUMIF([1]Futuros!$AD:$AD,$A1&amp;"_"&amp;OZ$11,[1]Futuros!$AK:$AK)+SUMIF([1]Opciones!$AF:$AF,$A1&amp;"_"&amp;OZ$11,[1]Opciones!$AO:$AO)</f>
        <v>#VALUE!</v>
      </c>
      <c r="PA1" t="e">
        <f>+SUMIF([1]Cartera!$R:$R,$A1&amp;"_"&amp;PA$11,[1]Cartera!$J:$J)+SUMIF([1]Futuros!$AD:$AD,$A1&amp;"_"&amp;PA$11,[1]Futuros!$AK:$AK)+SUMIF([1]Opciones!$AF:$AF,$A1&amp;"_"&amp;PA$11,[1]Opciones!$AO:$AO)</f>
        <v>#VALUE!</v>
      </c>
      <c r="PB1" t="e">
        <f>+SUMIF([1]Cartera!$R:$R,$A1&amp;"_"&amp;PB$11,[1]Cartera!$J:$J)+SUMIF([1]Futuros!$AD:$AD,$A1&amp;"_"&amp;PB$11,[1]Futuros!$AK:$AK)+SUMIF([1]Opciones!$AF:$AF,$A1&amp;"_"&amp;PB$11,[1]Opciones!$AO:$AO)</f>
        <v>#VALUE!</v>
      </c>
      <c r="PC1" t="e">
        <f>+SUMIF([1]Cartera!$R:$R,$A1&amp;"_"&amp;PC$11,[1]Cartera!$J:$J)+SUMIF([1]Futuros!$AD:$AD,$A1&amp;"_"&amp;PC$11,[1]Futuros!$AK:$AK)+SUMIF([1]Opciones!$AF:$AF,$A1&amp;"_"&amp;PC$11,[1]Opciones!$AO:$AO)</f>
        <v>#VALUE!</v>
      </c>
      <c r="PD1" t="e">
        <f>+SUMIF([1]Cartera!$R:$R,$A1&amp;"_"&amp;PD$11,[1]Cartera!$J:$J)+SUMIF([1]Futuros!$AD:$AD,$A1&amp;"_"&amp;PD$11,[1]Futuros!$AK:$AK)+SUMIF([1]Opciones!$AF:$AF,$A1&amp;"_"&amp;PD$11,[1]Opciones!$AO:$AO)</f>
        <v>#VALUE!</v>
      </c>
      <c r="PE1" t="e">
        <f>+SUMIF([1]Cartera!$R:$R,$A1&amp;"_"&amp;PE$11,[1]Cartera!$J:$J)+SUMIF([1]Futuros!$AD:$AD,$A1&amp;"_"&amp;PE$11,[1]Futuros!$AK:$AK)+SUMIF([1]Opciones!$AF:$AF,$A1&amp;"_"&amp;PE$11,[1]Opciones!$AO:$AO)</f>
        <v>#VALUE!</v>
      </c>
      <c r="PF1" t="e">
        <f>+SUMIF([1]Cartera!$R:$R,$A1&amp;"_"&amp;PF$11,[1]Cartera!$J:$J)+SUMIF([1]Futuros!$AD:$AD,$A1&amp;"_"&amp;PF$11,[1]Futuros!$AK:$AK)+SUMIF([1]Opciones!$AF:$AF,$A1&amp;"_"&amp;PF$11,[1]Opciones!$AO:$AO)</f>
        <v>#VALUE!</v>
      </c>
      <c r="PG1" t="e">
        <f>+SUMIF([1]Cartera!$R:$R,$A1&amp;"_"&amp;PG$11,[1]Cartera!$J:$J)+SUMIF([1]Futuros!$AD:$AD,$A1&amp;"_"&amp;PG$11,[1]Futuros!$AK:$AK)+SUMIF([1]Opciones!$AF:$AF,$A1&amp;"_"&amp;PG$11,[1]Opciones!$AO:$AO)</f>
        <v>#VALUE!</v>
      </c>
      <c r="PH1" t="e">
        <f>+SUMIF([1]Cartera!$R:$R,$A1&amp;"_"&amp;PH$11,[1]Cartera!$J:$J)+SUMIF([1]Futuros!$AD:$AD,$A1&amp;"_"&amp;PH$11,[1]Futuros!$AK:$AK)+SUMIF([1]Opciones!$AF:$AF,$A1&amp;"_"&amp;PH$11,[1]Opciones!$AO:$AO)</f>
        <v>#VALUE!</v>
      </c>
      <c r="PI1" t="e">
        <f>+SUMIF([1]Cartera!$R:$R,$A1&amp;"_"&amp;PI$11,[1]Cartera!$J:$J)+SUMIF([1]Futuros!$AD:$AD,$A1&amp;"_"&amp;PI$11,[1]Futuros!$AK:$AK)+SUMIF([1]Opciones!$AF:$AF,$A1&amp;"_"&amp;PI$11,[1]Opciones!$AO:$AO)</f>
        <v>#VALUE!</v>
      </c>
      <c r="PJ1" t="e">
        <f>+SUMIF([1]Cartera!$R:$R,$A1&amp;"_"&amp;PJ$11,[1]Cartera!$J:$J)+SUMIF([1]Futuros!$AD:$AD,$A1&amp;"_"&amp;PJ$11,[1]Futuros!$AK:$AK)+SUMIF([1]Opciones!$AF:$AF,$A1&amp;"_"&amp;PJ$11,[1]Opciones!$AO:$AO)</f>
        <v>#VALUE!</v>
      </c>
      <c r="PK1" t="e">
        <f>+SUMIF([1]Cartera!$R:$R,$A1&amp;"_"&amp;PK$11,[1]Cartera!$J:$J)+SUMIF([1]Futuros!$AD:$AD,$A1&amp;"_"&amp;PK$11,[1]Futuros!$AK:$AK)+SUMIF([1]Opciones!$AF:$AF,$A1&amp;"_"&amp;PK$11,[1]Opciones!$AO:$AO)</f>
        <v>#VALUE!</v>
      </c>
      <c r="PL1" t="e">
        <f>+SUMIF([1]Cartera!$R:$R,$A1&amp;"_"&amp;PL$11,[1]Cartera!$J:$J)+SUMIF([1]Futuros!$AD:$AD,$A1&amp;"_"&amp;PL$11,[1]Futuros!$AK:$AK)+SUMIF([1]Opciones!$AF:$AF,$A1&amp;"_"&amp;PL$11,[1]Opciones!$AO:$AO)</f>
        <v>#VALUE!</v>
      </c>
      <c r="PM1" t="e">
        <f>+SUMIF([1]Cartera!$R:$R,$A1&amp;"_"&amp;PM$11,[1]Cartera!$J:$J)+SUMIF([1]Futuros!$AD:$AD,$A1&amp;"_"&amp;PM$11,[1]Futuros!$AK:$AK)+SUMIF([1]Opciones!$AF:$AF,$A1&amp;"_"&amp;PM$11,[1]Opciones!$AO:$AO)</f>
        <v>#VALUE!</v>
      </c>
      <c r="PN1" t="e">
        <f>+SUMIF([1]Cartera!$R:$R,$A1&amp;"_"&amp;PN$11,[1]Cartera!$J:$J)+SUMIF([1]Futuros!$AD:$AD,$A1&amp;"_"&amp;PN$11,[1]Futuros!$AK:$AK)+SUMIF([1]Opciones!$AF:$AF,$A1&amp;"_"&amp;PN$11,[1]Opciones!$AO:$AO)</f>
        <v>#VALUE!</v>
      </c>
      <c r="PO1" t="e">
        <f>+SUMIF([1]Cartera!$R:$R,$A1&amp;"_"&amp;PO$11,[1]Cartera!$J:$J)+SUMIF([1]Futuros!$AD:$AD,$A1&amp;"_"&amp;PO$11,[1]Futuros!$AK:$AK)+SUMIF([1]Opciones!$AF:$AF,$A1&amp;"_"&amp;PO$11,[1]Opciones!$AO:$AO)</f>
        <v>#VALUE!</v>
      </c>
      <c r="PP1" t="e">
        <f>+SUMIF([1]Cartera!$R:$R,$A1&amp;"_"&amp;PP$11,[1]Cartera!$J:$J)+SUMIF([1]Futuros!$AD:$AD,$A1&amp;"_"&amp;PP$11,[1]Futuros!$AK:$AK)+SUMIF([1]Opciones!$AF:$AF,$A1&amp;"_"&amp;PP$11,[1]Opciones!$AO:$AO)</f>
        <v>#VALUE!</v>
      </c>
      <c r="PQ1" t="e">
        <f>+SUMIF([1]Cartera!$R:$R,$A1&amp;"_"&amp;PQ$11,[1]Cartera!$J:$J)+SUMIF([1]Futuros!$AD:$AD,$A1&amp;"_"&amp;PQ$11,[1]Futuros!$AK:$AK)+SUMIF([1]Opciones!$AF:$AF,$A1&amp;"_"&amp;PQ$11,[1]Opciones!$AO:$AO)</f>
        <v>#VALUE!</v>
      </c>
      <c r="PR1" t="e">
        <f>+SUMIF([1]Cartera!$R:$R,$A1&amp;"_"&amp;PR$11,[1]Cartera!$J:$J)+SUMIF([1]Futuros!$AD:$AD,$A1&amp;"_"&amp;PR$11,[1]Futuros!$AK:$AK)+SUMIF([1]Opciones!$AF:$AF,$A1&amp;"_"&amp;PR$11,[1]Opciones!$AO:$AO)</f>
        <v>#VALUE!</v>
      </c>
      <c r="PS1" t="e">
        <f>+SUMIF([1]Cartera!$R:$R,$A1&amp;"_"&amp;PS$11,[1]Cartera!$J:$J)+SUMIF([1]Futuros!$AD:$AD,$A1&amp;"_"&amp;PS$11,[1]Futuros!$AK:$AK)+SUMIF([1]Opciones!$AF:$AF,$A1&amp;"_"&amp;PS$11,[1]Opciones!$AO:$AO)</f>
        <v>#VALUE!</v>
      </c>
      <c r="PT1" t="e">
        <f>+SUMIF([1]Cartera!$R:$R,$A1&amp;"_"&amp;PT$11,[1]Cartera!$J:$J)+SUMIF([1]Futuros!$AD:$AD,$A1&amp;"_"&amp;PT$11,[1]Futuros!$AK:$AK)+SUMIF([1]Opciones!$AF:$AF,$A1&amp;"_"&amp;PT$11,[1]Opciones!$AO:$AO)</f>
        <v>#VALUE!</v>
      </c>
      <c r="PU1" t="e">
        <f>+SUMIF([1]Cartera!$R:$R,$A1&amp;"_"&amp;PU$11,[1]Cartera!$J:$J)+SUMIF([1]Futuros!$AD:$AD,$A1&amp;"_"&amp;PU$11,[1]Futuros!$AK:$AK)+SUMIF([1]Opciones!$AF:$AF,$A1&amp;"_"&amp;PU$11,[1]Opciones!$AO:$AO)</f>
        <v>#VALUE!</v>
      </c>
      <c r="PV1" t="e">
        <f>+SUMIF([1]Cartera!$R:$R,$A1&amp;"_"&amp;PV$11,[1]Cartera!$J:$J)+SUMIF([1]Futuros!$AD:$AD,$A1&amp;"_"&amp;PV$11,[1]Futuros!$AK:$AK)+SUMIF([1]Opciones!$AF:$AF,$A1&amp;"_"&amp;PV$11,[1]Opciones!$AO:$AO)</f>
        <v>#VALUE!</v>
      </c>
      <c r="PW1" t="e">
        <f>+SUMIF([1]Cartera!$R:$R,$A1&amp;"_"&amp;PW$11,[1]Cartera!$J:$J)+SUMIF([1]Futuros!$AD:$AD,$A1&amp;"_"&amp;PW$11,[1]Futuros!$AK:$AK)+SUMIF([1]Opciones!$AF:$AF,$A1&amp;"_"&amp;PW$11,[1]Opciones!$AO:$AO)</f>
        <v>#VALUE!</v>
      </c>
      <c r="PX1" t="e">
        <f>+SUMIF([1]Cartera!$R:$R,$A1&amp;"_"&amp;PX$11,[1]Cartera!$J:$J)+SUMIF([1]Futuros!$AD:$AD,$A1&amp;"_"&amp;PX$11,[1]Futuros!$AK:$AK)+SUMIF([1]Opciones!$AF:$AF,$A1&amp;"_"&amp;PX$11,[1]Opciones!$AO:$AO)</f>
        <v>#VALUE!</v>
      </c>
      <c r="PY1" t="e">
        <f>+SUMIF([1]Cartera!$R:$R,$A1&amp;"_"&amp;PY$11,[1]Cartera!$J:$J)+SUMIF([1]Futuros!$AD:$AD,$A1&amp;"_"&amp;PY$11,[1]Futuros!$AK:$AK)+SUMIF([1]Opciones!$AF:$AF,$A1&amp;"_"&amp;PY$11,[1]Opciones!$AO:$AO)</f>
        <v>#VALUE!</v>
      </c>
      <c r="PZ1" t="e">
        <f>+SUMIF([1]Cartera!$R:$R,$A1&amp;"_"&amp;PZ$11,[1]Cartera!$J:$J)+SUMIF([1]Futuros!$AD:$AD,$A1&amp;"_"&amp;PZ$11,[1]Futuros!$AK:$AK)+SUMIF([1]Opciones!$AF:$AF,$A1&amp;"_"&amp;PZ$11,[1]Opciones!$AO:$AO)</f>
        <v>#VALUE!</v>
      </c>
      <c r="QA1" t="e">
        <f>+SUMIF([1]Cartera!$R:$R,$A1&amp;"_"&amp;QA$11,[1]Cartera!$J:$J)+SUMIF([1]Futuros!$AD:$AD,$A1&amp;"_"&amp;QA$11,[1]Futuros!$AK:$AK)+SUMIF([1]Opciones!$AF:$AF,$A1&amp;"_"&amp;QA$11,[1]Opciones!$AO:$AO)</f>
        <v>#VALUE!</v>
      </c>
      <c r="QB1" t="e">
        <f>+SUMIF([1]Cartera!$R:$R,$A1&amp;"_"&amp;QB$11,[1]Cartera!$J:$J)+SUMIF([1]Futuros!$AD:$AD,$A1&amp;"_"&amp;QB$11,[1]Futuros!$AK:$AK)+SUMIF([1]Opciones!$AF:$AF,$A1&amp;"_"&amp;QB$11,[1]Opciones!$AO:$AO)</f>
        <v>#VALUE!</v>
      </c>
      <c r="QC1" t="e">
        <f>+SUMIF([1]Cartera!$R:$R,$A1&amp;"_"&amp;QC$11,[1]Cartera!$J:$J)+SUMIF([1]Futuros!$AD:$AD,$A1&amp;"_"&amp;QC$11,[1]Futuros!$AK:$AK)+SUMIF([1]Opciones!$AF:$AF,$A1&amp;"_"&amp;QC$11,[1]Opciones!$AO:$AO)</f>
        <v>#VALUE!</v>
      </c>
      <c r="QD1" t="e">
        <f>+SUMIF([1]Cartera!$R:$R,$A1&amp;"_"&amp;QD$11,[1]Cartera!$J:$J)+SUMIF([1]Futuros!$AD:$AD,$A1&amp;"_"&amp;QD$11,[1]Futuros!$AK:$AK)+SUMIF([1]Opciones!$AF:$AF,$A1&amp;"_"&amp;QD$11,[1]Opciones!$AO:$AO)</f>
        <v>#VALUE!</v>
      </c>
      <c r="QE1" t="e">
        <f>+SUMIF([1]Cartera!$R:$R,$A1&amp;"_"&amp;QE$11,[1]Cartera!$J:$J)+SUMIF([1]Futuros!$AD:$AD,$A1&amp;"_"&amp;QE$11,[1]Futuros!$AK:$AK)+SUMIF([1]Opciones!$AF:$AF,$A1&amp;"_"&amp;QE$11,[1]Opciones!$AO:$AO)</f>
        <v>#VALUE!</v>
      </c>
      <c r="QF1" t="e">
        <f>+SUMIF([1]Cartera!$R:$R,$A1&amp;"_"&amp;QF$11,[1]Cartera!$J:$J)+SUMIF([1]Futuros!$AD:$AD,$A1&amp;"_"&amp;QF$11,[1]Futuros!$AK:$AK)+SUMIF([1]Opciones!$AF:$AF,$A1&amp;"_"&amp;QF$11,[1]Opciones!$AO:$AO)</f>
        <v>#VALUE!</v>
      </c>
      <c r="QG1" t="e">
        <f>+SUMIF([1]Cartera!$R:$R,$A1&amp;"_"&amp;QG$11,[1]Cartera!$J:$J)+SUMIF([1]Futuros!$AD:$AD,$A1&amp;"_"&amp;QG$11,[1]Futuros!$AK:$AK)+SUMIF([1]Opciones!$AF:$AF,$A1&amp;"_"&amp;QG$11,[1]Opciones!$AO:$AO)</f>
        <v>#VALUE!</v>
      </c>
      <c r="QH1" t="e">
        <f>+SUMIF([1]Cartera!$R:$R,$A1&amp;"_"&amp;QH$11,[1]Cartera!$J:$J)+SUMIF([1]Futuros!$AD:$AD,$A1&amp;"_"&amp;QH$11,[1]Futuros!$AK:$AK)+SUMIF([1]Opciones!$AF:$AF,$A1&amp;"_"&amp;QH$11,[1]Opciones!$AO:$AO)</f>
        <v>#VALUE!</v>
      </c>
      <c r="QI1" t="e">
        <f>+SUMIF([1]Cartera!$R:$R,$A1&amp;"_"&amp;QI$11,[1]Cartera!$J:$J)+SUMIF([1]Futuros!$AD:$AD,$A1&amp;"_"&amp;QI$11,[1]Futuros!$AK:$AK)+SUMIF([1]Opciones!$AF:$AF,$A1&amp;"_"&amp;QI$11,[1]Opciones!$AO:$AO)</f>
        <v>#VALUE!</v>
      </c>
      <c r="QJ1" t="e">
        <f>+SUMIF([1]Cartera!$R:$R,$A1&amp;"_"&amp;QJ$11,[1]Cartera!$J:$J)+SUMIF([1]Futuros!$AD:$AD,$A1&amp;"_"&amp;QJ$11,[1]Futuros!$AK:$AK)+SUMIF([1]Opciones!$AF:$AF,$A1&amp;"_"&amp;QJ$11,[1]Opciones!$AO:$AO)</f>
        <v>#VALUE!</v>
      </c>
      <c r="QK1" t="e">
        <f>+SUMIF([1]Cartera!$R:$R,$A1&amp;"_"&amp;QK$11,[1]Cartera!$J:$J)+SUMIF([1]Futuros!$AD:$AD,$A1&amp;"_"&amp;QK$11,[1]Futuros!$AK:$AK)+SUMIF([1]Opciones!$AF:$AF,$A1&amp;"_"&amp;QK$11,[1]Opciones!$AO:$AO)</f>
        <v>#VALUE!</v>
      </c>
      <c r="QL1" t="e">
        <f>+SUMIF([1]Cartera!$R:$R,$A1&amp;"_"&amp;QL$11,[1]Cartera!$J:$J)+SUMIF([1]Futuros!$AD:$AD,$A1&amp;"_"&amp;QL$11,[1]Futuros!$AK:$AK)+SUMIF([1]Opciones!$AF:$AF,$A1&amp;"_"&amp;QL$11,[1]Opciones!$AO:$AO)</f>
        <v>#VALUE!</v>
      </c>
      <c r="QM1" t="e">
        <f>+SUMIF([1]Cartera!$R:$R,$A1&amp;"_"&amp;QM$11,[1]Cartera!$J:$J)+SUMIF([1]Futuros!$AD:$AD,$A1&amp;"_"&amp;QM$11,[1]Futuros!$AK:$AK)+SUMIF([1]Opciones!$AF:$AF,$A1&amp;"_"&amp;QM$11,[1]Opciones!$AO:$AO)</f>
        <v>#VALUE!</v>
      </c>
      <c r="QN1" t="e">
        <f>+SUMIF([1]Cartera!$R:$R,$A1&amp;"_"&amp;QN$11,[1]Cartera!$J:$J)+SUMIF([1]Futuros!$AD:$AD,$A1&amp;"_"&amp;QN$11,[1]Futuros!$AK:$AK)+SUMIF([1]Opciones!$AF:$AF,$A1&amp;"_"&amp;QN$11,[1]Opciones!$AO:$AO)</f>
        <v>#VALUE!</v>
      </c>
      <c r="QO1" t="e">
        <f>+SUMIF([1]Cartera!$R:$R,$A1&amp;"_"&amp;QO$11,[1]Cartera!$J:$J)+SUMIF([1]Futuros!$AD:$AD,$A1&amp;"_"&amp;QO$11,[1]Futuros!$AK:$AK)+SUMIF([1]Opciones!$AF:$AF,$A1&amp;"_"&amp;QO$11,[1]Opciones!$AO:$AO)</f>
        <v>#VALUE!</v>
      </c>
      <c r="QP1" t="e">
        <f>+SUMIF([1]Cartera!$R:$R,$A1&amp;"_"&amp;QP$11,[1]Cartera!$J:$J)+SUMIF([1]Futuros!$AD:$AD,$A1&amp;"_"&amp;QP$11,[1]Futuros!$AK:$AK)+SUMIF([1]Opciones!$AF:$AF,$A1&amp;"_"&amp;QP$11,[1]Opciones!$AO:$AO)</f>
        <v>#VALUE!</v>
      </c>
      <c r="QQ1" t="e">
        <f>+SUMIF([1]Cartera!$R:$R,$A1&amp;"_"&amp;QQ$11,[1]Cartera!$J:$J)+SUMIF([1]Futuros!$AD:$AD,$A1&amp;"_"&amp;QQ$11,[1]Futuros!$AK:$AK)+SUMIF([1]Opciones!$AF:$AF,$A1&amp;"_"&amp;QQ$11,[1]Opciones!$AO:$AO)</f>
        <v>#VALUE!</v>
      </c>
      <c r="QR1" t="e">
        <f>+SUMIF([1]Cartera!$R:$R,$A1&amp;"_"&amp;QR$11,[1]Cartera!$J:$J)+SUMIF([1]Futuros!$AD:$AD,$A1&amp;"_"&amp;QR$11,[1]Futuros!$AK:$AK)+SUMIF([1]Opciones!$AF:$AF,$A1&amp;"_"&amp;QR$11,[1]Opciones!$AO:$AO)</f>
        <v>#VALUE!</v>
      </c>
      <c r="QS1" t="e">
        <f>+SUMIF([1]Cartera!$R:$R,$A1&amp;"_"&amp;QS$11,[1]Cartera!$J:$J)+SUMIF([1]Futuros!$AD:$AD,$A1&amp;"_"&amp;QS$11,[1]Futuros!$AK:$AK)+SUMIF([1]Opciones!$AF:$AF,$A1&amp;"_"&amp;QS$11,[1]Opciones!$AO:$AO)</f>
        <v>#VALUE!</v>
      </c>
      <c r="QT1" t="e">
        <f>+SUMIF([1]Cartera!$R:$R,$A1&amp;"_"&amp;QT$11,[1]Cartera!$J:$J)+SUMIF([1]Futuros!$AD:$AD,$A1&amp;"_"&amp;QT$11,[1]Futuros!$AK:$AK)+SUMIF([1]Opciones!$AF:$AF,$A1&amp;"_"&amp;QT$11,[1]Opciones!$AO:$AO)</f>
        <v>#VALUE!</v>
      </c>
      <c r="QU1" t="e">
        <f>+SUMIF([1]Cartera!$R:$R,$A1&amp;"_"&amp;QU$11,[1]Cartera!$J:$J)+SUMIF([1]Futuros!$AD:$AD,$A1&amp;"_"&amp;QU$11,[1]Futuros!$AK:$AK)+SUMIF([1]Opciones!$AF:$AF,$A1&amp;"_"&amp;QU$11,[1]Opciones!$AO:$AO)</f>
        <v>#VALUE!</v>
      </c>
      <c r="QV1" t="e">
        <f>+SUMIF([1]Cartera!$R:$R,$A1&amp;"_"&amp;QV$11,[1]Cartera!$J:$J)+SUMIF([1]Futuros!$AD:$AD,$A1&amp;"_"&amp;QV$11,[1]Futuros!$AK:$AK)+SUMIF([1]Opciones!$AF:$AF,$A1&amp;"_"&amp;QV$11,[1]Opciones!$AO:$AO)</f>
        <v>#VALUE!</v>
      </c>
      <c r="QW1" t="e">
        <f>+SUMIF([1]Cartera!$R:$R,$A1&amp;"_"&amp;QW$11,[1]Cartera!$J:$J)+SUMIF([1]Futuros!$AD:$AD,$A1&amp;"_"&amp;QW$11,[1]Futuros!$AK:$AK)+SUMIF([1]Opciones!$AF:$AF,$A1&amp;"_"&amp;QW$11,[1]Opciones!$AO:$AO)</f>
        <v>#VALUE!</v>
      </c>
      <c r="QX1" t="e">
        <f>+SUMIF([1]Cartera!$R:$R,$A1&amp;"_"&amp;QX$11,[1]Cartera!$J:$J)+SUMIF([1]Futuros!$AD:$AD,$A1&amp;"_"&amp;QX$11,[1]Futuros!$AK:$AK)+SUMIF([1]Opciones!$AF:$AF,$A1&amp;"_"&amp;QX$11,[1]Opciones!$AO:$AO)</f>
        <v>#VALUE!</v>
      </c>
      <c r="QY1" t="e">
        <f>+SUMIF([1]Cartera!$R:$R,$A1&amp;"_"&amp;QY$11,[1]Cartera!$J:$J)+SUMIF([1]Futuros!$AD:$AD,$A1&amp;"_"&amp;QY$11,[1]Futuros!$AK:$AK)+SUMIF([1]Opciones!$AF:$AF,$A1&amp;"_"&amp;QY$11,[1]Opciones!$AO:$AO)</f>
        <v>#VALUE!</v>
      </c>
      <c r="QZ1" t="e">
        <f>+SUMIF([1]Cartera!$R:$R,$A1&amp;"_"&amp;QZ$11,[1]Cartera!$J:$J)+SUMIF([1]Futuros!$AD:$AD,$A1&amp;"_"&amp;QZ$11,[1]Futuros!$AK:$AK)+SUMIF([1]Opciones!$AF:$AF,$A1&amp;"_"&amp;QZ$11,[1]Opciones!$AO:$AO)</f>
        <v>#VALUE!</v>
      </c>
      <c r="RA1" t="e">
        <f>+SUMIF([1]Cartera!$R:$R,$A1&amp;"_"&amp;RA$11,[1]Cartera!$J:$J)+SUMIF([1]Futuros!$AD:$AD,$A1&amp;"_"&amp;RA$11,[1]Futuros!$AK:$AK)+SUMIF([1]Opciones!$AF:$AF,$A1&amp;"_"&amp;RA$11,[1]Opciones!$AO:$AO)</f>
        <v>#VALUE!</v>
      </c>
      <c r="RB1" t="e">
        <f>+SUMIF([1]Cartera!$R:$R,$A1&amp;"_"&amp;RB$11,[1]Cartera!$J:$J)+SUMIF([1]Futuros!$AD:$AD,$A1&amp;"_"&amp;RB$11,[1]Futuros!$AK:$AK)+SUMIF([1]Opciones!$AF:$AF,$A1&amp;"_"&amp;RB$11,[1]Opciones!$AO:$AO)</f>
        <v>#VALUE!</v>
      </c>
      <c r="RC1" t="e">
        <f>+SUMIF([1]Cartera!$R:$R,$A1&amp;"_"&amp;RC$11,[1]Cartera!$J:$J)+SUMIF([1]Futuros!$AD:$AD,$A1&amp;"_"&amp;RC$11,[1]Futuros!$AK:$AK)+SUMIF([1]Opciones!$AF:$AF,$A1&amp;"_"&amp;RC$11,[1]Opciones!$AO:$AO)</f>
        <v>#VALUE!</v>
      </c>
      <c r="RD1" t="e">
        <f>+SUMIF([1]Cartera!$R:$R,$A1&amp;"_"&amp;RD$11,[1]Cartera!$J:$J)+SUMIF([1]Futuros!$AD:$AD,$A1&amp;"_"&amp;RD$11,[1]Futuros!$AK:$AK)+SUMIF([1]Opciones!$AF:$AF,$A1&amp;"_"&amp;RD$11,[1]Opciones!$AO:$AO)</f>
        <v>#VALUE!</v>
      </c>
      <c r="RE1" t="e">
        <f>+SUMIF([1]Cartera!$R:$R,$A1&amp;"_"&amp;RE$11,[1]Cartera!$J:$J)+SUMIF([1]Futuros!$AD:$AD,$A1&amp;"_"&amp;RE$11,[1]Futuros!$AK:$AK)+SUMIF([1]Opciones!$AF:$AF,$A1&amp;"_"&amp;RE$11,[1]Opciones!$AO:$AO)</f>
        <v>#VALUE!</v>
      </c>
      <c r="RF1" t="e">
        <f>+SUMIF([1]Cartera!$R:$R,$A1&amp;"_"&amp;RF$11,[1]Cartera!$J:$J)+SUMIF([1]Futuros!$AD:$AD,$A1&amp;"_"&amp;RF$11,[1]Futuros!$AK:$AK)+SUMIF([1]Opciones!$AF:$AF,$A1&amp;"_"&amp;RF$11,[1]Opciones!$AO:$AO)</f>
        <v>#VALUE!</v>
      </c>
      <c r="RG1" t="e">
        <f>+SUMIF([1]Cartera!$R:$R,$A1&amp;"_"&amp;RG$11,[1]Cartera!$J:$J)+SUMIF([1]Futuros!$AD:$AD,$A1&amp;"_"&amp;RG$11,[1]Futuros!$AK:$AK)+SUMIF([1]Opciones!$AF:$AF,$A1&amp;"_"&amp;RG$11,[1]Opciones!$AO:$AO)</f>
        <v>#VALUE!</v>
      </c>
      <c r="RH1" t="e">
        <f>+SUMIF([1]Cartera!$R:$R,$A1&amp;"_"&amp;RH$11,[1]Cartera!$J:$J)+SUMIF([1]Futuros!$AD:$AD,$A1&amp;"_"&amp;RH$11,[1]Futuros!$AK:$AK)+SUMIF([1]Opciones!$AF:$AF,$A1&amp;"_"&amp;RH$11,[1]Opciones!$AO:$AO)</f>
        <v>#VALUE!</v>
      </c>
      <c r="RI1" t="e">
        <f>+SUMIF([1]Cartera!$R:$R,$A1&amp;"_"&amp;RI$11,[1]Cartera!$J:$J)+SUMIF([1]Futuros!$AD:$AD,$A1&amp;"_"&amp;RI$11,[1]Futuros!$AK:$AK)+SUMIF([1]Opciones!$AF:$AF,$A1&amp;"_"&amp;RI$11,[1]Opciones!$AO:$AO)</f>
        <v>#VALUE!</v>
      </c>
      <c r="RJ1" t="e">
        <f>+SUMIF([1]Cartera!$R:$R,$A1&amp;"_"&amp;RJ$11,[1]Cartera!$J:$J)+SUMIF([1]Futuros!$AD:$AD,$A1&amp;"_"&amp;RJ$11,[1]Futuros!$AK:$AK)+SUMIF([1]Opciones!$AF:$AF,$A1&amp;"_"&amp;RJ$11,[1]Opciones!$AO:$AO)</f>
        <v>#VALUE!</v>
      </c>
      <c r="RK1" t="e">
        <f>+SUMIF([1]Cartera!$R:$R,$A1&amp;"_"&amp;RK$11,[1]Cartera!$J:$J)+SUMIF([1]Futuros!$AD:$AD,$A1&amp;"_"&amp;RK$11,[1]Futuros!$AK:$AK)+SUMIF([1]Opciones!$AF:$AF,$A1&amp;"_"&amp;RK$11,[1]Opciones!$AO:$AO)</f>
        <v>#VALUE!</v>
      </c>
      <c r="RL1" t="e">
        <f>+SUMIF([1]Cartera!$R:$R,$A1&amp;"_"&amp;RL$11,[1]Cartera!$J:$J)+SUMIF([1]Futuros!$AD:$AD,$A1&amp;"_"&amp;RL$11,[1]Futuros!$AK:$AK)+SUMIF([1]Opciones!$AF:$AF,$A1&amp;"_"&amp;RL$11,[1]Opciones!$AO:$AO)</f>
        <v>#VALUE!</v>
      </c>
      <c r="RM1" t="e">
        <f>+SUMIF([1]Cartera!$R:$R,$A1&amp;"_"&amp;RM$11,[1]Cartera!$J:$J)+SUMIF([1]Futuros!$AD:$AD,$A1&amp;"_"&amp;RM$11,[1]Futuros!$AK:$AK)+SUMIF([1]Opciones!$AF:$AF,$A1&amp;"_"&amp;RM$11,[1]Opciones!$AO:$AO)</f>
        <v>#VALUE!</v>
      </c>
      <c r="RN1" t="e">
        <f>+SUMIF([1]Cartera!$R:$R,$A1&amp;"_"&amp;RN$11,[1]Cartera!$J:$J)+SUMIF([1]Futuros!$AD:$AD,$A1&amp;"_"&amp;RN$11,[1]Futuros!$AK:$AK)+SUMIF([1]Opciones!$AF:$AF,$A1&amp;"_"&amp;RN$11,[1]Opciones!$AO:$AO)</f>
        <v>#VALUE!</v>
      </c>
      <c r="RO1" t="e">
        <f>+SUMIF([1]Cartera!$R:$R,$A1&amp;"_"&amp;RO$11,[1]Cartera!$J:$J)+SUMIF([1]Futuros!$AD:$AD,$A1&amp;"_"&amp;RO$11,[1]Futuros!$AK:$AK)+SUMIF([1]Opciones!$AF:$AF,$A1&amp;"_"&amp;RO$11,[1]Opciones!$AO:$AO)</f>
        <v>#VALUE!</v>
      </c>
      <c r="RP1" t="e">
        <f>+SUMIF([1]Cartera!$R:$R,$A1&amp;"_"&amp;RP$11,[1]Cartera!$J:$J)+SUMIF([1]Futuros!$AD:$AD,$A1&amp;"_"&amp;RP$11,[1]Futuros!$AK:$AK)+SUMIF([1]Opciones!$AF:$AF,$A1&amp;"_"&amp;RP$11,[1]Opciones!$AO:$AO)</f>
        <v>#VALUE!</v>
      </c>
      <c r="RQ1" t="e">
        <f>+SUMIF([1]Cartera!$R:$R,$A1&amp;"_"&amp;RQ$11,[1]Cartera!$J:$J)+SUMIF([1]Futuros!$AD:$AD,$A1&amp;"_"&amp;RQ$11,[1]Futuros!$AK:$AK)+SUMIF([1]Opciones!$AF:$AF,$A1&amp;"_"&amp;RQ$11,[1]Opciones!$AO:$AO)</f>
        <v>#VALUE!</v>
      </c>
      <c r="RR1" t="e">
        <f>+SUMIF([1]Cartera!$R:$R,$A1&amp;"_"&amp;RR$11,[1]Cartera!$J:$J)+SUMIF([1]Futuros!$AD:$AD,$A1&amp;"_"&amp;RR$11,[1]Futuros!$AK:$AK)+SUMIF([1]Opciones!$AF:$AF,$A1&amp;"_"&amp;RR$11,[1]Opciones!$AO:$AO)</f>
        <v>#VALUE!</v>
      </c>
      <c r="RS1" t="e">
        <f>+SUMIF([1]Cartera!$R:$R,$A1&amp;"_"&amp;RS$11,[1]Cartera!$J:$J)+SUMIF([1]Futuros!$AD:$AD,$A1&amp;"_"&amp;RS$11,[1]Futuros!$AK:$AK)+SUMIF([1]Opciones!$AF:$AF,$A1&amp;"_"&amp;RS$11,[1]Opciones!$AO:$AO)</f>
        <v>#VALUE!</v>
      </c>
      <c r="RT1" t="e">
        <f>+SUMIF([1]Cartera!$R:$R,$A1&amp;"_"&amp;RT$11,[1]Cartera!$J:$J)+SUMIF([1]Futuros!$AD:$AD,$A1&amp;"_"&amp;RT$11,[1]Futuros!$AK:$AK)+SUMIF([1]Opciones!$AF:$AF,$A1&amp;"_"&amp;RT$11,[1]Opciones!$AO:$AO)</f>
        <v>#VALUE!</v>
      </c>
      <c r="RU1" t="e">
        <f>+SUMIF([1]Cartera!$R:$R,$A1&amp;"_"&amp;RU$11,[1]Cartera!$J:$J)+SUMIF([1]Futuros!$AD:$AD,$A1&amp;"_"&amp;RU$11,[1]Futuros!$AK:$AK)+SUMIF([1]Opciones!$AF:$AF,$A1&amp;"_"&amp;RU$11,[1]Opciones!$AO:$AO)</f>
        <v>#VALUE!</v>
      </c>
      <c r="RV1" t="e">
        <f>+SUMIF([1]Cartera!$R:$R,$A1&amp;"_"&amp;RV$11,[1]Cartera!$J:$J)+SUMIF([1]Futuros!$AD:$AD,$A1&amp;"_"&amp;RV$11,[1]Futuros!$AK:$AK)+SUMIF([1]Opciones!$AF:$AF,$A1&amp;"_"&amp;RV$11,[1]Opciones!$AO:$AO)</f>
        <v>#VALUE!</v>
      </c>
      <c r="RW1" t="e">
        <f>+SUMIF([1]Cartera!$R:$R,$A1&amp;"_"&amp;RW$11,[1]Cartera!$J:$J)+SUMIF([1]Futuros!$AD:$AD,$A1&amp;"_"&amp;RW$11,[1]Futuros!$AK:$AK)+SUMIF([1]Opciones!$AF:$AF,$A1&amp;"_"&amp;RW$11,[1]Opciones!$AO:$AO)</f>
        <v>#VALUE!</v>
      </c>
      <c r="RX1" t="e">
        <f>+SUMIF([1]Cartera!$R:$R,$A1&amp;"_"&amp;RX$11,[1]Cartera!$J:$J)+SUMIF([1]Futuros!$AD:$AD,$A1&amp;"_"&amp;RX$11,[1]Futuros!$AK:$AK)+SUMIF([1]Opciones!$AF:$AF,$A1&amp;"_"&amp;RX$11,[1]Opciones!$AO:$AO)</f>
        <v>#VALUE!</v>
      </c>
      <c r="RY1" t="e">
        <f>+SUMIF([1]Cartera!$R:$R,$A1&amp;"_"&amp;RY$11,[1]Cartera!$J:$J)+SUMIF([1]Futuros!$AD:$AD,$A1&amp;"_"&amp;RY$11,[1]Futuros!$AK:$AK)+SUMIF([1]Opciones!$AF:$AF,$A1&amp;"_"&amp;RY$11,[1]Opciones!$AO:$AO)</f>
        <v>#VALUE!</v>
      </c>
      <c r="RZ1" t="e">
        <f>+SUMIF([1]Cartera!$R:$R,$A1&amp;"_"&amp;RZ$11,[1]Cartera!$J:$J)+SUMIF([1]Futuros!$AD:$AD,$A1&amp;"_"&amp;RZ$11,[1]Futuros!$AK:$AK)+SUMIF([1]Opciones!$AF:$AF,$A1&amp;"_"&amp;RZ$11,[1]Opciones!$AO:$AO)</f>
        <v>#VALUE!</v>
      </c>
      <c r="SA1" t="e">
        <f>+SUMIF([1]Cartera!$R:$R,$A1&amp;"_"&amp;SA$11,[1]Cartera!$J:$J)+SUMIF([1]Futuros!$AD:$AD,$A1&amp;"_"&amp;SA$11,[1]Futuros!$AK:$AK)+SUMIF([1]Opciones!$AF:$AF,$A1&amp;"_"&amp;SA$11,[1]Opciones!$AO:$AO)</f>
        <v>#VALUE!</v>
      </c>
      <c r="SB1" t="e">
        <f>+SUMIF([1]Cartera!$R:$R,$A1&amp;"_"&amp;SB$11,[1]Cartera!$J:$J)+SUMIF([1]Futuros!$AD:$AD,$A1&amp;"_"&amp;SB$11,[1]Futuros!$AK:$AK)+SUMIF([1]Opciones!$AF:$AF,$A1&amp;"_"&amp;SB$11,[1]Opciones!$AO:$AO)</f>
        <v>#VALUE!</v>
      </c>
      <c r="SC1" t="e">
        <f>+SUMIF([1]Cartera!$R:$R,$A1&amp;"_"&amp;SC$11,[1]Cartera!$J:$J)+SUMIF([1]Futuros!$AD:$AD,$A1&amp;"_"&amp;SC$11,[1]Futuros!$AK:$AK)+SUMIF([1]Opciones!$AF:$AF,$A1&amp;"_"&amp;SC$11,[1]Opciones!$AO:$AO)</f>
        <v>#VALUE!</v>
      </c>
      <c r="SD1" t="e">
        <f>+SUMIF([1]Cartera!$R:$R,$A1&amp;"_"&amp;SD$11,[1]Cartera!$J:$J)+SUMIF([1]Futuros!$AD:$AD,$A1&amp;"_"&amp;SD$11,[1]Futuros!$AK:$AK)+SUMIF([1]Opciones!$AF:$AF,$A1&amp;"_"&amp;SD$11,[1]Opciones!$AO:$AO)</f>
        <v>#VALUE!</v>
      </c>
      <c r="SE1" t="e">
        <f>+SUMIF([1]Cartera!$R:$R,$A1&amp;"_"&amp;SE$11,[1]Cartera!$J:$J)+SUMIF([1]Futuros!$AD:$AD,$A1&amp;"_"&amp;SE$11,[1]Futuros!$AK:$AK)+SUMIF([1]Opciones!$AF:$AF,$A1&amp;"_"&amp;SE$11,[1]Opciones!$AO:$AO)</f>
        <v>#VALUE!</v>
      </c>
      <c r="SF1" t="e">
        <f>+SUMIF([1]Cartera!$R:$R,$A1&amp;"_"&amp;SF$11,[1]Cartera!$J:$J)+SUMIF([1]Futuros!$AD:$AD,$A1&amp;"_"&amp;SF$11,[1]Futuros!$AK:$AK)+SUMIF([1]Opciones!$AF:$AF,$A1&amp;"_"&amp;SF$11,[1]Opciones!$AO:$AO)</f>
        <v>#VALUE!</v>
      </c>
      <c r="SG1" t="e">
        <f>+SUMIF([1]Cartera!$R:$R,$A1&amp;"_"&amp;SG$11,[1]Cartera!$J:$J)+SUMIF([1]Futuros!$AD:$AD,$A1&amp;"_"&amp;SG$11,[1]Futuros!$AK:$AK)+SUMIF([1]Opciones!$AF:$AF,$A1&amp;"_"&amp;SG$11,[1]Opciones!$AO:$AO)</f>
        <v>#VALUE!</v>
      </c>
      <c r="SH1" t="e">
        <f>+SUMIF([1]Cartera!$R:$R,$A1&amp;"_"&amp;SH$11,[1]Cartera!$J:$J)+SUMIF([1]Futuros!$AD:$AD,$A1&amp;"_"&amp;SH$11,[1]Futuros!$AK:$AK)+SUMIF([1]Opciones!$AF:$AF,$A1&amp;"_"&amp;SH$11,[1]Opciones!$AO:$AO)</f>
        <v>#VALUE!</v>
      </c>
      <c r="SI1" t="e">
        <f>+SUMIF([1]Cartera!$R:$R,$A1&amp;"_"&amp;SI$11,[1]Cartera!$J:$J)+SUMIF([1]Futuros!$AD:$AD,$A1&amp;"_"&amp;SI$11,[1]Futuros!$AK:$AK)+SUMIF([1]Opciones!$AF:$AF,$A1&amp;"_"&amp;SI$11,[1]Opciones!$AO:$AO)</f>
        <v>#VALUE!</v>
      </c>
      <c r="SJ1" t="e">
        <f>+SUMIF([1]Cartera!$R:$R,$A1&amp;"_"&amp;SJ$11,[1]Cartera!$J:$J)+SUMIF([1]Futuros!$AD:$AD,$A1&amp;"_"&amp;SJ$11,[1]Futuros!$AK:$AK)+SUMIF([1]Opciones!$AF:$AF,$A1&amp;"_"&amp;SJ$11,[1]Opciones!$AO:$AO)</f>
        <v>#VALUE!</v>
      </c>
      <c r="SK1" t="e">
        <f>+SUMIF([1]Cartera!$R:$R,$A1&amp;"_"&amp;SK$11,[1]Cartera!$J:$J)+SUMIF([1]Futuros!$AD:$AD,$A1&amp;"_"&amp;SK$11,[1]Futuros!$AK:$AK)+SUMIF([1]Opciones!$AF:$AF,$A1&amp;"_"&amp;SK$11,[1]Opciones!$AO:$AO)</f>
        <v>#VALUE!</v>
      </c>
      <c r="SL1" t="e">
        <f>+SUMIF([1]Cartera!$R:$R,$A1&amp;"_"&amp;SL$11,[1]Cartera!$J:$J)+SUMIF([1]Futuros!$AD:$AD,$A1&amp;"_"&amp;SL$11,[1]Futuros!$AK:$AK)+SUMIF([1]Opciones!$AF:$AF,$A1&amp;"_"&amp;SL$11,[1]Opciones!$AO:$AO)</f>
        <v>#VALUE!</v>
      </c>
      <c r="SM1" t="e">
        <f>+SUMIF([1]Cartera!$R:$R,$A1&amp;"_"&amp;SM$11,[1]Cartera!$J:$J)+SUMIF([1]Futuros!$AD:$AD,$A1&amp;"_"&amp;SM$11,[1]Futuros!$AK:$AK)+SUMIF([1]Opciones!$AF:$AF,$A1&amp;"_"&amp;SM$11,[1]Opciones!$AO:$AO)</f>
        <v>#VALUE!</v>
      </c>
      <c r="SN1" t="e">
        <f>+SUMIF([1]Cartera!$R:$R,$A1&amp;"_"&amp;SN$11,[1]Cartera!$J:$J)+SUMIF([1]Futuros!$AD:$AD,$A1&amp;"_"&amp;SN$11,[1]Futuros!$AK:$AK)+SUMIF([1]Opciones!$AF:$AF,$A1&amp;"_"&amp;SN$11,[1]Opciones!$AO:$AO)</f>
        <v>#VALUE!</v>
      </c>
      <c r="SO1" t="e">
        <f>+SUMIF([1]Cartera!$R:$R,$A1&amp;"_"&amp;SO$11,[1]Cartera!$J:$J)+SUMIF([1]Futuros!$AD:$AD,$A1&amp;"_"&amp;SO$11,[1]Futuros!$AK:$AK)+SUMIF([1]Opciones!$AF:$AF,$A1&amp;"_"&amp;SO$11,[1]Opciones!$AO:$AO)</f>
        <v>#VALUE!</v>
      </c>
      <c r="SP1" t="e">
        <f>+SUMIF([1]Cartera!$R:$R,$A1&amp;"_"&amp;SP$11,[1]Cartera!$J:$J)+SUMIF([1]Futuros!$AD:$AD,$A1&amp;"_"&amp;SP$11,[1]Futuros!$AK:$AK)+SUMIF([1]Opciones!$AF:$AF,$A1&amp;"_"&amp;SP$11,[1]Opciones!$AO:$AO)</f>
        <v>#VALUE!</v>
      </c>
      <c r="SQ1" t="e">
        <f>+SUMIF([1]Cartera!$R:$R,$A1&amp;"_"&amp;SQ$11,[1]Cartera!$J:$J)+SUMIF([1]Futuros!$AD:$AD,$A1&amp;"_"&amp;SQ$11,[1]Futuros!$AK:$AK)+SUMIF([1]Opciones!$AF:$AF,$A1&amp;"_"&amp;SQ$11,[1]Opciones!$AO:$AO)</f>
        <v>#VALUE!</v>
      </c>
      <c r="SR1" t="e">
        <f>+SUMIF([1]Cartera!$R:$R,$A1&amp;"_"&amp;SR$11,[1]Cartera!$J:$J)+SUMIF([1]Futuros!$AD:$AD,$A1&amp;"_"&amp;SR$11,[1]Futuros!$AK:$AK)+SUMIF([1]Opciones!$AF:$AF,$A1&amp;"_"&amp;SR$11,[1]Opciones!$AO:$AO)</f>
        <v>#VALUE!</v>
      </c>
      <c r="SS1" t="e">
        <f>+SUMIF([1]Cartera!$R:$R,$A1&amp;"_"&amp;SS$11,[1]Cartera!$J:$J)+SUMIF([1]Futuros!$AD:$AD,$A1&amp;"_"&amp;SS$11,[1]Futuros!$AK:$AK)+SUMIF([1]Opciones!$AF:$AF,$A1&amp;"_"&amp;SS$11,[1]Opciones!$AO:$AO)</f>
        <v>#VALUE!</v>
      </c>
      <c r="ST1" t="e">
        <f>+SUMIF([1]Cartera!$R:$R,$A1&amp;"_"&amp;ST$11,[1]Cartera!$J:$J)+SUMIF([1]Futuros!$AD:$AD,$A1&amp;"_"&amp;ST$11,[1]Futuros!$AK:$AK)+SUMIF([1]Opciones!$AF:$AF,$A1&amp;"_"&amp;ST$11,[1]Opciones!$AO:$AO)</f>
        <v>#VALUE!</v>
      </c>
      <c r="SU1" t="e">
        <f>+SUMIF([1]Cartera!$R:$R,$A1&amp;"_"&amp;SU$11,[1]Cartera!$J:$J)+SUMIF([1]Futuros!$AD:$AD,$A1&amp;"_"&amp;SU$11,[1]Futuros!$AK:$AK)+SUMIF([1]Opciones!$AF:$AF,$A1&amp;"_"&amp;SU$11,[1]Opciones!$AO:$AO)</f>
        <v>#VALUE!</v>
      </c>
      <c r="SV1" t="e">
        <f>+SUMIF([1]Cartera!$R:$R,$A1&amp;"_"&amp;SV$11,[1]Cartera!$J:$J)+SUMIF([1]Futuros!$AD:$AD,$A1&amp;"_"&amp;SV$11,[1]Futuros!$AK:$AK)+SUMIF([1]Opciones!$AF:$AF,$A1&amp;"_"&amp;SV$11,[1]Opciones!$AO:$AO)</f>
        <v>#VALUE!</v>
      </c>
      <c r="SW1" t="e">
        <f>+SUMIF([1]Cartera!$R:$R,$A1&amp;"_"&amp;SW$11,[1]Cartera!$J:$J)+SUMIF([1]Futuros!$AD:$AD,$A1&amp;"_"&amp;SW$11,[1]Futuros!$AK:$AK)+SUMIF([1]Opciones!$AF:$AF,$A1&amp;"_"&amp;SW$11,[1]Opciones!$AO:$AO)</f>
        <v>#VALUE!</v>
      </c>
      <c r="SX1" t="e">
        <f>+SUMIF([1]Cartera!$R:$R,$A1&amp;"_"&amp;SX$11,[1]Cartera!$J:$J)+SUMIF([1]Futuros!$AD:$AD,$A1&amp;"_"&amp;SX$11,[1]Futuros!$AK:$AK)+SUMIF([1]Opciones!$AF:$AF,$A1&amp;"_"&amp;SX$11,[1]Opciones!$AO:$AO)</f>
        <v>#VALUE!</v>
      </c>
      <c r="SY1" t="e">
        <f>+SUMIF([1]Cartera!$R:$R,$A1&amp;"_"&amp;SY$11,[1]Cartera!$J:$J)+SUMIF([1]Futuros!$AD:$AD,$A1&amp;"_"&amp;SY$11,[1]Futuros!$AK:$AK)+SUMIF([1]Opciones!$AF:$AF,$A1&amp;"_"&amp;SY$11,[1]Opciones!$AO:$AO)</f>
        <v>#VALUE!</v>
      </c>
      <c r="SZ1" t="e">
        <f>+SUMIF([1]Cartera!$R:$R,$A1&amp;"_"&amp;SZ$11,[1]Cartera!$J:$J)+SUMIF([1]Futuros!$AD:$AD,$A1&amp;"_"&amp;SZ$11,[1]Futuros!$AK:$AK)+SUMIF([1]Opciones!$AF:$AF,$A1&amp;"_"&amp;SZ$11,[1]Opciones!$AO:$AO)</f>
        <v>#VALUE!</v>
      </c>
      <c r="TA1" t="e">
        <f>+SUMIF([1]Cartera!$R:$R,$A1&amp;"_"&amp;TA$11,[1]Cartera!$J:$J)+SUMIF([1]Futuros!$AD:$AD,$A1&amp;"_"&amp;TA$11,[1]Futuros!$AK:$AK)+SUMIF([1]Opciones!$AF:$AF,$A1&amp;"_"&amp;TA$11,[1]Opciones!$AO:$AO)</f>
        <v>#VALUE!</v>
      </c>
      <c r="TB1" t="e">
        <f>+SUMIF([1]Cartera!$R:$R,$A1&amp;"_"&amp;TB$11,[1]Cartera!$J:$J)+SUMIF([1]Futuros!$AD:$AD,$A1&amp;"_"&amp;TB$11,[1]Futuros!$AK:$AK)+SUMIF([1]Opciones!$AF:$AF,$A1&amp;"_"&amp;TB$11,[1]Opciones!$AO:$AO)</f>
        <v>#VALUE!</v>
      </c>
      <c r="TC1" t="e">
        <f>+SUMIF([1]Cartera!$R:$R,$A1&amp;"_"&amp;TC$11,[1]Cartera!$J:$J)+SUMIF([1]Futuros!$AD:$AD,$A1&amp;"_"&amp;TC$11,[1]Futuros!$AK:$AK)+SUMIF([1]Opciones!$AF:$AF,$A1&amp;"_"&amp;TC$11,[1]Opciones!$AO:$AO)</f>
        <v>#VALUE!</v>
      </c>
      <c r="TD1" t="e">
        <f>+SUMIF([1]Cartera!$R:$R,$A1&amp;"_"&amp;TD$11,[1]Cartera!$J:$J)+SUMIF([1]Futuros!$AD:$AD,$A1&amp;"_"&amp;TD$11,[1]Futuros!$AK:$AK)+SUMIF([1]Opciones!$AF:$AF,$A1&amp;"_"&amp;TD$11,[1]Opciones!$AO:$AO)</f>
        <v>#VALUE!</v>
      </c>
      <c r="TE1" t="e">
        <f>+SUMIF([1]Cartera!$R:$R,$A1&amp;"_"&amp;TE$11,[1]Cartera!$J:$J)+SUMIF([1]Futuros!$AD:$AD,$A1&amp;"_"&amp;TE$11,[1]Futuros!$AK:$AK)+SUMIF([1]Opciones!$AF:$AF,$A1&amp;"_"&amp;TE$11,[1]Opciones!$AO:$AO)</f>
        <v>#VALUE!</v>
      </c>
      <c r="TF1" t="e">
        <f>+SUMIF([1]Cartera!$R:$R,$A1&amp;"_"&amp;TF$11,[1]Cartera!$J:$J)+SUMIF([1]Futuros!$AD:$AD,$A1&amp;"_"&amp;TF$11,[1]Futuros!$AK:$AK)+SUMIF([1]Opciones!$AF:$AF,$A1&amp;"_"&amp;TF$11,[1]Opciones!$AO:$AO)</f>
        <v>#VALUE!</v>
      </c>
      <c r="TG1" t="e">
        <f>+SUMIF([1]Cartera!$R:$R,$A1&amp;"_"&amp;TG$11,[1]Cartera!$J:$J)+SUMIF([1]Futuros!$AD:$AD,$A1&amp;"_"&amp;TG$11,[1]Futuros!$AK:$AK)+SUMIF([1]Opciones!$AF:$AF,$A1&amp;"_"&amp;TG$11,[1]Opciones!$AO:$AO)</f>
        <v>#VALUE!</v>
      </c>
      <c r="TH1" t="e">
        <f>+SUMIF([1]Cartera!$R:$R,$A1&amp;"_"&amp;TH$11,[1]Cartera!$J:$J)+SUMIF([1]Futuros!$AD:$AD,$A1&amp;"_"&amp;TH$11,[1]Futuros!$AK:$AK)+SUMIF([1]Opciones!$AF:$AF,$A1&amp;"_"&amp;TH$11,[1]Opciones!$AO:$AO)</f>
        <v>#VALUE!</v>
      </c>
      <c r="TI1" t="e">
        <f>+SUMIF([1]Cartera!$R:$R,$A1&amp;"_"&amp;TI$11,[1]Cartera!$J:$J)+SUMIF([1]Futuros!$AD:$AD,$A1&amp;"_"&amp;TI$11,[1]Futuros!$AK:$AK)+SUMIF([1]Opciones!$AF:$AF,$A1&amp;"_"&amp;TI$11,[1]Opciones!$AO:$AO)</f>
        <v>#VALUE!</v>
      </c>
      <c r="TJ1" t="e">
        <f>+SUMIF([1]Cartera!$R:$R,$A1&amp;"_"&amp;TJ$11,[1]Cartera!$J:$J)+SUMIF([1]Futuros!$AD:$AD,$A1&amp;"_"&amp;TJ$11,[1]Futuros!$AK:$AK)+SUMIF([1]Opciones!$AF:$AF,$A1&amp;"_"&amp;TJ$11,[1]Opciones!$AO:$AO)</f>
        <v>#VALUE!</v>
      </c>
      <c r="TK1" t="e">
        <f>+SUMIF([1]Cartera!$R:$R,$A1&amp;"_"&amp;TK$11,[1]Cartera!$J:$J)+SUMIF([1]Futuros!$AD:$AD,$A1&amp;"_"&amp;TK$11,[1]Futuros!$AK:$AK)+SUMIF([1]Opciones!$AF:$AF,$A1&amp;"_"&amp;TK$11,[1]Opciones!$AO:$AO)</f>
        <v>#VALUE!</v>
      </c>
      <c r="TL1" t="e">
        <f>+SUMIF([1]Cartera!$R:$R,$A1&amp;"_"&amp;TL$11,[1]Cartera!$J:$J)+SUMIF([1]Futuros!$AD:$AD,$A1&amp;"_"&amp;TL$11,[1]Futuros!$AK:$AK)+SUMIF([1]Opciones!$AF:$AF,$A1&amp;"_"&amp;TL$11,[1]Opciones!$AO:$AO)</f>
        <v>#VALUE!</v>
      </c>
      <c r="TM1" t="e">
        <f>+SUMIF([1]Cartera!$R:$R,$A1&amp;"_"&amp;TM$11,[1]Cartera!$J:$J)+SUMIF([1]Futuros!$AD:$AD,$A1&amp;"_"&amp;TM$11,[1]Futuros!$AK:$AK)+SUMIF([1]Opciones!$AF:$AF,$A1&amp;"_"&amp;TM$11,[1]Opciones!$AO:$AO)</f>
        <v>#VALUE!</v>
      </c>
      <c r="TN1" t="e">
        <f>+SUMIF([1]Cartera!$R:$R,$A1&amp;"_"&amp;TN$11,[1]Cartera!$J:$J)+SUMIF([1]Futuros!$AD:$AD,$A1&amp;"_"&amp;TN$11,[1]Futuros!$AK:$AK)+SUMIF([1]Opciones!$AF:$AF,$A1&amp;"_"&amp;TN$11,[1]Opciones!$AO:$AO)</f>
        <v>#VALUE!</v>
      </c>
      <c r="TO1" t="e">
        <f>+SUMIF([1]Cartera!$R:$R,$A1&amp;"_"&amp;TO$11,[1]Cartera!$J:$J)+SUMIF([1]Futuros!$AD:$AD,$A1&amp;"_"&amp;TO$11,[1]Futuros!$AK:$AK)+SUMIF([1]Opciones!$AF:$AF,$A1&amp;"_"&amp;TO$11,[1]Opciones!$AO:$AO)</f>
        <v>#VALUE!</v>
      </c>
      <c r="TP1" t="e">
        <f>+SUMIF([1]Cartera!$R:$R,$A1&amp;"_"&amp;TP$11,[1]Cartera!$J:$J)+SUMIF([1]Futuros!$AD:$AD,$A1&amp;"_"&amp;TP$11,[1]Futuros!$AK:$AK)+SUMIF([1]Opciones!$AF:$AF,$A1&amp;"_"&amp;TP$11,[1]Opciones!$AO:$AO)</f>
        <v>#VALUE!</v>
      </c>
      <c r="TQ1" t="e">
        <f>+SUMIF([1]Cartera!$R:$R,$A1&amp;"_"&amp;TQ$11,[1]Cartera!$J:$J)+SUMIF([1]Futuros!$AD:$AD,$A1&amp;"_"&amp;TQ$11,[1]Futuros!$AK:$AK)+SUMIF([1]Opciones!$AF:$AF,$A1&amp;"_"&amp;TQ$11,[1]Opciones!$AO:$AO)</f>
        <v>#VALUE!</v>
      </c>
      <c r="TR1" t="e">
        <f>+SUMIF([1]Cartera!$R:$R,$A1&amp;"_"&amp;TR$11,[1]Cartera!$J:$J)+SUMIF([1]Futuros!$AD:$AD,$A1&amp;"_"&amp;TR$11,[1]Futuros!$AK:$AK)+SUMIF([1]Opciones!$AF:$AF,$A1&amp;"_"&amp;TR$11,[1]Opciones!$AO:$AO)</f>
        <v>#VALUE!</v>
      </c>
      <c r="TS1" t="e">
        <f>+SUMIF([1]Cartera!$R:$R,$A1&amp;"_"&amp;TS$11,[1]Cartera!$J:$J)+SUMIF([1]Futuros!$AD:$AD,$A1&amp;"_"&amp;TS$11,[1]Futuros!$AK:$AK)+SUMIF([1]Opciones!$AF:$AF,$A1&amp;"_"&amp;TS$11,[1]Opciones!$AO:$AO)</f>
        <v>#VALUE!</v>
      </c>
      <c r="TT1" t="e">
        <f>+SUMIF([1]Cartera!$R:$R,$A1&amp;"_"&amp;TT$11,[1]Cartera!$J:$J)+SUMIF([1]Futuros!$AD:$AD,$A1&amp;"_"&amp;TT$11,[1]Futuros!$AK:$AK)+SUMIF([1]Opciones!$AF:$AF,$A1&amp;"_"&amp;TT$11,[1]Opciones!$AO:$AO)</f>
        <v>#VALUE!</v>
      </c>
      <c r="TU1" t="e">
        <f>+SUMIF([1]Cartera!$R:$R,$A1&amp;"_"&amp;TU$11,[1]Cartera!$J:$J)+SUMIF([1]Futuros!$AD:$AD,$A1&amp;"_"&amp;TU$11,[1]Futuros!$AK:$AK)+SUMIF([1]Opciones!$AF:$AF,$A1&amp;"_"&amp;TU$11,[1]Opciones!$AO:$AO)</f>
        <v>#VALUE!</v>
      </c>
      <c r="TV1" t="e">
        <f>+SUMIF([1]Cartera!$R:$R,$A1&amp;"_"&amp;TV$11,[1]Cartera!$J:$J)+SUMIF([1]Futuros!$AD:$AD,$A1&amp;"_"&amp;TV$11,[1]Futuros!$AK:$AK)+SUMIF([1]Opciones!$AF:$AF,$A1&amp;"_"&amp;TV$11,[1]Opciones!$AO:$AO)</f>
        <v>#VALUE!</v>
      </c>
      <c r="TW1" t="e">
        <f>+SUMIF([1]Cartera!$R:$R,$A1&amp;"_"&amp;TW$11,[1]Cartera!$J:$J)+SUMIF([1]Futuros!$AD:$AD,$A1&amp;"_"&amp;TW$11,[1]Futuros!$AK:$AK)+SUMIF([1]Opciones!$AF:$AF,$A1&amp;"_"&amp;TW$11,[1]Opciones!$AO:$AO)</f>
        <v>#VALUE!</v>
      </c>
      <c r="TX1" t="e">
        <f>+SUMIF([1]Cartera!$R:$R,$A1&amp;"_"&amp;TX$11,[1]Cartera!$J:$J)+SUMIF([1]Futuros!$AD:$AD,$A1&amp;"_"&amp;TX$11,[1]Futuros!$AK:$AK)+SUMIF([1]Opciones!$AF:$AF,$A1&amp;"_"&amp;TX$11,[1]Opciones!$AO:$AO)</f>
        <v>#VALUE!</v>
      </c>
      <c r="TY1" t="e">
        <f>+SUMIF([1]Cartera!$R:$R,$A1&amp;"_"&amp;TY$11,[1]Cartera!$J:$J)+SUMIF([1]Futuros!$AD:$AD,$A1&amp;"_"&amp;TY$11,[1]Futuros!$AK:$AK)+SUMIF([1]Opciones!$AF:$AF,$A1&amp;"_"&amp;TY$11,[1]Opciones!$AO:$AO)</f>
        <v>#VALUE!</v>
      </c>
      <c r="TZ1" t="e">
        <f>+SUMIF([1]Cartera!$R:$R,$A1&amp;"_"&amp;TZ$11,[1]Cartera!$J:$J)+SUMIF([1]Futuros!$AD:$AD,$A1&amp;"_"&amp;TZ$11,[1]Futuros!$AK:$AK)+SUMIF([1]Opciones!$AF:$AF,$A1&amp;"_"&amp;TZ$11,[1]Opciones!$AO:$AO)</f>
        <v>#VALUE!</v>
      </c>
      <c r="UA1" t="e">
        <f>+SUMIF([1]Cartera!$R:$R,$A1&amp;"_"&amp;UA$11,[1]Cartera!$J:$J)+SUMIF([1]Futuros!$AD:$AD,$A1&amp;"_"&amp;UA$11,[1]Futuros!$AK:$AK)+SUMIF([1]Opciones!$AF:$AF,$A1&amp;"_"&amp;UA$11,[1]Opciones!$AO:$AO)</f>
        <v>#VALUE!</v>
      </c>
      <c r="UB1" t="e">
        <f>+SUMIF([1]Cartera!$R:$R,$A1&amp;"_"&amp;UB$11,[1]Cartera!$J:$J)+SUMIF([1]Futuros!$AD:$AD,$A1&amp;"_"&amp;UB$11,[1]Futuros!$AK:$AK)+SUMIF([1]Opciones!$AF:$AF,$A1&amp;"_"&amp;UB$11,[1]Opciones!$AO:$AO)</f>
        <v>#VALUE!</v>
      </c>
      <c r="UC1" t="e">
        <f>+SUMIF([1]Cartera!$R:$R,$A1&amp;"_"&amp;UC$11,[1]Cartera!$J:$J)+SUMIF([1]Futuros!$AD:$AD,$A1&amp;"_"&amp;UC$11,[1]Futuros!$AK:$AK)+SUMIF([1]Opciones!$AF:$AF,$A1&amp;"_"&amp;UC$11,[1]Opciones!$AO:$AO)</f>
        <v>#VALUE!</v>
      </c>
      <c r="UD1" t="e">
        <f>+SUMIF([1]Cartera!$R:$R,$A1&amp;"_"&amp;UD$11,[1]Cartera!$J:$J)+SUMIF([1]Futuros!$AD:$AD,$A1&amp;"_"&amp;UD$11,[1]Futuros!$AK:$AK)+SUMIF([1]Opciones!$AF:$AF,$A1&amp;"_"&amp;UD$11,[1]Opciones!$AO:$AO)</f>
        <v>#VALUE!</v>
      </c>
      <c r="UE1" t="e">
        <f>+SUMIF([1]Cartera!$R:$R,$A1&amp;"_"&amp;UE$11,[1]Cartera!$J:$J)+SUMIF([1]Futuros!$AD:$AD,$A1&amp;"_"&amp;UE$11,[1]Futuros!$AK:$AK)+SUMIF([1]Opciones!$AF:$AF,$A1&amp;"_"&amp;UE$11,[1]Opciones!$AO:$AO)</f>
        <v>#VALUE!</v>
      </c>
      <c r="UF1" t="e">
        <f>+SUMIF([1]Cartera!$R:$R,$A1&amp;"_"&amp;UF$11,[1]Cartera!$J:$J)+SUMIF([1]Futuros!$AD:$AD,$A1&amp;"_"&amp;UF$11,[1]Futuros!$AK:$AK)+SUMIF([1]Opciones!$AF:$AF,$A1&amp;"_"&amp;UF$11,[1]Opciones!$AO:$AO)</f>
        <v>#VALUE!</v>
      </c>
      <c r="UG1" t="e">
        <f>+SUMIF([1]Cartera!$R:$R,$A1&amp;"_"&amp;UG$11,[1]Cartera!$J:$J)+SUMIF([1]Futuros!$AD:$AD,$A1&amp;"_"&amp;UG$11,[1]Futuros!$AK:$AK)+SUMIF([1]Opciones!$AF:$AF,$A1&amp;"_"&amp;UG$11,[1]Opciones!$AO:$AO)</f>
        <v>#VALUE!</v>
      </c>
      <c r="UH1" t="e">
        <f>+SUMIF([1]Cartera!$R:$R,$A1&amp;"_"&amp;UH$11,[1]Cartera!$J:$J)+SUMIF([1]Futuros!$AD:$AD,$A1&amp;"_"&amp;UH$11,[1]Futuros!$AK:$AK)+SUMIF([1]Opciones!$AF:$AF,$A1&amp;"_"&amp;UH$11,[1]Opciones!$AO:$AO)</f>
        <v>#VALUE!</v>
      </c>
      <c r="UI1" t="e">
        <f>+SUMIF([1]Cartera!$R:$R,$A1&amp;"_"&amp;UI$11,[1]Cartera!$J:$J)+SUMIF([1]Futuros!$AD:$AD,$A1&amp;"_"&amp;UI$11,[1]Futuros!$AK:$AK)+SUMIF([1]Opciones!$AF:$AF,$A1&amp;"_"&amp;UI$11,[1]Opciones!$AO:$AO)</f>
        <v>#VALUE!</v>
      </c>
      <c r="UJ1" t="e">
        <f>+SUMIF([1]Cartera!$R:$R,$A1&amp;"_"&amp;UJ$11,[1]Cartera!$J:$J)+SUMIF([1]Futuros!$AD:$AD,$A1&amp;"_"&amp;UJ$11,[1]Futuros!$AK:$AK)+SUMIF([1]Opciones!$AF:$AF,$A1&amp;"_"&amp;UJ$11,[1]Opciones!$AO:$AO)</f>
        <v>#VALUE!</v>
      </c>
      <c r="UK1" t="e">
        <f>+SUMIF([1]Cartera!$R:$R,$A1&amp;"_"&amp;UK$11,[1]Cartera!$J:$J)+SUMIF([1]Futuros!$AD:$AD,$A1&amp;"_"&amp;UK$11,[1]Futuros!$AK:$AK)+SUMIF([1]Opciones!$AF:$AF,$A1&amp;"_"&amp;UK$11,[1]Opciones!$AO:$AO)</f>
        <v>#VALUE!</v>
      </c>
      <c r="UL1" t="e">
        <f>+SUMIF([1]Cartera!$R:$R,$A1&amp;"_"&amp;UL$11,[1]Cartera!$J:$J)+SUMIF([1]Futuros!$AD:$AD,$A1&amp;"_"&amp;UL$11,[1]Futuros!$AK:$AK)+SUMIF([1]Opciones!$AF:$AF,$A1&amp;"_"&amp;UL$11,[1]Opciones!$AO:$AO)</f>
        <v>#VALUE!</v>
      </c>
      <c r="UM1" t="e">
        <f>+SUMIF([1]Cartera!$R:$R,$A1&amp;"_"&amp;UM$11,[1]Cartera!$J:$J)+SUMIF([1]Futuros!$AD:$AD,$A1&amp;"_"&amp;UM$11,[1]Futuros!$AK:$AK)+SUMIF([1]Opciones!$AF:$AF,$A1&amp;"_"&amp;UM$11,[1]Opciones!$AO:$AO)</f>
        <v>#VALUE!</v>
      </c>
      <c r="UN1" t="e">
        <f>+SUMIF([1]Cartera!$R:$R,$A1&amp;"_"&amp;UN$11,[1]Cartera!$J:$J)+SUMIF([1]Futuros!$AD:$AD,$A1&amp;"_"&amp;UN$11,[1]Futuros!$AK:$AK)+SUMIF([1]Opciones!$AF:$AF,$A1&amp;"_"&amp;UN$11,[1]Opciones!$AO:$AO)</f>
        <v>#VALUE!</v>
      </c>
      <c r="UO1" t="e">
        <f>+SUMIF([1]Cartera!$R:$R,$A1&amp;"_"&amp;UO$11,[1]Cartera!$J:$J)+SUMIF([1]Futuros!$AD:$AD,$A1&amp;"_"&amp;UO$11,[1]Futuros!$AK:$AK)+SUMIF([1]Opciones!$AF:$AF,$A1&amp;"_"&amp;UO$11,[1]Opciones!$AO:$AO)</f>
        <v>#VALUE!</v>
      </c>
      <c r="UP1" t="e">
        <f>+SUMIF([1]Cartera!$R:$R,$A1&amp;"_"&amp;UP$11,[1]Cartera!$J:$J)+SUMIF([1]Futuros!$AD:$AD,$A1&amp;"_"&amp;UP$11,[1]Futuros!$AK:$AK)+SUMIF([1]Opciones!$AF:$AF,$A1&amp;"_"&amp;UP$11,[1]Opciones!$AO:$AO)</f>
        <v>#VALUE!</v>
      </c>
      <c r="UQ1" t="e">
        <f>+SUMIF([1]Cartera!$R:$R,$A1&amp;"_"&amp;UQ$11,[1]Cartera!$J:$J)+SUMIF([1]Futuros!$AD:$AD,$A1&amp;"_"&amp;UQ$11,[1]Futuros!$AK:$AK)+SUMIF([1]Opciones!$AF:$AF,$A1&amp;"_"&amp;UQ$11,[1]Opciones!$AO:$AO)</f>
        <v>#VALUE!</v>
      </c>
      <c r="UR1" t="e">
        <f>+SUMIF([1]Cartera!$R:$R,$A1&amp;"_"&amp;UR$11,[1]Cartera!$J:$J)+SUMIF([1]Futuros!$AD:$AD,$A1&amp;"_"&amp;UR$11,[1]Futuros!$AK:$AK)+SUMIF([1]Opciones!$AF:$AF,$A1&amp;"_"&amp;UR$11,[1]Opciones!$AO:$AO)</f>
        <v>#VALUE!</v>
      </c>
      <c r="US1" t="e">
        <f>+SUMIF([1]Cartera!$R:$R,$A1&amp;"_"&amp;US$11,[1]Cartera!$J:$J)+SUMIF([1]Futuros!$AD:$AD,$A1&amp;"_"&amp;US$11,[1]Futuros!$AK:$AK)+SUMIF([1]Opciones!$AF:$AF,$A1&amp;"_"&amp;US$11,[1]Opciones!$AO:$AO)</f>
        <v>#VALUE!</v>
      </c>
      <c r="UT1" t="e">
        <f>+SUMIF([1]Cartera!$R:$R,$A1&amp;"_"&amp;UT$11,[1]Cartera!$J:$J)+SUMIF([1]Futuros!$AD:$AD,$A1&amp;"_"&amp;UT$11,[1]Futuros!$AK:$AK)+SUMIF([1]Opciones!$AF:$AF,$A1&amp;"_"&amp;UT$11,[1]Opciones!$AO:$AO)</f>
        <v>#VALUE!</v>
      </c>
      <c r="UU1" t="e">
        <f>+SUMIF([1]Cartera!$R:$R,$A1&amp;"_"&amp;UU$11,[1]Cartera!$J:$J)+SUMIF([1]Futuros!$AD:$AD,$A1&amp;"_"&amp;UU$11,[1]Futuros!$AK:$AK)+SUMIF([1]Opciones!$AF:$AF,$A1&amp;"_"&amp;UU$11,[1]Opciones!$AO:$AO)</f>
        <v>#VALUE!</v>
      </c>
      <c r="UV1" t="e">
        <f>+SUMIF([1]Cartera!$R:$R,$A1&amp;"_"&amp;UV$11,[1]Cartera!$J:$J)+SUMIF([1]Futuros!$AD:$AD,$A1&amp;"_"&amp;UV$11,[1]Futuros!$AK:$AK)+SUMIF([1]Opciones!$AF:$AF,$A1&amp;"_"&amp;UV$11,[1]Opciones!$AO:$AO)</f>
        <v>#VALUE!</v>
      </c>
      <c r="UW1" t="e">
        <f>+SUMIF([1]Cartera!$R:$R,$A1&amp;"_"&amp;UW$11,[1]Cartera!$J:$J)+SUMIF([1]Futuros!$AD:$AD,$A1&amp;"_"&amp;UW$11,[1]Futuros!$AK:$AK)+SUMIF([1]Opciones!$AF:$AF,$A1&amp;"_"&amp;UW$11,[1]Opciones!$AO:$AO)</f>
        <v>#VALUE!</v>
      </c>
      <c r="UX1" t="e">
        <f>+SUMIF([1]Cartera!$R:$R,$A1&amp;"_"&amp;UX$11,[1]Cartera!$J:$J)+SUMIF([1]Futuros!$AD:$AD,$A1&amp;"_"&amp;UX$11,[1]Futuros!$AK:$AK)+SUMIF([1]Opciones!$AF:$AF,$A1&amp;"_"&amp;UX$11,[1]Opciones!$AO:$AO)</f>
        <v>#VALUE!</v>
      </c>
      <c r="UY1" t="e">
        <f>+SUMIF([1]Cartera!$R:$R,$A1&amp;"_"&amp;UY$11,[1]Cartera!$J:$J)+SUMIF([1]Futuros!$AD:$AD,$A1&amp;"_"&amp;UY$11,[1]Futuros!$AK:$AK)+SUMIF([1]Opciones!$AF:$AF,$A1&amp;"_"&amp;UY$11,[1]Opciones!$AO:$AO)</f>
        <v>#VALUE!</v>
      </c>
      <c r="UZ1" t="e">
        <f>+SUMIF([1]Cartera!$R:$R,$A1&amp;"_"&amp;UZ$11,[1]Cartera!$J:$J)+SUMIF([1]Futuros!$AD:$AD,$A1&amp;"_"&amp;UZ$11,[1]Futuros!$AK:$AK)+SUMIF([1]Opciones!$AF:$AF,$A1&amp;"_"&amp;UZ$11,[1]Opciones!$AO:$AO)</f>
        <v>#VALUE!</v>
      </c>
      <c r="VA1" t="e">
        <f>+SUMIF([1]Cartera!$R:$R,$A1&amp;"_"&amp;VA$11,[1]Cartera!$J:$J)+SUMIF([1]Futuros!$AD:$AD,$A1&amp;"_"&amp;VA$11,[1]Futuros!$AK:$AK)+SUMIF([1]Opciones!$AF:$AF,$A1&amp;"_"&amp;VA$11,[1]Opciones!$AO:$AO)</f>
        <v>#VALUE!</v>
      </c>
      <c r="VB1" t="e">
        <f>+SUMIF([1]Cartera!$R:$R,$A1&amp;"_"&amp;VB$11,[1]Cartera!$J:$J)+SUMIF([1]Futuros!$AD:$AD,$A1&amp;"_"&amp;VB$11,[1]Futuros!$AK:$AK)+SUMIF([1]Opciones!$AF:$AF,$A1&amp;"_"&amp;VB$11,[1]Opciones!$AO:$AO)</f>
        <v>#VALUE!</v>
      </c>
      <c r="VC1" t="e">
        <f>+SUMIF([1]Cartera!$R:$R,$A1&amp;"_"&amp;VC$11,[1]Cartera!$J:$J)+SUMIF([1]Futuros!$AD:$AD,$A1&amp;"_"&amp;VC$11,[1]Futuros!$AK:$AK)+SUMIF([1]Opciones!$AF:$AF,$A1&amp;"_"&amp;VC$11,[1]Opciones!$AO:$AO)</f>
        <v>#VALUE!</v>
      </c>
      <c r="VD1" t="e">
        <f>+SUMIF([1]Cartera!$R:$R,$A1&amp;"_"&amp;VD$11,[1]Cartera!$J:$J)+SUMIF([1]Futuros!$AD:$AD,$A1&amp;"_"&amp;VD$11,[1]Futuros!$AK:$AK)+SUMIF([1]Opciones!$AF:$AF,$A1&amp;"_"&amp;VD$11,[1]Opciones!$AO:$AO)</f>
        <v>#VALUE!</v>
      </c>
      <c r="VE1" t="e">
        <f>+SUMIF([1]Cartera!$R:$R,$A1&amp;"_"&amp;VE$11,[1]Cartera!$J:$J)+SUMIF([1]Futuros!$AD:$AD,$A1&amp;"_"&amp;VE$11,[1]Futuros!$AK:$AK)+SUMIF([1]Opciones!$AF:$AF,$A1&amp;"_"&amp;VE$11,[1]Opciones!$AO:$AO)</f>
        <v>#VALUE!</v>
      </c>
      <c r="VF1" t="e">
        <f>+SUMIF([1]Cartera!$R:$R,$A1&amp;"_"&amp;VF$11,[1]Cartera!$J:$J)+SUMIF([1]Futuros!$AD:$AD,$A1&amp;"_"&amp;VF$11,[1]Futuros!$AK:$AK)+SUMIF([1]Opciones!$AF:$AF,$A1&amp;"_"&amp;VF$11,[1]Opciones!$AO:$AO)</f>
        <v>#VALUE!</v>
      </c>
      <c r="VG1" t="e">
        <f>+SUMIF([1]Cartera!$R:$R,$A1&amp;"_"&amp;VG$11,[1]Cartera!$J:$J)+SUMIF([1]Futuros!$AD:$AD,$A1&amp;"_"&amp;VG$11,[1]Futuros!$AK:$AK)+SUMIF([1]Opciones!$AF:$AF,$A1&amp;"_"&amp;VG$11,[1]Opciones!$AO:$AO)</f>
        <v>#VALUE!</v>
      </c>
      <c r="VH1" t="e">
        <f>+SUMIF([1]Cartera!$R:$R,$A1&amp;"_"&amp;VH$11,[1]Cartera!$J:$J)+SUMIF([1]Futuros!$AD:$AD,$A1&amp;"_"&amp;VH$11,[1]Futuros!$AK:$AK)+SUMIF([1]Opciones!$AF:$AF,$A1&amp;"_"&amp;VH$11,[1]Opciones!$AO:$AO)</f>
        <v>#VALUE!</v>
      </c>
      <c r="VI1" t="e">
        <f>+SUMIF([1]Cartera!$R:$R,$A1&amp;"_"&amp;VI$11,[1]Cartera!$J:$J)+SUMIF([1]Futuros!$AD:$AD,$A1&amp;"_"&amp;VI$11,[1]Futuros!$AK:$AK)+SUMIF([1]Opciones!$AF:$AF,$A1&amp;"_"&amp;VI$11,[1]Opciones!$AO:$AO)</f>
        <v>#VALUE!</v>
      </c>
      <c r="VJ1" t="e">
        <f>+SUMIF([1]Cartera!$R:$R,$A1&amp;"_"&amp;VJ$11,[1]Cartera!$J:$J)+SUMIF([1]Futuros!$AD:$AD,$A1&amp;"_"&amp;VJ$11,[1]Futuros!$AK:$AK)+SUMIF([1]Opciones!$AF:$AF,$A1&amp;"_"&amp;VJ$11,[1]Opciones!$AO:$AO)</f>
        <v>#VALUE!</v>
      </c>
      <c r="VK1" t="e">
        <f>+SUMIF([1]Cartera!$R:$R,$A1&amp;"_"&amp;VK$11,[1]Cartera!$J:$J)+SUMIF([1]Futuros!$AD:$AD,$A1&amp;"_"&amp;VK$11,[1]Futuros!$AK:$AK)+SUMIF([1]Opciones!$AF:$AF,$A1&amp;"_"&amp;VK$11,[1]Opciones!$AO:$AO)</f>
        <v>#VALUE!</v>
      </c>
      <c r="VL1" t="e">
        <f>+SUMIF([1]Cartera!$R:$R,$A1&amp;"_"&amp;VL$11,[1]Cartera!$J:$J)+SUMIF([1]Futuros!$AD:$AD,$A1&amp;"_"&amp;VL$11,[1]Futuros!$AK:$AK)+SUMIF([1]Opciones!$AF:$AF,$A1&amp;"_"&amp;VL$11,[1]Opciones!$AO:$AO)</f>
        <v>#VALUE!</v>
      </c>
      <c r="VM1" t="e">
        <f>+SUMIF([1]Cartera!$R:$R,$A1&amp;"_"&amp;VM$11,[1]Cartera!$J:$J)+SUMIF([1]Futuros!$AD:$AD,$A1&amp;"_"&amp;VM$11,[1]Futuros!$AK:$AK)+SUMIF([1]Opciones!$AF:$AF,$A1&amp;"_"&amp;VM$11,[1]Opciones!$AO:$AO)</f>
        <v>#VALUE!</v>
      </c>
      <c r="VN1" t="e">
        <f>+SUMIF([1]Cartera!$R:$R,$A1&amp;"_"&amp;VN$11,[1]Cartera!$J:$J)+SUMIF([1]Futuros!$AD:$AD,$A1&amp;"_"&amp;VN$11,[1]Futuros!$AK:$AK)+SUMIF([1]Opciones!$AF:$AF,$A1&amp;"_"&amp;VN$11,[1]Opciones!$AO:$AO)</f>
        <v>#VALUE!</v>
      </c>
      <c r="VO1" t="e">
        <f>+SUMIF([1]Cartera!$R:$R,$A1&amp;"_"&amp;VO$11,[1]Cartera!$J:$J)+SUMIF([1]Futuros!$AD:$AD,$A1&amp;"_"&amp;VO$11,[1]Futuros!$AK:$AK)+SUMIF([1]Opciones!$AF:$AF,$A1&amp;"_"&amp;VO$11,[1]Opciones!$AO:$AO)</f>
        <v>#VALUE!</v>
      </c>
      <c r="VP1" t="e">
        <f>+SUMIF([1]Cartera!$R:$R,$A1&amp;"_"&amp;VP$11,[1]Cartera!$J:$J)+SUMIF([1]Futuros!$AD:$AD,$A1&amp;"_"&amp;VP$11,[1]Futuros!$AK:$AK)+SUMIF([1]Opciones!$AF:$AF,$A1&amp;"_"&amp;VP$11,[1]Opciones!$AO:$AO)</f>
        <v>#VALUE!</v>
      </c>
      <c r="VQ1" t="e">
        <f>+SUMIF([1]Cartera!$R:$R,$A1&amp;"_"&amp;VQ$11,[1]Cartera!$J:$J)+SUMIF([1]Futuros!$AD:$AD,$A1&amp;"_"&amp;VQ$11,[1]Futuros!$AK:$AK)+SUMIF([1]Opciones!$AF:$AF,$A1&amp;"_"&amp;VQ$11,[1]Opciones!$AO:$AO)</f>
        <v>#VALUE!</v>
      </c>
      <c r="VR1" t="e">
        <f>+SUMIF([1]Cartera!$R:$R,$A1&amp;"_"&amp;VR$11,[1]Cartera!$J:$J)+SUMIF([1]Futuros!$AD:$AD,$A1&amp;"_"&amp;VR$11,[1]Futuros!$AK:$AK)+SUMIF([1]Opciones!$AF:$AF,$A1&amp;"_"&amp;VR$11,[1]Opciones!$AO:$AO)</f>
        <v>#VALUE!</v>
      </c>
      <c r="VS1" t="e">
        <f>+SUMIF([1]Cartera!$R:$R,$A1&amp;"_"&amp;VS$11,[1]Cartera!$J:$J)+SUMIF([1]Futuros!$AD:$AD,$A1&amp;"_"&amp;VS$11,[1]Futuros!$AK:$AK)+SUMIF([1]Opciones!$AF:$AF,$A1&amp;"_"&amp;VS$11,[1]Opciones!$AO:$AO)</f>
        <v>#VALUE!</v>
      </c>
      <c r="VT1" t="e">
        <f>+SUMIF([1]Cartera!$R:$R,$A1&amp;"_"&amp;VT$11,[1]Cartera!$J:$J)+SUMIF([1]Futuros!$AD:$AD,$A1&amp;"_"&amp;VT$11,[1]Futuros!$AK:$AK)+SUMIF([1]Opciones!$AF:$AF,$A1&amp;"_"&amp;VT$11,[1]Opciones!$AO:$AO)</f>
        <v>#VALUE!</v>
      </c>
      <c r="VU1" t="e">
        <f>+SUMIF([1]Cartera!$R:$R,$A1&amp;"_"&amp;VU$11,[1]Cartera!$J:$J)+SUMIF([1]Futuros!$AD:$AD,$A1&amp;"_"&amp;VU$11,[1]Futuros!$AK:$AK)+SUMIF([1]Opciones!$AF:$AF,$A1&amp;"_"&amp;VU$11,[1]Opciones!$AO:$AO)</f>
        <v>#VALUE!</v>
      </c>
      <c r="VV1" t="e">
        <f>+SUMIF([1]Cartera!$R:$R,$A1&amp;"_"&amp;VV$11,[1]Cartera!$J:$J)+SUMIF([1]Futuros!$AD:$AD,$A1&amp;"_"&amp;VV$11,[1]Futuros!$AK:$AK)+SUMIF([1]Opciones!$AF:$AF,$A1&amp;"_"&amp;VV$11,[1]Opciones!$AO:$AO)</f>
        <v>#VALUE!</v>
      </c>
      <c r="VW1" t="e">
        <f>+SUMIF([1]Cartera!$R:$R,$A1&amp;"_"&amp;VW$11,[1]Cartera!$J:$J)+SUMIF([1]Futuros!$AD:$AD,$A1&amp;"_"&amp;VW$11,[1]Futuros!$AK:$AK)+SUMIF([1]Opciones!$AF:$AF,$A1&amp;"_"&amp;VW$11,[1]Opciones!$AO:$AO)</f>
        <v>#VALUE!</v>
      </c>
      <c r="VX1" t="e">
        <f>+SUMIF([1]Cartera!$R:$R,$A1&amp;"_"&amp;VX$11,[1]Cartera!$J:$J)+SUMIF([1]Futuros!$AD:$AD,$A1&amp;"_"&amp;VX$11,[1]Futuros!$AK:$AK)+SUMIF([1]Opciones!$AF:$AF,$A1&amp;"_"&amp;VX$11,[1]Opciones!$AO:$AO)</f>
        <v>#VALUE!</v>
      </c>
      <c r="VY1" t="e">
        <f>+SUMIF([1]Cartera!$R:$R,$A1&amp;"_"&amp;VY$11,[1]Cartera!$J:$J)+SUMIF([1]Futuros!$AD:$AD,$A1&amp;"_"&amp;VY$11,[1]Futuros!$AK:$AK)+SUMIF([1]Opciones!$AF:$AF,$A1&amp;"_"&amp;VY$11,[1]Opciones!$AO:$AO)</f>
        <v>#VALUE!</v>
      </c>
      <c r="VZ1" t="e">
        <f>+SUMIF([1]Cartera!$R:$R,$A1&amp;"_"&amp;VZ$11,[1]Cartera!$J:$J)+SUMIF([1]Futuros!$AD:$AD,$A1&amp;"_"&amp;VZ$11,[1]Futuros!$AK:$AK)+SUMIF([1]Opciones!$AF:$AF,$A1&amp;"_"&amp;VZ$11,[1]Opciones!$AO:$AO)</f>
        <v>#VALUE!</v>
      </c>
      <c r="WA1" t="e">
        <f>+SUMIF([1]Cartera!$R:$R,$A1&amp;"_"&amp;WA$11,[1]Cartera!$J:$J)+SUMIF([1]Futuros!$AD:$AD,$A1&amp;"_"&amp;WA$11,[1]Futuros!$AK:$AK)+SUMIF([1]Opciones!$AF:$AF,$A1&amp;"_"&amp;WA$11,[1]Opciones!$AO:$AO)</f>
        <v>#VALUE!</v>
      </c>
      <c r="WB1" t="e">
        <f>+SUMIF([1]Cartera!$R:$R,$A1&amp;"_"&amp;WB$11,[1]Cartera!$J:$J)+SUMIF([1]Futuros!$AD:$AD,$A1&amp;"_"&amp;WB$11,[1]Futuros!$AK:$AK)+SUMIF([1]Opciones!$AF:$AF,$A1&amp;"_"&amp;WB$11,[1]Opciones!$AO:$AO)</f>
        <v>#VALUE!</v>
      </c>
      <c r="WC1" t="e">
        <f>+SUMIF([1]Cartera!$R:$R,$A1&amp;"_"&amp;WC$11,[1]Cartera!$J:$J)+SUMIF([1]Futuros!$AD:$AD,$A1&amp;"_"&amp;WC$11,[1]Futuros!$AK:$AK)+SUMIF([1]Opciones!$AF:$AF,$A1&amp;"_"&amp;WC$11,[1]Opciones!$AO:$AO)</f>
        <v>#VALUE!</v>
      </c>
      <c r="WD1" t="e">
        <f>+SUMIF([1]Cartera!$R:$R,$A1&amp;"_"&amp;WD$11,[1]Cartera!$J:$J)+SUMIF([1]Futuros!$AD:$AD,$A1&amp;"_"&amp;WD$11,[1]Futuros!$AK:$AK)+SUMIF([1]Opciones!$AF:$AF,$A1&amp;"_"&amp;WD$11,[1]Opciones!$AO:$AO)</f>
        <v>#VALUE!</v>
      </c>
      <c r="WE1" t="e">
        <f>+SUMIF([1]Cartera!$R:$R,$A1&amp;"_"&amp;WE$11,[1]Cartera!$J:$J)+SUMIF([1]Futuros!$AD:$AD,$A1&amp;"_"&amp;WE$11,[1]Futuros!$AK:$AK)+SUMIF([1]Opciones!$AF:$AF,$A1&amp;"_"&amp;WE$11,[1]Opciones!$AO:$AO)</f>
        <v>#VALUE!</v>
      </c>
      <c r="WF1" t="e">
        <f>+SUMIF([1]Cartera!$R:$R,$A1&amp;"_"&amp;WF$11,[1]Cartera!$J:$J)+SUMIF([1]Futuros!$AD:$AD,$A1&amp;"_"&amp;WF$11,[1]Futuros!$AK:$AK)+SUMIF([1]Opciones!$AF:$AF,$A1&amp;"_"&amp;WF$11,[1]Opciones!$AO:$AO)</f>
        <v>#VALUE!</v>
      </c>
      <c r="WG1" t="e">
        <f>+SUMIF([1]Cartera!$R:$R,$A1&amp;"_"&amp;WG$11,[1]Cartera!$J:$J)+SUMIF([1]Futuros!$AD:$AD,$A1&amp;"_"&amp;WG$11,[1]Futuros!$AK:$AK)+SUMIF([1]Opciones!$AF:$AF,$A1&amp;"_"&amp;WG$11,[1]Opciones!$AO:$AO)</f>
        <v>#VALUE!</v>
      </c>
      <c r="WH1" t="e">
        <f>+SUMIF([1]Cartera!$R:$R,$A1&amp;"_"&amp;WH$11,[1]Cartera!$J:$J)+SUMIF([1]Futuros!$AD:$AD,$A1&amp;"_"&amp;WH$11,[1]Futuros!$AK:$AK)+SUMIF([1]Opciones!$AF:$AF,$A1&amp;"_"&amp;WH$11,[1]Opciones!$AO:$AO)</f>
        <v>#VALUE!</v>
      </c>
      <c r="WI1" t="e">
        <f>+SUMIF([1]Cartera!$R:$R,$A1&amp;"_"&amp;WI$11,[1]Cartera!$J:$J)+SUMIF([1]Futuros!$AD:$AD,$A1&amp;"_"&amp;WI$11,[1]Futuros!$AK:$AK)+SUMIF([1]Opciones!$AF:$AF,$A1&amp;"_"&amp;WI$11,[1]Opciones!$AO:$AO)</f>
        <v>#VALUE!</v>
      </c>
      <c r="WJ1" t="e">
        <f>+SUMIF([1]Cartera!$R:$R,$A1&amp;"_"&amp;WJ$11,[1]Cartera!$J:$J)+SUMIF([1]Futuros!$AD:$AD,$A1&amp;"_"&amp;WJ$11,[1]Futuros!$AK:$AK)+SUMIF([1]Opciones!$AF:$AF,$A1&amp;"_"&amp;WJ$11,[1]Opciones!$AO:$AO)</f>
        <v>#VALUE!</v>
      </c>
      <c r="WK1" t="e">
        <f>+SUMIF([1]Cartera!$R:$R,$A1&amp;"_"&amp;WK$11,[1]Cartera!$J:$J)+SUMIF([1]Futuros!$AD:$AD,$A1&amp;"_"&amp;WK$11,[1]Futuros!$AK:$AK)+SUMIF([1]Opciones!$AF:$AF,$A1&amp;"_"&amp;WK$11,[1]Opciones!$AO:$AO)</f>
        <v>#VALUE!</v>
      </c>
      <c r="WL1" t="e">
        <f>+SUMIF([1]Cartera!$R:$R,$A1&amp;"_"&amp;WL$11,[1]Cartera!$J:$J)+SUMIF([1]Futuros!$AD:$AD,$A1&amp;"_"&amp;WL$11,[1]Futuros!$AK:$AK)+SUMIF([1]Opciones!$AF:$AF,$A1&amp;"_"&amp;WL$11,[1]Opciones!$AO:$AO)</f>
        <v>#VALUE!</v>
      </c>
      <c r="WM1" t="e">
        <f>+SUMIF([1]Cartera!$R:$R,$A1&amp;"_"&amp;WM$11,[1]Cartera!$J:$J)+SUMIF([1]Futuros!$AD:$AD,$A1&amp;"_"&amp;WM$11,[1]Futuros!$AK:$AK)+SUMIF([1]Opciones!$AF:$AF,$A1&amp;"_"&amp;WM$11,[1]Opciones!$AO:$AO)</f>
        <v>#VALUE!</v>
      </c>
      <c r="WN1" t="e">
        <f>+SUMIF([1]Cartera!$R:$R,$A1&amp;"_"&amp;WN$11,[1]Cartera!$J:$J)+SUMIF([1]Futuros!$AD:$AD,$A1&amp;"_"&amp;WN$11,[1]Futuros!$AK:$AK)+SUMIF([1]Opciones!$AF:$AF,$A1&amp;"_"&amp;WN$11,[1]Opciones!$AO:$AO)</f>
        <v>#VALUE!</v>
      </c>
      <c r="WO1" t="e">
        <f>+SUMIF([1]Cartera!$R:$R,$A1&amp;"_"&amp;WO$11,[1]Cartera!$J:$J)+SUMIF([1]Futuros!$AD:$AD,$A1&amp;"_"&amp;WO$11,[1]Futuros!$AK:$AK)+SUMIF([1]Opciones!$AF:$AF,$A1&amp;"_"&amp;WO$11,[1]Opciones!$AO:$AO)</f>
        <v>#VALUE!</v>
      </c>
      <c r="WP1" t="e">
        <f>+SUMIF([1]Cartera!$R:$R,$A1&amp;"_"&amp;WP$11,[1]Cartera!$J:$J)+SUMIF([1]Futuros!$AD:$AD,$A1&amp;"_"&amp;WP$11,[1]Futuros!$AK:$AK)+SUMIF([1]Opciones!$AF:$AF,$A1&amp;"_"&amp;WP$11,[1]Opciones!$AO:$AO)</f>
        <v>#VALUE!</v>
      </c>
      <c r="WQ1" t="e">
        <f>+SUMIF([1]Cartera!$R:$R,$A1&amp;"_"&amp;WQ$11,[1]Cartera!$J:$J)+SUMIF([1]Futuros!$AD:$AD,$A1&amp;"_"&amp;WQ$11,[1]Futuros!$AK:$AK)+SUMIF([1]Opciones!$AF:$AF,$A1&amp;"_"&amp;WQ$11,[1]Opciones!$AO:$AO)</f>
        <v>#VALUE!</v>
      </c>
      <c r="WR1" t="e">
        <f>+SUMIF([1]Cartera!$R:$R,$A1&amp;"_"&amp;WR$11,[1]Cartera!$J:$J)+SUMIF([1]Futuros!$AD:$AD,$A1&amp;"_"&amp;WR$11,[1]Futuros!$AK:$AK)+SUMIF([1]Opciones!$AF:$AF,$A1&amp;"_"&amp;WR$11,[1]Opciones!$AO:$AO)</f>
        <v>#VALUE!</v>
      </c>
      <c r="WS1" t="e">
        <f>+SUMIF([1]Cartera!$R:$R,$A1&amp;"_"&amp;WS$11,[1]Cartera!$J:$J)+SUMIF([1]Futuros!$AD:$AD,$A1&amp;"_"&amp;WS$11,[1]Futuros!$AK:$AK)+SUMIF([1]Opciones!$AF:$AF,$A1&amp;"_"&amp;WS$11,[1]Opciones!$AO:$AO)</f>
        <v>#VALUE!</v>
      </c>
      <c r="WT1" t="e">
        <f>+SUMIF([1]Cartera!$R:$R,$A1&amp;"_"&amp;WT$11,[1]Cartera!$J:$J)+SUMIF([1]Futuros!$AD:$AD,$A1&amp;"_"&amp;WT$11,[1]Futuros!$AK:$AK)+SUMIF([1]Opciones!$AF:$AF,$A1&amp;"_"&amp;WT$11,[1]Opciones!$AO:$AO)</f>
        <v>#VALUE!</v>
      </c>
      <c r="WU1" t="e">
        <f>+SUMIF([1]Cartera!$R:$R,$A1&amp;"_"&amp;WU$11,[1]Cartera!$J:$J)+SUMIF([1]Futuros!$AD:$AD,$A1&amp;"_"&amp;WU$11,[1]Futuros!$AK:$AK)+SUMIF([1]Opciones!$AF:$AF,$A1&amp;"_"&amp;WU$11,[1]Opciones!$AO:$AO)</f>
        <v>#VALUE!</v>
      </c>
      <c r="WV1" t="e">
        <f>+SUMIF([1]Cartera!$R:$R,$A1&amp;"_"&amp;WV$11,[1]Cartera!$J:$J)+SUMIF([1]Futuros!$AD:$AD,$A1&amp;"_"&amp;WV$11,[1]Futuros!$AK:$AK)+SUMIF([1]Opciones!$AF:$AF,$A1&amp;"_"&amp;WV$11,[1]Opciones!$AO:$AO)</f>
        <v>#VALUE!</v>
      </c>
      <c r="WW1" t="e">
        <f>+SUMIF([1]Cartera!$R:$R,$A1&amp;"_"&amp;WW$11,[1]Cartera!$J:$J)+SUMIF([1]Futuros!$AD:$AD,$A1&amp;"_"&amp;WW$11,[1]Futuros!$AK:$AK)+SUMIF([1]Opciones!$AF:$AF,$A1&amp;"_"&amp;WW$11,[1]Opciones!$AO:$AO)</f>
        <v>#VALUE!</v>
      </c>
      <c r="WX1" t="e">
        <f>+SUMIF([1]Cartera!$R:$R,$A1&amp;"_"&amp;WX$11,[1]Cartera!$J:$J)+SUMIF([1]Futuros!$AD:$AD,$A1&amp;"_"&amp;WX$11,[1]Futuros!$AK:$AK)+SUMIF([1]Opciones!$AF:$AF,$A1&amp;"_"&amp;WX$11,[1]Opciones!$AO:$AO)</f>
        <v>#VALUE!</v>
      </c>
      <c r="WY1" t="e">
        <f>+SUMIF([1]Cartera!$R:$R,$A1&amp;"_"&amp;WY$11,[1]Cartera!$J:$J)+SUMIF([1]Futuros!$AD:$AD,$A1&amp;"_"&amp;WY$11,[1]Futuros!$AK:$AK)+SUMIF([1]Opciones!$AF:$AF,$A1&amp;"_"&amp;WY$11,[1]Opciones!$AO:$AO)</f>
        <v>#VALUE!</v>
      </c>
      <c r="WZ1" t="e">
        <f>+SUMIF([1]Cartera!$R:$R,$A1&amp;"_"&amp;WZ$11,[1]Cartera!$J:$J)+SUMIF([1]Futuros!$AD:$AD,$A1&amp;"_"&amp;WZ$11,[1]Futuros!$AK:$AK)+SUMIF([1]Opciones!$AF:$AF,$A1&amp;"_"&amp;WZ$11,[1]Opciones!$AO:$AO)</f>
        <v>#VALUE!</v>
      </c>
      <c r="XA1" t="e">
        <f>+SUMIF([1]Cartera!$R:$R,$A1&amp;"_"&amp;XA$11,[1]Cartera!$J:$J)+SUMIF([1]Futuros!$AD:$AD,$A1&amp;"_"&amp;XA$11,[1]Futuros!$AK:$AK)+SUMIF([1]Opciones!$AF:$AF,$A1&amp;"_"&amp;XA$11,[1]Opciones!$AO:$AO)</f>
        <v>#VALUE!</v>
      </c>
      <c r="XB1" t="e">
        <f>+SUMIF([1]Cartera!$R:$R,$A1&amp;"_"&amp;XB$11,[1]Cartera!$J:$J)+SUMIF([1]Futuros!$AD:$AD,$A1&amp;"_"&amp;XB$11,[1]Futuros!$AK:$AK)+SUMIF([1]Opciones!$AF:$AF,$A1&amp;"_"&amp;XB$11,[1]Opciones!$AO:$AO)</f>
        <v>#VALUE!</v>
      </c>
      <c r="XC1" t="e">
        <f>+SUMIF([1]Cartera!$R:$R,$A1&amp;"_"&amp;XC$11,[1]Cartera!$J:$J)+SUMIF([1]Futuros!$AD:$AD,$A1&amp;"_"&amp;XC$11,[1]Futuros!$AK:$AK)+SUMIF([1]Opciones!$AF:$AF,$A1&amp;"_"&amp;XC$11,[1]Opciones!$AO:$AO)</f>
        <v>#VALUE!</v>
      </c>
      <c r="XD1" t="e">
        <f>+SUMIF([1]Cartera!$R:$R,$A1&amp;"_"&amp;XD$11,[1]Cartera!$J:$J)+SUMIF([1]Futuros!$AD:$AD,$A1&amp;"_"&amp;XD$11,[1]Futuros!$AK:$AK)+SUMIF([1]Opciones!$AF:$AF,$A1&amp;"_"&amp;XD$11,[1]Opciones!$AO:$AO)</f>
        <v>#VALUE!</v>
      </c>
      <c r="XE1" t="e">
        <f>+SUMIF([1]Cartera!$R:$R,$A1&amp;"_"&amp;XE$11,[1]Cartera!$J:$J)+SUMIF([1]Futuros!$AD:$AD,$A1&amp;"_"&amp;XE$11,[1]Futuros!$AK:$AK)+SUMIF([1]Opciones!$AF:$AF,$A1&amp;"_"&amp;XE$11,[1]Opciones!$AO:$AO)</f>
        <v>#VALUE!</v>
      </c>
      <c r="XF1" t="e">
        <f>+SUMIF([1]Cartera!$R:$R,$A1&amp;"_"&amp;XF$11,[1]Cartera!$J:$J)+SUMIF([1]Futuros!$AD:$AD,$A1&amp;"_"&amp;XF$11,[1]Futuros!$AK:$AK)+SUMIF([1]Opciones!$AF:$AF,$A1&amp;"_"&amp;XF$11,[1]Opciones!$AO:$AO)</f>
        <v>#VALUE!</v>
      </c>
      <c r="XG1" t="e">
        <f>+SUMIF([1]Cartera!$R:$R,$A1&amp;"_"&amp;XG$11,[1]Cartera!$J:$J)+SUMIF([1]Futuros!$AD:$AD,$A1&amp;"_"&amp;XG$11,[1]Futuros!$AK:$AK)+SUMIF([1]Opciones!$AF:$AF,$A1&amp;"_"&amp;XG$11,[1]Opciones!$AO:$AO)</f>
        <v>#VALUE!</v>
      </c>
      <c r="XH1" t="e">
        <f>+SUMIF([1]Cartera!$R:$R,$A1&amp;"_"&amp;XH$11,[1]Cartera!$J:$J)+SUMIF([1]Futuros!$AD:$AD,$A1&amp;"_"&amp;XH$11,[1]Futuros!$AK:$AK)+SUMIF([1]Opciones!$AF:$AF,$A1&amp;"_"&amp;XH$11,[1]Opciones!$AO:$AO)</f>
        <v>#VALUE!</v>
      </c>
      <c r="XI1" t="e">
        <f>+SUMIF([1]Cartera!$R:$R,$A1&amp;"_"&amp;XI$11,[1]Cartera!$J:$J)+SUMIF([1]Futuros!$AD:$AD,$A1&amp;"_"&amp;XI$11,[1]Futuros!$AK:$AK)+SUMIF([1]Opciones!$AF:$AF,$A1&amp;"_"&amp;XI$11,[1]Opciones!$AO:$AO)</f>
        <v>#VALUE!</v>
      </c>
      <c r="XJ1" t="e">
        <f>+SUMIF([1]Cartera!$R:$R,$A1&amp;"_"&amp;XJ$11,[1]Cartera!$J:$J)+SUMIF([1]Futuros!$AD:$AD,$A1&amp;"_"&amp;XJ$11,[1]Futuros!$AK:$AK)+SUMIF([1]Opciones!$AF:$AF,$A1&amp;"_"&amp;XJ$11,[1]Opciones!$AO:$AO)</f>
        <v>#VALUE!</v>
      </c>
      <c r="XK1" t="e">
        <f>+SUMIF([1]Cartera!$R:$R,$A1&amp;"_"&amp;XK$11,[1]Cartera!$J:$J)+SUMIF([1]Futuros!$AD:$AD,$A1&amp;"_"&amp;XK$11,[1]Futuros!$AK:$AK)+SUMIF([1]Opciones!$AF:$AF,$A1&amp;"_"&amp;XK$11,[1]Opciones!$AO:$AO)</f>
        <v>#VALUE!</v>
      </c>
      <c r="XL1" t="e">
        <f>+SUMIF([1]Cartera!$R:$R,$A1&amp;"_"&amp;XL$11,[1]Cartera!$J:$J)+SUMIF([1]Futuros!$AD:$AD,$A1&amp;"_"&amp;XL$11,[1]Futuros!$AK:$AK)+SUMIF([1]Opciones!$AF:$AF,$A1&amp;"_"&amp;XL$11,[1]Opciones!$AO:$AO)</f>
        <v>#VALUE!</v>
      </c>
      <c r="XM1" t="e">
        <f>+SUMIF([1]Cartera!$R:$R,$A1&amp;"_"&amp;XM$11,[1]Cartera!$J:$J)+SUMIF([1]Futuros!$AD:$AD,$A1&amp;"_"&amp;XM$11,[1]Futuros!$AK:$AK)+SUMIF([1]Opciones!$AF:$AF,$A1&amp;"_"&amp;XM$11,[1]Opciones!$AO:$AO)</f>
        <v>#VALUE!</v>
      </c>
      <c r="XN1" t="e">
        <f>+SUMIF([1]Cartera!$R:$R,$A1&amp;"_"&amp;XN$11,[1]Cartera!$J:$J)+SUMIF([1]Futuros!$AD:$AD,$A1&amp;"_"&amp;XN$11,[1]Futuros!$AK:$AK)+SUMIF([1]Opciones!$AF:$AF,$A1&amp;"_"&amp;XN$11,[1]Opciones!$AO:$AO)</f>
        <v>#VALUE!</v>
      </c>
      <c r="XO1" t="e">
        <f>+SUMIF([1]Cartera!$R:$R,$A1&amp;"_"&amp;XO$11,[1]Cartera!$J:$J)+SUMIF([1]Futuros!$AD:$AD,$A1&amp;"_"&amp;XO$11,[1]Futuros!$AK:$AK)+SUMIF([1]Opciones!$AF:$AF,$A1&amp;"_"&amp;XO$11,[1]Opciones!$AO:$AO)</f>
        <v>#VALUE!</v>
      </c>
      <c r="XP1" t="e">
        <f>+SUMIF([1]Cartera!$R:$R,$A1&amp;"_"&amp;XP$11,[1]Cartera!$J:$J)+SUMIF([1]Futuros!$AD:$AD,$A1&amp;"_"&amp;XP$11,[1]Futuros!$AK:$AK)+SUMIF([1]Opciones!$AF:$AF,$A1&amp;"_"&amp;XP$11,[1]Opciones!$AO:$AO)</f>
        <v>#VALUE!</v>
      </c>
      <c r="XQ1" t="e">
        <f>+SUMIF([1]Cartera!$R:$R,$A1&amp;"_"&amp;XQ$11,[1]Cartera!$J:$J)+SUMIF([1]Futuros!$AD:$AD,$A1&amp;"_"&amp;XQ$11,[1]Futuros!$AK:$AK)+SUMIF([1]Opciones!$AF:$AF,$A1&amp;"_"&amp;XQ$11,[1]Opciones!$AO:$AO)</f>
        <v>#VALUE!</v>
      </c>
      <c r="XR1" t="e">
        <f>+SUMIF([1]Cartera!$R:$R,$A1&amp;"_"&amp;XR$11,[1]Cartera!$J:$J)+SUMIF([1]Futuros!$AD:$AD,$A1&amp;"_"&amp;XR$11,[1]Futuros!$AK:$AK)+SUMIF([1]Opciones!$AF:$AF,$A1&amp;"_"&amp;XR$11,[1]Opciones!$AO:$AO)</f>
        <v>#VALUE!</v>
      </c>
      <c r="XS1" t="e">
        <f>+SUMIF([1]Cartera!$R:$R,$A1&amp;"_"&amp;XS$11,[1]Cartera!$J:$J)+SUMIF([1]Futuros!$AD:$AD,$A1&amp;"_"&amp;XS$11,[1]Futuros!$AK:$AK)+SUMIF([1]Opciones!$AF:$AF,$A1&amp;"_"&amp;XS$11,[1]Opciones!$AO:$AO)</f>
        <v>#VALUE!</v>
      </c>
      <c r="XT1" t="e">
        <f>+SUMIF([1]Cartera!$R:$R,$A1&amp;"_"&amp;XT$11,[1]Cartera!$J:$J)+SUMIF([1]Futuros!$AD:$AD,$A1&amp;"_"&amp;XT$11,[1]Futuros!$AK:$AK)+SUMIF([1]Opciones!$AF:$AF,$A1&amp;"_"&amp;XT$11,[1]Opciones!$AO:$AO)</f>
        <v>#VALUE!</v>
      </c>
      <c r="XU1" t="e">
        <f>+SUMIF([1]Cartera!$R:$R,$A1&amp;"_"&amp;XU$11,[1]Cartera!$J:$J)+SUMIF([1]Futuros!$AD:$AD,$A1&amp;"_"&amp;XU$11,[1]Futuros!$AK:$AK)+SUMIF([1]Opciones!$AF:$AF,$A1&amp;"_"&amp;XU$11,[1]Opciones!$AO:$AO)</f>
        <v>#VALUE!</v>
      </c>
      <c r="XV1" t="e">
        <f>+SUMIF([1]Cartera!$R:$R,$A1&amp;"_"&amp;XV$11,[1]Cartera!$J:$J)+SUMIF([1]Futuros!$AD:$AD,$A1&amp;"_"&amp;XV$11,[1]Futuros!$AK:$AK)+SUMIF([1]Opciones!$AF:$AF,$A1&amp;"_"&amp;XV$11,[1]Opciones!$AO:$AO)</f>
        <v>#VALUE!</v>
      </c>
      <c r="XW1" t="e">
        <f>+SUMIF([1]Cartera!$R:$R,$A1&amp;"_"&amp;XW$11,[1]Cartera!$J:$J)+SUMIF([1]Futuros!$AD:$AD,$A1&amp;"_"&amp;XW$11,[1]Futuros!$AK:$AK)+SUMIF([1]Opciones!$AF:$AF,$A1&amp;"_"&amp;XW$11,[1]Opciones!$AO:$AO)</f>
        <v>#VALUE!</v>
      </c>
      <c r="XX1" t="e">
        <f>+SUMIF([1]Cartera!$R:$R,$A1&amp;"_"&amp;XX$11,[1]Cartera!$J:$J)+SUMIF([1]Futuros!$AD:$AD,$A1&amp;"_"&amp;XX$11,[1]Futuros!$AK:$AK)+SUMIF([1]Opciones!$AF:$AF,$A1&amp;"_"&amp;XX$11,[1]Opciones!$AO:$AO)</f>
        <v>#VALUE!</v>
      </c>
      <c r="XY1" t="e">
        <f>+SUMIF([1]Cartera!$R:$R,$A1&amp;"_"&amp;XY$11,[1]Cartera!$J:$J)+SUMIF([1]Futuros!$AD:$AD,$A1&amp;"_"&amp;XY$11,[1]Futuros!$AK:$AK)+SUMIF([1]Opciones!$AF:$AF,$A1&amp;"_"&amp;XY$11,[1]Opciones!$AO:$AO)</f>
        <v>#VALUE!</v>
      </c>
      <c r="XZ1" t="e">
        <f>+SUMIF([1]Cartera!$R:$R,$A1&amp;"_"&amp;XZ$11,[1]Cartera!$J:$J)+SUMIF([1]Futuros!$AD:$AD,$A1&amp;"_"&amp;XZ$11,[1]Futuros!$AK:$AK)+SUMIF([1]Opciones!$AF:$AF,$A1&amp;"_"&amp;XZ$11,[1]Opciones!$AO:$AO)</f>
        <v>#VALUE!</v>
      </c>
      <c r="YA1" t="e">
        <f>+SUMIF([1]Cartera!$R:$R,$A1&amp;"_"&amp;YA$11,[1]Cartera!$J:$J)+SUMIF([1]Futuros!$AD:$AD,$A1&amp;"_"&amp;YA$11,[1]Futuros!$AK:$AK)+SUMIF([1]Opciones!$AF:$AF,$A1&amp;"_"&amp;YA$11,[1]Opciones!$AO:$AO)</f>
        <v>#VALUE!</v>
      </c>
      <c r="YB1" t="e">
        <f>+SUMIF([1]Cartera!$R:$R,$A1&amp;"_"&amp;YB$11,[1]Cartera!$J:$J)+SUMIF([1]Futuros!$AD:$AD,$A1&amp;"_"&amp;YB$11,[1]Futuros!$AK:$AK)+SUMIF([1]Opciones!$AF:$AF,$A1&amp;"_"&amp;YB$11,[1]Opciones!$AO:$AO)</f>
        <v>#VALUE!</v>
      </c>
      <c r="YC1" t="e">
        <f>+SUMIF([1]Cartera!$R:$R,$A1&amp;"_"&amp;YC$11,[1]Cartera!$J:$J)+SUMIF([1]Futuros!$AD:$AD,$A1&amp;"_"&amp;YC$11,[1]Futuros!$AK:$AK)+SUMIF([1]Opciones!$AF:$AF,$A1&amp;"_"&amp;YC$11,[1]Opciones!$AO:$AO)</f>
        <v>#VALUE!</v>
      </c>
      <c r="YD1" t="e">
        <f>+SUMIF([1]Cartera!$R:$R,$A1&amp;"_"&amp;YD$11,[1]Cartera!$J:$J)+SUMIF([1]Futuros!$AD:$AD,$A1&amp;"_"&amp;YD$11,[1]Futuros!$AK:$AK)+SUMIF([1]Opciones!$AF:$AF,$A1&amp;"_"&amp;YD$11,[1]Opciones!$AO:$AO)</f>
        <v>#VALUE!</v>
      </c>
      <c r="YE1" t="e">
        <f>+SUMIF([1]Cartera!$R:$R,$A1&amp;"_"&amp;YE$11,[1]Cartera!$J:$J)+SUMIF([1]Futuros!$AD:$AD,$A1&amp;"_"&amp;YE$11,[1]Futuros!$AK:$AK)+SUMIF([1]Opciones!$AF:$AF,$A1&amp;"_"&amp;YE$11,[1]Opciones!$AO:$AO)</f>
        <v>#VALUE!</v>
      </c>
      <c r="YF1" t="e">
        <f>+SUMIF([1]Cartera!$R:$R,$A1&amp;"_"&amp;YF$11,[1]Cartera!$J:$J)+SUMIF([1]Futuros!$AD:$AD,$A1&amp;"_"&amp;YF$11,[1]Futuros!$AK:$AK)+SUMIF([1]Opciones!$AF:$AF,$A1&amp;"_"&amp;YF$11,[1]Opciones!$AO:$AO)</f>
        <v>#VALUE!</v>
      </c>
      <c r="YG1" t="e">
        <f>+SUMIF([1]Cartera!$R:$R,$A1&amp;"_"&amp;YG$11,[1]Cartera!$J:$J)+SUMIF([1]Futuros!$AD:$AD,$A1&amp;"_"&amp;YG$11,[1]Futuros!$AK:$AK)+SUMIF([1]Opciones!$AF:$AF,$A1&amp;"_"&amp;YG$11,[1]Opciones!$AO:$AO)</f>
        <v>#VALUE!</v>
      </c>
      <c r="YH1" t="e">
        <f>+SUMIF([1]Cartera!$R:$R,$A1&amp;"_"&amp;YH$11,[1]Cartera!$J:$J)+SUMIF([1]Futuros!$AD:$AD,$A1&amp;"_"&amp;YH$11,[1]Futuros!$AK:$AK)+SUMIF([1]Opciones!$AF:$AF,$A1&amp;"_"&amp;YH$11,[1]Opciones!$AO:$AO)</f>
        <v>#VALUE!</v>
      </c>
      <c r="YI1" t="e">
        <f>+SUMIF([1]Cartera!$R:$R,$A1&amp;"_"&amp;YI$11,[1]Cartera!$J:$J)+SUMIF([1]Futuros!$AD:$AD,$A1&amp;"_"&amp;YI$11,[1]Futuros!$AK:$AK)+SUMIF([1]Opciones!$AF:$AF,$A1&amp;"_"&amp;YI$11,[1]Opciones!$AO:$AO)</f>
        <v>#VALUE!</v>
      </c>
      <c r="YJ1" t="e">
        <f>+SUMIF([1]Cartera!$R:$R,$A1&amp;"_"&amp;YJ$11,[1]Cartera!$J:$J)+SUMIF([1]Futuros!$AD:$AD,$A1&amp;"_"&amp;YJ$11,[1]Futuros!$AK:$AK)+SUMIF([1]Opciones!$AF:$AF,$A1&amp;"_"&amp;YJ$11,[1]Opciones!$AO:$AO)</f>
        <v>#VALUE!</v>
      </c>
      <c r="YK1" t="e">
        <f>+SUMIF([1]Cartera!$R:$R,$A1&amp;"_"&amp;YK$11,[1]Cartera!$J:$J)+SUMIF([1]Futuros!$AD:$AD,$A1&amp;"_"&amp;YK$11,[1]Futuros!$AK:$AK)+SUMIF([1]Opciones!$AF:$AF,$A1&amp;"_"&amp;YK$11,[1]Opciones!$AO:$AO)</f>
        <v>#VALUE!</v>
      </c>
      <c r="YL1" t="e">
        <f>+SUMIF([1]Cartera!$R:$R,$A1&amp;"_"&amp;YL$11,[1]Cartera!$J:$J)+SUMIF([1]Futuros!$AD:$AD,$A1&amp;"_"&amp;YL$11,[1]Futuros!$AK:$AK)+SUMIF([1]Opciones!$AF:$AF,$A1&amp;"_"&amp;YL$11,[1]Opciones!$AO:$AO)</f>
        <v>#VALUE!</v>
      </c>
      <c r="YM1" t="e">
        <f>+SUMIF([1]Cartera!$R:$R,$A1&amp;"_"&amp;YM$11,[1]Cartera!$J:$J)+SUMIF([1]Futuros!$AD:$AD,$A1&amp;"_"&amp;YM$11,[1]Futuros!$AK:$AK)+SUMIF([1]Opciones!$AF:$AF,$A1&amp;"_"&amp;YM$11,[1]Opciones!$AO:$AO)</f>
        <v>#VALUE!</v>
      </c>
      <c r="YN1" t="e">
        <f>+SUMIF([1]Cartera!$R:$R,$A1&amp;"_"&amp;YN$11,[1]Cartera!$J:$J)+SUMIF([1]Futuros!$AD:$AD,$A1&amp;"_"&amp;YN$11,[1]Futuros!$AK:$AK)+SUMIF([1]Opciones!$AF:$AF,$A1&amp;"_"&amp;YN$11,[1]Opciones!$AO:$AO)</f>
        <v>#VALUE!</v>
      </c>
      <c r="YO1" t="e">
        <f>+SUMIF([1]Cartera!$R:$R,$A1&amp;"_"&amp;YO$11,[1]Cartera!$J:$J)+SUMIF([1]Futuros!$AD:$AD,$A1&amp;"_"&amp;YO$11,[1]Futuros!$AK:$AK)+SUMIF([1]Opciones!$AF:$AF,$A1&amp;"_"&amp;YO$11,[1]Opciones!$AO:$AO)</f>
        <v>#VALUE!</v>
      </c>
      <c r="YP1" t="e">
        <f>+SUMIF([1]Cartera!$R:$R,$A1&amp;"_"&amp;YP$11,[1]Cartera!$J:$J)+SUMIF([1]Futuros!$AD:$AD,$A1&amp;"_"&amp;YP$11,[1]Futuros!$AK:$AK)+SUMIF([1]Opciones!$AF:$AF,$A1&amp;"_"&amp;YP$11,[1]Opciones!$AO:$AO)</f>
        <v>#VALUE!</v>
      </c>
      <c r="YQ1" t="e">
        <f>+SUMIF([1]Cartera!$R:$R,$A1&amp;"_"&amp;YQ$11,[1]Cartera!$J:$J)+SUMIF([1]Futuros!$AD:$AD,$A1&amp;"_"&amp;YQ$11,[1]Futuros!$AK:$AK)+SUMIF([1]Opciones!$AF:$AF,$A1&amp;"_"&amp;YQ$11,[1]Opciones!$AO:$AO)</f>
        <v>#VALUE!</v>
      </c>
      <c r="YR1" t="e">
        <f>+SUMIF([1]Cartera!$R:$R,$A1&amp;"_"&amp;YR$11,[1]Cartera!$J:$J)+SUMIF([1]Futuros!$AD:$AD,$A1&amp;"_"&amp;YR$11,[1]Futuros!$AK:$AK)+SUMIF([1]Opciones!$AF:$AF,$A1&amp;"_"&amp;YR$11,[1]Opciones!$AO:$AO)</f>
        <v>#VALUE!</v>
      </c>
      <c r="YS1" t="e">
        <f>+SUMIF([1]Cartera!$R:$R,$A1&amp;"_"&amp;YS$11,[1]Cartera!$J:$J)+SUMIF([1]Futuros!$AD:$AD,$A1&amp;"_"&amp;YS$11,[1]Futuros!$AK:$AK)+SUMIF([1]Opciones!$AF:$AF,$A1&amp;"_"&amp;YS$11,[1]Opciones!$AO:$AO)</f>
        <v>#VALUE!</v>
      </c>
      <c r="YT1" t="e">
        <f>+SUMIF([1]Cartera!$R:$R,$A1&amp;"_"&amp;YT$11,[1]Cartera!$J:$J)+SUMIF([1]Futuros!$AD:$AD,$A1&amp;"_"&amp;YT$11,[1]Futuros!$AK:$AK)+SUMIF([1]Opciones!$AF:$AF,$A1&amp;"_"&amp;YT$11,[1]Opciones!$AO:$AO)</f>
        <v>#VALUE!</v>
      </c>
      <c r="YU1" t="e">
        <f>+SUMIF([1]Cartera!$R:$R,$A1&amp;"_"&amp;YU$11,[1]Cartera!$J:$J)+SUMIF([1]Futuros!$AD:$AD,$A1&amp;"_"&amp;YU$11,[1]Futuros!$AK:$AK)+SUMIF([1]Opciones!$AF:$AF,$A1&amp;"_"&amp;YU$11,[1]Opciones!$AO:$AO)</f>
        <v>#VALUE!</v>
      </c>
      <c r="YV1" t="e">
        <f>+SUMIF([1]Cartera!$R:$R,$A1&amp;"_"&amp;YV$11,[1]Cartera!$J:$J)+SUMIF([1]Futuros!$AD:$AD,$A1&amp;"_"&amp;YV$11,[1]Futuros!$AK:$AK)+SUMIF([1]Opciones!$AF:$AF,$A1&amp;"_"&amp;YV$11,[1]Opciones!$AO:$AO)</f>
        <v>#VALUE!</v>
      </c>
      <c r="YW1" t="e">
        <f>+SUMIF([1]Cartera!$R:$R,$A1&amp;"_"&amp;YW$11,[1]Cartera!$J:$J)+SUMIF([1]Futuros!$AD:$AD,$A1&amp;"_"&amp;YW$11,[1]Futuros!$AK:$AK)+SUMIF([1]Opciones!$AF:$AF,$A1&amp;"_"&amp;YW$11,[1]Opciones!$AO:$AO)</f>
        <v>#VALUE!</v>
      </c>
      <c r="YX1" t="e">
        <f>+SUMIF([1]Cartera!$R:$R,$A1&amp;"_"&amp;YX$11,[1]Cartera!$J:$J)+SUMIF([1]Futuros!$AD:$AD,$A1&amp;"_"&amp;YX$11,[1]Futuros!$AK:$AK)+SUMIF([1]Opciones!$AF:$AF,$A1&amp;"_"&amp;YX$11,[1]Opciones!$AO:$AO)</f>
        <v>#VALUE!</v>
      </c>
      <c r="YY1" t="e">
        <f>+SUMIF([1]Cartera!$R:$R,$A1&amp;"_"&amp;YY$11,[1]Cartera!$J:$J)+SUMIF([1]Futuros!$AD:$AD,$A1&amp;"_"&amp;YY$11,[1]Futuros!$AK:$AK)+SUMIF([1]Opciones!$AF:$AF,$A1&amp;"_"&amp;YY$11,[1]Opciones!$AO:$AO)</f>
        <v>#VALUE!</v>
      </c>
      <c r="YZ1" t="e">
        <f>+SUMIF([1]Cartera!$R:$R,$A1&amp;"_"&amp;YZ$11,[1]Cartera!$J:$J)+SUMIF([1]Futuros!$AD:$AD,$A1&amp;"_"&amp;YZ$11,[1]Futuros!$AK:$AK)+SUMIF([1]Opciones!$AF:$AF,$A1&amp;"_"&amp;YZ$11,[1]Opciones!$AO:$AO)</f>
        <v>#VALUE!</v>
      </c>
      <c r="ZA1" t="e">
        <f>+SUMIF([1]Cartera!$R:$R,$A1&amp;"_"&amp;ZA$11,[1]Cartera!$J:$J)+SUMIF([1]Futuros!$AD:$AD,$A1&amp;"_"&amp;ZA$11,[1]Futuros!$AK:$AK)+SUMIF([1]Opciones!$AF:$AF,$A1&amp;"_"&amp;ZA$11,[1]Opciones!$AO:$AO)</f>
        <v>#VALUE!</v>
      </c>
      <c r="ZB1" t="e">
        <f>+SUMIF([1]Cartera!$R:$R,$A1&amp;"_"&amp;ZB$11,[1]Cartera!$J:$J)+SUMIF([1]Futuros!$AD:$AD,$A1&amp;"_"&amp;ZB$11,[1]Futuros!$AK:$AK)+SUMIF([1]Opciones!$AF:$AF,$A1&amp;"_"&amp;ZB$11,[1]Opciones!$AO:$AO)</f>
        <v>#VALUE!</v>
      </c>
      <c r="ZC1" t="e">
        <f>+SUMIF([1]Cartera!$R:$R,$A1&amp;"_"&amp;ZC$11,[1]Cartera!$J:$J)+SUMIF([1]Futuros!$AD:$AD,$A1&amp;"_"&amp;ZC$11,[1]Futuros!$AK:$AK)+SUMIF([1]Opciones!$AF:$AF,$A1&amp;"_"&amp;ZC$11,[1]Opciones!$AO:$AO)</f>
        <v>#VALUE!</v>
      </c>
      <c r="ZD1" t="e">
        <f>+SUMIF([1]Cartera!$R:$R,$A1&amp;"_"&amp;ZD$11,[1]Cartera!$J:$J)+SUMIF([1]Futuros!$AD:$AD,$A1&amp;"_"&amp;ZD$11,[1]Futuros!$AK:$AK)+SUMIF([1]Opciones!$AF:$AF,$A1&amp;"_"&amp;ZD$11,[1]Opciones!$AO:$AO)</f>
        <v>#VALUE!</v>
      </c>
      <c r="ZE1" t="e">
        <f>+SUMIF([1]Cartera!$R:$R,$A1&amp;"_"&amp;ZE$11,[1]Cartera!$J:$J)+SUMIF([1]Futuros!$AD:$AD,$A1&amp;"_"&amp;ZE$11,[1]Futuros!$AK:$AK)+SUMIF([1]Opciones!$AF:$AF,$A1&amp;"_"&amp;ZE$11,[1]Opciones!$AO:$AO)</f>
        <v>#VALUE!</v>
      </c>
      <c r="ZF1" t="e">
        <f>+SUMIF([1]Cartera!$R:$R,$A1&amp;"_"&amp;ZF$11,[1]Cartera!$J:$J)+SUMIF([1]Futuros!$AD:$AD,$A1&amp;"_"&amp;ZF$11,[1]Futuros!$AK:$AK)+SUMIF([1]Opciones!$AF:$AF,$A1&amp;"_"&amp;ZF$11,[1]Opciones!$AO:$AO)</f>
        <v>#VALUE!</v>
      </c>
      <c r="ZG1" t="e">
        <f>+SUMIF([1]Cartera!$R:$R,$A1&amp;"_"&amp;ZG$11,[1]Cartera!$J:$J)+SUMIF([1]Futuros!$AD:$AD,$A1&amp;"_"&amp;ZG$11,[1]Futuros!$AK:$AK)+SUMIF([1]Opciones!$AF:$AF,$A1&amp;"_"&amp;ZG$11,[1]Opciones!$AO:$AO)</f>
        <v>#VALUE!</v>
      </c>
      <c r="ZH1" t="e">
        <f>+SUMIF([1]Cartera!$R:$R,$A1&amp;"_"&amp;ZH$11,[1]Cartera!$J:$J)+SUMIF([1]Futuros!$AD:$AD,$A1&amp;"_"&amp;ZH$11,[1]Futuros!$AK:$AK)+SUMIF([1]Opciones!$AF:$AF,$A1&amp;"_"&amp;ZH$11,[1]Opciones!$AO:$AO)</f>
        <v>#VALUE!</v>
      </c>
      <c r="ZI1" t="e">
        <f>+SUMIF([1]Cartera!$R:$R,$A1&amp;"_"&amp;ZI$11,[1]Cartera!$J:$J)+SUMIF([1]Futuros!$AD:$AD,$A1&amp;"_"&amp;ZI$11,[1]Futuros!$AK:$AK)+SUMIF([1]Opciones!$AF:$AF,$A1&amp;"_"&amp;ZI$11,[1]Opciones!$AO:$AO)</f>
        <v>#VALUE!</v>
      </c>
      <c r="ZJ1" t="e">
        <f>+SUMIF([1]Cartera!$R:$R,$A1&amp;"_"&amp;ZJ$11,[1]Cartera!$J:$J)+SUMIF([1]Futuros!$AD:$AD,$A1&amp;"_"&amp;ZJ$11,[1]Futuros!$AK:$AK)+SUMIF([1]Opciones!$AF:$AF,$A1&amp;"_"&amp;ZJ$11,[1]Opciones!$AO:$AO)</f>
        <v>#VALUE!</v>
      </c>
      <c r="ZK1" t="e">
        <f>+SUMIF([1]Cartera!$R:$R,$A1&amp;"_"&amp;ZK$11,[1]Cartera!$J:$J)+SUMIF([1]Futuros!$AD:$AD,$A1&amp;"_"&amp;ZK$11,[1]Futuros!$AK:$AK)+SUMIF([1]Opciones!$AF:$AF,$A1&amp;"_"&amp;ZK$11,[1]Opciones!$AO:$AO)</f>
        <v>#VALUE!</v>
      </c>
      <c r="ZL1" t="e">
        <f>+SUMIF([1]Cartera!$R:$R,$A1&amp;"_"&amp;ZL$11,[1]Cartera!$J:$J)+SUMIF([1]Futuros!$AD:$AD,$A1&amp;"_"&amp;ZL$11,[1]Futuros!$AK:$AK)+SUMIF([1]Opciones!$AF:$AF,$A1&amp;"_"&amp;ZL$11,[1]Opciones!$AO:$AO)</f>
        <v>#VALUE!</v>
      </c>
      <c r="ZM1" t="e">
        <f>+SUMIF([1]Cartera!$R:$R,$A1&amp;"_"&amp;ZM$11,[1]Cartera!$J:$J)+SUMIF([1]Futuros!$AD:$AD,$A1&amp;"_"&amp;ZM$11,[1]Futuros!$AK:$AK)+SUMIF([1]Opciones!$AF:$AF,$A1&amp;"_"&amp;ZM$11,[1]Opciones!$AO:$AO)</f>
        <v>#VALUE!</v>
      </c>
      <c r="ZN1" t="e">
        <f>+SUMIF([1]Cartera!$R:$R,$A1&amp;"_"&amp;ZN$11,[1]Cartera!$J:$J)+SUMIF([1]Futuros!$AD:$AD,$A1&amp;"_"&amp;ZN$11,[1]Futuros!$AK:$AK)+SUMIF([1]Opciones!$AF:$AF,$A1&amp;"_"&amp;ZN$11,[1]Opciones!$AO:$AO)</f>
        <v>#VALUE!</v>
      </c>
      <c r="ZO1" t="e">
        <f>+SUMIF([1]Cartera!$R:$R,$A1&amp;"_"&amp;ZO$11,[1]Cartera!$J:$J)+SUMIF([1]Futuros!$AD:$AD,$A1&amp;"_"&amp;ZO$11,[1]Futuros!$AK:$AK)+SUMIF([1]Opciones!$AF:$AF,$A1&amp;"_"&amp;ZO$11,[1]Opciones!$AO:$AO)</f>
        <v>#VALUE!</v>
      </c>
      <c r="ZP1" t="e">
        <f>+SUMIF([1]Cartera!$R:$R,$A1&amp;"_"&amp;ZP$11,[1]Cartera!$J:$J)+SUMIF([1]Futuros!$AD:$AD,$A1&amp;"_"&amp;ZP$11,[1]Futuros!$AK:$AK)+SUMIF([1]Opciones!$AF:$AF,$A1&amp;"_"&amp;ZP$11,[1]Opciones!$AO:$AO)</f>
        <v>#VALUE!</v>
      </c>
      <c r="ZQ1" t="e">
        <f>+SUMIF([1]Cartera!$R:$R,$A1&amp;"_"&amp;ZQ$11,[1]Cartera!$J:$J)+SUMIF([1]Futuros!$AD:$AD,$A1&amp;"_"&amp;ZQ$11,[1]Futuros!$AK:$AK)+SUMIF([1]Opciones!$AF:$AF,$A1&amp;"_"&amp;ZQ$11,[1]Opciones!$AO:$AO)</f>
        <v>#VALUE!</v>
      </c>
      <c r="ZR1" t="e">
        <f>+SUMIF([1]Cartera!$R:$R,$A1&amp;"_"&amp;ZR$11,[1]Cartera!$J:$J)+SUMIF([1]Futuros!$AD:$AD,$A1&amp;"_"&amp;ZR$11,[1]Futuros!$AK:$AK)+SUMIF([1]Opciones!$AF:$AF,$A1&amp;"_"&amp;ZR$11,[1]Opciones!$AO:$AO)</f>
        <v>#VALUE!</v>
      </c>
      <c r="ZS1" t="e">
        <f>+SUMIF([1]Cartera!$R:$R,$A1&amp;"_"&amp;ZS$11,[1]Cartera!$J:$J)+SUMIF([1]Futuros!$AD:$AD,$A1&amp;"_"&amp;ZS$11,[1]Futuros!$AK:$AK)+SUMIF([1]Opciones!$AF:$AF,$A1&amp;"_"&amp;ZS$11,[1]Opciones!$AO:$AO)</f>
        <v>#VALUE!</v>
      </c>
      <c r="ZT1" t="e">
        <f>+SUMIF([1]Cartera!$R:$R,$A1&amp;"_"&amp;ZT$11,[1]Cartera!$J:$J)+SUMIF([1]Futuros!$AD:$AD,$A1&amp;"_"&amp;ZT$11,[1]Futuros!$AK:$AK)+SUMIF([1]Opciones!$AF:$AF,$A1&amp;"_"&amp;ZT$11,[1]Opciones!$AO:$AO)</f>
        <v>#VALUE!</v>
      </c>
      <c r="ZU1" t="e">
        <f>+SUMIF([1]Cartera!$R:$R,$A1&amp;"_"&amp;ZU$11,[1]Cartera!$J:$J)+SUMIF([1]Futuros!$AD:$AD,$A1&amp;"_"&amp;ZU$11,[1]Futuros!$AK:$AK)+SUMIF([1]Opciones!$AF:$AF,$A1&amp;"_"&amp;ZU$11,[1]Opciones!$AO:$AO)</f>
        <v>#VALUE!</v>
      </c>
      <c r="ZV1" t="e">
        <f>+SUMIF([1]Cartera!$R:$R,$A1&amp;"_"&amp;ZV$11,[1]Cartera!$J:$J)+SUMIF([1]Futuros!$AD:$AD,$A1&amp;"_"&amp;ZV$11,[1]Futuros!$AK:$AK)+SUMIF([1]Opciones!$AF:$AF,$A1&amp;"_"&amp;ZV$11,[1]Opciones!$AO:$AO)</f>
        <v>#VALUE!</v>
      </c>
      <c r="ZW1" t="e">
        <f>+SUMIF([1]Cartera!$R:$R,$A1&amp;"_"&amp;ZW$11,[1]Cartera!$J:$J)+SUMIF([1]Futuros!$AD:$AD,$A1&amp;"_"&amp;ZW$11,[1]Futuros!$AK:$AK)+SUMIF([1]Opciones!$AF:$AF,$A1&amp;"_"&amp;ZW$11,[1]Opciones!$AO:$AO)</f>
        <v>#VALUE!</v>
      </c>
      <c r="ZX1" t="e">
        <f>+SUMIF([1]Cartera!$R:$R,$A1&amp;"_"&amp;ZX$11,[1]Cartera!$J:$J)+SUMIF([1]Futuros!$AD:$AD,$A1&amp;"_"&amp;ZX$11,[1]Futuros!$AK:$AK)+SUMIF([1]Opciones!$AF:$AF,$A1&amp;"_"&amp;ZX$11,[1]Opciones!$AO:$AO)</f>
        <v>#VALUE!</v>
      </c>
      <c r="ZY1" t="e">
        <f>+SUMIF([1]Cartera!$R:$R,$A1&amp;"_"&amp;ZY$11,[1]Cartera!$J:$J)+SUMIF([1]Futuros!$AD:$AD,$A1&amp;"_"&amp;ZY$11,[1]Futuros!$AK:$AK)+SUMIF([1]Opciones!$AF:$AF,$A1&amp;"_"&amp;ZY$11,[1]Opciones!$AO:$AO)</f>
        <v>#VALUE!</v>
      </c>
      <c r="ZZ1" t="e">
        <f>+SUMIF([1]Cartera!$R:$R,$A1&amp;"_"&amp;ZZ$11,[1]Cartera!$J:$J)+SUMIF([1]Futuros!$AD:$AD,$A1&amp;"_"&amp;ZZ$11,[1]Futuros!$AK:$AK)+SUMIF([1]Opciones!$AF:$AF,$A1&amp;"_"&amp;ZZ$11,[1]Opciones!$AO:$AO)</f>
        <v>#VALUE!</v>
      </c>
      <c r="AAA1" t="e">
        <f>+SUMIF([1]Cartera!$R:$R,$A1&amp;"_"&amp;AAA$11,[1]Cartera!$J:$J)+SUMIF([1]Futuros!$AD:$AD,$A1&amp;"_"&amp;AAA$11,[1]Futuros!$AK:$AK)+SUMIF([1]Opciones!$AF:$AF,$A1&amp;"_"&amp;AAA$11,[1]Opciones!$AO:$AO)</f>
        <v>#VALUE!</v>
      </c>
      <c r="AAB1" t="e">
        <f>+SUMIF([1]Cartera!$R:$R,$A1&amp;"_"&amp;AAB$11,[1]Cartera!$J:$J)+SUMIF([1]Futuros!$AD:$AD,$A1&amp;"_"&amp;AAB$11,[1]Futuros!$AK:$AK)+SUMIF([1]Opciones!$AF:$AF,$A1&amp;"_"&amp;AAB$11,[1]Opciones!$AO:$AO)</f>
        <v>#VALUE!</v>
      </c>
      <c r="AAC1" t="e">
        <f>+SUMIF([1]Cartera!$R:$R,$A1&amp;"_"&amp;AAC$11,[1]Cartera!$J:$J)+SUMIF([1]Futuros!$AD:$AD,$A1&amp;"_"&amp;AAC$11,[1]Futuros!$AK:$AK)+SUMIF([1]Opciones!$AF:$AF,$A1&amp;"_"&amp;AAC$11,[1]Opciones!$AO:$AO)</f>
        <v>#VALUE!</v>
      </c>
      <c r="AAD1" t="e">
        <f>+SUMIF([1]Cartera!$R:$R,$A1&amp;"_"&amp;AAD$11,[1]Cartera!$J:$J)+SUMIF([1]Futuros!$AD:$AD,$A1&amp;"_"&amp;AAD$11,[1]Futuros!$AK:$AK)+SUMIF([1]Opciones!$AF:$AF,$A1&amp;"_"&amp;AAD$11,[1]Opciones!$AO:$AO)</f>
        <v>#VALUE!</v>
      </c>
      <c r="AAE1" t="e">
        <f>+SUMIF([1]Cartera!$R:$R,$A1&amp;"_"&amp;AAE$11,[1]Cartera!$J:$J)+SUMIF([1]Futuros!$AD:$AD,$A1&amp;"_"&amp;AAE$11,[1]Futuros!$AK:$AK)+SUMIF([1]Opciones!$AF:$AF,$A1&amp;"_"&amp;AAE$11,[1]Opciones!$AO:$AO)</f>
        <v>#VALUE!</v>
      </c>
      <c r="AAF1" t="e">
        <f>+SUMIF([1]Cartera!$R:$R,$A1&amp;"_"&amp;AAF$11,[1]Cartera!$J:$J)+SUMIF([1]Futuros!$AD:$AD,$A1&amp;"_"&amp;AAF$11,[1]Futuros!$AK:$AK)+SUMIF([1]Opciones!$AF:$AF,$A1&amp;"_"&amp;AAF$11,[1]Opciones!$AO:$AO)</f>
        <v>#VALUE!</v>
      </c>
      <c r="AAG1" t="e">
        <f>+SUMIF([1]Cartera!$R:$R,$A1&amp;"_"&amp;AAG$11,[1]Cartera!$J:$J)+SUMIF([1]Futuros!$AD:$AD,$A1&amp;"_"&amp;AAG$11,[1]Futuros!$AK:$AK)+SUMIF([1]Opciones!$AF:$AF,$A1&amp;"_"&amp;AAG$11,[1]Opciones!$AO:$AO)</f>
        <v>#VALUE!</v>
      </c>
      <c r="AAH1" t="e">
        <f>+SUMIF([1]Cartera!$R:$R,$A1&amp;"_"&amp;AAH$11,[1]Cartera!$J:$J)+SUMIF([1]Futuros!$AD:$AD,$A1&amp;"_"&amp;AAH$11,[1]Futuros!$AK:$AK)+SUMIF([1]Opciones!$AF:$AF,$A1&amp;"_"&amp;AAH$11,[1]Opciones!$AO:$AO)</f>
        <v>#VALUE!</v>
      </c>
      <c r="AAI1" t="e">
        <f>+SUMIF([1]Cartera!$R:$R,$A1&amp;"_"&amp;AAI$11,[1]Cartera!$J:$J)+SUMIF([1]Futuros!$AD:$AD,$A1&amp;"_"&amp;AAI$11,[1]Futuros!$AK:$AK)+SUMIF([1]Opciones!$AF:$AF,$A1&amp;"_"&amp;AAI$11,[1]Opciones!$AO:$AO)</f>
        <v>#VALUE!</v>
      </c>
      <c r="AAJ1" t="e">
        <f>+SUMIF([1]Cartera!$R:$R,$A1&amp;"_"&amp;AAJ$11,[1]Cartera!$J:$J)+SUMIF([1]Futuros!$AD:$AD,$A1&amp;"_"&amp;AAJ$11,[1]Futuros!$AK:$AK)+SUMIF([1]Opciones!$AF:$AF,$A1&amp;"_"&amp;AAJ$11,[1]Opciones!$AO:$AO)</f>
        <v>#VALUE!</v>
      </c>
      <c r="AAK1" t="e">
        <f>+SUMIF([1]Cartera!$R:$R,$A1&amp;"_"&amp;AAK$11,[1]Cartera!$J:$J)+SUMIF([1]Futuros!$AD:$AD,$A1&amp;"_"&amp;AAK$11,[1]Futuros!$AK:$AK)+SUMIF([1]Opciones!$AF:$AF,$A1&amp;"_"&amp;AAK$11,[1]Opciones!$AO:$AO)</f>
        <v>#VALUE!</v>
      </c>
      <c r="AAL1" t="e">
        <f>+SUMIF([1]Cartera!$R:$R,$A1&amp;"_"&amp;AAL$11,[1]Cartera!$J:$J)+SUMIF([1]Futuros!$AD:$AD,$A1&amp;"_"&amp;AAL$11,[1]Futuros!$AK:$AK)+SUMIF([1]Opciones!$AF:$AF,$A1&amp;"_"&amp;AAL$11,[1]Opciones!$AO:$AO)</f>
        <v>#VALUE!</v>
      </c>
      <c r="AAM1" t="e">
        <f>+SUMIF([1]Cartera!$R:$R,$A1&amp;"_"&amp;AAM$11,[1]Cartera!$J:$J)+SUMIF([1]Futuros!$AD:$AD,$A1&amp;"_"&amp;AAM$11,[1]Futuros!$AK:$AK)+SUMIF([1]Opciones!$AF:$AF,$A1&amp;"_"&amp;AAM$11,[1]Opciones!$AO:$AO)</f>
        <v>#VALUE!</v>
      </c>
      <c r="AAN1" t="e">
        <f>+SUMIF([1]Cartera!$R:$R,$A1&amp;"_"&amp;AAN$11,[1]Cartera!$J:$J)+SUMIF([1]Futuros!$AD:$AD,$A1&amp;"_"&amp;AAN$11,[1]Futuros!$AK:$AK)+SUMIF([1]Opciones!$AF:$AF,$A1&amp;"_"&amp;AAN$11,[1]Opciones!$AO:$AO)</f>
        <v>#VALUE!</v>
      </c>
      <c r="AAO1" t="e">
        <f>+SUMIF([1]Cartera!$R:$R,$A1&amp;"_"&amp;AAO$11,[1]Cartera!$J:$J)+SUMIF([1]Futuros!$AD:$AD,$A1&amp;"_"&amp;AAO$11,[1]Futuros!$AK:$AK)+SUMIF([1]Opciones!$AF:$AF,$A1&amp;"_"&amp;AAO$11,[1]Opciones!$AO:$AO)</f>
        <v>#VALUE!</v>
      </c>
      <c r="AAP1" t="e">
        <f>+SUMIF([1]Cartera!$R:$R,$A1&amp;"_"&amp;AAP$11,[1]Cartera!$J:$J)+SUMIF([1]Futuros!$AD:$AD,$A1&amp;"_"&amp;AAP$11,[1]Futuros!$AK:$AK)+SUMIF([1]Opciones!$AF:$AF,$A1&amp;"_"&amp;AAP$11,[1]Opciones!$AO:$AO)</f>
        <v>#VALUE!</v>
      </c>
      <c r="AAQ1" t="e">
        <f>+SUMIF([1]Cartera!$R:$R,$A1&amp;"_"&amp;AAQ$11,[1]Cartera!$J:$J)+SUMIF([1]Futuros!$AD:$AD,$A1&amp;"_"&amp;AAQ$11,[1]Futuros!$AK:$AK)+SUMIF([1]Opciones!$AF:$AF,$A1&amp;"_"&amp;AAQ$11,[1]Opciones!$AO:$AO)</f>
        <v>#VALUE!</v>
      </c>
      <c r="AAR1" t="e">
        <f>+SUMIF([1]Cartera!$R:$R,$A1&amp;"_"&amp;AAR$11,[1]Cartera!$J:$J)+SUMIF([1]Futuros!$AD:$AD,$A1&amp;"_"&amp;AAR$11,[1]Futuros!$AK:$AK)+SUMIF([1]Opciones!$AF:$AF,$A1&amp;"_"&amp;AAR$11,[1]Opciones!$AO:$AO)</f>
        <v>#VALUE!</v>
      </c>
      <c r="AAS1" t="e">
        <f>+SUMIF([1]Cartera!$R:$R,$A1&amp;"_"&amp;AAS$11,[1]Cartera!$J:$J)+SUMIF([1]Futuros!$AD:$AD,$A1&amp;"_"&amp;AAS$11,[1]Futuros!$AK:$AK)+SUMIF([1]Opciones!$AF:$AF,$A1&amp;"_"&amp;AAS$11,[1]Opciones!$AO:$AO)</f>
        <v>#VALUE!</v>
      </c>
      <c r="AAT1" t="e">
        <f>+SUMIF([1]Cartera!$R:$R,$A1&amp;"_"&amp;AAT$11,[1]Cartera!$J:$J)+SUMIF([1]Futuros!$AD:$AD,$A1&amp;"_"&amp;AAT$11,[1]Futuros!$AK:$AK)+SUMIF([1]Opciones!$AF:$AF,$A1&amp;"_"&amp;AAT$11,[1]Opciones!$AO:$AO)</f>
        <v>#VALUE!</v>
      </c>
      <c r="AAU1" t="e">
        <f>+SUMIF([1]Cartera!$R:$R,$A1&amp;"_"&amp;AAU$11,[1]Cartera!$J:$J)+SUMIF([1]Futuros!$AD:$AD,$A1&amp;"_"&amp;AAU$11,[1]Futuros!$AK:$AK)+SUMIF([1]Opciones!$AF:$AF,$A1&amp;"_"&amp;AAU$11,[1]Opciones!$AO:$AO)</f>
        <v>#VALUE!</v>
      </c>
      <c r="AAV1" t="e">
        <f>+SUMIF([1]Cartera!$R:$R,$A1&amp;"_"&amp;AAV$11,[1]Cartera!$J:$J)+SUMIF([1]Futuros!$AD:$AD,$A1&amp;"_"&amp;AAV$11,[1]Futuros!$AK:$AK)+SUMIF([1]Opciones!$AF:$AF,$A1&amp;"_"&amp;AAV$11,[1]Opciones!$AO:$AO)</f>
        <v>#VALUE!</v>
      </c>
      <c r="AAW1" t="e">
        <f>+SUMIF([1]Cartera!$R:$R,$A1&amp;"_"&amp;AAW$11,[1]Cartera!$J:$J)+SUMIF([1]Futuros!$AD:$AD,$A1&amp;"_"&amp;AAW$11,[1]Futuros!$AK:$AK)+SUMIF([1]Opciones!$AF:$AF,$A1&amp;"_"&amp;AAW$11,[1]Opciones!$AO:$AO)</f>
        <v>#VALUE!</v>
      </c>
      <c r="AAX1" t="e">
        <f>+SUMIF([1]Cartera!$R:$R,$A1&amp;"_"&amp;AAX$11,[1]Cartera!$J:$J)+SUMIF([1]Futuros!$AD:$AD,$A1&amp;"_"&amp;AAX$11,[1]Futuros!$AK:$AK)+SUMIF([1]Opciones!$AF:$AF,$A1&amp;"_"&amp;AAX$11,[1]Opciones!$AO:$AO)</f>
        <v>#VALUE!</v>
      </c>
      <c r="AAY1" t="e">
        <f>+SUMIF([1]Cartera!$R:$R,$A1&amp;"_"&amp;AAY$11,[1]Cartera!$J:$J)+SUMIF([1]Futuros!$AD:$AD,$A1&amp;"_"&amp;AAY$11,[1]Futuros!$AK:$AK)+SUMIF([1]Opciones!$AF:$AF,$A1&amp;"_"&amp;AAY$11,[1]Opciones!$AO:$AO)</f>
        <v>#VALUE!</v>
      </c>
      <c r="AAZ1" t="e">
        <f>+SUMIF([1]Cartera!$R:$R,$A1&amp;"_"&amp;AAZ$11,[1]Cartera!$J:$J)+SUMIF([1]Futuros!$AD:$AD,$A1&amp;"_"&amp;AAZ$11,[1]Futuros!$AK:$AK)+SUMIF([1]Opciones!$AF:$AF,$A1&amp;"_"&amp;AAZ$11,[1]Opciones!$AO:$AO)</f>
        <v>#VALUE!</v>
      </c>
      <c r="ABA1" t="e">
        <f>+SUMIF([1]Cartera!$R:$R,$A1&amp;"_"&amp;ABA$11,[1]Cartera!$J:$J)+SUMIF([1]Futuros!$AD:$AD,$A1&amp;"_"&amp;ABA$11,[1]Futuros!$AK:$AK)+SUMIF([1]Opciones!$AF:$AF,$A1&amp;"_"&amp;ABA$11,[1]Opciones!$AO:$AO)</f>
        <v>#VALUE!</v>
      </c>
      <c r="ABB1" t="e">
        <f>+SUMIF([1]Cartera!$R:$R,$A1&amp;"_"&amp;ABB$11,[1]Cartera!$J:$J)+SUMIF([1]Futuros!$AD:$AD,$A1&amp;"_"&amp;ABB$11,[1]Futuros!$AK:$AK)+SUMIF([1]Opciones!$AF:$AF,$A1&amp;"_"&amp;ABB$11,[1]Opciones!$AO:$AO)</f>
        <v>#VALUE!</v>
      </c>
      <c r="ABC1" t="e">
        <f>+SUMIF([1]Cartera!$R:$R,$A1&amp;"_"&amp;ABC$11,[1]Cartera!$J:$J)+SUMIF([1]Futuros!$AD:$AD,$A1&amp;"_"&amp;ABC$11,[1]Futuros!$AK:$AK)+SUMIF([1]Opciones!$AF:$AF,$A1&amp;"_"&amp;ABC$11,[1]Opciones!$AO:$AO)</f>
        <v>#VALUE!</v>
      </c>
      <c r="ABD1" t="e">
        <f>+SUMIF([1]Cartera!$R:$R,$A1&amp;"_"&amp;ABD$11,[1]Cartera!$J:$J)+SUMIF([1]Futuros!$AD:$AD,$A1&amp;"_"&amp;ABD$11,[1]Futuros!$AK:$AK)+SUMIF([1]Opciones!$AF:$AF,$A1&amp;"_"&amp;ABD$11,[1]Opciones!$AO:$AO)</f>
        <v>#VALUE!</v>
      </c>
      <c r="ABE1" t="e">
        <f>+SUMIF([1]Cartera!$R:$R,$A1&amp;"_"&amp;ABE$11,[1]Cartera!$J:$J)+SUMIF([1]Futuros!$AD:$AD,$A1&amp;"_"&amp;ABE$11,[1]Futuros!$AK:$AK)+SUMIF([1]Opciones!$AF:$AF,$A1&amp;"_"&amp;ABE$11,[1]Opciones!$AO:$AO)</f>
        <v>#VALUE!</v>
      </c>
      <c r="ABF1" t="e">
        <f>+SUMIF([1]Cartera!$R:$R,$A1&amp;"_"&amp;ABF$11,[1]Cartera!$J:$J)+SUMIF([1]Futuros!$AD:$AD,$A1&amp;"_"&amp;ABF$11,[1]Futuros!$AK:$AK)+SUMIF([1]Opciones!$AF:$AF,$A1&amp;"_"&amp;ABF$11,[1]Opciones!$AO:$AO)</f>
        <v>#VALUE!</v>
      </c>
      <c r="ABG1" t="e">
        <f>+SUMIF([1]Cartera!$R:$R,$A1&amp;"_"&amp;ABG$11,[1]Cartera!$J:$J)+SUMIF([1]Futuros!$AD:$AD,$A1&amp;"_"&amp;ABG$11,[1]Futuros!$AK:$AK)+SUMIF([1]Opciones!$AF:$AF,$A1&amp;"_"&amp;ABG$11,[1]Opciones!$AO:$AO)</f>
        <v>#VALUE!</v>
      </c>
      <c r="ABH1" t="e">
        <f>+SUMIF([1]Cartera!$R:$R,$A1&amp;"_"&amp;ABH$11,[1]Cartera!$J:$J)+SUMIF([1]Futuros!$AD:$AD,$A1&amp;"_"&amp;ABH$11,[1]Futuros!$AK:$AK)+SUMIF([1]Opciones!$AF:$AF,$A1&amp;"_"&amp;ABH$11,[1]Opciones!$AO:$AO)</f>
        <v>#VALUE!</v>
      </c>
      <c r="ABI1" t="e">
        <f>+SUMIF([1]Cartera!$R:$R,$A1&amp;"_"&amp;ABI$11,[1]Cartera!$J:$J)+SUMIF([1]Futuros!$AD:$AD,$A1&amp;"_"&amp;ABI$11,[1]Futuros!$AK:$AK)+SUMIF([1]Opciones!$AF:$AF,$A1&amp;"_"&amp;ABI$11,[1]Opciones!$AO:$AO)</f>
        <v>#VALUE!</v>
      </c>
      <c r="ABJ1" t="e">
        <f>+SUMIF([1]Cartera!$R:$R,$A1&amp;"_"&amp;ABJ$11,[1]Cartera!$J:$J)+SUMIF([1]Futuros!$AD:$AD,$A1&amp;"_"&amp;ABJ$11,[1]Futuros!$AK:$AK)+SUMIF([1]Opciones!$AF:$AF,$A1&amp;"_"&amp;ABJ$11,[1]Opciones!$AO:$AO)</f>
        <v>#VALUE!</v>
      </c>
      <c r="ABK1" t="e">
        <f>+SUMIF([1]Cartera!$R:$R,$A1&amp;"_"&amp;ABK$11,[1]Cartera!$J:$J)+SUMIF([1]Futuros!$AD:$AD,$A1&amp;"_"&amp;ABK$11,[1]Futuros!$AK:$AK)+SUMIF([1]Opciones!$AF:$AF,$A1&amp;"_"&amp;ABK$11,[1]Opciones!$AO:$AO)</f>
        <v>#VALUE!</v>
      </c>
      <c r="ABL1" t="e">
        <f>+SUMIF([1]Cartera!$R:$R,$A1&amp;"_"&amp;ABL$11,[1]Cartera!$J:$J)+SUMIF([1]Futuros!$AD:$AD,$A1&amp;"_"&amp;ABL$11,[1]Futuros!$AK:$AK)+SUMIF([1]Opciones!$AF:$AF,$A1&amp;"_"&amp;ABL$11,[1]Opciones!$AO:$AO)</f>
        <v>#VALUE!</v>
      </c>
      <c r="ABM1" t="e">
        <f>+SUMIF([1]Cartera!$R:$R,$A1&amp;"_"&amp;ABM$11,[1]Cartera!$J:$J)+SUMIF([1]Futuros!$AD:$AD,$A1&amp;"_"&amp;ABM$11,[1]Futuros!$AK:$AK)+SUMIF([1]Opciones!$AF:$AF,$A1&amp;"_"&amp;ABM$11,[1]Opciones!$AO:$AO)</f>
        <v>#VALUE!</v>
      </c>
      <c r="ABN1" t="e">
        <f>+SUMIF([1]Cartera!$R:$R,$A1&amp;"_"&amp;ABN$11,[1]Cartera!$J:$J)+SUMIF([1]Futuros!$AD:$AD,$A1&amp;"_"&amp;ABN$11,[1]Futuros!$AK:$AK)+SUMIF([1]Opciones!$AF:$AF,$A1&amp;"_"&amp;ABN$11,[1]Opciones!$AO:$AO)</f>
        <v>#VALUE!</v>
      </c>
      <c r="ABO1" t="e">
        <f>+SUMIF([1]Cartera!$R:$R,$A1&amp;"_"&amp;ABO$11,[1]Cartera!$J:$J)+SUMIF([1]Futuros!$AD:$AD,$A1&amp;"_"&amp;ABO$11,[1]Futuros!$AK:$AK)+SUMIF([1]Opciones!$AF:$AF,$A1&amp;"_"&amp;ABO$11,[1]Opciones!$AO:$AO)</f>
        <v>#VALUE!</v>
      </c>
      <c r="ABP1" t="e">
        <f>+SUMIF([1]Cartera!$R:$R,$A1&amp;"_"&amp;ABP$11,[1]Cartera!$J:$J)+SUMIF([1]Futuros!$AD:$AD,$A1&amp;"_"&amp;ABP$11,[1]Futuros!$AK:$AK)+SUMIF([1]Opciones!$AF:$AF,$A1&amp;"_"&amp;ABP$11,[1]Opciones!$AO:$AO)</f>
        <v>#VALUE!</v>
      </c>
      <c r="ABQ1" t="e">
        <f>+SUMIF([1]Cartera!$R:$R,$A1&amp;"_"&amp;ABQ$11,[1]Cartera!$J:$J)+SUMIF([1]Futuros!$AD:$AD,$A1&amp;"_"&amp;ABQ$11,[1]Futuros!$AK:$AK)+SUMIF([1]Opciones!$AF:$AF,$A1&amp;"_"&amp;ABQ$11,[1]Opciones!$AO:$AO)</f>
        <v>#VALUE!</v>
      </c>
      <c r="ABR1" t="e">
        <f>+SUMIF([1]Cartera!$R:$R,$A1&amp;"_"&amp;ABR$11,[1]Cartera!$J:$J)+SUMIF([1]Futuros!$AD:$AD,$A1&amp;"_"&amp;ABR$11,[1]Futuros!$AK:$AK)+SUMIF([1]Opciones!$AF:$AF,$A1&amp;"_"&amp;ABR$11,[1]Opciones!$AO:$AO)</f>
        <v>#VALUE!</v>
      </c>
      <c r="ABS1" t="e">
        <f>+SUMIF([1]Cartera!$R:$R,$A1&amp;"_"&amp;ABS$11,[1]Cartera!$J:$J)+SUMIF([1]Futuros!$AD:$AD,$A1&amp;"_"&amp;ABS$11,[1]Futuros!$AK:$AK)+SUMIF([1]Opciones!$AF:$AF,$A1&amp;"_"&amp;ABS$11,[1]Opciones!$AO:$AO)</f>
        <v>#VALUE!</v>
      </c>
      <c r="ABT1" t="e">
        <f>+SUMIF([1]Cartera!$R:$R,$A1&amp;"_"&amp;ABT$11,[1]Cartera!$J:$J)+SUMIF([1]Futuros!$AD:$AD,$A1&amp;"_"&amp;ABT$11,[1]Futuros!$AK:$AK)+SUMIF([1]Opciones!$AF:$AF,$A1&amp;"_"&amp;ABT$11,[1]Opciones!$AO:$AO)</f>
        <v>#VALUE!</v>
      </c>
      <c r="ABU1" t="e">
        <f>+SUMIF([1]Cartera!$R:$R,$A1&amp;"_"&amp;ABU$11,[1]Cartera!$J:$J)+SUMIF([1]Futuros!$AD:$AD,$A1&amp;"_"&amp;ABU$11,[1]Futuros!$AK:$AK)+SUMIF([1]Opciones!$AF:$AF,$A1&amp;"_"&amp;ABU$11,[1]Opciones!$AO:$AO)</f>
        <v>#VALUE!</v>
      </c>
      <c r="ABV1" t="e">
        <f>+SUMIF([1]Cartera!$R:$R,$A1&amp;"_"&amp;ABV$11,[1]Cartera!$J:$J)+SUMIF([1]Futuros!$AD:$AD,$A1&amp;"_"&amp;ABV$11,[1]Futuros!$AK:$AK)+SUMIF([1]Opciones!$AF:$AF,$A1&amp;"_"&amp;ABV$11,[1]Opciones!$AO:$AO)</f>
        <v>#VALUE!</v>
      </c>
      <c r="ABW1" t="e">
        <f>+SUMIF([1]Cartera!$R:$R,$A1&amp;"_"&amp;ABW$11,[1]Cartera!$J:$J)+SUMIF([1]Futuros!$AD:$AD,$A1&amp;"_"&amp;ABW$11,[1]Futuros!$AK:$AK)+SUMIF([1]Opciones!$AF:$AF,$A1&amp;"_"&amp;ABW$11,[1]Opciones!$AO:$AO)</f>
        <v>#VALUE!</v>
      </c>
      <c r="ABX1" t="e">
        <f>+SUMIF([1]Cartera!$R:$R,$A1&amp;"_"&amp;ABX$11,[1]Cartera!$J:$J)+SUMIF([1]Futuros!$AD:$AD,$A1&amp;"_"&amp;ABX$11,[1]Futuros!$AK:$AK)+SUMIF([1]Opciones!$AF:$AF,$A1&amp;"_"&amp;ABX$11,[1]Opciones!$AO:$AO)</f>
        <v>#VALUE!</v>
      </c>
      <c r="ABY1" t="e">
        <f>+SUMIF([1]Cartera!$R:$R,$A1&amp;"_"&amp;ABY$11,[1]Cartera!$J:$J)+SUMIF([1]Futuros!$AD:$AD,$A1&amp;"_"&amp;ABY$11,[1]Futuros!$AK:$AK)+SUMIF([1]Opciones!$AF:$AF,$A1&amp;"_"&amp;ABY$11,[1]Opciones!$AO:$AO)</f>
        <v>#VALUE!</v>
      </c>
      <c r="ABZ1" t="e">
        <f>+SUMIF([1]Cartera!$R:$R,$A1&amp;"_"&amp;ABZ$11,[1]Cartera!$J:$J)+SUMIF([1]Futuros!$AD:$AD,$A1&amp;"_"&amp;ABZ$11,[1]Futuros!$AK:$AK)+SUMIF([1]Opciones!$AF:$AF,$A1&amp;"_"&amp;ABZ$11,[1]Opciones!$AO:$AO)</f>
        <v>#VALUE!</v>
      </c>
      <c r="ACA1" t="e">
        <f>+SUMIF([1]Cartera!$R:$R,$A1&amp;"_"&amp;ACA$11,[1]Cartera!$J:$J)+SUMIF([1]Futuros!$AD:$AD,$A1&amp;"_"&amp;ACA$11,[1]Futuros!$AK:$AK)+SUMIF([1]Opciones!$AF:$AF,$A1&amp;"_"&amp;ACA$11,[1]Opciones!$AO:$AO)</f>
        <v>#VALUE!</v>
      </c>
      <c r="ACB1" t="e">
        <f>+SUMIF([1]Cartera!$R:$R,$A1&amp;"_"&amp;ACB$11,[1]Cartera!$J:$J)+SUMIF([1]Futuros!$AD:$AD,$A1&amp;"_"&amp;ACB$11,[1]Futuros!$AK:$AK)+SUMIF([1]Opciones!$AF:$AF,$A1&amp;"_"&amp;ACB$11,[1]Opciones!$AO:$AO)</f>
        <v>#VALUE!</v>
      </c>
      <c r="ACC1" t="e">
        <f>+SUMIF([1]Cartera!$R:$R,$A1&amp;"_"&amp;ACC$11,[1]Cartera!$J:$J)+SUMIF([1]Futuros!$AD:$AD,$A1&amp;"_"&amp;ACC$11,[1]Futuros!$AK:$AK)+SUMIF([1]Opciones!$AF:$AF,$A1&amp;"_"&amp;ACC$11,[1]Opciones!$AO:$AO)</f>
        <v>#VALUE!</v>
      </c>
      <c r="ACD1" t="e">
        <f>+SUMIF([1]Cartera!$R:$R,$A1&amp;"_"&amp;ACD$11,[1]Cartera!$J:$J)+SUMIF([1]Futuros!$AD:$AD,$A1&amp;"_"&amp;ACD$11,[1]Futuros!$AK:$AK)+SUMIF([1]Opciones!$AF:$AF,$A1&amp;"_"&amp;ACD$11,[1]Opciones!$AO:$AO)</f>
        <v>#VALUE!</v>
      </c>
      <c r="ACE1" t="e">
        <f>+SUMIF([1]Cartera!$R:$R,$A1&amp;"_"&amp;ACE$11,[1]Cartera!$J:$J)+SUMIF([1]Futuros!$AD:$AD,$A1&amp;"_"&amp;ACE$11,[1]Futuros!$AK:$AK)+SUMIF([1]Opciones!$AF:$AF,$A1&amp;"_"&amp;ACE$11,[1]Opciones!$AO:$AO)</f>
        <v>#VALUE!</v>
      </c>
      <c r="ACF1" t="e">
        <f>+SUMIF([1]Cartera!$R:$R,$A1&amp;"_"&amp;ACF$11,[1]Cartera!$J:$J)+SUMIF([1]Futuros!$AD:$AD,$A1&amp;"_"&amp;ACF$11,[1]Futuros!$AK:$AK)+SUMIF([1]Opciones!$AF:$AF,$A1&amp;"_"&amp;ACF$11,[1]Opciones!$AO:$AO)</f>
        <v>#VALUE!</v>
      </c>
      <c r="ACG1" t="e">
        <f>+SUMIF([1]Cartera!$R:$R,$A1&amp;"_"&amp;ACG$11,[1]Cartera!$J:$J)+SUMIF([1]Futuros!$AD:$AD,$A1&amp;"_"&amp;ACG$11,[1]Futuros!$AK:$AK)+SUMIF([1]Opciones!$AF:$AF,$A1&amp;"_"&amp;ACG$11,[1]Opciones!$AO:$AO)</f>
        <v>#VALUE!</v>
      </c>
      <c r="ACH1" t="e">
        <f>+SUMIF([1]Cartera!$R:$R,$A1&amp;"_"&amp;ACH$11,[1]Cartera!$J:$J)+SUMIF([1]Futuros!$AD:$AD,$A1&amp;"_"&amp;ACH$11,[1]Futuros!$AK:$AK)+SUMIF([1]Opciones!$AF:$AF,$A1&amp;"_"&amp;ACH$11,[1]Opciones!$AO:$AO)</f>
        <v>#VALUE!</v>
      </c>
      <c r="ACI1" t="e">
        <f>+SUMIF([1]Cartera!$R:$R,$A1&amp;"_"&amp;ACI$11,[1]Cartera!$J:$J)+SUMIF([1]Futuros!$AD:$AD,$A1&amp;"_"&amp;ACI$11,[1]Futuros!$AK:$AK)+SUMIF([1]Opciones!$AF:$AF,$A1&amp;"_"&amp;ACI$11,[1]Opciones!$AO:$AO)</f>
        <v>#VALUE!</v>
      </c>
      <c r="ACJ1" t="e">
        <f>+SUMIF([1]Cartera!$R:$R,$A1&amp;"_"&amp;ACJ$11,[1]Cartera!$J:$J)+SUMIF([1]Futuros!$AD:$AD,$A1&amp;"_"&amp;ACJ$11,[1]Futuros!$AK:$AK)+SUMIF([1]Opciones!$AF:$AF,$A1&amp;"_"&amp;ACJ$11,[1]Opciones!$AO:$AO)</f>
        <v>#VALUE!</v>
      </c>
      <c r="ACK1" t="e">
        <f>+SUMIF([1]Cartera!$R:$R,$A1&amp;"_"&amp;ACK$11,[1]Cartera!$J:$J)+SUMIF([1]Futuros!$AD:$AD,$A1&amp;"_"&amp;ACK$11,[1]Futuros!$AK:$AK)+SUMIF([1]Opciones!$AF:$AF,$A1&amp;"_"&amp;ACK$11,[1]Opciones!$AO:$AO)</f>
        <v>#VALUE!</v>
      </c>
      <c r="ACL1" t="e">
        <f>+SUMIF([1]Cartera!$R:$R,$A1&amp;"_"&amp;ACL$11,[1]Cartera!$J:$J)+SUMIF([1]Futuros!$AD:$AD,$A1&amp;"_"&amp;ACL$11,[1]Futuros!$AK:$AK)+SUMIF([1]Opciones!$AF:$AF,$A1&amp;"_"&amp;ACL$11,[1]Opciones!$AO:$AO)</f>
        <v>#VALUE!</v>
      </c>
      <c r="ACM1" t="e">
        <f>+SUMIF([1]Cartera!$R:$R,$A1&amp;"_"&amp;ACM$11,[1]Cartera!$J:$J)+SUMIF([1]Futuros!$AD:$AD,$A1&amp;"_"&amp;ACM$11,[1]Futuros!$AK:$AK)+SUMIF([1]Opciones!$AF:$AF,$A1&amp;"_"&amp;ACM$11,[1]Opciones!$AO:$AO)</f>
        <v>#VALUE!</v>
      </c>
      <c r="ACN1" t="e">
        <f>+SUMIF([1]Cartera!$R:$R,$A1&amp;"_"&amp;ACN$11,[1]Cartera!$J:$J)+SUMIF([1]Futuros!$AD:$AD,$A1&amp;"_"&amp;ACN$11,[1]Futuros!$AK:$AK)+SUMIF([1]Opciones!$AF:$AF,$A1&amp;"_"&amp;ACN$11,[1]Opciones!$AO:$AO)</f>
        <v>#VALUE!</v>
      </c>
      <c r="ACO1" t="e">
        <f>+SUMIF([1]Cartera!$R:$R,$A1&amp;"_"&amp;ACO$11,[1]Cartera!$J:$J)+SUMIF([1]Futuros!$AD:$AD,$A1&amp;"_"&amp;ACO$11,[1]Futuros!$AK:$AK)+SUMIF([1]Opciones!$AF:$AF,$A1&amp;"_"&amp;ACO$11,[1]Opciones!$AO:$AO)</f>
        <v>#VALUE!</v>
      </c>
      <c r="ACP1" t="e">
        <f>+SUMIF([1]Cartera!$R:$R,$A1&amp;"_"&amp;ACP$11,[1]Cartera!$J:$J)+SUMIF([1]Futuros!$AD:$AD,$A1&amp;"_"&amp;ACP$11,[1]Futuros!$AK:$AK)+SUMIF([1]Opciones!$AF:$AF,$A1&amp;"_"&amp;ACP$11,[1]Opciones!$AO:$AO)</f>
        <v>#VALUE!</v>
      </c>
      <c r="ACQ1" t="e">
        <f>+SUMIF([1]Cartera!$R:$R,$A1&amp;"_"&amp;ACQ$11,[1]Cartera!$J:$J)+SUMIF([1]Futuros!$AD:$AD,$A1&amp;"_"&amp;ACQ$11,[1]Futuros!$AK:$AK)+SUMIF([1]Opciones!$AF:$AF,$A1&amp;"_"&amp;ACQ$11,[1]Opciones!$AO:$AO)</f>
        <v>#VALUE!</v>
      </c>
      <c r="ACR1" t="e">
        <f>+SUMIF([1]Cartera!$R:$R,$A1&amp;"_"&amp;ACR$11,[1]Cartera!$J:$J)+SUMIF([1]Futuros!$AD:$AD,$A1&amp;"_"&amp;ACR$11,[1]Futuros!$AK:$AK)+SUMIF([1]Opciones!$AF:$AF,$A1&amp;"_"&amp;ACR$11,[1]Opciones!$AO:$AO)</f>
        <v>#VALUE!</v>
      </c>
      <c r="ACS1" t="e">
        <f>+SUMIF([1]Cartera!$R:$R,$A1&amp;"_"&amp;ACS$11,[1]Cartera!$J:$J)+SUMIF([1]Futuros!$AD:$AD,$A1&amp;"_"&amp;ACS$11,[1]Futuros!$AK:$AK)+SUMIF([1]Opciones!$AF:$AF,$A1&amp;"_"&amp;ACS$11,[1]Opciones!$AO:$AO)</f>
        <v>#VALUE!</v>
      </c>
      <c r="ACT1" t="e">
        <f>+SUMIF([1]Cartera!$R:$R,$A1&amp;"_"&amp;ACT$11,[1]Cartera!$J:$J)+SUMIF([1]Futuros!$AD:$AD,$A1&amp;"_"&amp;ACT$11,[1]Futuros!$AK:$AK)+SUMIF([1]Opciones!$AF:$AF,$A1&amp;"_"&amp;ACT$11,[1]Opciones!$AO:$AO)</f>
        <v>#VALUE!</v>
      </c>
      <c r="ACU1" t="e">
        <f>+SUMIF([1]Cartera!$R:$R,$A1&amp;"_"&amp;ACU$11,[1]Cartera!$J:$J)+SUMIF([1]Futuros!$AD:$AD,$A1&amp;"_"&amp;ACU$11,[1]Futuros!$AK:$AK)+SUMIF([1]Opciones!$AF:$AF,$A1&amp;"_"&amp;ACU$11,[1]Opciones!$AO:$AO)</f>
        <v>#VALUE!</v>
      </c>
      <c r="ACV1" t="e">
        <f>+SUMIF([1]Cartera!$R:$R,$A1&amp;"_"&amp;ACV$11,[1]Cartera!$J:$J)+SUMIF([1]Futuros!$AD:$AD,$A1&amp;"_"&amp;ACV$11,[1]Futuros!$AK:$AK)+SUMIF([1]Opciones!$AF:$AF,$A1&amp;"_"&amp;ACV$11,[1]Opciones!$AO:$AO)</f>
        <v>#VALUE!</v>
      </c>
      <c r="ACW1" t="e">
        <f>+SUMIF([1]Cartera!$R:$R,$A1&amp;"_"&amp;ACW$11,[1]Cartera!$J:$J)+SUMIF([1]Futuros!$AD:$AD,$A1&amp;"_"&amp;ACW$11,[1]Futuros!$AK:$AK)+SUMIF([1]Opciones!$AF:$AF,$A1&amp;"_"&amp;ACW$11,[1]Opciones!$AO:$AO)</f>
        <v>#VALUE!</v>
      </c>
      <c r="ACX1" t="e">
        <f>+SUMIF([1]Cartera!$R:$R,$A1&amp;"_"&amp;ACX$11,[1]Cartera!$J:$J)+SUMIF([1]Futuros!$AD:$AD,$A1&amp;"_"&amp;ACX$11,[1]Futuros!$AK:$AK)+SUMIF([1]Opciones!$AF:$AF,$A1&amp;"_"&amp;ACX$11,[1]Opciones!$AO:$AO)</f>
        <v>#VALUE!</v>
      </c>
      <c r="ACY1" t="e">
        <f>+SUMIF([1]Cartera!$R:$R,$A1&amp;"_"&amp;ACY$11,[1]Cartera!$J:$J)+SUMIF([1]Futuros!$AD:$AD,$A1&amp;"_"&amp;ACY$11,[1]Futuros!$AK:$AK)+SUMIF([1]Opciones!$AF:$AF,$A1&amp;"_"&amp;ACY$11,[1]Opciones!$AO:$AO)</f>
        <v>#VALUE!</v>
      </c>
      <c r="ACZ1" t="e">
        <f>+SUMIF([1]Cartera!$R:$R,$A1&amp;"_"&amp;ACZ$11,[1]Cartera!$J:$J)+SUMIF([1]Futuros!$AD:$AD,$A1&amp;"_"&amp;ACZ$11,[1]Futuros!$AK:$AK)+SUMIF([1]Opciones!$AF:$AF,$A1&amp;"_"&amp;ACZ$11,[1]Opciones!$AO:$AO)</f>
        <v>#VALUE!</v>
      </c>
      <c r="ADA1" t="e">
        <f>+SUMIF([1]Cartera!$R:$R,$A1&amp;"_"&amp;ADA$11,[1]Cartera!$J:$J)+SUMIF([1]Futuros!$AD:$AD,$A1&amp;"_"&amp;ADA$11,[1]Futuros!$AK:$AK)+SUMIF([1]Opciones!$AF:$AF,$A1&amp;"_"&amp;ADA$11,[1]Opciones!$AO:$AO)</f>
        <v>#VALUE!</v>
      </c>
      <c r="ADB1" t="e">
        <f>+SUMIF([1]Cartera!$R:$R,$A1&amp;"_"&amp;ADB$11,[1]Cartera!$J:$J)+SUMIF([1]Futuros!$AD:$AD,$A1&amp;"_"&amp;ADB$11,[1]Futuros!$AK:$AK)+SUMIF([1]Opciones!$AF:$AF,$A1&amp;"_"&amp;ADB$11,[1]Opciones!$AO:$AO)</f>
        <v>#VALUE!</v>
      </c>
      <c r="ADC1" t="e">
        <f>+SUMIF([1]Cartera!$R:$R,$A1&amp;"_"&amp;ADC$11,[1]Cartera!$J:$J)+SUMIF([1]Futuros!$AD:$AD,$A1&amp;"_"&amp;ADC$11,[1]Futuros!$AK:$AK)+SUMIF([1]Opciones!$AF:$AF,$A1&amp;"_"&amp;ADC$11,[1]Opciones!$AO:$AO)</f>
        <v>#VALUE!</v>
      </c>
      <c r="ADD1" t="e">
        <f>+SUMIF([1]Cartera!$R:$R,$A1&amp;"_"&amp;ADD$11,[1]Cartera!$J:$J)+SUMIF([1]Futuros!$AD:$AD,$A1&amp;"_"&amp;ADD$11,[1]Futuros!$AK:$AK)+SUMIF([1]Opciones!$AF:$AF,$A1&amp;"_"&amp;ADD$11,[1]Opciones!$AO:$AO)</f>
        <v>#VALUE!</v>
      </c>
      <c r="ADE1" t="e">
        <f>+SUMIF([1]Cartera!$R:$R,$A1&amp;"_"&amp;ADE$11,[1]Cartera!$J:$J)+SUMIF([1]Futuros!$AD:$AD,$A1&amp;"_"&amp;ADE$11,[1]Futuros!$AK:$AK)+SUMIF([1]Opciones!$AF:$AF,$A1&amp;"_"&amp;ADE$11,[1]Opciones!$AO:$AO)</f>
        <v>#VALUE!</v>
      </c>
      <c r="ADF1" t="e">
        <f>+SUMIF([1]Cartera!$R:$R,$A1&amp;"_"&amp;ADF$11,[1]Cartera!$J:$J)+SUMIF([1]Futuros!$AD:$AD,$A1&amp;"_"&amp;ADF$11,[1]Futuros!$AK:$AK)+SUMIF([1]Opciones!$AF:$AF,$A1&amp;"_"&amp;ADF$11,[1]Opciones!$AO:$AO)</f>
        <v>#VALUE!</v>
      </c>
      <c r="ADG1" t="e">
        <f>+SUMIF([1]Cartera!$R:$R,$A1&amp;"_"&amp;ADG$11,[1]Cartera!$J:$J)+SUMIF([1]Futuros!$AD:$AD,$A1&amp;"_"&amp;ADG$11,[1]Futuros!$AK:$AK)+SUMIF([1]Opciones!$AF:$AF,$A1&amp;"_"&amp;ADG$11,[1]Opciones!$AO:$AO)</f>
        <v>#VALUE!</v>
      </c>
      <c r="ADH1" t="e">
        <f>+SUMIF([1]Cartera!$R:$R,$A1&amp;"_"&amp;ADH$11,[1]Cartera!$J:$J)+SUMIF([1]Futuros!$AD:$AD,$A1&amp;"_"&amp;ADH$11,[1]Futuros!$AK:$AK)+SUMIF([1]Opciones!$AF:$AF,$A1&amp;"_"&amp;ADH$11,[1]Opciones!$AO:$AO)</f>
        <v>#VALUE!</v>
      </c>
      <c r="ADI1" t="e">
        <f>+SUMIF([1]Cartera!$R:$R,$A1&amp;"_"&amp;ADI$11,[1]Cartera!$J:$J)+SUMIF([1]Futuros!$AD:$AD,$A1&amp;"_"&amp;ADI$11,[1]Futuros!$AK:$AK)+SUMIF([1]Opciones!$AF:$AF,$A1&amp;"_"&amp;ADI$11,[1]Opciones!$AO:$AO)</f>
        <v>#VALUE!</v>
      </c>
      <c r="ADJ1" t="e">
        <f>+SUMIF([1]Cartera!$R:$R,$A1&amp;"_"&amp;ADJ$11,[1]Cartera!$J:$J)+SUMIF([1]Futuros!$AD:$AD,$A1&amp;"_"&amp;ADJ$11,[1]Futuros!$AK:$AK)+SUMIF([1]Opciones!$AF:$AF,$A1&amp;"_"&amp;ADJ$11,[1]Opciones!$AO:$AO)</f>
        <v>#VALUE!</v>
      </c>
      <c r="ADK1" t="e">
        <f>+SUMIF([1]Cartera!$R:$R,$A1&amp;"_"&amp;ADK$11,[1]Cartera!$J:$J)+SUMIF([1]Futuros!$AD:$AD,$A1&amp;"_"&amp;ADK$11,[1]Futuros!$AK:$AK)+SUMIF([1]Opciones!$AF:$AF,$A1&amp;"_"&amp;ADK$11,[1]Opciones!$AO:$AO)</f>
        <v>#VALUE!</v>
      </c>
      <c r="ADL1" t="e">
        <f>+SUMIF([1]Cartera!$R:$R,$A1&amp;"_"&amp;ADL$11,[1]Cartera!$J:$J)+SUMIF([1]Futuros!$AD:$AD,$A1&amp;"_"&amp;ADL$11,[1]Futuros!$AK:$AK)+SUMIF([1]Opciones!$AF:$AF,$A1&amp;"_"&amp;ADL$11,[1]Opciones!$AO:$AO)</f>
        <v>#VALUE!</v>
      </c>
      <c r="ADM1" t="e">
        <f>+SUMIF([1]Cartera!$R:$R,$A1&amp;"_"&amp;ADM$11,[1]Cartera!$J:$J)+SUMIF([1]Futuros!$AD:$AD,$A1&amp;"_"&amp;ADM$11,[1]Futuros!$AK:$AK)+SUMIF([1]Opciones!$AF:$AF,$A1&amp;"_"&amp;ADM$11,[1]Opciones!$AO:$AO)</f>
        <v>#VALUE!</v>
      </c>
      <c r="ADN1" t="e">
        <f>+SUMIF([1]Cartera!$R:$R,$A1&amp;"_"&amp;ADN$11,[1]Cartera!$J:$J)+SUMIF([1]Futuros!$AD:$AD,$A1&amp;"_"&amp;ADN$11,[1]Futuros!$AK:$AK)+SUMIF([1]Opciones!$AF:$AF,$A1&amp;"_"&amp;ADN$11,[1]Opciones!$AO:$AO)</f>
        <v>#VALUE!</v>
      </c>
      <c r="ADO1" t="e">
        <f>+SUMIF([1]Cartera!$R:$R,$A1&amp;"_"&amp;ADO$11,[1]Cartera!$J:$J)+SUMIF([1]Futuros!$AD:$AD,$A1&amp;"_"&amp;ADO$11,[1]Futuros!$AK:$AK)+SUMIF([1]Opciones!$AF:$AF,$A1&amp;"_"&amp;ADO$11,[1]Opciones!$AO:$AO)</f>
        <v>#VALUE!</v>
      </c>
      <c r="ADP1" t="e">
        <f>+SUMIF([1]Cartera!$R:$R,$A1&amp;"_"&amp;ADP$11,[1]Cartera!$J:$J)+SUMIF([1]Futuros!$AD:$AD,$A1&amp;"_"&amp;ADP$11,[1]Futuros!$AK:$AK)+SUMIF([1]Opciones!$AF:$AF,$A1&amp;"_"&amp;ADP$11,[1]Opciones!$AO:$AO)</f>
        <v>#VALUE!</v>
      </c>
      <c r="ADQ1" t="e">
        <f>+SUMIF([1]Cartera!$R:$R,$A1&amp;"_"&amp;ADQ$11,[1]Cartera!$J:$J)+SUMIF([1]Futuros!$AD:$AD,$A1&amp;"_"&amp;ADQ$11,[1]Futuros!$AK:$AK)+SUMIF([1]Opciones!$AF:$AF,$A1&amp;"_"&amp;ADQ$11,[1]Opciones!$AO:$AO)</f>
        <v>#VALUE!</v>
      </c>
      <c r="ADR1" t="e">
        <f>+SUMIF([1]Cartera!$R:$R,$A1&amp;"_"&amp;ADR$11,[1]Cartera!$J:$J)+SUMIF([1]Futuros!$AD:$AD,$A1&amp;"_"&amp;ADR$11,[1]Futuros!$AK:$AK)+SUMIF([1]Opciones!$AF:$AF,$A1&amp;"_"&amp;ADR$11,[1]Opciones!$AO:$AO)</f>
        <v>#VALUE!</v>
      </c>
      <c r="ADS1" t="e">
        <f>+SUMIF([1]Cartera!$R:$R,$A1&amp;"_"&amp;ADS$11,[1]Cartera!$J:$J)+SUMIF([1]Futuros!$AD:$AD,$A1&amp;"_"&amp;ADS$11,[1]Futuros!$AK:$AK)+SUMIF([1]Opciones!$AF:$AF,$A1&amp;"_"&amp;ADS$11,[1]Opciones!$AO:$AO)</f>
        <v>#VALUE!</v>
      </c>
      <c r="ADT1" t="e">
        <f>+SUMIF([1]Cartera!$R:$R,$A1&amp;"_"&amp;ADT$11,[1]Cartera!$J:$J)+SUMIF([1]Futuros!$AD:$AD,$A1&amp;"_"&amp;ADT$11,[1]Futuros!$AK:$AK)+SUMIF([1]Opciones!$AF:$AF,$A1&amp;"_"&amp;ADT$11,[1]Opciones!$AO:$AO)</f>
        <v>#VALUE!</v>
      </c>
      <c r="ADU1" t="e">
        <f>+SUMIF([1]Cartera!$R:$R,$A1&amp;"_"&amp;ADU$11,[1]Cartera!$J:$J)+SUMIF([1]Futuros!$AD:$AD,$A1&amp;"_"&amp;ADU$11,[1]Futuros!$AK:$AK)+SUMIF([1]Opciones!$AF:$AF,$A1&amp;"_"&amp;ADU$11,[1]Opciones!$AO:$AO)</f>
        <v>#VALUE!</v>
      </c>
      <c r="ADV1" t="e">
        <f>+SUMIF([1]Cartera!$R:$R,$A1&amp;"_"&amp;ADV$11,[1]Cartera!$J:$J)+SUMIF([1]Futuros!$AD:$AD,$A1&amp;"_"&amp;ADV$11,[1]Futuros!$AK:$AK)+SUMIF([1]Opciones!$AF:$AF,$A1&amp;"_"&amp;ADV$11,[1]Opciones!$AO:$AO)</f>
        <v>#VALUE!</v>
      </c>
      <c r="ADW1" t="e">
        <f>+SUMIF([1]Cartera!$R:$R,$A1&amp;"_"&amp;ADW$11,[1]Cartera!$J:$J)+SUMIF([1]Futuros!$AD:$AD,$A1&amp;"_"&amp;ADW$11,[1]Futuros!$AK:$AK)+SUMIF([1]Opciones!$AF:$AF,$A1&amp;"_"&amp;ADW$11,[1]Opciones!$AO:$AO)</f>
        <v>#VALUE!</v>
      </c>
      <c r="ADX1" t="e">
        <f>+SUMIF([1]Cartera!$R:$R,$A1&amp;"_"&amp;ADX$11,[1]Cartera!$J:$J)+SUMIF([1]Futuros!$AD:$AD,$A1&amp;"_"&amp;ADX$11,[1]Futuros!$AK:$AK)+SUMIF([1]Opciones!$AF:$AF,$A1&amp;"_"&amp;ADX$11,[1]Opciones!$AO:$AO)</f>
        <v>#VALUE!</v>
      </c>
      <c r="ADY1" t="e">
        <f>+SUMIF([1]Cartera!$R:$R,$A1&amp;"_"&amp;ADY$11,[1]Cartera!$J:$J)+SUMIF([1]Futuros!$AD:$AD,$A1&amp;"_"&amp;ADY$11,[1]Futuros!$AK:$AK)+SUMIF([1]Opciones!$AF:$AF,$A1&amp;"_"&amp;ADY$11,[1]Opciones!$AO:$AO)</f>
        <v>#VALUE!</v>
      </c>
      <c r="ADZ1" t="e">
        <f>+SUMIF([1]Cartera!$R:$R,$A1&amp;"_"&amp;ADZ$11,[1]Cartera!$J:$J)+SUMIF([1]Futuros!$AD:$AD,$A1&amp;"_"&amp;ADZ$11,[1]Futuros!$AK:$AK)+SUMIF([1]Opciones!$AF:$AF,$A1&amp;"_"&amp;ADZ$11,[1]Opciones!$AO:$AO)</f>
        <v>#VALUE!</v>
      </c>
      <c r="AEA1" t="e">
        <f>+SUMIF([1]Cartera!$R:$R,$A1&amp;"_"&amp;AEA$11,[1]Cartera!$J:$J)+SUMIF([1]Futuros!$AD:$AD,$A1&amp;"_"&amp;AEA$11,[1]Futuros!$AK:$AK)+SUMIF([1]Opciones!$AF:$AF,$A1&amp;"_"&amp;AEA$11,[1]Opciones!$AO:$AO)</f>
        <v>#VALUE!</v>
      </c>
      <c r="AEB1" t="e">
        <f>+SUMIF([1]Cartera!$R:$R,$A1&amp;"_"&amp;AEB$11,[1]Cartera!$J:$J)+SUMIF([1]Futuros!$AD:$AD,$A1&amp;"_"&amp;AEB$11,[1]Futuros!$AK:$AK)+SUMIF([1]Opciones!$AF:$AF,$A1&amp;"_"&amp;AEB$11,[1]Opciones!$AO:$AO)</f>
        <v>#VALUE!</v>
      </c>
      <c r="AEC1" t="e">
        <f>+SUMIF([1]Cartera!$R:$R,$A1&amp;"_"&amp;AEC$11,[1]Cartera!$J:$J)+SUMIF([1]Futuros!$AD:$AD,$A1&amp;"_"&amp;AEC$11,[1]Futuros!$AK:$AK)+SUMIF([1]Opciones!$AF:$AF,$A1&amp;"_"&amp;AEC$11,[1]Opciones!$AO:$AO)</f>
        <v>#VALUE!</v>
      </c>
      <c r="AED1" t="e">
        <f>+SUMIF([1]Cartera!$R:$R,$A1&amp;"_"&amp;AED$11,[1]Cartera!$J:$J)+SUMIF([1]Futuros!$AD:$AD,$A1&amp;"_"&amp;AED$11,[1]Futuros!$AK:$AK)+SUMIF([1]Opciones!$AF:$AF,$A1&amp;"_"&amp;AED$11,[1]Opciones!$AO:$AO)</f>
        <v>#VALUE!</v>
      </c>
      <c r="AEE1" t="e">
        <f>+SUMIF([1]Cartera!$R:$R,$A1&amp;"_"&amp;AEE$11,[1]Cartera!$J:$J)+SUMIF([1]Futuros!$AD:$AD,$A1&amp;"_"&amp;AEE$11,[1]Futuros!$AK:$AK)+SUMIF([1]Opciones!$AF:$AF,$A1&amp;"_"&amp;AEE$11,[1]Opciones!$AO:$AO)</f>
        <v>#VALUE!</v>
      </c>
      <c r="AEF1" t="e">
        <f>+SUMIF([1]Cartera!$R:$R,$A1&amp;"_"&amp;AEF$11,[1]Cartera!$J:$J)+SUMIF([1]Futuros!$AD:$AD,$A1&amp;"_"&amp;AEF$11,[1]Futuros!$AK:$AK)+SUMIF([1]Opciones!$AF:$AF,$A1&amp;"_"&amp;AEF$11,[1]Opciones!$AO:$AO)</f>
        <v>#VALUE!</v>
      </c>
      <c r="AEG1" t="e">
        <f>+SUMIF([1]Cartera!$R:$R,$A1&amp;"_"&amp;AEG$11,[1]Cartera!$J:$J)+SUMIF([1]Futuros!$AD:$AD,$A1&amp;"_"&amp;AEG$11,[1]Futuros!$AK:$AK)+SUMIF([1]Opciones!$AF:$AF,$A1&amp;"_"&amp;AEG$11,[1]Opciones!$AO:$AO)</f>
        <v>#VALUE!</v>
      </c>
      <c r="AEH1" t="e">
        <f>+SUMIF([1]Cartera!$R:$R,$A1&amp;"_"&amp;AEH$11,[1]Cartera!$J:$J)+SUMIF([1]Futuros!$AD:$AD,$A1&amp;"_"&amp;AEH$11,[1]Futuros!$AK:$AK)+SUMIF([1]Opciones!$AF:$AF,$A1&amp;"_"&amp;AEH$11,[1]Opciones!$AO:$AO)</f>
        <v>#VALUE!</v>
      </c>
      <c r="AEI1" t="e">
        <f>+SUMIF([1]Cartera!$R:$R,$A1&amp;"_"&amp;AEI$11,[1]Cartera!$J:$J)+SUMIF([1]Futuros!$AD:$AD,$A1&amp;"_"&amp;AEI$11,[1]Futuros!$AK:$AK)+SUMIF([1]Opciones!$AF:$AF,$A1&amp;"_"&amp;AEI$11,[1]Opciones!$AO:$AO)</f>
        <v>#VALUE!</v>
      </c>
      <c r="AEJ1" t="e">
        <f>+SUMIF([1]Cartera!$R:$R,$A1&amp;"_"&amp;AEJ$11,[1]Cartera!$J:$J)+SUMIF([1]Futuros!$AD:$AD,$A1&amp;"_"&amp;AEJ$11,[1]Futuros!$AK:$AK)+SUMIF([1]Opciones!$AF:$AF,$A1&amp;"_"&amp;AEJ$11,[1]Opciones!$AO:$AO)</f>
        <v>#VALUE!</v>
      </c>
      <c r="AEK1" t="e">
        <f>+SUMIF([1]Cartera!$R:$R,$A1&amp;"_"&amp;AEK$11,[1]Cartera!$J:$J)+SUMIF([1]Futuros!$AD:$AD,$A1&amp;"_"&amp;AEK$11,[1]Futuros!$AK:$AK)+SUMIF([1]Opciones!$AF:$AF,$A1&amp;"_"&amp;AEK$11,[1]Opciones!$AO:$AO)</f>
        <v>#VALUE!</v>
      </c>
      <c r="AEL1" t="e">
        <f>+SUMIF([1]Cartera!$R:$R,$A1&amp;"_"&amp;AEL$11,[1]Cartera!$J:$J)+SUMIF([1]Futuros!$AD:$AD,$A1&amp;"_"&amp;AEL$11,[1]Futuros!$AK:$AK)+SUMIF([1]Opciones!$AF:$AF,$A1&amp;"_"&amp;AEL$11,[1]Opciones!$AO:$AO)</f>
        <v>#VALUE!</v>
      </c>
      <c r="AEM1" t="e">
        <f>+SUMIF([1]Cartera!$R:$R,$A1&amp;"_"&amp;AEM$11,[1]Cartera!$J:$J)+SUMIF([1]Futuros!$AD:$AD,$A1&amp;"_"&amp;AEM$11,[1]Futuros!$AK:$AK)+SUMIF([1]Opciones!$AF:$AF,$A1&amp;"_"&amp;AEM$11,[1]Opciones!$AO:$AO)</f>
        <v>#VALUE!</v>
      </c>
      <c r="AEN1" t="e">
        <f>+SUMIF([1]Cartera!$R:$R,$A1&amp;"_"&amp;AEN$11,[1]Cartera!$J:$J)+SUMIF([1]Futuros!$AD:$AD,$A1&amp;"_"&amp;AEN$11,[1]Futuros!$AK:$AK)+SUMIF([1]Opciones!$AF:$AF,$A1&amp;"_"&amp;AEN$11,[1]Opciones!$AO:$AO)</f>
        <v>#VALUE!</v>
      </c>
      <c r="AEO1" t="e">
        <f>+SUMIF([1]Cartera!$R:$R,$A1&amp;"_"&amp;AEO$11,[1]Cartera!$J:$J)+SUMIF([1]Futuros!$AD:$AD,$A1&amp;"_"&amp;AEO$11,[1]Futuros!$AK:$AK)+SUMIF([1]Opciones!$AF:$AF,$A1&amp;"_"&amp;AEO$11,[1]Opciones!$AO:$AO)</f>
        <v>#VALUE!</v>
      </c>
      <c r="AEP1" t="e">
        <f>+SUMIF([1]Cartera!$R:$R,$A1&amp;"_"&amp;AEP$11,[1]Cartera!$J:$J)+SUMIF([1]Futuros!$AD:$AD,$A1&amp;"_"&amp;AEP$11,[1]Futuros!$AK:$AK)+SUMIF([1]Opciones!$AF:$AF,$A1&amp;"_"&amp;AEP$11,[1]Opciones!$AO:$AO)</f>
        <v>#VALUE!</v>
      </c>
      <c r="AEQ1" t="e">
        <f>+SUMIF([1]Cartera!$R:$R,$A1&amp;"_"&amp;AEQ$11,[1]Cartera!$J:$J)+SUMIF([1]Futuros!$AD:$AD,$A1&amp;"_"&amp;AEQ$11,[1]Futuros!$AK:$AK)+SUMIF([1]Opciones!$AF:$AF,$A1&amp;"_"&amp;AEQ$11,[1]Opciones!$AO:$AO)</f>
        <v>#VALUE!</v>
      </c>
      <c r="AER1" t="e">
        <f>+SUMIF([1]Cartera!$R:$R,$A1&amp;"_"&amp;AER$11,[1]Cartera!$J:$J)+SUMIF([1]Futuros!$AD:$AD,$A1&amp;"_"&amp;AER$11,[1]Futuros!$AK:$AK)+SUMIF([1]Opciones!$AF:$AF,$A1&amp;"_"&amp;AER$11,[1]Opciones!$AO:$AO)</f>
        <v>#VALUE!</v>
      </c>
      <c r="AES1" t="e">
        <f>+SUMIF([1]Cartera!$R:$R,$A1&amp;"_"&amp;AES$11,[1]Cartera!$J:$J)+SUMIF([1]Futuros!$AD:$AD,$A1&amp;"_"&amp;AES$11,[1]Futuros!$AK:$AK)+SUMIF([1]Opciones!$AF:$AF,$A1&amp;"_"&amp;AES$11,[1]Opciones!$AO:$AO)</f>
        <v>#VALUE!</v>
      </c>
      <c r="AET1" t="e">
        <f>+SUMIF([1]Cartera!$R:$R,$A1&amp;"_"&amp;AET$11,[1]Cartera!$J:$J)+SUMIF([1]Futuros!$AD:$AD,$A1&amp;"_"&amp;AET$11,[1]Futuros!$AK:$AK)+SUMIF([1]Opciones!$AF:$AF,$A1&amp;"_"&amp;AET$11,[1]Opciones!$AO:$AO)</f>
        <v>#VALUE!</v>
      </c>
      <c r="AEU1" t="e">
        <f>+SUMIF([1]Cartera!$R:$R,$A1&amp;"_"&amp;AEU$11,[1]Cartera!$J:$J)+SUMIF([1]Futuros!$AD:$AD,$A1&amp;"_"&amp;AEU$11,[1]Futuros!$AK:$AK)+SUMIF([1]Opciones!$AF:$AF,$A1&amp;"_"&amp;AEU$11,[1]Opciones!$AO:$AO)</f>
        <v>#VALUE!</v>
      </c>
      <c r="AEV1" t="e">
        <f>+SUMIF([1]Cartera!$R:$R,$A1&amp;"_"&amp;AEV$11,[1]Cartera!$J:$J)+SUMIF([1]Futuros!$AD:$AD,$A1&amp;"_"&amp;AEV$11,[1]Futuros!$AK:$AK)+SUMIF([1]Opciones!$AF:$AF,$A1&amp;"_"&amp;AEV$11,[1]Opciones!$AO:$AO)</f>
        <v>#VALUE!</v>
      </c>
      <c r="AEW1" t="e">
        <f>+SUMIF([1]Cartera!$R:$R,$A1&amp;"_"&amp;AEW$11,[1]Cartera!$J:$J)+SUMIF([1]Futuros!$AD:$AD,$A1&amp;"_"&amp;AEW$11,[1]Futuros!$AK:$AK)+SUMIF([1]Opciones!$AF:$AF,$A1&amp;"_"&amp;AEW$11,[1]Opciones!$AO:$AO)</f>
        <v>#VALUE!</v>
      </c>
      <c r="AEX1" t="e">
        <f>+SUMIF([1]Cartera!$R:$R,$A1&amp;"_"&amp;AEX$11,[1]Cartera!$J:$J)+SUMIF([1]Futuros!$AD:$AD,$A1&amp;"_"&amp;AEX$11,[1]Futuros!$AK:$AK)+SUMIF([1]Opciones!$AF:$AF,$A1&amp;"_"&amp;AEX$11,[1]Opciones!$AO:$AO)</f>
        <v>#VALUE!</v>
      </c>
      <c r="AEY1" t="e">
        <f>+SUMIF([1]Cartera!$R:$R,$A1&amp;"_"&amp;AEY$11,[1]Cartera!$J:$J)+SUMIF([1]Futuros!$AD:$AD,$A1&amp;"_"&amp;AEY$11,[1]Futuros!$AK:$AK)+SUMIF([1]Opciones!$AF:$AF,$A1&amp;"_"&amp;AEY$11,[1]Opciones!$AO:$AO)</f>
        <v>#VALUE!</v>
      </c>
      <c r="AEZ1" t="e">
        <f>+SUMIF([1]Cartera!$R:$R,$A1&amp;"_"&amp;AEZ$11,[1]Cartera!$J:$J)+SUMIF([1]Futuros!$AD:$AD,$A1&amp;"_"&amp;AEZ$11,[1]Futuros!$AK:$AK)+SUMIF([1]Opciones!$AF:$AF,$A1&amp;"_"&amp;AEZ$11,[1]Opciones!$AO:$AO)</f>
        <v>#VALUE!</v>
      </c>
      <c r="AFA1" t="e">
        <f>+SUMIF([1]Cartera!$R:$R,$A1&amp;"_"&amp;AFA$11,[1]Cartera!$J:$J)+SUMIF([1]Futuros!$AD:$AD,$A1&amp;"_"&amp;AFA$11,[1]Futuros!$AK:$AK)+SUMIF([1]Opciones!$AF:$AF,$A1&amp;"_"&amp;AFA$11,[1]Opciones!$AO:$AO)</f>
        <v>#VALUE!</v>
      </c>
      <c r="AFB1" t="e">
        <f>+SUMIF([1]Cartera!$R:$R,$A1&amp;"_"&amp;AFB$11,[1]Cartera!$J:$J)+SUMIF([1]Futuros!$AD:$AD,$A1&amp;"_"&amp;AFB$11,[1]Futuros!$AK:$AK)+SUMIF([1]Opciones!$AF:$AF,$A1&amp;"_"&amp;AFB$11,[1]Opciones!$AO:$AO)</f>
        <v>#VALUE!</v>
      </c>
      <c r="AFC1" t="e">
        <f>+SUMIF([1]Cartera!$R:$R,$A1&amp;"_"&amp;AFC$11,[1]Cartera!$J:$J)+SUMIF([1]Futuros!$AD:$AD,$A1&amp;"_"&amp;AFC$11,[1]Futuros!$AK:$AK)+SUMIF([1]Opciones!$AF:$AF,$A1&amp;"_"&amp;AFC$11,[1]Opciones!$AO:$AO)</f>
        <v>#VALUE!</v>
      </c>
      <c r="AFD1" t="e">
        <f>+SUMIF([1]Cartera!$R:$R,$A1&amp;"_"&amp;AFD$11,[1]Cartera!$J:$J)+SUMIF([1]Futuros!$AD:$AD,$A1&amp;"_"&amp;AFD$11,[1]Futuros!$AK:$AK)+SUMIF([1]Opciones!$AF:$AF,$A1&amp;"_"&amp;AFD$11,[1]Opciones!$AO:$AO)</f>
        <v>#VALUE!</v>
      </c>
      <c r="AFE1" t="e">
        <f>+SUMIF([1]Cartera!$R:$R,$A1&amp;"_"&amp;AFE$11,[1]Cartera!$J:$J)+SUMIF([1]Futuros!$AD:$AD,$A1&amp;"_"&amp;AFE$11,[1]Futuros!$AK:$AK)+SUMIF([1]Opciones!$AF:$AF,$A1&amp;"_"&amp;AFE$11,[1]Opciones!$AO:$AO)</f>
        <v>#VALUE!</v>
      </c>
      <c r="AFF1" t="e">
        <f>+SUMIF([1]Cartera!$R:$R,$A1&amp;"_"&amp;AFF$11,[1]Cartera!$J:$J)+SUMIF([1]Futuros!$AD:$AD,$A1&amp;"_"&amp;AFF$11,[1]Futuros!$AK:$AK)+SUMIF([1]Opciones!$AF:$AF,$A1&amp;"_"&amp;AFF$11,[1]Opciones!$AO:$AO)</f>
        <v>#VALUE!</v>
      </c>
      <c r="AFG1" t="e">
        <f>+SUMIF([1]Cartera!$R:$R,$A1&amp;"_"&amp;AFG$11,[1]Cartera!$J:$J)+SUMIF([1]Futuros!$AD:$AD,$A1&amp;"_"&amp;AFG$11,[1]Futuros!$AK:$AK)+SUMIF([1]Opciones!$AF:$AF,$A1&amp;"_"&amp;AFG$11,[1]Opciones!$AO:$AO)</f>
        <v>#VALUE!</v>
      </c>
      <c r="AFH1" t="e">
        <f>+SUMIF([1]Cartera!$R:$R,$A1&amp;"_"&amp;AFH$11,[1]Cartera!$J:$J)+SUMIF([1]Futuros!$AD:$AD,$A1&amp;"_"&amp;AFH$11,[1]Futuros!$AK:$AK)+SUMIF([1]Opciones!$AF:$AF,$A1&amp;"_"&amp;AFH$11,[1]Opciones!$AO:$AO)</f>
        <v>#VALUE!</v>
      </c>
      <c r="AFI1" t="e">
        <f>+SUMIF([1]Cartera!$R:$R,$A1&amp;"_"&amp;AFI$11,[1]Cartera!$J:$J)+SUMIF([1]Futuros!$AD:$AD,$A1&amp;"_"&amp;AFI$11,[1]Futuros!$AK:$AK)+SUMIF([1]Opciones!$AF:$AF,$A1&amp;"_"&amp;AFI$11,[1]Opciones!$AO:$AO)</f>
        <v>#VALUE!</v>
      </c>
      <c r="AFJ1" t="e">
        <f>+SUMIF([1]Cartera!$R:$R,$A1&amp;"_"&amp;AFJ$11,[1]Cartera!$J:$J)+SUMIF([1]Futuros!$AD:$AD,$A1&amp;"_"&amp;AFJ$11,[1]Futuros!$AK:$AK)+SUMIF([1]Opciones!$AF:$AF,$A1&amp;"_"&amp;AFJ$11,[1]Opciones!$AO:$AO)</f>
        <v>#VALUE!</v>
      </c>
      <c r="AFK1" t="e">
        <f>+SUMIF([1]Cartera!$R:$R,$A1&amp;"_"&amp;AFK$11,[1]Cartera!$J:$J)+SUMIF([1]Futuros!$AD:$AD,$A1&amp;"_"&amp;AFK$11,[1]Futuros!$AK:$AK)+SUMIF([1]Opciones!$AF:$AF,$A1&amp;"_"&amp;AFK$11,[1]Opciones!$AO:$AO)</f>
        <v>#VALUE!</v>
      </c>
      <c r="AFL1" t="e">
        <f>+SUMIF([1]Cartera!$R:$R,$A1&amp;"_"&amp;AFL$11,[1]Cartera!$J:$J)+SUMIF([1]Futuros!$AD:$AD,$A1&amp;"_"&amp;AFL$11,[1]Futuros!$AK:$AK)+SUMIF([1]Opciones!$AF:$AF,$A1&amp;"_"&amp;AFL$11,[1]Opciones!$AO:$AO)</f>
        <v>#VALUE!</v>
      </c>
      <c r="AFM1" t="e">
        <f>+SUMIF([1]Cartera!$R:$R,$A1&amp;"_"&amp;AFM$11,[1]Cartera!$J:$J)+SUMIF([1]Futuros!$AD:$AD,$A1&amp;"_"&amp;AFM$11,[1]Futuros!$AK:$AK)+SUMIF([1]Opciones!$AF:$AF,$A1&amp;"_"&amp;AFM$11,[1]Opciones!$AO:$AO)</f>
        <v>#VALUE!</v>
      </c>
      <c r="AFN1" t="e">
        <f>+SUMIF([1]Cartera!$R:$R,$A1&amp;"_"&amp;AFN$11,[1]Cartera!$J:$J)+SUMIF([1]Futuros!$AD:$AD,$A1&amp;"_"&amp;AFN$11,[1]Futuros!$AK:$AK)+SUMIF([1]Opciones!$AF:$AF,$A1&amp;"_"&amp;AFN$11,[1]Opciones!$AO:$AO)</f>
        <v>#VALUE!</v>
      </c>
      <c r="AFO1" t="e">
        <f>+SUMIF([1]Cartera!$R:$R,$A1&amp;"_"&amp;AFO$11,[1]Cartera!$J:$J)+SUMIF([1]Futuros!$AD:$AD,$A1&amp;"_"&amp;AFO$11,[1]Futuros!$AK:$AK)+SUMIF([1]Opciones!$AF:$AF,$A1&amp;"_"&amp;AFO$11,[1]Opciones!$AO:$AO)</f>
        <v>#VALUE!</v>
      </c>
      <c r="AFP1" t="e">
        <f>+SUMIF([1]Cartera!$R:$R,$A1&amp;"_"&amp;AFP$11,[1]Cartera!$J:$J)+SUMIF([1]Futuros!$AD:$AD,$A1&amp;"_"&amp;AFP$11,[1]Futuros!$AK:$AK)+SUMIF([1]Opciones!$AF:$AF,$A1&amp;"_"&amp;AFP$11,[1]Opciones!$AO:$AO)</f>
        <v>#VALUE!</v>
      </c>
      <c r="AFQ1" t="e">
        <f>+SUMIF([1]Cartera!$R:$R,$A1&amp;"_"&amp;AFQ$11,[1]Cartera!$J:$J)+SUMIF([1]Futuros!$AD:$AD,$A1&amp;"_"&amp;AFQ$11,[1]Futuros!$AK:$AK)+SUMIF([1]Opciones!$AF:$AF,$A1&amp;"_"&amp;AFQ$11,[1]Opciones!$AO:$AO)</f>
        <v>#VALUE!</v>
      </c>
      <c r="AFR1" t="e">
        <f>+SUMIF([1]Cartera!$R:$R,$A1&amp;"_"&amp;AFR$11,[1]Cartera!$J:$J)+SUMIF([1]Futuros!$AD:$AD,$A1&amp;"_"&amp;AFR$11,[1]Futuros!$AK:$AK)+SUMIF([1]Opciones!$AF:$AF,$A1&amp;"_"&amp;AFR$11,[1]Opciones!$AO:$AO)</f>
        <v>#VALUE!</v>
      </c>
      <c r="AFS1" t="e">
        <f>+SUMIF([1]Cartera!$R:$R,$A1&amp;"_"&amp;AFS$11,[1]Cartera!$J:$J)+SUMIF([1]Futuros!$AD:$AD,$A1&amp;"_"&amp;AFS$11,[1]Futuros!$AK:$AK)+SUMIF([1]Opciones!$AF:$AF,$A1&amp;"_"&amp;AFS$11,[1]Opciones!$AO:$AO)</f>
        <v>#VALUE!</v>
      </c>
      <c r="AFT1" t="e">
        <f>+SUMIF([1]Cartera!$R:$R,$A1&amp;"_"&amp;AFT$11,[1]Cartera!$J:$J)+SUMIF([1]Futuros!$AD:$AD,$A1&amp;"_"&amp;AFT$11,[1]Futuros!$AK:$AK)+SUMIF([1]Opciones!$AF:$AF,$A1&amp;"_"&amp;AFT$11,[1]Opciones!$AO:$AO)</f>
        <v>#VALUE!</v>
      </c>
      <c r="AFU1" t="e">
        <f>+SUMIF([1]Cartera!$R:$R,$A1&amp;"_"&amp;AFU$11,[1]Cartera!$J:$J)+SUMIF([1]Futuros!$AD:$AD,$A1&amp;"_"&amp;AFU$11,[1]Futuros!$AK:$AK)+SUMIF([1]Opciones!$AF:$AF,$A1&amp;"_"&amp;AFU$11,[1]Opciones!$AO:$AO)</f>
        <v>#VALUE!</v>
      </c>
      <c r="AFV1" t="e">
        <f>+SUMIF([1]Cartera!$R:$R,$A1&amp;"_"&amp;AFV$11,[1]Cartera!$J:$J)+SUMIF([1]Futuros!$AD:$AD,$A1&amp;"_"&amp;AFV$11,[1]Futuros!$AK:$AK)+SUMIF([1]Opciones!$AF:$AF,$A1&amp;"_"&amp;AFV$11,[1]Opciones!$AO:$AO)</f>
        <v>#VALUE!</v>
      </c>
      <c r="AFW1" t="e">
        <f>+SUMIF([1]Cartera!$R:$R,$A1&amp;"_"&amp;AFW$11,[1]Cartera!$J:$J)+SUMIF([1]Futuros!$AD:$AD,$A1&amp;"_"&amp;AFW$11,[1]Futuros!$AK:$AK)+SUMIF([1]Opciones!$AF:$AF,$A1&amp;"_"&amp;AFW$11,[1]Opciones!$AO:$AO)</f>
        <v>#VALUE!</v>
      </c>
      <c r="AFX1" t="e">
        <f>+SUMIF([1]Cartera!$R:$R,$A1&amp;"_"&amp;AFX$11,[1]Cartera!$J:$J)+SUMIF([1]Futuros!$AD:$AD,$A1&amp;"_"&amp;AFX$11,[1]Futuros!$AK:$AK)+SUMIF([1]Opciones!$AF:$AF,$A1&amp;"_"&amp;AFX$11,[1]Opciones!$AO:$AO)</f>
        <v>#VALUE!</v>
      </c>
      <c r="AFY1" t="e">
        <f>+SUMIF([1]Cartera!$R:$R,$A1&amp;"_"&amp;AFY$11,[1]Cartera!$J:$J)+SUMIF([1]Futuros!$AD:$AD,$A1&amp;"_"&amp;AFY$11,[1]Futuros!$AK:$AK)+SUMIF([1]Opciones!$AF:$AF,$A1&amp;"_"&amp;AFY$11,[1]Opciones!$AO:$AO)</f>
        <v>#VALUE!</v>
      </c>
      <c r="AFZ1" t="e">
        <f>+SUMIF([1]Cartera!$R:$R,$A1&amp;"_"&amp;AFZ$11,[1]Cartera!$J:$J)+SUMIF([1]Futuros!$AD:$AD,$A1&amp;"_"&amp;AFZ$11,[1]Futuros!$AK:$AK)+SUMIF([1]Opciones!$AF:$AF,$A1&amp;"_"&amp;AFZ$11,[1]Opciones!$AO:$AO)</f>
        <v>#VALUE!</v>
      </c>
      <c r="AGA1" t="e">
        <f>+SUMIF([1]Cartera!$R:$R,$A1&amp;"_"&amp;AGA$11,[1]Cartera!$J:$J)+SUMIF([1]Futuros!$AD:$AD,$A1&amp;"_"&amp;AGA$11,[1]Futuros!$AK:$AK)+SUMIF([1]Opciones!$AF:$AF,$A1&amp;"_"&amp;AGA$11,[1]Opciones!$AO:$AO)</f>
        <v>#VALUE!</v>
      </c>
      <c r="AGB1" t="e">
        <f>+SUMIF([1]Cartera!$R:$R,$A1&amp;"_"&amp;AGB$11,[1]Cartera!$J:$J)+SUMIF([1]Futuros!$AD:$AD,$A1&amp;"_"&amp;AGB$11,[1]Futuros!$AK:$AK)+SUMIF([1]Opciones!$AF:$AF,$A1&amp;"_"&amp;AGB$11,[1]Opciones!$AO:$AO)</f>
        <v>#VALUE!</v>
      </c>
      <c r="AGC1" t="e">
        <f>+SUMIF([1]Cartera!$R:$R,$A1&amp;"_"&amp;AGC$11,[1]Cartera!$J:$J)+SUMIF([1]Futuros!$AD:$AD,$A1&amp;"_"&amp;AGC$11,[1]Futuros!$AK:$AK)+SUMIF([1]Opciones!$AF:$AF,$A1&amp;"_"&amp;AGC$11,[1]Opciones!$AO:$AO)</f>
        <v>#VALUE!</v>
      </c>
      <c r="AGD1" t="e">
        <f>+SUMIF([1]Cartera!$R:$R,$A1&amp;"_"&amp;AGD$11,[1]Cartera!$J:$J)+SUMIF([1]Futuros!$AD:$AD,$A1&amp;"_"&amp;AGD$11,[1]Futuros!$AK:$AK)+SUMIF([1]Opciones!$AF:$AF,$A1&amp;"_"&amp;AGD$11,[1]Opciones!$AO:$AO)</f>
        <v>#VALUE!</v>
      </c>
      <c r="AGE1" t="e">
        <f>+SUMIF([1]Cartera!$R:$R,$A1&amp;"_"&amp;AGE$11,[1]Cartera!$J:$J)+SUMIF([1]Futuros!$AD:$AD,$A1&amp;"_"&amp;AGE$11,[1]Futuros!$AK:$AK)+SUMIF([1]Opciones!$AF:$AF,$A1&amp;"_"&amp;AGE$11,[1]Opciones!$AO:$AO)</f>
        <v>#VALUE!</v>
      </c>
      <c r="AGF1" t="e">
        <f>+SUMIF([1]Cartera!$R:$R,$A1&amp;"_"&amp;AGF$11,[1]Cartera!$J:$J)+SUMIF([1]Futuros!$AD:$AD,$A1&amp;"_"&amp;AGF$11,[1]Futuros!$AK:$AK)+SUMIF([1]Opciones!$AF:$AF,$A1&amp;"_"&amp;AGF$11,[1]Opciones!$AO:$AO)</f>
        <v>#VALUE!</v>
      </c>
      <c r="AGG1" t="e">
        <f>+SUMIF([1]Cartera!$R:$R,$A1&amp;"_"&amp;AGG$11,[1]Cartera!$J:$J)+SUMIF([1]Futuros!$AD:$AD,$A1&amp;"_"&amp;AGG$11,[1]Futuros!$AK:$AK)+SUMIF([1]Opciones!$AF:$AF,$A1&amp;"_"&amp;AGG$11,[1]Opciones!$AO:$AO)</f>
        <v>#VALUE!</v>
      </c>
      <c r="AGH1" t="e">
        <f>+SUMIF([1]Cartera!$R:$R,$A1&amp;"_"&amp;AGH$11,[1]Cartera!$J:$J)+SUMIF([1]Futuros!$AD:$AD,$A1&amp;"_"&amp;AGH$11,[1]Futuros!$AK:$AK)+SUMIF([1]Opciones!$AF:$AF,$A1&amp;"_"&amp;AGH$11,[1]Opciones!$AO:$AO)</f>
        <v>#VALUE!</v>
      </c>
      <c r="AGI1" t="e">
        <f>+SUMIF([1]Cartera!$R:$R,$A1&amp;"_"&amp;AGI$11,[1]Cartera!$J:$J)+SUMIF([1]Futuros!$AD:$AD,$A1&amp;"_"&amp;AGI$11,[1]Futuros!$AK:$AK)+SUMIF([1]Opciones!$AF:$AF,$A1&amp;"_"&amp;AGI$11,[1]Opciones!$AO:$AO)</f>
        <v>#VALUE!</v>
      </c>
      <c r="AGJ1" t="e">
        <f>+SUMIF([1]Cartera!$R:$R,$A1&amp;"_"&amp;AGJ$11,[1]Cartera!$J:$J)+SUMIF([1]Futuros!$AD:$AD,$A1&amp;"_"&amp;AGJ$11,[1]Futuros!$AK:$AK)+SUMIF([1]Opciones!$AF:$AF,$A1&amp;"_"&amp;AGJ$11,[1]Opciones!$AO:$AO)</f>
        <v>#VALUE!</v>
      </c>
      <c r="AGK1" t="e">
        <f>+SUMIF([1]Cartera!$R:$R,$A1&amp;"_"&amp;AGK$11,[1]Cartera!$J:$J)+SUMIF([1]Futuros!$AD:$AD,$A1&amp;"_"&amp;AGK$11,[1]Futuros!$AK:$AK)+SUMIF([1]Opciones!$AF:$AF,$A1&amp;"_"&amp;AGK$11,[1]Opciones!$AO:$AO)</f>
        <v>#VALUE!</v>
      </c>
      <c r="AGL1" t="e">
        <f>+SUMIF([1]Cartera!$R:$R,$A1&amp;"_"&amp;AGL$11,[1]Cartera!$J:$J)+SUMIF([1]Futuros!$AD:$AD,$A1&amp;"_"&amp;AGL$11,[1]Futuros!$AK:$AK)+SUMIF([1]Opciones!$AF:$AF,$A1&amp;"_"&amp;AGL$11,[1]Opciones!$AO:$AO)</f>
        <v>#VALUE!</v>
      </c>
      <c r="AGM1" t="e">
        <f>+SUMIF([1]Cartera!$R:$R,$A1&amp;"_"&amp;AGM$11,[1]Cartera!$J:$J)+SUMIF([1]Futuros!$AD:$AD,$A1&amp;"_"&amp;AGM$11,[1]Futuros!$AK:$AK)+SUMIF([1]Opciones!$AF:$AF,$A1&amp;"_"&amp;AGM$11,[1]Opciones!$AO:$AO)</f>
        <v>#VALUE!</v>
      </c>
      <c r="AGN1" t="e">
        <f>+SUMIF([1]Cartera!$R:$R,$A1&amp;"_"&amp;AGN$11,[1]Cartera!$J:$J)+SUMIF([1]Futuros!$AD:$AD,$A1&amp;"_"&amp;AGN$11,[1]Futuros!$AK:$AK)+SUMIF([1]Opciones!$AF:$AF,$A1&amp;"_"&amp;AGN$11,[1]Opciones!$AO:$AO)</f>
        <v>#VALUE!</v>
      </c>
      <c r="AGO1" t="e">
        <f>+SUMIF([1]Cartera!$R:$R,$A1&amp;"_"&amp;AGO$11,[1]Cartera!$J:$J)+SUMIF([1]Futuros!$AD:$AD,$A1&amp;"_"&amp;AGO$11,[1]Futuros!$AK:$AK)+SUMIF([1]Opciones!$AF:$AF,$A1&amp;"_"&amp;AGO$11,[1]Opciones!$AO:$AO)</f>
        <v>#VALUE!</v>
      </c>
      <c r="AGP1" t="e">
        <f>+SUMIF([1]Cartera!$R:$R,$A1&amp;"_"&amp;AGP$11,[1]Cartera!$J:$J)+SUMIF([1]Futuros!$AD:$AD,$A1&amp;"_"&amp;AGP$11,[1]Futuros!$AK:$AK)+SUMIF([1]Opciones!$AF:$AF,$A1&amp;"_"&amp;AGP$11,[1]Opciones!$AO:$AO)</f>
        <v>#VALUE!</v>
      </c>
      <c r="AGQ1" t="e">
        <f>+SUMIF([1]Cartera!$R:$R,$A1&amp;"_"&amp;AGQ$11,[1]Cartera!$J:$J)+SUMIF([1]Futuros!$AD:$AD,$A1&amp;"_"&amp;AGQ$11,[1]Futuros!$AK:$AK)+SUMIF([1]Opciones!$AF:$AF,$A1&amp;"_"&amp;AGQ$11,[1]Opciones!$AO:$AO)</f>
        <v>#VALUE!</v>
      </c>
      <c r="AGR1" t="e">
        <f>+SUMIF([1]Cartera!$R:$R,$A1&amp;"_"&amp;AGR$11,[1]Cartera!$J:$J)+SUMIF([1]Futuros!$AD:$AD,$A1&amp;"_"&amp;AGR$11,[1]Futuros!$AK:$AK)+SUMIF([1]Opciones!$AF:$AF,$A1&amp;"_"&amp;AGR$11,[1]Opciones!$AO:$AO)</f>
        <v>#VALUE!</v>
      </c>
      <c r="AGS1" t="e">
        <f>+SUMIF([1]Cartera!$R:$R,$A1&amp;"_"&amp;AGS$11,[1]Cartera!$J:$J)+SUMIF([1]Futuros!$AD:$AD,$A1&amp;"_"&amp;AGS$11,[1]Futuros!$AK:$AK)+SUMIF([1]Opciones!$AF:$AF,$A1&amp;"_"&amp;AGS$11,[1]Opciones!$AO:$AO)</f>
        <v>#VALUE!</v>
      </c>
      <c r="AGT1" t="e">
        <f>+SUMIF([1]Cartera!$R:$R,$A1&amp;"_"&amp;AGT$11,[1]Cartera!$J:$J)+SUMIF([1]Futuros!$AD:$AD,$A1&amp;"_"&amp;AGT$11,[1]Futuros!$AK:$AK)+SUMIF([1]Opciones!$AF:$AF,$A1&amp;"_"&amp;AGT$11,[1]Opciones!$AO:$AO)</f>
        <v>#VALUE!</v>
      </c>
      <c r="AGU1" t="e">
        <f>+SUMIF([1]Cartera!$R:$R,$A1&amp;"_"&amp;AGU$11,[1]Cartera!$J:$J)+SUMIF([1]Futuros!$AD:$AD,$A1&amp;"_"&amp;AGU$11,[1]Futuros!$AK:$AK)+SUMIF([1]Opciones!$AF:$AF,$A1&amp;"_"&amp;AGU$11,[1]Opciones!$AO:$AO)</f>
        <v>#VALUE!</v>
      </c>
      <c r="AGV1" t="e">
        <f>+SUMIF([1]Cartera!$R:$R,$A1&amp;"_"&amp;AGV$11,[1]Cartera!$J:$J)+SUMIF([1]Futuros!$AD:$AD,$A1&amp;"_"&amp;AGV$11,[1]Futuros!$AK:$AK)+SUMIF([1]Opciones!$AF:$AF,$A1&amp;"_"&amp;AGV$11,[1]Opciones!$AO:$AO)</f>
        <v>#VALUE!</v>
      </c>
      <c r="AGW1" t="e">
        <f>+SUMIF([1]Cartera!$R:$R,$A1&amp;"_"&amp;AGW$11,[1]Cartera!$J:$J)+SUMIF([1]Futuros!$AD:$AD,$A1&amp;"_"&amp;AGW$11,[1]Futuros!$AK:$AK)+SUMIF([1]Opciones!$AF:$AF,$A1&amp;"_"&amp;AGW$11,[1]Opciones!$AO:$AO)</f>
        <v>#VALUE!</v>
      </c>
      <c r="AGX1" t="e">
        <f>+SUMIF([1]Cartera!$R:$R,$A1&amp;"_"&amp;AGX$11,[1]Cartera!$J:$J)+SUMIF([1]Futuros!$AD:$AD,$A1&amp;"_"&amp;AGX$11,[1]Futuros!$AK:$AK)+SUMIF([1]Opciones!$AF:$AF,$A1&amp;"_"&amp;AGX$11,[1]Opciones!$AO:$AO)</f>
        <v>#VALUE!</v>
      </c>
      <c r="AGY1" t="e">
        <f>+SUMIF([1]Cartera!$R:$R,$A1&amp;"_"&amp;AGY$11,[1]Cartera!$J:$J)+SUMIF([1]Futuros!$AD:$AD,$A1&amp;"_"&amp;AGY$11,[1]Futuros!$AK:$AK)+SUMIF([1]Opciones!$AF:$AF,$A1&amp;"_"&amp;AGY$11,[1]Opciones!$AO:$AO)</f>
        <v>#VALUE!</v>
      </c>
      <c r="AGZ1" t="e">
        <f>+SUMIF([1]Cartera!$R:$R,$A1&amp;"_"&amp;AGZ$11,[1]Cartera!$J:$J)+SUMIF([1]Futuros!$AD:$AD,$A1&amp;"_"&amp;AGZ$11,[1]Futuros!$AK:$AK)+SUMIF([1]Opciones!$AF:$AF,$A1&amp;"_"&amp;AGZ$11,[1]Opciones!$AO:$AO)</f>
        <v>#VALUE!</v>
      </c>
      <c r="AHA1" t="e">
        <f>+SUMIF([1]Cartera!$R:$R,$A1&amp;"_"&amp;AHA$11,[1]Cartera!$J:$J)+SUMIF([1]Futuros!$AD:$AD,$A1&amp;"_"&amp;AHA$11,[1]Futuros!$AK:$AK)+SUMIF([1]Opciones!$AF:$AF,$A1&amp;"_"&amp;AHA$11,[1]Opciones!$AO:$AO)</f>
        <v>#VALUE!</v>
      </c>
      <c r="AHB1" t="e">
        <f>+SUMIF([1]Cartera!$R:$R,$A1&amp;"_"&amp;AHB$11,[1]Cartera!$J:$J)+SUMIF([1]Futuros!$AD:$AD,$A1&amp;"_"&amp;AHB$11,[1]Futuros!$AK:$AK)+SUMIF([1]Opciones!$AF:$AF,$A1&amp;"_"&amp;AHB$11,[1]Opciones!$AO:$AO)</f>
        <v>#VALUE!</v>
      </c>
      <c r="AHC1" t="e">
        <f>+SUMIF([1]Cartera!$R:$R,$A1&amp;"_"&amp;AHC$11,[1]Cartera!$J:$J)+SUMIF([1]Futuros!$AD:$AD,$A1&amp;"_"&amp;AHC$11,[1]Futuros!$AK:$AK)+SUMIF([1]Opciones!$AF:$AF,$A1&amp;"_"&amp;AHC$11,[1]Opciones!$AO:$AO)</f>
        <v>#VALUE!</v>
      </c>
      <c r="AHD1" t="e">
        <f>+SUMIF([1]Cartera!$R:$R,$A1&amp;"_"&amp;AHD$11,[1]Cartera!$J:$J)+SUMIF([1]Futuros!$AD:$AD,$A1&amp;"_"&amp;AHD$11,[1]Futuros!$AK:$AK)+SUMIF([1]Opciones!$AF:$AF,$A1&amp;"_"&amp;AHD$11,[1]Opciones!$AO:$AO)</f>
        <v>#VALUE!</v>
      </c>
      <c r="AHE1" t="e">
        <f>+SUMIF([1]Cartera!$R:$R,$A1&amp;"_"&amp;AHE$11,[1]Cartera!$J:$J)+SUMIF([1]Futuros!$AD:$AD,$A1&amp;"_"&amp;AHE$11,[1]Futuros!$AK:$AK)+SUMIF([1]Opciones!$AF:$AF,$A1&amp;"_"&amp;AHE$11,[1]Opciones!$AO:$AO)</f>
        <v>#VALUE!</v>
      </c>
      <c r="AHF1" t="e">
        <f>+SUMIF([1]Cartera!$R:$R,$A1&amp;"_"&amp;AHF$11,[1]Cartera!$J:$J)+SUMIF([1]Futuros!$AD:$AD,$A1&amp;"_"&amp;AHF$11,[1]Futuros!$AK:$AK)+SUMIF([1]Opciones!$AF:$AF,$A1&amp;"_"&amp;AHF$11,[1]Opciones!$AO:$AO)</f>
        <v>#VALUE!</v>
      </c>
      <c r="AHG1" t="e">
        <f>+SUMIF([1]Cartera!$R:$R,$A1&amp;"_"&amp;AHG$11,[1]Cartera!$J:$J)+SUMIF([1]Futuros!$AD:$AD,$A1&amp;"_"&amp;AHG$11,[1]Futuros!$AK:$AK)+SUMIF([1]Opciones!$AF:$AF,$A1&amp;"_"&amp;AHG$11,[1]Opciones!$AO:$AO)</f>
        <v>#VALUE!</v>
      </c>
      <c r="AHH1" t="e">
        <f>+SUMIF([1]Cartera!$R:$R,$A1&amp;"_"&amp;AHH$11,[1]Cartera!$J:$J)+SUMIF([1]Futuros!$AD:$AD,$A1&amp;"_"&amp;AHH$11,[1]Futuros!$AK:$AK)+SUMIF([1]Opciones!$AF:$AF,$A1&amp;"_"&amp;AHH$11,[1]Opciones!$AO:$AO)</f>
        <v>#VALUE!</v>
      </c>
      <c r="AHI1" t="e">
        <f>+SUMIF([1]Cartera!$R:$R,$A1&amp;"_"&amp;AHI$11,[1]Cartera!$J:$J)+SUMIF([1]Futuros!$AD:$AD,$A1&amp;"_"&amp;AHI$11,[1]Futuros!$AK:$AK)+SUMIF([1]Opciones!$AF:$AF,$A1&amp;"_"&amp;AHI$11,[1]Opciones!$AO:$AO)</f>
        <v>#VALUE!</v>
      </c>
      <c r="AHJ1" t="e">
        <f>+SUMIF([1]Cartera!$R:$R,$A1&amp;"_"&amp;AHJ$11,[1]Cartera!$J:$J)+SUMIF([1]Futuros!$AD:$AD,$A1&amp;"_"&amp;AHJ$11,[1]Futuros!$AK:$AK)+SUMIF([1]Opciones!$AF:$AF,$A1&amp;"_"&amp;AHJ$11,[1]Opciones!$AO:$AO)</f>
        <v>#VALUE!</v>
      </c>
      <c r="AHK1" t="e">
        <f>+SUMIF([1]Cartera!$R:$R,$A1&amp;"_"&amp;AHK$11,[1]Cartera!$J:$J)+SUMIF([1]Futuros!$AD:$AD,$A1&amp;"_"&amp;AHK$11,[1]Futuros!$AK:$AK)+SUMIF([1]Opciones!$AF:$AF,$A1&amp;"_"&amp;AHK$11,[1]Opciones!$AO:$AO)</f>
        <v>#VALUE!</v>
      </c>
      <c r="AHL1" t="e">
        <f>+SUMIF([1]Cartera!$R:$R,$A1&amp;"_"&amp;AHL$11,[1]Cartera!$J:$J)+SUMIF([1]Futuros!$AD:$AD,$A1&amp;"_"&amp;AHL$11,[1]Futuros!$AK:$AK)+SUMIF([1]Opciones!$AF:$AF,$A1&amp;"_"&amp;AHL$11,[1]Opciones!$AO:$AO)</f>
        <v>#VALUE!</v>
      </c>
      <c r="AHM1" t="e">
        <f>+SUMIF([1]Cartera!$R:$R,$A1&amp;"_"&amp;AHM$11,[1]Cartera!$J:$J)+SUMIF([1]Futuros!$AD:$AD,$A1&amp;"_"&amp;AHM$11,[1]Futuros!$AK:$AK)+SUMIF([1]Opciones!$AF:$AF,$A1&amp;"_"&amp;AHM$11,[1]Opciones!$AO:$AO)</f>
        <v>#VALUE!</v>
      </c>
      <c r="AHN1" t="e">
        <f>+SUMIF([1]Cartera!$R:$R,$A1&amp;"_"&amp;AHN$11,[1]Cartera!$J:$J)+SUMIF([1]Futuros!$AD:$AD,$A1&amp;"_"&amp;AHN$11,[1]Futuros!$AK:$AK)+SUMIF([1]Opciones!$AF:$AF,$A1&amp;"_"&amp;AHN$11,[1]Opciones!$AO:$AO)</f>
        <v>#VALUE!</v>
      </c>
      <c r="AHO1" t="e">
        <f>+SUMIF([1]Cartera!$R:$R,$A1&amp;"_"&amp;AHO$11,[1]Cartera!$J:$J)+SUMIF([1]Futuros!$AD:$AD,$A1&amp;"_"&amp;AHO$11,[1]Futuros!$AK:$AK)+SUMIF([1]Opciones!$AF:$AF,$A1&amp;"_"&amp;AHO$11,[1]Opciones!$AO:$AO)</f>
        <v>#VALUE!</v>
      </c>
      <c r="AHP1" t="e">
        <f>+SUMIF([1]Cartera!$R:$R,$A1&amp;"_"&amp;AHP$11,[1]Cartera!$J:$J)+SUMIF([1]Futuros!$AD:$AD,$A1&amp;"_"&amp;AHP$11,[1]Futuros!$AK:$AK)+SUMIF([1]Opciones!$AF:$AF,$A1&amp;"_"&amp;AHP$11,[1]Opciones!$AO:$AO)</f>
        <v>#VALUE!</v>
      </c>
      <c r="AHQ1" t="e">
        <f>+SUMIF([1]Cartera!$R:$R,$A1&amp;"_"&amp;AHQ$11,[1]Cartera!$J:$J)+SUMIF([1]Futuros!$AD:$AD,$A1&amp;"_"&amp;AHQ$11,[1]Futuros!$AK:$AK)+SUMIF([1]Opciones!$AF:$AF,$A1&amp;"_"&amp;AHQ$11,[1]Opciones!$AO:$AO)</f>
        <v>#VALUE!</v>
      </c>
      <c r="AHR1" t="e">
        <f>+SUMIF([1]Cartera!$R:$R,$A1&amp;"_"&amp;AHR$11,[1]Cartera!$J:$J)+SUMIF([1]Futuros!$AD:$AD,$A1&amp;"_"&amp;AHR$11,[1]Futuros!$AK:$AK)+SUMIF([1]Opciones!$AF:$AF,$A1&amp;"_"&amp;AHR$11,[1]Opciones!$AO:$AO)</f>
        <v>#VALUE!</v>
      </c>
      <c r="AHS1" t="e">
        <f>+SUMIF([1]Cartera!$R:$R,$A1&amp;"_"&amp;AHS$11,[1]Cartera!$J:$J)+SUMIF([1]Futuros!$AD:$AD,$A1&amp;"_"&amp;AHS$11,[1]Futuros!$AK:$AK)+SUMIF([1]Opciones!$AF:$AF,$A1&amp;"_"&amp;AHS$11,[1]Opciones!$AO:$AO)</f>
        <v>#VALUE!</v>
      </c>
      <c r="AHT1" t="e">
        <f>+SUMIF([1]Cartera!$R:$R,$A1&amp;"_"&amp;AHT$11,[1]Cartera!$J:$J)+SUMIF([1]Futuros!$AD:$AD,$A1&amp;"_"&amp;AHT$11,[1]Futuros!$AK:$AK)+SUMIF([1]Opciones!$AF:$AF,$A1&amp;"_"&amp;AHT$11,[1]Opciones!$AO:$AO)</f>
        <v>#VALUE!</v>
      </c>
      <c r="AHU1" t="e">
        <f>+SUMIF([1]Cartera!$R:$R,$A1&amp;"_"&amp;AHU$11,[1]Cartera!$J:$J)+SUMIF([1]Futuros!$AD:$AD,$A1&amp;"_"&amp;AHU$11,[1]Futuros!$AK:$AK)+SUMIF([1]Opciones!$AF:$AF,$A1&amp;"_"&amp;AHU$11,[1]Opciones!$AO:$AO)</f>
        <v>#VALUE!</v>
      </c>
      <c r="AHV1" t="e">
        <f>+SUMIF([1]Cartera!$R:$R,$A1&amp;"_"&amp;AHV$11,[1]Cartera!$J:$J)+SUMIF([1]Futuros!$AD:$AD,$A1&amp;"_"&amp;AHV$11,[1]Futuros!$AK:$AK)+SUMIF([1]Opciones!$AF:$AF,$A1&amp;"_"&amp;AHV$11,[1]Opciones!$AO:$AO)</f>
        <v>#VALUE!</v>
      </c>
      <c r="AHW1" t="e">
        <f>+SUMIF([1]Cartera!$R:$R,$A1&amp;"_"&amp;AHW$11,[1]Cartera!$J:$J)+SUMIF([1]Futuros!$AD:$AD,$A1&amp;"_"&amp;AHW$11,[1]Futuros!$AK:$AK)+SUMIF([1]Opciones!$AF:$AF,$A1&amp;"_"&amp;AHW$11,[1]Opciones!$AO:$AO)</f>
        <v>#VALUE!</v>
      </c>
      <c r="AHX1" t="e">
        <f>+SUMIF([1]Cartera!$R:$R,$A1&amp;"_"&amp;AHX$11,[1]Cartera!$J:$J)+SUMIF([1]Futuros!$AD:$AD,$A1&amp;"_"&amp;AHX$11,[1]Futuros!$AK:$AK)+SUMIF([1]Opciones!$AF:$AF,$A1&amp;"_"&amp;AHX$11,[1]Opciones!$AO:$AO)</f>
        <v>#VALUE!</v>
      </c>
      <c r="AHY1" t="e">
        <f>+SUMIF([1]Cartera!$R:$R,$A1&amp;"_"&amp;AHY$11,[1]Cartera!$J:$J)+SUMIF([1]Futuros!$AD:$AD,$A1&amp;"_"&amp;AHY$11,[1]Futuros!$AK:$AK)+SUMIF([1]Opciones!$AF:$AF,$A1&amp;"_"&amp;AHY$11,[1]Opciones!$AO:$AO)</f>
        <v>#VALUE!</v>
      </c>
      <c r="AHZ1" t="e">
        <f>+SUMIF([1]Cartera!$R:$R,$A1&amp;"_"&amp;AHZ$11,[1]Cartera!$J:$J)+SUMIF([1]Futuros!$AD:$AD,$A1&amp;"_"&amp;AHZ$11,[1]Futuros!$AK:$AK)+SUMIF([1]Opciones!$AF:$AF,$A1&amp;"_"&amp;AHZ$11,[1]Opciones!$AO:$AO)</f>
        <v>#VALUE!</v>
      </c>
      <c r="AIA1" t="e">
        <f>+SUMIF([1]Cartera!$R:$R,$A1&amp;"_"&amp;AIA$11,[1]Cartera!$J:$J)+SUMIF([1]Futuros!$AD:$AD,$A1&amp;"_"&amp;AIA$11,[1]Futuros!$AK:$AK)+SUMIF([1]Opciones!$AF:$AF,$A1&amp;"_"&amp;AIA$11,[1]Opciones!$AO:$AO)</f>
        <v>#VALUE!</v>
      </c>
      <c r="AIB1" t="e">
        <f>+SUMIF([1]Cartera!$R:$R,$A1&amp;"_"&amp;AIB$11,[1]Cartera!$J:$J)+SUMIF([1]Futuros!$AD:$AD,$A1&amp;"_"&amp;AIB$11,[1]Futuros!$AK:$AK)+SUMIF([1]Opciones!$AF:$AF,$A1&amp;"_"&amp;AIB$11,[1]Opciones!$AO:$AO)</f>
        <v>#VALUE!</v>
      </c>
      <c r="AIC1" t="e">
        <f>+SUMIF([1]Cartera!$R:$R,$A1&amp;"_"&amp;AIC$11,[1]Cartera!$J:$J)+SUMIF([1]Futuros!$AD:$AD,$A1&amp;"_"&amp;AIC$11,[1]Futuros!$AK:$AK)+SUMIF([1]Opciones!$AF:$AF,$A1&amp;"_"&amp;AIC$11,[1]Opciones!$AO:$AO)</f>
        <v>#VALUE!</v>
      </c>
      <c r="AID1" t="e">
        <f>+SUMIF([1]Cartera!$R:$R,$A1&amp;"_"&amp;AID$11,[1]Cartera!$J:$J)+SUMIF([1]Futuros!$AD:$AD,$A1&amp;"_"&amp;AID$11,[1]Futuros!$AK:$AK)+SUMIF([1]Opciones!$AF:$AF,$A1&amp;"_"&amp;AID$11,[1]Opciones!$AO:$AO)</f>
        <v>#VALUE!</v>
      </c>
      <c r="AIE1" t="e">
        <f>+SUMIF([1]Cartera!$R:$R,$A1&amp;"_"&amp;AIE$11,[1]Cartera!$J:$J)+SUMIF([1]Futuros!$AD:$AD,$A1&amp;"_"&amp;AIE$11,[1]Futuros!$AK:$AK)+SUMIF([1]Opciones!$AF:$AF,$A1&amp;"_"&amp;AIE$11,[1]Opciones!$AO:$AO)</f>
        <v>#VALUE!</v>
      </c>
      <c r="AIF1" t="e">
        <f>+SUMIF([1]Cartera!$R:$R,$A1&amp;"_"&amp;AIF$11,[1]Cartera!$J:$J)+SUMIF([1]Futuros!$AD:$AD,$A1&amp;"_"&amp;AIF$11,[1]Futuros!$AK:$AK)+SUMIF([1]Opciones!$AF:$AF,$A1&amp;"_"&amp;AIF$11,[1]Opciones!$AO:$AO)</f>
        <v>#VALUE!</v>
      </c>
      <c r="AIG1" t="e">
        <f>+SUMIF([1]Cartera!$R:$R,$A1&amp;"_"&amp;AIG$11,[1]Cartera!$J:$J)+SUMIF([1]Futuros!$AD:$AD,$A1&amp;"_"&amp;AIG$11,[1]Futuros!$AK:$AK)+SUMIF([1]Opciones!$AF:$AF,$A1&amp;"_"&amp;AIG$11,[1]Opciones!$AO:$AO)</f>
        <v>#VALUE!</v>
      </c>
      <c r="AIH1" t="e">
        <f>+SUMIF([1]Cartera!$R:$R,$A1&amp;"_"&amp;AIH$11,[1]Cartera!$J:$J)+SUMIF([1]Futuros!$AD:$AD,$A1&amp;"_"&amp;AIH$11,[1]Futuros!$AK:$AK)+SUMIF([1]Opciones!$AF:$AF,$A1&amp;"_"&amp;AIH$11,[1]Opciones!$AO:$AO)</f>
        <v>#VALUE!</v>
      </c>
      <c r="AII1" t="e">
        <f>+SUMIF([1]Cartera!$R:$R,$A1&amp;"_"&amp;AII$11,[1]Cartera!$J:$J)+SUMIF([1]Futuros!$AD:$AD,$A1&amp;"_"&amp;AII$11,[1]Futuros!$AK:$AK)+SUMIF([1]Opciones!$AF:$AF,$A1&amp;"_"&amp;AII$11,[1]Opciones!$AO:$AO)</f>
        <v>#VALUE!</v>
      </c>
      <c r="AIJ1" t="e">
        <f>+SUMIF([1]Cartera!$R:$R,$A1&amp;"_"&amp;AIJ$11,[1]Cartera!$J:$J)+SUMIF([1]Futuros!$AD:$AD,$A1&amp;"_"&amp;AIJ$11,[1]Futuros!$AK:$AK)+SUMIF([1]Opciones!$AF:$AF,$A1&amp;"_"&amp;AIJ$11,[1]Opciones!$AO:$AO)</f>
        <v>#VALUE!</v>
      </c>
      <c r="AIK1" t="e">
        <f>+SUMIF([1]Cartera!$R:$R,$A1&amp;"_"&amp;AIK$11,[1]Cartera!$J:$J)+SUMIF([1]Futuros!$AD:$AD,$A1&amp;"_"&amp;AIK$11,[1]Futuros!$AK:$AK)+SUMIF([1]Opciones!$AF:$AF,$A1&amp;"_"&amp;AIK$11,[1]Opciones!$AO:$AO)</f>
        <v>#VALUE!</v>
      </c>
      <c r="AIL1" t="e">
        <f>+SUMIF([1]Cartera!$R:$R,$A1&amp;"_"&amp;AIL$11,[1]Cartera!$J:$J)+SUMIF([1]Futuros!$AD:$AD,$A1&amp;"_"&amp;AIL$11,[1]Futuros!$AK:$AK)+SUMIF([1]Opciones!$AF:$AF,$A1&amp;"_"&amp;AIL$11,[1]Opciones!$AO:$AO)</f>
        <v>#VALUE!</v>
      </c>
      <c r="AIM1" t="e">
        <f>+SUMIF([1]Cartera!$R:$R,$A1&amp;"_"&amp;AIM$11,[1]Cartera!$J:$J)+SUMIF([1]Futuros!$AD:$AD,$A1&amp;"_"&amp;AIM$11,[1]Futuros!$AK:$AK)+SUMIF([1]Opciones!$AF:$AF,$A1&amp;"_"&amp;AIM$11,[1]Opciones!$AO:$AO)</f>
        <v>#VALUE!</v>
      </c>
      <c r="AIN1" t="e">
        <f>+SUMIF([1]Cartera!$R:$R,$A1&amp;"_"&amp;AIN$11,[1]Cartera!$J:$J)+SUMIF([1]Futuros!$AD:$AD,$A1&amp;"_"&amp;AIN$11,[1]Futuros!$AK:$AK)+SUMIF([1]Opciones!$AF:$AF,$A1&amp;"_"&amp;AIN$11,[1]Opciones!$AO:$AO)</f>
        <v>#VALUE!</v>
      </c>
      <c r="AIO1" t="e">
        <f>+SUMIF([1]Cartera!$R:$R,$A1&amp;"_"&amp;AIO$11,[1]Cartera!$J:$J)+SUMIF([1]Futuros!$AD:$AD,$A1&amp;"_"&amp;AIO$11,[1]Futuros!$AK:$AK)+SUMIF([1]Opciones!$AF:$AF,$A1&amp;"_"&amp;AIO$11,[1]Opciones!$AO:$AO)</f>
        <v>#VALUE!</v>
      </c>
      <c r="AIP1" t="e">
        <f>+SUMIF([1]Cartera!$R:$R,$A1&amp;"_"&amp;AIP$11,[1]Cartera!$J:$J)+SUMIF([1]Futuros!$AD:$AD,$A1&amp;"_"&amp;AIP$11,[1]Futuros!$AK:$AK)+SUMIF([1]Opciones!$AF:$AF,$A1&amp;"_"&amp;AIP$11,[1]Opciones!$AO:$AO)</f>
        <v>#VALUE!</v>
      </c>
      <c r="AIQ1" t="e">
        <f>+SUMIF([1]Cartera!$R:$R,$A1&amp;"_"&amp;AIQ$11,[1]Cartera!$J:$J)+SUMIF([1]Futuros!$AD:$AD,$A1&amp;"_"&amp;AIQ$11,[1]Futuros!$AK:$AK)+SUMIF([1]Opciones!$AF:$AF,$A1&amp;"_"&amp;AIQ$11,[1]Opciones!$AO:$AO)</f>
        <v>#VALUE!</v>
      </c>
      <c r="AIR1" s="2" t="e">
        <f>+SUMIF([1]Cartera!$R:$R,$A1&amp;"_"&amp;AIR$11,[1]Cartera!$J:$J)+SUMIF([1]Futuros!$AD:$AD,$A1&amp;"_"&amp;AIR$11,[1]Futuros!$AK:$AK)+SUMIF([1]Opciones!$AF:$AF,$A1&amp;"_"&amp;AIR$11,[1]Opciones!$AO:$AO)</f>
        <v>#VALUE!</v>
      </c>
      <c r="AIS1" t="e">
        <f>+SUMIF([1]Cartera!$R:$R,$A1&amp;"_"&amp;AIS$11,[1]Cartera!$J:$J)+SUMIF([1]Futuros!$AD:$AD,$A1&amp;"_"&amp;AIS$11,[1]Futuros!$AK:$AK)+SUMIF([1]Opciones!$AF:$AF,$A1&amp;"_"&amp;AIS$11,[1]Opciones!$AO:$AO)</f>
        <v>#VALUE!</v>
      </c>
      <c r="AIT1" t="e">
        <f>+SUMIF([1]Cartera!$R:$R,$A1&amp;"_"&amp;AIT$11,[1]Cartera!$J:$J)+SUMIF([1]Futuros!$AD:$AD,$A1&amp;"_"&amp;AIT$11,[1]Futuros!$AK:$AK)+SUMIF([1]Opciones!$AF:$AF,$A1&amp;"_"&amp;AIT$11,[1]Opciones!$AO:$AO)</f>
        <v>#VALUE!</v>
      </c>
      <c r="AIU1" t="e">
        <f>+SUMIF([1]Cartera!$R:$R,$A1&amp;"_"&amp;AIU$11,[1]Cartera!$J:$J)+SUMIF([1]Futuros!$AD:$AD,$A1&amp;"_"&amp;AIU$11,[1]Futuros!$AK:$AK)+SUMIF([1]Opciones!$AF:$AF,$A1&amp;"_"&amp;AIU$11,[1]Opciones!$AO:$AO)</f>
        <v>#VALUE!</v>
      </c>
      <c r="AIV1" t="e">
        <f>+SUMIF([1]Cartera!$R:$R,$A1&amp;"_"&amp;AIV$11,[1]Cartera!$J:$J)+SUMIF([1]Futuros!$AD:$AD,$A1&amp;"_"&amp;AIV$11,[1]Futuros!$AK:$AK)+SUMIF([1]Opciones!$AF:$AF,$A1&amp;"_"&amp;AIV$11,[1]Opciones!$AO:$AO)</f>
        <v>#VALUE!</v>
      </c>
      <c r="AIW1" t="e">
        <f>+SUMIF([1]Cartera!$R:$R,$A1&amp;"_"&amp;AIW$11,[1]Cartera!$J:$J)+SUMIF([1]Futuros!$AD:$AD,$A1&amp;"_"&amp;AIW$11,[1]Futuros!$AK:$AK)+SUMIF([1]Opciones!$AF:$AF,$A1&amp;"_"&amp;AIW$11,[1]Opciones!$AO:$AO)</f>
        <v>#VALUE!</v>
      </c>
      <c r="AIX1" t="e">
        <f>+SUMIF([1]Cartera!$R:$R,$A1&amp;"_"&amp;AIX$11,[1]Cartera!$J:$J)+SUMIF([1]Futuros!$AD:$AD,$A1&amp;"_"&amp;AIX$11,[1]Futuros!$AK:$AK)+SUMIF([1]Opciones!$AF:$AF,$A1&amp;"_"&amp;AIX$11,[1]Opciones!$AO:$AO)</f>
        <v>#VALUE!</v>
      </c>
      <c r="AIY1" t="e">
        <f>+SUMIF([1]Cartera!$R:$R,$A1&amp;"_"&amp;AIY$11,[1]Cartera!$J:$J)+SUMIF([1]Futuros!$AD:$AD,$A1&amp;"_"&amp;AIY$11,[1]Futuros!$AK:$AK)+SUMIF([1]Opciones!$AF:$AF,$A1&amp;"_"&amp;AIY$11,[1]Opciones!$AO:$AO)</f>
        <v>#VALUE!</v>
      </c>
      <c r="AIZ1" t="e">
        <f>+SUMIF([1]Cartera!$R:$R,$A1&amp;"_"&amp;AIZ$11,[1]Cartera!$J:$J)+SUMIF([1]Futuros!$AD:$AD,$A1&amp;"_"&amp;AIZ$11,[1]Futuros!$AK:$AK)+SUMIF([1]Opciones!$AF:$AF,$A1&amp;"_"&amp;AIZ$11,[1]Opciones!$AO:$AO)</f>
        <v>#VALUE!</v>
      </c>
      <c r="AJA1" t="e">
        <f>+SUMIF([1]Cartera!$R:$R,$A1&amp;"_"&amp;AJA$11,[1]Cartera!$J:$J)+SUMIF([1]Futuros!$AD:$AD,$A1&amp;"_"&amp;AJA$11,[1]Futuros!$AK:$AK)+SUMIF([1]Opciones!$AF:$AF,$A1&amp;"_"&amp;AJA$11,[1]Opciones!$AO:$AO)</f>
        <v>#VALUE!</v>
      </c>
      <c r="AJB1" t="e">
        <f>+SUMIF([1]Cartera!$R:$R,$A1&amp;"_"&amp;AJB$11,[1]Cartera!$J:$J)+SUMIF([1]Futuros!$AD:$AD,$A1&amp;"_"&amp;AJB$11,[1]Futuros!$AK:$AK)+SUMIF([1]Opciones!$AF:$AF,$A1&amp;"_"&amp;AJB$11,[1]Opciones!$AO:$AO)</f>
        <v>#VALUE!</v>
      </c>
      <c r="AJC1" t="e">
        <f>+SUMIF([1]Cartera!$R:$R,$A1&amp;"_"&amp;AJC$11,[1]Cartera!$J:$J)+SUMIF([1]Futuros!$AD:$AD,$A1&amp;"_"&amp;AJC$11,[1]Futuros!$AK:$AK)+SUMIF([1]Opciones!$AF:$AF,$A1&amp;"_"&amp;AJC$11,[1]Opciones!$AO:$AO)</f>
        <v>#VALUE!</v>
      </c>
      <c r="AJD1" t="e">
        <f>+SUMIF([1]Cartera!$R:$R,$A1&amp;"_"&amp;AJD$11,[1]Cartera!$J:$J)+SUMIF([1]Futuros!$AD:$AD,$A1&amp;"_"&amp;AJD$11,[1]Futuros!$AK:$AK)+SUMIF([1]Opciones!$AF:$AF,$A1&amp;"_"&amp;AJD$11,[1]Opciones!$AO:$AO)</f>
        <v>#VALUE!</v>
      </c>
      <c r="AJE1" t="e">
        <f>+SUMIF([1]Cartera!$R:$R,$A1&amp;"_"&amp;AJE$11,[1]Cartera!$J:$J)+SUMIF([1]Futuros!$AD:$AD,$A1&amp;"_"&amp;AJE$11,[1]Futuros!$AK:$AK)+SUMIF([1]Opciones!$AF:$AF,$A1&amp;"_"&amp;AJE$11,[1]Opciones!$AO:$AO)</f>
        <v>#VALUE!</v>
      </c>
      <c r="AJF1" t="e">
        <f>+SUMIF([1]Cartera!$R:$R,$A1&amp;"_"&amp;AJF$11,[1]Cartera!$J:$J)+SUMIF([1]Futuros!$AD:$AD,$A1&amp;"_"&amp;AJF$11,[1]Futuros!$AK:$AK)+SUMIF([1]Opciones!$AF:$AF,$A1&amp;"_"&amp;AJF$11,[1]Opciones!$AO:$AO)</f>
        <v>#VALUE!</v>
      </c>
      <c r="AJG1" t="e">
        <f>+SUMIF([1]Cartera!$R:$R,$A1&amp;"_"&amp;AJG$11,[1]Cartera!$J:$J)+SUMIF([1]Futuros!$AD:$AD,$A1&amp;"_"&amp;AJG$11,[1]Futuros!$AK:$AK)+SUMIF([1]Opciones!$AF:$AF,$A1&amp;"_"&amp;AJG$11,[1]Opciones!$AO:$AO)</f>
        <v>#VALUE!</v>
      </c>
      <c r="AJH1" t="e">
        <f>+SUMIF([1]Cartera!$R:$R,$A1&amp;"_"&amp;AJH$11,[1]Cartera!$J:$J)+SUMIF([1]Futuros!$AD:$AD,$A1&amp;"_"&amp;AJH$11,[1]Futuros!$AK:$AK)+SUMIF([1]Opciones!$AF:$AF,$A1&amp;"_"&amp;AJH$11,[1]Opciones!$AO:$AO)</f>
        <v>#VALUE!</v>
      </c>
      <c r="AJI1" t="e">
        <f>+SUMIF([1]Cartera!$R:$R,$A1&amp;"_"&amp;AJI$11,[1]Cartera!$J:$J)+SUMIF([1]Futuros!$AD:$AD,$A1&amp;"_"&amp;AJI$11,[1]Futuros!$AK:$AK)+SUMIF([1]Opciones!$AF:$AF,$A1&amp;"_"&amp;AJI$11,[1]Opciones!$AO:$AO)</f>
        <v>#VALUE!</v>
      </c>
      <c r="AJJ1" t="e">
        <f>+SUMIF([1]Cartera!$R:$R,$A1&amp;"_"&amp;AJJ$11,[1]Cartera!$J:$J)+SUMIF([1]Futuros!$AD:$AD,$A1&amp;"_"&amp;AJJ$11,[1]Futuros!$AK:$AK)+SUMIF([1]Opciones!$AF:$AF,$A1&amp;"_"&amp;AJJ$11,[1]Opciones!$AO:$AO)</f>
        <v>#VALUE!</v>
      </c>
      <c r="AJK1" t="e">
        <f>+SUMIF([1]Cartera!$R:$R,$A1&amp;"_"&amp;AJK$11,[1]Cartera!$J:$J)+SUMIF([1]Futuros!$AD:$AD,$A1&amp;"_"&amp;AJK$11,[1]Futuros!$AK:$AK)+SUMIF([1]Opciones!$AF:$AF,$A1&amp;"_"&amp;AJK$11,[1]Opciones!$AO:$AO)</f>
        <v>#VALUE!</v>
      </c>
      <c r="AJL1" t="e">
        <f>+SUMIF([1]Cartera!$R:$R,$A1&amp;"_"&amp;AJL$11,[1]Cartera!$J:$J)+SUMIF([1]Futuros!$AD:$AD,$A1&amp;"_"&amp;AJL$11,[1]Futuros!$AK:$AK)+SUMIF([1]Opciones!$AF:$AF,$A1&amp;"_"&amp;AJL$11,[1]Opciones!$AO:$AO)</f>
        <v>#VALUE!</v>
      </c>
      <c r="AJM1" t="e">
        <f>+SUMIF([1]Cartera!$R:$R,$A1&amp;"_"&amp;AJM$11,[1]Cartera!$J:$J)+SUMIF([1]Futuros!$AD:$AD,$A1&amp;"_"&amp;AJM$11,[1]Futuros!$AK:$AK)+SUMIF([1]Opciones!$AF:$AF,$A1&amp;"_"&amp;AJM$11,[1]Opciones!$AO:$AO)</f>
        <v>#VALUE!</v>
      </c>
      <c r="AJN1" t="e">
        <f>+SUMIF([1]Cartera!$R:$R,$A1&amp;"_"&amp;AJN$11,[1]Cartera!$J:$J)+SUMIF([1]Futuros!$AD:$AD,$A1&amp;"_"&amp;AJN$11,[1]Futuros!$AK:$AK)+SUMIF([1]Opciones!$AF:$AF,$A1&amp;"_"&amp;AJN$11,[1]Opciones!$AO:$AO)</f>
        <v>#VALUE!</v>
      </c>
      <c r="AJO1" t="e">
        <f>+SUMIF([1]Cartera!$R:$R,$A1&amp;"_"&amp;AJO$11,[1]Cartera!$J:$J)+SUMIF([1]Futuros!$AD:$AD,$A1&amp;"_"&amp;AJO$11,[1]Futuros!$AK:$AK)+SUMIF([1]Opciones!$AF:$AF,$A1&amp;"_"&amp;AJO$11,[1]Opciones!$AO:$AO)</f>
        <v>#VALUE!</v>
      </c>
      <c r="AJP1" t="e">
        <f>+SUMIF([1]Cartera!$R:$R,$A1&amp;"_"&amp;AJP$11,[1]Cartera!$J:$J)+SUMIF([1]Futuros!$AD:$AD,$A1&amp;"_"&amp;AJP$11,[1]Futuros!$AK:$AK)+SUMIF([1]Opciones!$AF:$AF,$A1&amp;"_"&amp;AJP$11,[1]Opciones!$AO:$AO)</f>
        <v>#VALUE!</v>
      </c>
      <c r="AJQ1" t="e">
        <f>+SUMIF([1]Cartera!$R:$R,$A1&amp;"_"&amp;AJQ$11,[1]Cartera!$J:$J)+SUMIF([1]Futuros!$AD:$AD,$A1&amp;"_"&amp;AJQ$11,[1]Futuros!$AK:$AK)+SUMIF([1]Opciones!$AF:$AF,$A1&amp;"_"&amp;AJQ$11,[1]Opciones!$AO:$AO)</f>
        <v>#VALUE!</v>
      </c>
      <c r="AJR1" t="e">
        <f>+SUMIF([1]Cartera!$R:$R,$A1&amp;"_"&amp;AJR$11,[1]Cartera!$J:$J)+SUMIF([1]Futuros!$AD:$AD,$A1&amp;"_"&amp;AJR$11,[1]Futuros!$AK:$AK)+SUMIF([1]Opciones!$AF:$AF,$A1&amp;"_"&amp;AJR$11,[1]Opciones!$AO:$AO)</f>
        <v>#VALUE!</v>
      </c>
      <c r="AJS1" t="e">
        <f>+SUMIF([1]Cartera!$R:$R,$A1&amp;"_"&amp;AJS$11,[1]Cartera!$J:$J)+SUMIF([1]Futuros!$AD:$AD,$A1&amp;"_"&amp;AJS$11,[1]Futuros!$AK:$AK)+SUMIF([1]Opciones!$AF:$AF,$A1&amp;"_"&amp;AJS$11,[1]Opciones!$AO:$AO)</f>
        <v>#VALUE!</v>
      </c>
      <c r="AJT1" t="e">
        <f>+SUMIF([1]Cartera!$R:$R,$A1&amp;"_"&amp;AJT$11,[1]Cartera!$J:$J)+SUMIF([1]Futuros!$AD:$AD,$A1&amp;"_"&amp;AJT$11,[1]Futuros!$AK:$AK)+SUMIF([1]Opciones!$AF:$AF,$A1&amp;"_"&amp;AJT$11,[1]Opciones!$AO:$AO)</f>
        <v>#VALUE!</v>
      </c>
      <c r="AJU1" t="e">
        <f>+SUMIF([1]Cartera!$R:$R,$A1&amp;"_"&amp;AJU$11,[1]Cartera!$J:$J)+SUMIF([1]Futuros!$AD:$AD,$A1&amp;"_"&amp;AJU$11,[1]Futuros!$AK:$AK)+SUMIF([1]Opciones!$AF:$AF,$A1&amp;"_"&amp;AJU$11,[1]Opciones!$AO:$AO)</f>
        <v>#VALUE!</v>
      </c>
      <c r="AJV1" t="e">
        <f>+SUMIF([1]Cartera!$R:$R,$A1&amp;"_"&amp;AJV$11,[1]Cartera!$J:$J)+SUMIF([1]Futuros!$AD:$AD,$A1&amp;"_"&amp;AJV$11,[1]Futuros!$AK:$AK)+SUMIF([1]Opciones!$AF:$AF,$A1&amp;"_"&amp;AJV$11,[1]Opciones!$AO:$AO)</f>
        <v>#VALUE!</v>
      </c>
      <c r="AJW1" t="e">
        <f>+SUMIF([1]Cartera!$R:$R,$A1&amp;"_"&amp;AJW$11,[1]Cartera!$J:$J)+SUMIF([1]Futuros!$AD:$AD,$A1&amp;"_"&amp;AJW$11,[1]Futuros!$AK:$AK)+SUMIF([1]Opciones!$AF:$AF,$A1&amp;"_"&amp;AJW$11,[1]Opciones!$AO:$AO)</f>
        <v>#VALUE!</v>
      </c>
      <c r="AJX1" t="e">
        <f>+SUMIF([1]Cartera!$R:$R,$A1&amp;"_"&amp;AJX$11,[1]Cartera!$J:$J)+SUMIF([1]Futuros!$AD:$AD,$A1&amp;"_"&amp;AJX$11,[1]Futuros!$AK:$AK)+SUMIF([1]Opciones!$AF:$AF,$A1&amp;"_"&amp;AJX$11,[1]Opciones!$AO:$AO)</f>
        <v>#VALUE!</v>
      </c>
      <c r="AJY1" t="e">
        <f>+SUMIF([1]Cartera!$R:$R,$A1&amp;"_"&amp;AJY$11,[1]Cartera!$J:$J)+SUMIF([1]Futuros!$AD:$AD,$A1&amp;"_"&amp;AJY$11,[1]Futuros!$AK:$AK)+SUMIF([1]Opciones!$AF:$AF,$A1&amp;"_"&amp;AJY$11,[1]Opciones!$AO:$AO)</f>
        <v>#VALUE!</v>
      </c>
      <c r="AJZ1" t="e">
        <f>+SUMIF([1]Cartera!$R:$R,$A1&amp;"_"&amp;AJZ$11,[1]Cartera!$J:$J)+SUMIF([1]Futuros!$AD:$AD,$A1&amp;"_"&amp;AJZ$11,[1]Futuros!$AK:$AK)+SUMIF([1]Opciones!$AF:$AF,$A1&amp;"_"&amp;AJZ$11,[1]Opciones!$AO:$AO)</f>
        <v>#VALUE!</v>
      </c>
      <c r="AKA1" t="e">
        <f>+SUMIF([1]Cartera!$R:$R,$A1&amp;"_"&amp;AKA$11,[1]Cartera!$J:$J)+SUMIF([1]Futuros!$AD:$AD,$A1&amp;"_"&amp;AKA$11,[1]Futuros!$AK:$AK)+SUMIF([1]Opciones!$AF:$AF,$A1&amp;"_"&amp;AKA$11,[1]Opciones!$AO:$AO)</f>
        <v>#VALUE!</v>
      </c>
      <c r="AKB1" t="e">
        <f>+SUMIF([1]Cartera!$R:$R,$A1&amp;"_"&amp;AKB$11,[1]Cartera!$J:$J)+SUMIF([1]Futuros!$AD:$AD,$A1&amp;"_"&amp;AKB$11,[1]Futuros!$AK:$AK)+SUMIF([1]Opciones!$AF:$AF,$A1&amp;"_"&amp;AKB$11,[1]Opciones!$AO:$AO)</f>
        <v>#VALUE!</v>
      </c>
      <c r="AKC1" t="e">
        <f>+SUMIF([1]Cartera!$R:$R,$A1&amp;"_"&amp;AKC$11,[1]Cartera!$J:$J)+SUMIF([1]Futuros!$AD:$AD,$A1&amp;"_"&amp;AKC$11,[1]Futuros!$AK:$AK)+SUMIF([1]Opciones!$AF:$AF,$A1&amp;"_"&amp;AKC$11,[1]Opciones!$AO:$AO)</f>
        <v>#VALUE!</v>
      </c>
      <c r="AKD1" t="e">
        <f>+SUMIF([1]Cartera!$R:$R,$A1&amp;"_"&amp;AKD$11,[1]Cartera!$J:$J)+SUMIF([1]Futuros!$AD:$AD,$A1&amp;"_"&amp;AKD$11,[1]Futuros!$AK:$AK)+SUMIF([1]Opciones!$AF:$AF,$A1&amp;"_"&amp;AKD$11,[1]Opciones!$AO:$AO)</f>
        <v>#VALUE!</v>
      </c>
      <c r="AKE1" t="e">
        <f>+SUMIF([1]Cartera!$R:$R,$A1&amp;"_"&amp;AKE$11,[1]Cartera!$J:$J)+SUMIF([1]Futuros!$AD:$AD,$A1&amp;"_"&amp;AKE$11,[1]Futuros!$AK:$AK)+SUMIF([1]Opciones!$AF:$AF,$A1&amp;"_"&amp;AKE$11,[1]Opciones!$AO:$AO)</f>
        <v>#VALUE!</v>
      </c>
      <c r="AKF1" t="e">
        <f>+SUMIF([1]Cartera!$R:$R,$A1&amp;"_"&amp;AKF$11,[1]Cartera!$J:$J)+SUMIF([1]Futuros!$AD:$AD,$A1&amp;"_"&amp;AKF$11,[1]Futuros!$AK:$AK)+SUMIF([1]Opciones!$AF:$AF,$A1&amp;"_"&amp;AKF$11,[1]Opciones!$AO:$AO)</f>
        <v>#VALUE!</v>
      </c>
      <c r="AKG1" t="e">
        <f>+SUMIF([1]Cartera!$R:$R,$A1&amp;"_"&amp;AKG$11,[1]Cartera!$J:$J)+SUMIF([1]Futuros!$AD:$AD,$A1&amp;"_"&amp;AKG$11,[1]Futuros!$AK:$AK)+SUMIF([1]Opciones!$AF:$AF,$A1&amp;"_"&amp;AKG$11,[1]Opciones!$AO:$AO)</f>
        <v>#VALUE!</v>
      </c>
      <c r="AKH1" t="e">
        <f>+SUMIF([1]Cartera!$R:$R,$A1&amp;"_"&amp;AKH$11,[1]Cartera!$J:$J)+SUMIF([1]Futuros!$AD:$AD,$A1&amp;"_"&amp;AKH$11,[1]Futuros!$AK:$AK)+SUMIF([1]Opciones!$AF:$AF,$A1&amp;"_"&amp;AKH$11,[1]Opciones!$AO:$AO)</f>
        <v>#VALUE!</v>
      </c>
      <c r="AKI1" t="e">
        <f>+SUMIF([1]Cartera!$R:$R,$A1&amp;"_"&amp;AKI$11,[1]Cartera!$J:$J)+SUMIF([1]Futuros!$AD:$AD,$A1&amp;"_"&amp;AKI$11,[1]Futuros!$AK:$AK)+SUMIF([1]Opciones!$AF:$AF,$A1&amp;"_"&amp;AKI$11,[1]Opciones!$AO:$AO)</f>
        <v>#VALUE!</v>
      </c>
      <c r="AKJ1" t="e">
        <f>+SUMIF([1]Cartera!$R:$R,$A1&amp;"_"&amp;AKJ$11,[1]Cartera!$J:$J)+SUMIF([1]Futuros!$AD:$AD,$A1&amp;"_"&amp;AKJ$11,[1]Futuros!$AK:$AK)+SUMIF([1]Opciones!$AF:$AF,$A1&amp;"_"&amp;AKJ$11,[1]Opciones!$AO:$AO)</f>
        <v>#VALUE!</v>
      </c>
      <c r="AKK1" t="e">
        <f>+SUMIF([1]Cartera!$R:$R,$A1&amp;"_"&amp;AKK$11,[1]Cartera!$J:$J)+SUMIF([1]Futuros!$AD:$AD,$A1&amp;"_"&amp;AKK$11,[1]Futuros!$AK:$AK)+SUMIF([1]Opciones!$AF:$AF,$A1&amp;"_"&amp;AKK$11,[1]Opciones!$AO:$AO)</f>
        <v>#VALUE!</v>
      </c>
      <c r="AKL1" t="e">
        <f>+SUMIF([1]Cartera!$R:$R,$A1&amp;"_"&amp;AKL$11,[1]Cartera!$J:$J)+SUMIF([1]Futuros!$AD:$AD,$A1&amp;"_"&amp;AKL$11,[1]Futuros!$AK:$AK)+SUMIF([1]Opciones!$AF:$AF,$A1&amp;"_"&amp;AKL$11,[1]Opciones!$AO:$AO)</f>
        <v>#VALUE!</v>
      </c>
      <c r="AKM1" t="e">
        <f>+SUMIF([1]Cartera!$R:$R,$A1&amp;"_"&amp;AKM$11,[1]Cartera!$J:$J)+SUMIF([1]Futuros!$AD:$AD,$A1&amp;"_"&amp;AKM$11,[1]Futuros!$AK:$AK)+SUMIF([1]Opciones!$AF:$AF,$A1&amp;"_"&amp;AKM$11,[1]Opciones!$AO:$AO)</f>
        <v>#VALUE!</v>
      </c>
      <c r="AKN1" t="e">
        <f>+SUMIF([1]Cartera!$R:$R,$A1&amp;"_"&amp;AKN$11,[1]Cartera!$J:$J)+SUMIF([1]Futuros!$AD:$AD,$A1&amp;"_"&amp;AKN$11,[1]Futuros!$AK:$AK)+SUMIF([1]Opciones!$AF:$AF,$A1&amp;"_"&amp;AKN$11,[1]Opciones!$AO:$AO)</f>
        <v>#VALUE!</v>
      </c>
      <c r="AKO1" t="e">
        <f>+SUMIF([1]Cartera!$R:$R,$A1&amp;"_"&amp;AKO$11,[1]Cartera!$J:$J)+SUMIF([1]Futuros!$AD:$AD,$A1&amp;"_"&amp;AKO$11,[1]Futuros!$AK:$AK)+SUMIF([1]Opciones!$AF:$AF,$A1&amp;"_"&amp;AKO$11,[1]Opciones!$AO:$AO)</f>
        <v>#VALUE!</v>
      </c>
      <c r="AKP1" t="e">
        <f>+SUMIF([1]Cartera!$R:$R,$A1&amp;"_"&amp;AKP$11,[1]Cartera!$J:$J)+SUMIF([1]Futuros!$AD:$AD,$A1&amp;"_"&amp;AKP$11,[1]Futuros!$AK:$AK)+SUMIF([1]Opciones!$AF:$AF,$A1&amp;"_"&amp;AKP$11,[1]Opciones!$AO:$AO)</f>
        <v>#VALUE!</v>
      </c>
      <c r="AKQ1" t="e">
        <f>+SUMIF([1]Cartera!$R:$R,$A1&amp;"_"&amp;AKQ$11,[1]Cartera!$J:$J)+SUMIF([1]Futuros!$AD:$AD,$A1&amp;"_"&amp;AKQ$11,[1]Futuros!$AK:$AK)+SUMIF([1]Opciones!$AF:$AF,$A1&amp;"_"&amp;AKQ$11,[1]Opciones!$AO:$AO)</f>
        <v>#VALUE!</v>
      </c>
      <c r="AKR1" t="e">
        <f>+SUMIF([1]Cartera!$R:$R,$A1&amp;"_"&amp;AKR$11,[1]Cartera!$J:$J)+SUMIF([1]Futuros!$AD:$AD,$A1&amp;"_"&amp;AKR$11,[1]Futuros!$AK:$AK)+SUMIF([1]Opciones!$AF:$AF,$A1&amp;"_"&amp;AKR$11,[1]Opciones!$AO:$AO)</f>
        <v>#VALUE!</v>
      </c>
      <c r="AKS1" t="e">
        <f>+SUMIF([1]Cartera!$R:$R,$A1&amp;"_"&amp;AKS$11,[1]Cartera!$J:$J)+SUMIF([1]Futuros!$AD:$AD,$A1&amp;"_"&amp;AKS$11,[1]Futuros!$AK:$AK)+SUMIF([1]Opciones!$AF:$AF,$A1&amp;"_"&amp;AKS$11,[1]Opciones!$AO:$AO)</f>
        <v>#VALUE!</v>
      </c>
      <c r="AKT1" t="e">
        <f>+SUMIF([1]Cartera!$R:$R,$A1&amp;"_"&amp;AKT$11,[1]Cartera!$J:$J)+SUMIF([1]Futuros!$AD:$AD,$A1&amp;"_"&amp;AKT$11,[1]Futuros!$AK:$AK)+SUMIF([1]Opciones!$AF:$AF,$A1&amp;"_"&amp;AKT$11,[1]Opciones!$AO:$AO)</f>
        <v>#VALUE!</v>
      </c>
      <c r="AKU1" t="e">
        <f>+SUMIF([1]Cartera!$R:$R,$A1&amp;"_"&amp;AKU$11,[1]Cartera!$J:$J)+SUMIF([1]Futuros!$AD:$AD,$A1&amp;"_"&amp;AKU$11,[1]Futuros!$AK:$AK)+SUMIF([1]Opciones!$AF:$AF,$A1&amp;"_"&amp;AKU$11,[1]Opciones!$AO:$AO)</f>
        <v>#VALUE!</v>
      </c>
      <c r="AKV1" t="e">
        <f>+SUMIF([1]Cartera!$R:$R,$A1&amp;"_"&amp;AKV$11,[1]Cartera!$J:$J)+SUMIF([1]Futuros!$AD:$AD,$A1&amp;"_"&amp;AKV$11,[1]Futuros!$AK:$AK)+SUMIF([1]Opciones!$AF:$AF,$A1&amp;"_"&amp;AKV$11,[1]Opciones!$AO:$AO)</f>
        <v>#VALUE!</v>
      </c>
      <c r="AKW1" t="e">
        <f>+SUMIF([1]Cartera!$R:$R,$A1&amp;"_"&amp;AKW$11,[1]Cartera!$J:$J)+SUMIF([1]Futuros!$AD:$AD,$A1&amp;"_"&amp;AKW$11,[1]Futuros!$AK:$AK)+SUMIF([1]Opciones!$AF:$AF,$A1&amp;"_"&amp;AKW$11,[1]Opciones!$AO:$AO)</f>
        <v>#VALUE!</v>
      </c>
      <c r="AKX1" t="e">
        <f>+SUMIF([1]Cartera!$R:$R,$A1&amp;"_"&amp;AKX$11,[1]Cartera!$J:$J)+SUMIF([1]Futuros!$AD:$AD,$A1&amp;"_"&amp;AKX$11,[1]Futuros!$AK:$AK)+SUMIF([1]Opciones!$AF:$AF,$A1&amp;"_"&amp;AKX$11,[1]Opciones!$AO:$AO)</f>
        <v>#VALUE!</v>
      </c>
      <c r="AKY1" t="e">
        <f>+SUMIF([1]Cartera!$R:$R,$A1&amp;"_"&amp;AKY$11,[1]Cartera!$J:$J)+SUMIF([1]Futuros!$AD:$AD,$A1&amp;"_"&amp;AKY$11,[1]Futuros!$AK:$AK)+SUMIF([1]Opciones!$AF:$AF,$A1&amp;"_"&amp;AKY$11,[1]Opciones!$AO:$AO)</f>
        <v>#VALUE!</v>
      </c>
      <c r="AKZ1" t="e">
        <f>+SUMIF([1]Cartera!$R:$R,$A1&amp;"_"&amp;AKZ$11,[1]Cartera!$J:$J)+SUMIF([1]Futuros!$AD:$AD,$A1&amp;"_"&amp;AKZ$11,[1]Futuros!$AK:$AK)+SUMIF([1]Opciones!$AF:$AF,$A1&amp;"_"&amp;AKZ$11,[1]Opciones!$AO:$AO)</f>
        <v>#VALUE!</v>
      </c>
      <c r="ALA1" t="e">
        <f>+SUMIF([1]Cartera!$R:$R,$A1&amp;"_"&amp;ALA$11,[1]Cartera!$J:$J)+SUMIF([1]Futuros!$AD:$AD,$A1&amp;"_"&amp;ALA$11,[1]Futuros!$AK:$AK)+SUMIF([1]Opciones!$AF:$AF,$A1&amp;"_"&amp;ALA$11,[1]Opciones!$AO:$AO)</f>
        <v>#VALUE!</v>
      </c>
      <c r="ALB1" t="e">
        <f>+SUMIF([1]Cartera!$R:$R,$A1&amp;"_"&amp;ALB$11,[1]Cartera!$J:$J)+SUMIF([1]Futuros!$AD:$AD,$A1&amp;"_"&amp;ALB$11,[1]Futuros!$AK:$AK)+SUMIF([1]Opciones!$AF:$AF,$A1&amp;"_"&amp;ALB$11,[1]Opciones!$AO:$AO)</f>
        <v>#VALUE!</v>
      </c>
      <c r="ALC1" t="e">
        <f>+SUMIF([1]Cartera!$R:$R,$A1&amp;"_"&amp;ALC$11,[1]Cartera!$J:$J)+SUMIF([1]Futuros!$AD:$AD,$A1&amp;"_"&amp;ALC$11,[1]Futuros!$AK:$AK)+SUMIF([1]Opciones!$AF:$AF,$A1&amp;"_"&amp;ALC$11,[1]Opciones!$AO:$AO)</f>
        <v>#VALUE!</v>
      </c>
      <c r="ALD1" t="e">
        <f>+SUMIF([1]Cartera!$R:$R,$A1&amp;"_"&amp;ALD$11,[1]Cartera!$J:$J)+SUMIF([1]Futuros!$AD:$AD,$A1&amp;"_"&amp;ALD$11,[1]Futuros!$AK:$AK)+SUMIF([1]Opciones!$AF:$AF,$A1&amp;"_"&amp;ALD$11,[1]Opciones!$AO:$AO)</f>
        <v>#VALUE!</v>
      </c>
      <c r="ALE1" t="e">
        <f>+SUMIF([1]Cartera!$R:$R,$A1&amp;"_"&amp;ALE$11,[1]Cartera!$J:$J)+SUMIF([1]Futuros!$AD:$AD,$A1&amp;"_"&amp;ALE$11,[1]Futuros!$AK:$AK)+SUMIF([1]Opciones!$AF:$AF,$A1&amp;"_"&amp;ALE$11,[1]Opciones!$AO:$AO)</f>
        <v>#VALUE!</v>
      </c>
      <c r="ALF1" t="e">
        <f>+SUMIF([1]Cartera!$R:$R,$A1&amp;"_"&amp;ALF$11,[1]Cartera!$J:$J)+SUMIF([1]Futuros!$AD:$AD,$A1&amp;"_"&amp;ALF$11,[1]Futuros!$AK:$AK)+SUMIF([1]Opciones!$AF:$AF,$A1&amp;"_"&amp;ALF$11,[1]Opciones!$AO:$AO)</f>
        <v>#VALUE!</v>
      </c>
      <c r="ALG1" t="e">
        <f>+SUMIF([1]Cartera!$R:$R,$A1&amp;"_"&amp;ALG$11,[1]Cartera!$J:$J)+SUMIF([1]Futuros!$AD:$AD,$A1&amp;"_"&amp;ALG$11,[1]Futuros!$AK:$AK)+SUMIF([1]Opciones!$AF:$AF,$A1&amp;"_"&amp;ALG$11,[1]Opciones!$AO:$AO)</f>
        <v>#VALUE!</v>
      </c>
      <c r="ALH1" t="e">
        <f>+SUMIF([1]Cartera!$R:$R,$A1&amp;"_"&amp;ALH$11,[1]Cartera!$J:$J)+SUMIF([1]Futuros!$AD:$AD,$A1&amp;"_"&amp;ALH$11,[1]Futuros!$AK:$AK)+SUMIF([1]Opciones!$AF:$AF,$A1&amp;"_"&amp;ALH$11,[1]Opciones!$AO:$AO)</f>
        <v>#VALUE!</v>
      </c>
      <c r="ALI1" t="e">
        <f>+SUMIF([1]Cartera!$R:$R,$A1&amp;"_"&amp;ALI$11,[1]Cartera!$J:$J)+SUMIF([1]Futuros!$AD:$AD,$A1&amp;"_"&amp;ALI$11,[1]Futuros!$AK:$AK)+SUMIF([1]Opciones!$AF:$AF,$A1&amp;"_"&amp;ALI$11,[1]Opciones!$AO:$AO)</f>
        <v>#VALUE!</v>
      </c>
      <c r="ALJ1" t="e">
        <f>+SUMIF([1]Cartera!$R:$R,$A1&amp;"_"&amp;ALJ$11,[1]Cartera!$J:$J)+SUMIF([1]Futuros!$AD:$AD,$A1&amp;"_"&amp;ALJ$11,[1]Futuros!$AK:$AK)+SUMIF([1]Opciones!$AF:$AF,$A1&amp;"_"&amp;ALJ$11,[1]Opciones!$AO:$AO)</f>
        <v>#VALUE!</v>
      </c>
      <c r="ALK1" t="e">
        <f>+SUMIF([1]Cartera!$R:$R,$A1&amp;"_"&amp;ALK$11,[1]Cartera!$J:$J)+SUMIF([1]Futuros!$AD:$AD,$A1&amp;"_"&amp;ALK$11,[1]Futuros!$AK:$AK)+SUMIF([1]Opciones!$AF:$AF,$A1&amp;"_"&amp;ALK$11,[1]Opciones!$AO:$AO)</f>
        <v>#VALUE!</v>
      </c>
      <c r="ALL1" t="e">
        <f>+SUMIF([1]Cartera!$R:$R,$A1&amp;"_"&amp;ALL$11,[1]Cartera!$J:$J)+SUMIF([1]Futuros!$AD:$AD,$A1&amp;"_"&amp;ALL$11,[1]Futuros!$AK:$AK)+SUMIF([1]Opciones!$AF:$AF,$A1&amp;"_"&amp;ALL$11,[1]Opciones!$AO:$AO)</f>
        <v>#VALUE!</v>
      </c>
      <c r="ALM1" t="e">
        <f>+SUMIF([1]Cartera!$R:$R,$A1&amp;"_"&amp;ALM$11,[1]Cartera!$J:$J)+SUMIF([1]Futuros!$AD:$AD,$A1&amp;"_"&amp;ALM$11,[1]Futuros!$AK:$AK)+SUMIF([1]Opciones!$AF:$AF,$A1&amp;"_"&amp;ALM$11,[1]Opciones!$AO:$AO)</f>
        <v>#VALUE!</v>
      </c>
      <c r="ALN1" t="e">
        <f>+SUMIF([1]Cartera!$R:$R,$A1&amp;"_"&amp;ALN$11,[1]Cartera!$J:$J)+SUMIF([1]Futuros!$AD:$AD,$A1&amp;"_"&amp;ALN$11,[1]Futuros!$AK:$AK)+SUMIF([1]Opciones!$AF:$AF,$A1&amp;"_"&amp;ALN$11,[1]Opciones!$AO:$AO)</f>
        <v>#VALUE!</v>
      </c>
      <c r="ALO1" t="e">
        <f>+SUMIF([1]Cartera!$R:$R,$A1&amp;"_"&amp;ALO$11,[1]Cartera!$J:$J)+SUMIF([1]Futuros!$AD:$AD,$A1&amp;"_"&amp;ALO$11,[1]Futuros!$AK:$AK)+SUMIF([1]Opciones!$AF:$AF,$A1&amp;"_"&amp;ALO$11,[1]Opciones!$AO:$AO)</f>
        <v>#VALUE!</v>
      </c>
      <c r="ALP1" t="e">
        <f>+SUMIF([1]Cartera!$R:$R,$A1&amp;"_"&amp;ALP$11,[1]Cartera!$J:$J)+SUMIF([1]Futuros!$AD:$AD,$A1&amp;"_"&amp;ALP$11,[1]Futuros!$AK:$AK)+SUMIF([1]Opciones!$AF:$AF,$A1&amp;"_"&amp;ALP$11,[1]Opciones!$AO:$AO)</f>
        <v>#VALUE!</v>
      </c>
      <c r="ALQ1" t="e">
        <f>+SUMIF([1]Cartera!$R:$R,$A1&amp;"_"&amp;ALQ$11,[1]Cartera!$J:$J)+SUMIF([1]Futuros!$AD:$AD,$A1&amp;"_"&amp;ALQ$11,[1]Futuros!$AK:$AK)+SUMIF([1]Opciones!$AF:$AF,$A1&amp;"_"&amp;ALQ$11,[1]Opciones!$AO:$AO)</f>
        <v>#VALUE!</v>
      </c>
      <c r="ALR1" t="e">
        <f>+SUMIF([1]Cartera!$R:$R,$A1&amp;"_"&amp;ALR$11,[1]Cartera!$J:$J)+SUMIF([1]Futuros!$AD:$AD,$A1&amp;"_"&amp;ALR$11,[1]Futuros!$AK:$AK)+SUMIF([1]Opciones!$AF:$AF,$A1&amp;"_"&amp;ALR$11,[1]Opciones!$AO:$AO)</f>
        <v>#VALUE!</v>
      </c>
      <c r="ALS1" t="e">
        <f>+SUMIF([1]Cartera!$R:$R,$A1&amp;"_"&amp;ALS$11,[1]Cartera!$J:$J)+SUMIF([1]Futuros!$AD:$AD,$A1&amp;"_"&amp;ALS$11,[1]Futuros!$AK:$AK)+SUMIF([1]Opciones!$AF:$AF,$A1&amp;"_"&amp;ALS$11,[1]Opciones!$AO:$AO)</f>
        <v>#VALUE!</v>
      </c>
      <c r="ALT1" t="e">
        <f>+SUMIF([1]Cartera!$R:$R,$A1&amp;"_"&amp;ALT$11,[1]Cartera!$J:$J)+SUMIF([1]Futuros!$AD:$AD,$A1&amp;"_"&amp;ALT$11,[1]Futuros!$AK:$AK)+SUMIF([1]Opciones!$AF:$AF,$A1&amp;"_"&amp;ALT$11,[1]Opciones!$AO:$AO)</f>
        <v>#VALUE!</v>
      </c>
      <c r="ALU1" t="e">
        <f>+SUMIF([1]Cartera!$R:$R,$A1&amp;"_"&amp;ALU$11,[1]Cartera!$J:$J)+SUMIF([1]Futuros!$AD:$AD,$A1&amp;"_"&amp;ALU$11,[1]Futuros!$AK:$AK)+SUMIF([1]Opciones!$AF:$AF,$A1&amp;"_"&amp;ALU$11,[1]Opciones!$AO:$AO)</f>
        <v>#VALUE!</v>
      </c>
      <c r="ALV1" t="e">
        <f>+SUMIF([1]Cartera!$R:$R,$A1&amp;"_"&amp;ALV$11,[1]Cartera!$J:$J)+SUMIF([1]Futuros!$AD:$AD,$A1&amp;"_"&amp;ALV$11,[1]Futuros!$AK:$AK)+SUMIF([1]Opciones!$AF:$AF,$A1&amp;"_"&amp;ALV$11,[1]Opciones!$AO:$AO)</f>
        <v>#VALUE!</v>
      </c>
      <c r="ALW1" t="e">
        <f>+SUMIF([1]Cartera!$R:$R,$A1&amp;"_"&amp;ALW$11,[1]Cartera!$J:$J)+SUMIF([1]Futuros!$AD:$AD,$A1&amp;"_"&amp;ALW$11,[1]Futuros!$AK:$AK)+SUMIF([1]Opciones!$AF:$AF,$A1&amp;"_"&amp;ALW$11,[1]Opciones!$AO:$AO)</f>
        <v>#VALUE!</v>
      </c>
      <c r="ALX1" t="e">
        <f>+SUMIF([1]Cartera!$R:$R,$A1&amp;"_"&amp;ALX$11,[1]Cartera!$J:$J)+SUMIF([1]Futuros!$AD:$AD,$A1&amp;"_"&amp;ALX$11,[1]Futuros!$AK:$AK)+SUMIF([1]Opciones!$AF:$AF,$A1&amp;"_"&amp;ALX$11,[1]Opciones!$AO:$AO)</f>
        <v>#VALUE!</v>
      </c>
      <c r="ALY1" t="e">
        <f>+SUMIF([1]Cartera!$R:$R,$A1&amp;"_"&amp;ALY$11,[1]Cartera!$J:$J)+SUMIF([1]Futuros!$AD:$AD,$A1&amp;"_"&amp;ALY$11,[1]Futuros!$AK:$AK)+SUMIF([1]Opciones!$AF:$AF,$A1&amp;"_"&amp;ALY$11,[1]Opciones!$AO:$AO)</f>
        <v>#VALUE!</v>
      </c>
      <c r="ALZ1" t="e">
        <f>+SUMIF([1]Cartera!$R:$R,$A1&amp;"_"&amp;ALZ$11,[1]Cartera!$J:$J)+SUMIF([1]Futuros!$AD:$AD,$A1&amp;"_"&amp;ALZ$11,[1]Futuros!$AK:$AK)+SUMIF([1]Opciones!$AF:$AF,$A1&amp;"_"&amp;ALZ$11,[1]Opciones!$AO:$AO)</f>
        <v>#VALUE!</v>
      </c>
      <c r="AMA1" t="e">
        <f>+SUMIF([1]Cartera!$R:$R,$A1&amp;"_"&amp;AMA$11,[1]Cartera!$J:$J)+SUMIF([1]Futuros!$AD:$AD,$A1&amp;"_"&amp;AMA$11,[1]Futuros!$AK:$AK)+SUMIF([1]Opciones!$AF:$AF,$A1&amp;"_"&amp;AMA$11,[1]Opciones!$AO:$AO)</f>
        <v>#VALUE!</v>
      </c>
      <c r="AMB1" t="e">
        <f>+SUMIF([1]Cartera!$R:$R,$A1&amp;"_"&amp;AMB$11,[1]Cartera!$J:$J)+SUMIF([1]Futuros!$AD:$AD,$A1&amp;"_"&amp;AMB$11,[1]Futuros!$AK:$AK)+SUMIF([1]Opciones!$AF:$AF,$A1&amp;"_"&amp;AMB$11,[1]Opciones!$AO:$AO)</f>
        <v>#VALUE!</v>
      </c>
      <c r="AMC1" t="e">
        <f>+SUMIF([1]Cartera!$R:$R,$A1&amp;"_"&amp;AMC$11,[1]Cartera!$J:$J)+SUMIF([1]Futuros!$AD:$AD,$A1&amp;"_"&amp;AMC$11,[1]Futuros!$AK:$AK)+SUMIF([1]Opciones!$AF:$AF,$A1&amp;"_"&amp;AMC$11,[1]Opciones!$AO:$AO)</f>
        <v>#VALUE!</v>
      </c>
      <c r="AMD1" t="e">
        <f>+SUMIF([1]Cartera!$R:$R,$A1&amp;"_"&amp;AMD$11,[1]Cartera!$J:$J)+SUMIF([1]Futuros!$AD:$AD,$A1&amp;"_"&amp;AMD$11,[1]Futuros!$AK:$AK)+SUMIF([1]Opciones!$AF:$AF,$A1&amp;"_"&amp;AMD$11,[1]Opciones!$AO:$AO)</f>
        <v>#VALUE!</v>
      </c>
      <c r="AME1" t="e">
        <f>+SUMIF([1]Cartera!$R:$R,$A1&amp;"_"&amp;AME$11,[1]Cartera!$J:$J)+SUMIF([1]Futuros!$AD:$AD,$A1&amp;"_"&amp;AME$11,[1]Futuros!$AK:$AK)+SUMIF([1]Opciones!$AF:$AF,$A1&amp;"_"&amp;AME$11,[1]Opciones!$AO:$AO)</f>
        <v>#VALUE!</v>
      </c>
      <c r="AMF1" t="e">
        <f>+SUMIF([1]Cartera!$R:$R,$A1&amp;"_"&amp;AMF$11,[1]Cartera!$J:$J)+SUMIF([1]Futuros!$AD:$AD,$A1&amp;"_"&amp;AMF$11,[1]Futuros!$AK:$AK)+SUMIF([1]Opciones!$AF:$AF,$A1&amp;"_"&amp;AMF$11,[1]Opciones!$AO:$AO)</f>
        <v>#VALUE!</v>
      </c>
      <c r="AMG1" t="e">
        <f>+SUMIF([1]Cartera!$R:$R,$A1&amp;"_"&amp;AMG$11,[1]Cartera!$J:$J)+SUMIF([1]Futuros!$AD:$AD,$A1&amp;"_"&amp;AMG$11,[1]Futuros!$AK:$AK)+SUMIF([1]Opciones!$AF:$AF,$A1&amp;"_"&amp;AMG$11,[1]Opciones!$AO:$AO)</f>
        <v>#VALUE!</v>
      </c>
      <c r="AMH1" t="e">
        <f>+SUMIF([1]Cartera!$R:$R,$A1&amp;"_"&amp;AMH$11,[1]Cartera!$J:$J)+SUMIF([1]Futuros!$AD:$AD,$A1&amp;"_"&amp;AMH$11,[1]Futuros!$AK:$AK)+SUMIF([1]Opciones!$AF:$AF,$A1&amp;"_"&amp;AMH$11,[1]Opciones!$AO:$AO)</f>
        <v>#VALUE!</v>
      </c>
      <c r="AMI1" t="e">
        <f>+SUMIF([1]Cartera!$R:$R,$A1&amp;"_"&amp;AMI$11,[1]Cartera!$J:$J)+SUMIF([1]Futuros!$AD:$AD,$A1&amp;"_"&amp;AMI$11,[1]Futuros!$AK:$AK)+SUMIF([1]Opciones!$AF:$AF,$A1&amp;"_"&amp;AMI$11,[1]Opciones!$AO:$AO)</f>
        <v>#VALUE!</v>
      </c>
      <c r="AMJ1" t="e">
        <f>+SUMIF([1]Cartera!$R:$R,$A1&amp;"_"&amp;AMJ$11,[1]Cartera!$J:$J)+SUMIF([1]Futuros!$AD:$AD,$A1&amp;"_"&amp;AMJ$11,[1]Futuros!$AK:$AK)+SUMIF([1]Opciones!$AF:$AF,$A1&amp;"_"&amp;AMJ$11,[1]Opciones!$AO:$AO)</f>
        <v>#VALUE!</v>
      </c>
      <c r="AMK1" t="e">
        <f>+SUMIF([1]Cartera!$R:$R,$A1&amp;"_"&amp;AMK$11,[1]Cartera!$J:$J)+SUMIF([1]Futuros!$AD:$AD,$A1&amp;"_"&amp;AMK$11,[1]Futuros!$AK:$AK)+SUMIF([1]Opciones!$AF:$AF,$A1&amp;"_"&amp;AMK$11,[1]Opciones!$AO:$AO)</f>
        <v>#VALUE!</v>
      </c>
      <c r="AML1" t="e">
        <f>+SUMIF([1]Cartera!$R:$R,$A1&amp;"_"&amp;AML$11,[1]Cartera!$J:$J)+SUMIF([1]Futuros!$AD:$AD,$A1&amp;"_"&amp;AML$11,[1]Futuros!$AK:$AK)+SUMIF([1]Opciones!$AF:$AF,$A1&amp;"_"&amp;AML$11,[1]Opciones!$AO:$AO)</f>
        <v>#VALUE!</v>
      </c>
      <c r="AMM1" t="e">
        <f>+SUMIF([1]Cartera!$R:$R,$A1&amp;"_"&amp;AMM$11,[1]Cartera!$J:$J)+SUMIF([1]Futuros!$AD:$AD,$A1&amp;"_"&amp;AMM$11,[1]Futuros!$AK:$AK)+SUMIF([1]Opciones!$AF:$AF,$A1&amp;"_"&amp;AMM$11,[1]Opciones!$AO:$AO)</f>
        <v>#VALUE!</v>
      </c>
      <c r="AMN1" t="e">
        <f>+SUMIF([1]Cartera!$R:$R,$A1&amp;"_"&amp;AMN$11,[1]Cartera!$J:$J)+SUMIF([1]Futuros!$AD:$AD,$A1&amp;"_"&amp;AMN$11,[1]Futuros!$AK:$AK)+SUMIF([1]Opciones!$AF:$AF,$A1&amp;"_"&amp;AMN$11,[1]Opciones!$AO:$AO)</f>
        <v>#VALUE!</v>
      </c>
      <c r="AMO1" t="e">
        <f>+SUMIF([1]Cartera!$R:$R,$A1&amp;"_"&amp;AMO$11,[1]Cartera!$J:$J)+SUMIF([1]Futuros!$AD:$AD,$A1&amp;"_"&amp;AMO$11,[1]Futuros!$AK:$AK)+SUMIF([1]Opciones!$AF:$AF,$A1&amp;"_"&amp;AMO$11,[1]Opciones!$AO:$AO)</f>
        <v>#VALUE!</v>
      </c>
      <c r="AMP1" t="e">
        <f>+SUMIF([1]Cartera!$R:$R,$A1&amp;"_"&amp;AMP$11,[1]Cartera!$J:$J)+SUMIF([1]Futuros!$AD:$AD,$A1&amp;"_"&amp;AMP$11,[1]Futuros!$AK:$AK)+SUMIF([1]Opciones!$AF:$AF,$A1&amp;"_"&amp;AMP$11,[1]Opciones!$AO:$AO)</f>
        <v>#VALUE!</v>
      </c>
      <c r="AMQ1" t="e">
        <f>+SUMIF([1]Cartera!$R:$R,$A1&amp;"_"&amp;AMQ$11,[1]Cartera!$J:$J)+SUMIF([1]Futuros!$AD:$AD,$A1&amp;"_"&amp;AMQ$11,[1]Futuros!$AK:$AK)+SUMIF([1]Opciones!$AF:$AF,$A1&amp;"_"&amp;AMQ$11,[1]Opciones!$AO:$AO)</f>
        <v>#VALUE!</v>
      </c>
      <c r="AMR1" t="e">
        <f>+SUMIF([1]Cartera!$R:$R,$A1&amp;"_"&amp;AMR$11,[1]Cartera!$J:$J)+SUMIF([1]Futuros!$AD:$AD,$A1&amp;"_"&amp;AMR$11,[1]Futuros!$AK:$AK)+SUMIF([1]Opciones!$AF:$AF,$A1&amp;"_"&amp;AMR$11,[1]Opciones!$AO:$AO)</f>
        <v>#VALUE!</v>
      </c>
      <c r="AMS1" t="e">
        <f>+SUMIF([1]Cartera!$R:$R,$A1&amp;"_"&amp;AMS$11,[1]Cartera!$J:$J)+SUMIF([1]Futuros!$AD:$AD,$A1&amp;"_"&amp;AMS$11,[1]Futuros!$AK:$AK)+SUMIF([1]Opciones!$AF:$AF,$A1&amp;"_"&amp;AMS$11,[1]Opciones!$AO:$AO)</f>
        <v>#VALUE!</v>
      </c>
      <c r="AMT1" t="e">
        <f>+SUMIF([1]Cartera!$R:$R,$A1&amp;"_"&amp;AMT$11,[1]Cartera!$J:$J)+SUMIF([1]Futuros!$AD:$AD,$A1&amp;"_"&amp;AMT$11,[1]Futuros!$AK:$AK)+SUMIF([1]Opciones!$AF:$AF,$A1&amp;"_"&amp;AMT$11,[1]Opciones!$AO:$AO)</f>
        <v>#VALUE!</v>
      </c>
      <c r="AMU1" t="e">
        <f>+SUMIF([1]Cartera!$R:$R,$A1&amp;"_"&amp;AMU$11,[1]Cartera!$J:$J)+SUMIF([1]Futuros!$AD:$AD,$A1&amp;"_"&amp;AMU$11,[1]Futuros!$AK:$AK)+SUMIF([1]Opciones!$AF:$AF,$A1&amp;"_"&amp;AMU$11,[1]Opciones!$AO:$AO)</f>
        <v>#VALUE!</v>
      </c>
      <c r="AMV1" t="e">
        <f>+SUMIF([1]Cartera!$R:$R,$A1&amp;"_"&amp;AMV$11,[1]Cartera!$J:$J)+SUMIF([1]Futuros!$AD:$AD,$A1&amp;"_"&amp;AMV$11,[1]Futuros!$AK:$AK)+SUMIF([1]Opciones!$AF:$AF,$A1&amp;"_"&amp;AMV$11,[1]Opciones!$AO:$AO)</f>
        <v>#VALUE!</v>
      </c>
      <c r="AMW1" t="e">
        <f>+SUMIF([1]Cartera!$R:$R,$A1&amp;"_"&amp;AMW$11,[1]Cartera!$J:$J)+SUMIF([1]Futuros!$AD:$AD,$A1&amp;"_"&amp;AMW$11,[1]Futuros!$AK:$AK)+SUMIF([1]Opciones!$AF:$AF,$A1&amp;"_"&amp;AMW$11,[1]Opciones!$AO:$AO)</f>
        <v>#VALUE!</v>
      </c>
      <c r="AMX1" t="e">
        <f>+SUMIF([1]Cartera!$R:$R,$A1&amp;"_"&amp;AMX$11,[1]Cartera!$J:$J)+SUMIF([1]Futuros!$AD:$AD,$A1&amp;"_"&amp;AMX$11,[1]Futuros!$AK:$AK)+SUMIF([1]Opciones!$AF:$AF,$A1&amp;"_"&amp;AMX$11,[1]Opciones!$AO:$AO)</f>
        <v>#VALUE!</v>
      </c>
      <c r="AMY1" t="e">
        <f>+SUMIF([1]Cartera!$R:$R,$A1&amp;"_"&amp;AMY$11,[1]Cartera!$J:$J)+SUMIF([1]Futuros!$AD:$AD,$A1&amp;"_"&amp;AMY$11,[1]Futuros!$AK:$AK)+SUMIF([1]Opciones!$AF:$AF,$A1&amp;"_"&amp;AMY$11,[1]Opciones!$AO:$AO)</f>
        <v>#VALUE!</v>
      </c>
      <c r="AMZ1" t="e">
        <f>+SUMIF([1]Cartera!$R:$R,$A1&amp;"_"&amp;AMZ$11,[1]Cartera!$J:$J)+SUMIF([1]Futuros!$AD:$AD,$A1&amp;"_"&amp;AMZ$11,[1]Futuros!$AK:$AK)+SUMIF([1]Opciones!$AF:$AF,$A1&amp;"_"&amp;AMZ$11,[1]Opciones!$AO:$AO)</f>
        <v>#VALUE!</v>
      </c>
      <c r="ANA1" t="e">
        <f>+SUMIF([1]Cartera!$R:$R,$A1&amp;"_"&amp;ANA$11,[1]Cartera!$J:$J)+SUMIF([1]Futuros!$AD:$AD,$A1&amp;"_"&amp;ANA$11,[1]Futuros!$AK:$AK)+SUMIF([1]Opciones!$AF:$AF,$A1&amp;"_"&amp;ANA$11,[1]Opciones!$AO:$AO)</f>
        <v>#VALUE!</v>
      </c>
      <c r="ANB1" t="e">
        <f>+SUMIF([1]Cartera!$R:$R,$A1&amp;"_"&amp;ANB$11,[1]Cartera!$J:$J)+SUMIF([1]Futuros!$AD:$AD,$A1&amp;"_"&amp;ANB$11,[1]Futuros!$AK:$AK)+SUMIF([1]Opciones!$AF:$AF,$A1&amp;"_"&amp;ANB$11,[1]Opciones!$AO:$AO)</f>
        <v>#VALUE!</v>
      </c>
      <c r="ANC1" t="e">
        <f>+SUMIF([1]Cartera!$R:$R,$A1&amp;"_"&amp;ANC$11,[1]Cartera!$J:$J)+SUMIF([1]Futuros!$AD:$AD,$A1&amp;"_"&amp;ANC$11,[1]Futuros!$AK:$AK)+SUMIF([1]Opciones!$AF:$AF,$A1&amp;"_"&amp;ANC$11,[1]Opciones!$AO:$AO)</f>
        <v>#VALUE!</v>
      </c>
      <c r="AND1" t="e">
        <f>+SUMIF([1]Cartera!$R:$R,$A1&amp;"_"&amp;AND$11,[1]Cartera!$J:$J)+SUMIF([1]Futuros!$AD:$AD,$A1&amp;"_"&amp;AND$11,[1]Futuros!$AK:$AK)+SUMIF([1]Opciones!$AF:$AF,$A1&amp;"_"&amp;AND$11,[1]Opciones!$AO:$AO)</f>
        <v>#VALUE!</v>
      </c>
      <c r="ANE1" t="e">
        <f>+SUMIF([1]Cartera!$R:$R,$A1&amp;"_"&amp;ANE$11,[1]Cartera!$J:$J)+SUMIF([1]Futuros!$AD:$AD,$A1&amp;"_"&amp;ANE$11,[1]Futuros!$AK:$AK)+SUMIF([1]Opciones!$AF:$AF,$A1&amp;"_"&amp;ANE$11,[1]Opciones!$AO:$AO)</f>
        <v>#VALUE!</v>
      </c>
      <c r="ANF1" t="e">
        <f>+SUMIF([1]Cartera!$R:$R,$A1&amp;"_"&amp;ANF$11,[1]Cartera!$J:$J)+SUMIF([1]Futuros!$AD:$AD,$A1&amp;"_"&amp;ANF$11,[1]Futuros!$AK:$AK)+SUMIF([1]Opciones!$AF:$AF,$A1&amp;"_"&amp;ANF$11,[1]Opciones!$AO:$AO)</f>
        <v>#VALUE!</v>
      </c>
      <c r="ANG1" t="e">
        <f>+SUMIF([1]Cartera!$R:$R,$A1&amp;"_"&amp;ANG$11,[1]Cartera!$J:$J)+SUMIF([1]Futuros!$AD:$AD,$A1&amp;"_"&amp;ANG$11,[1]Futuros!$AK:$AK)+SUMIF([1]Opciones!$AF:$AF,$A1&amp;"_"&amp;ANG$11,[1]Opciones!$AO:$AO)</f>
        <v>#VALUE!</v>
      </c>
      <c r="ANH1" t="e">
        <f>+SUMIF([1]Cartera!$R:$R,$A1&amp;"_"&amp;ANH$11,[1]Cartera!$J:$J)+SUMIF([1]Futuros!$AD:$AD,$A1&amp;"_"&amp;ANH$11,[1]Futuros!$AK:$AK)+SUMIF([1]Opciones!$AF:$AF,$A1&amp;"_"&amp;ANH$11,[1]Opciones!$AO:$AO)</f>
        <v>#VALUE!</v>
      </c>
      <c r="ANI1" t="e">
        <f>+SUMIF([1]Cartera!$R:$R,$A1&amp;"_"&amp;ANI$11,[1]Cartera!$J:$J)+SUMIF([1]Futuros!$AD:$AD,$A1&amp;"_"&amp;ANI$11,[1]Futuros!$AK:$AK)+SUMIF([1]Opciones!$AF:$AF,$A1&amp;"_"&amp;ANI$11,[1]Opciones!$AO:$AO)</f>
        <v>#VALUE!</v>
      </c>
      <c r="ANJ1" t="e">
        <f>+SUMIF([1]Cartera!$R:$R,$A1&amp;"_"&amp;ANJ$11,[1]Cartera!$J:$J)+SUMIF([1]Futuros!$AD:$AD,$A1&amp;"_"&amp;ANJ$11,[1]Futuros!$AK:$AK)+SUMIF([1]Opciones!$AF:$AF,$A1&amp;"_"&amp;ANJ$11,[1]Opciones!$AO:$AO)</f>
        <v>#VALUE!</v>
      </c>
      <c r="ANK1" t="e">
        <f>+SUMIF([1]Cartera!$R:$R,$A1&amp;"_"&amp;ANK$11,[1]Cartera!$J:$J)+SUMIF([1]Futuros!$AD:$AD,$A1&amp;"_"&amp;ANK$11,[1]Futuros!$AK:$AK)+SUMIF([1]Opciones!$AF:$AF,$A1&amp;"_"&amp;ANK$11,[1]Opciones!$AO:$AO)</f>
        <v>#VALUE!</v>
      </c>
      <c r="ANL1" t="e">
        <f>+SUMIF([1]Cartera!$R:$R,$A1&amp;"_"&amp;ANL$11,[1]Cartera!$J:$J)+SUMIF([1]Futuros!$AD:$AD,$A1&amp;"_"&amp;ANL$11,[1]Futuros!$AK:$AK)+SUMIF([1]Opciones!$AF:$AF,$A1&amp;"_"&amp;ANL$11,[1]Opciones!$AO:$AO)</f>
        <v>#VALUE!</v>
      </c>
      <c r="ANM1" t="e">
        <f>+SUMIF([1]Cartera!$R:$R,$A1&amp;"_"&amp;ANM$11,[1]Cartera!$J:$J)+SUMIF([1]Futuros!$AD:$AD,$A1&amp;"_"&amp;ANM$11,[1]Futuros!$AK:$AK)+SUMIF([1]Opciones!$AF:$AF,$A1&amp;"_"&amp;ANM$11,[1]Opciones!$AO:$AO)</f>
        <v>#VALUE!</v>
      </c>
      <c r="ANN1" t="e">
        <f>+SUMIF([1]Cartera!$R:$R,$A1&amp;"_"&amp;ANN$11,[1]Cartera!$J:$J)+SUMIF([1]Futuros!$AD:$AD,$A1&amp;"_"&amp;ANN$11,[1]Futuros!$AK:$AK)+SUMIF([1]Opciones!$AF:$AF,$A1&amp;"_"&amp;ANN$11,[1]Opciones!$AO:$AO)</f>
        <v>#VALUE!</v>
      </c>
      <c r="ANO1" t="e">
        <f>+SUMIF([1]Cartera!$R:$R,$A1&amp;"_"&amp;ANO$11,[1]Cartera!$J:$J)+SUMIF([1]Futuros!$AD:$AD,$A1&amp;"_"&amp;ANO$11,[1]Futuros!$AK:$AK)+SUMIF([1]Opciones!$AF:$AF,$A1&amp;"_"&amp;ANO$11,[1]Opciones!$AO:$AO)</f>
        <v>#VALUE!</v>
      </c>
      <c r="ANP1" t="e">
        <f>+SUMIF([1]Cartera!$R:$R,$A1&amp;"_"&amp;ANP$11,[1]Cartera!$J:$J)+SUMIF([1]Futuros!$AD:$AD,$A1&amp;"_"&amp;ANP$11,[1]Futuros!$AK:$AK)+SUMIF([1]Opciones!$AF:$AF,$A1&amp;"_"&amp;ANP$11,[1]Opciones!$AO:$AO)</f>
        <v>#VALUE!</v>
      </c>
      <c r="ANQ1" t="e">
        <f>+SUMIF([1]Cartera!$R:$R,$A1&amp;"_"&amp;ANQ$11,[1]Cartera!$J:$J)+SUMIF([1]Futuros!$AD:$AD,$A1&amp;"_"&amp;ANQ$11,[1]Futuros!$AK:$AK)+SUMIF([1]Opciones!$AF:$AF,$A1&amp;"_"&amp;ANQ$11,[1]Opciones!$AO:$AO)</f>
        <v>#VALUE!</v>
      </c>
      <c r="ANR1" t="e">
        <f>+SUMIF([1]Cartera!$R:$R,$A1&amp;"_"&amp;ANR$11,[1]Cartera!$J:$J)+SUMIF([1]Futuros!$AD:$AD,$A1&amp;"_"&amp;ANR$11,[1]Futuros!$AK:$AK)+SUMIF([1]Opciones!$AF:$AF,$A1&amp;"_"&amp;ANR$11,[1]Opciones!$AO:$AO)</f>
        <v>#VALUE!</v>
      </c>
      <c r="ANS1" t="e">
        <f>+SUMIF([1]Cartera!$R:$R,$A1&amp;"_"&amp;ANS$11,[1]Cartera!$J:$J)+SUMIF([1]Futuros!$AD:$AD,$A1&amp;"_"&amp;ANS$11,[1]Futuros!$AK:$AK)+SUMIF([1]Opciones!$AF:$AF,$A1&amp;"_"&amp;ANS$11,[1]Opciones!$AO:$AO)</f>
        <v>#VALUE!</v>
      </c>
      <c r="ANT1" t="e">
        <f>+SUMIF([1]Cartera!$R:$R,$A1&amp;"_"&amp;ANT$11,[1]Cartera!$J:$J)+SUMIF([1]Futuros!$AD:$AD,$A1&amp;"_"&amp;ANT$11,[1]Futuros!$AK:$AK)+SUMIF([1]Opciones!$AF:$AF,$A1&amp;"_"&amp;ANT$11,[1]Opciones!$AO:$AO)</f>
        <v>#VALUE!</v>
      </c>
      <c r="ANU1" t="e">
        <f>+SUMIF([1]Cartera!$R:$R,$A1&amp;"_"&amp;ANU$11,[1]Cartera!$J:$J)+SUMIF([1]Futuros!$AD:$AD,$A1&amp;"_"&amp;ANU$11,[1]Futuros!$AK:$AK)+SUMIF([1]Opciones!$AF:$AF,$A1&amp;"_"&amp;ANU$11,[1]Opciones!$AO:$AO)</f>
        <v>#VALUE!</v>
      </c>
      <c r="ANV1" t="e">
        <f>+SUMIF([1]Cartera!$R:$R,$A1&amp;"_"&amp;ANV$11,[1]Cartera!$J:$J)+SUMIF([1]Futuros!$AD:$AD,$A1&amp;"_"&amp;ANV$11,[1]Futuros!$AK:$AK)+SUMIF([1]Opciones!$AF:$AF,$A1&amp;"_"&amp;ANV$11,[1]Opciones!$AO:$AO)</f>
        <v>#VALUE!</v>
      </c>
      <c r="ANW1" t="e">
        <f>+SUMIF([1]Cartera!$R:$R,$A1&amp;"_"&amp;ANW$11,[1]Cartera!$J:$J)+SUMIF([1]Futuros!$AD:$AD,$A1&amp;"_"&amp;ANW$11,[1]Futuros!$AK:$AK)+SUMIF([1]Opciones!$AF:$AF,$A1&amp;"_"&amp;ANW$11,[1]Opciones!$AO:$AO)</f>
        <v>#VALUE!</v>
      </c>
      <c r="ANX1" t="e">
        <f>+SUMIF([1]Cartera!$R:$R,$A1&amp;"_"&amp;ANX$11,[1]Cartera!$J:$J)+SUMIF([1]Futuros!$AD:$AD,$A1&amp;"_"&amp;ANX$11,[1]Futuros!$AK:$AK)+SUMIF([1]Opciones!$AF:$AF,$A1&amp;"_"&amp;ANX$11,[1]Opciones!$AO:$AO)</f>
        <v>#VALUE!</v>
      </c>
      <c r="ANY1" t="e">
        <f>+SUMIF([1]Cartera!$R:$R,$A1&amp;"_"&amp;ANY$11,[1]Cartera!$J:$J)+SUMIF([1]Futuros!$AD:$AD,$A1&amp;"_"&amp;ANY$11,[1]Futuros!$AK:$AK)+SUMIF([1]Opciones!$AF:$AF,$A1&amp;"_"&amp;ANY$11,[1]Opciones!$AO:$AO)</f>
        <v>#VALUE!</v>
      </c>
      <c r="ANZ1" t="e">
        <f>+SUMIF([1]Cartera!$R:$R,$A1&amp;"_"&amp;ANZ$11,[1]Cartera!$J:$J)+SUMIF([1]Futuros!$AD:$AD,$A1&amp;"_"&amp;ANZ$11,[1]Futuros!$AK:$AK)+SUMIF([1]Opciones!$AF:$AF,$A1&amp;"_"&amp;ANZ$11,[1]Opciones!$AO:$AO)</f>
        <v>#VALUE!</v>
      </c>
      <c r="AOA1" t="e">
        <f>+SUMIF([1]Cartera!$R:$R,$A1&amp;"_"&amp;AOA$11,[1]Cartera!$J:$J)+SUMIF([1]Futuros!$AD:$AD,$A1&amp;"_"&amp;AOA$11,[1]Futuros!$AK:$AK)+SUMIF([1]Opciones!$AF:$AF,$A1&amp;"_"&amp;AOA$11,[1]Opciones!$AO:$AO)</f>
        <v>#VALUE!</v>
      </c>
      <c r="AOB1" t="e">
        <f>+SUMIF([1]Cartera!$R:$R,$A1&amp;"_"&amp;AOB$11,[1]Cartera!$J:$J)+SUMIF([1]Futuros!$AD:$AD,$A1&amp;"_"&amp;AOB$11,[1]Futuros!$AK:$AK)+SUMIF([1]Opciones!$AF:$AF,$A1&amp;"_"&amp;AOB$11,[1]Opciones!$AO:$AO)</f>
        <v>#VALUE!</v>
      </c>
      <c r="AOC1" t="e">
        <f>+SUMIF([1]Cartera!$R:$R,$A1&amp;"_"&amp;AOC$11,[1]Cartera!$J:$J)+SUMIF([1]Futuros!$AD:$AD,$A1&amp;"_"&amp;AOC$11,[1]Futuros!$AK:$AK)+SUMIF([1]Opciones!$AF:$AF,$A1&amp;"_"&amp;AOC$11,[1]Opciones!$AO:$AO)</f>
        <v>#VALUE!</v>
      </c>
      <c r="AOD1" t="e">
        <f>+SUMIF([1]Cartera!$R:$R,$A1&amp;"_"&amp;AOD$11,[1]Cartera!$J:$J)+SUMIF([1]Futuros!$AD:$AD,$A1&amp;"_"&amp;AOD$11,[1]Futuros!$AK:$AK)+SUMIF([1]Opciones!$AF:$AF,$A1&amp;"_"&amp;AOD$11,[1]Opciones!$AO:$AO)</f>
        <v>#VALUE!</v>
      </c>
      <c r="AOE1" t="e">
        <f>+SUMIF([1]Cartera!$R:$R,$A1&amp;"_"&amp;AOE$11,[1]Cartera!$J:$J)+SUMIF([1]Futuros!$AD:$AD,$A1&amp;"_"&amp;AOE$11,[1]Futuros!$AK:$AK)+SUMIF([1]Opciones!$AF:$AF,$A1&amp;"_"&amp;AOE$11,[1]Opciones!$AO:$AO)</f>
        <v>#VALUE!</v>
      </c>
      <c r="AOF1" t="e">
        <f>+SUMIF([1]Cartera!$R:$R,$A1&amp;"_"&amp;AOF$11,[1]Cartera!$J:$J)+SUMIF([1]Futuros!$AD:$AD,$A1&amp;"_"&amp;AOF$11,[1]Futuros!$AK:$AK)+SUMIF([1]Opciones!$AF:$AF,$A1&amp;"_"&amp;AOF$11,[1]Opciones!$AO:$AO)</f>
        <v>#VALUE!</v>
      </c>
      <c r="AOG1" t="e">
        <f>+SUMIF([1]Cartera!$R:$R,$A1&amp;"_"&amp;AOG$11,[1]Cartera!$J:$J)+SUMIF([1]Futuros!$AD:$AD,$A1&amp;"_"&amp;AOG$11,[1]Futuros!$AK:$AK)+SUMIF([1]Opciones!$AF:$AF,$A1&amp;"_"&amp;AOG$11,[1]Opciones!$AO:$AO)</f>
        <v>#VALUE!</v>
      </c>
      <c r="AOH1" t="e">
        <f>+SUMIF([1]Cartera!$R:$R,$A1&amp;"_"&amp;AOH$11,[1]Cartera!$J:$J)+SUMIF([1]Futuros!$AD:$AD,$A1&amp;"_"&amp;AOH$11,[1]Futuros!$AK:$AK)+SUMIF([1]Opciones!$AF:$AF,$A1&amp;"_"&amp;AOH$11,[1]Opciones!$AO:$AO)</f>
        <v>#VALUE!</v>
      </c>
      <c r="AOI1" t="e">
        <f>+SUMIF([1]Cartera!$R:$R,$A1&amp;"_"&amp;AOI$11,[1]Cartera!$J:$J)+SUMIF([1]Futuros!$AD:$AD,$A1&amp;"_"&amp;AOI$11,[1]Futuros!$AK:$AK)+SUMIF([1]Opciones!$AF:$AF,$A1&amp;"_"&amp;AOI$11,[1]Opciones!$AO:$AO)</f>
        <v>#VALUE!</v>
      </c>
      <c r="AOJ1" t="e">
        <f>+SUMIF([1]Cartera!$R:$R,$A1&amp;"_"&amp;AOJ$11,[1]Cartera!$J:$J)+SUMIF([1]Futuros!$AD:$AD,$A1&amp;"_"&amp;AOJ$11,[1]Futuros!$AK:$AK)+SUMIF([1]Opciones!$AF:$AF,$A1&amp;"_"&amp;AOJ$11,[1]Opciones!$AO:$AO)</f>
        <v>#VALUE!</v>
      </c>
      <c r="AOK1" t="e">
        <f>+SUMIF([1]Cartera!$R:$R,$A1&amp;"_"&amp;AOK$11,[1]Cartera!$J:$J)+SUMIF([1]Futuros!$AD:$AD,$A1&amp;"_"&amp;AOK$11,[1]Futuros!$AK:$AK)+SUMIF([1]Opciones!$AF:$AF,$A1&amp;"_"&amp;AOK$11,[1]Opciones!$AO:$AO)</f>
        <v>#VALUE!</v>
      </c>
      <c r="AOL1" t="e">
        <f>+SUMIF([1]Cartera!$R:$R,$A1&amp;"_"&amp;AOL$11,[1]Cartera!$J:$J)+SUMIF([1]Futuros!$AD:$AD,$A1&amp;"_"&amp;AOL$11,[1]Futuros!$AK:$AK)+SUMIF([1]Opciones!$AF:$AF,$A1&amp;"_"&amp;AOL$11,[1]Opciones!$AO:$AO)</f>
        <v>#VALUE!</v>
      </c>
      <c r="AOM1" t="e">
        <f>+SUMIF([1]Cartera!$R:$R,$A1&amp;"_"&amp;AOM$11,[1]Cartera!$J:$J)+SUMIF([1]Futuros!$AD:$AD,$A1&amp;"_"&amp;AOM$11,[1]Futuros!$AK:$AK)+SUMIF([1]Opciones!$AF:$AF,$A1&amp;"_"&amp;AOM$11,[1]Opciones!$AO:$AO)</f>
        <v>#VALUE!</v>
      </c>
      <c r="AON1" t="e">
        <f>+SUMIF([1]Cartera!$R:$R,$A1&amp;"_"&amp;AON$11,[1]Cartera!$J:$J)+SUMIF([1]Futuros!$AD:$AD,$A1&amp;"_"&amp;AON$11,[1]Futuros!$AK:$AK)+SUMIF([1]Opciones!$AF:$AF,$A1&amp;"_"&amp;AON$11,[1]Opciones!$AO:$AO)</f>
        <v>#VALUE!</v>
      </c>
      <c r="AOO1" t="e">
        <f>+SUMIF([1]Cartera!$R:$R,$A1&amp;"_"&amp;AOO$11,[1]Cartera!$J:$J)+SUMIF([1]Futuros!$AD:$AD,$A1&amp;"_"&amp;AOO$11,[1]Futuros!$AK:$AK)+SUMIF([1]Opciones!$AF:$AF,$A1&amp;"_"&amp;AOO$11,[1]Opciones!$AO:$AO)</f>
        <v>#VALUE!</v>
      </c>
      <c r="AOP1" t="e">
        <f>+SUMIF([1]Cartera!$R:$R,$A1&amp;"_"&amp;AOP$11,[1]Cartera!$J:$J)+SUMIF([1]Futuros!$AD:$AD,$A1&amp;"_"&amp;AOP$11,[1]Futuros!$AK:$AK)+SUMIF([1]Opciones!$AF:$AF,$A1&amp;"_"&amp;AOP$11,[1]Opciones!$AO:$AO)</f>
        <v>#VALUE!</v>
      </c>
      <c r="AOQ1" t="e">
        <f>+SUMIF([1]Cartera!$R:$R,$A1&amp;"_"&amp;AOQ$11,[1]Cartera!$J:$J)+SUMIF([1]Futuros!$AD:$AD,$A1&amp;"_"&amp;AOQ$11,[1]Futuros!$AK:$AK)+SUMIF([1]Opciones!$AF:$AF,$A1&amp;"_"&amp;AOQ$11,[1]Opciones!$AO:$AO)</f>
        <v>#VALUE!</v>
      </c>
      <c r="AOR1" t="e">
        <f>+SUMIF([1]Cartera!$R:$R,$A1&amp;"_"&amp;AOR$11,[1]Cartera!$J:$J)+SUMIF([1]Futuros!$AD:$AD,$A1&amp;"_"&amp;AOR$11,[1]Futuros!$AK:$AK)+SUMIF([1]Opciones!$AF:$AF,$A1&amp;"_"&amp;AOR$11,[1]Opciones!$AO:$AO)</f>
        <v>#VALUE!</v>
      </c>
      <c r="AOS1" t="e">
        <f>+SUMIF([1]Cartera!$R:$R,$A1&amp;"_"&amp;AOS$11,[1]Cartera!$J:$J)+SUMIF([1]Futuros!$AD:$AD,$A1&amp;"_"&amp;AOS$11,[1]Futuros!$AK:$AK)+SUMIF([1]Opciones!$AF:$AF,$A1&amp;"_"&amp;AOS$11,[1]Opciones!$AO:$AO)</f>
        <v>#VALUE!</v>
      </c>
      <c r="AOT1" t="e">
        <f>+SUMIF([1]Cartera!$R:$R,$A1&amp;"_"&amp;AOT$11,[1]Cartera!$J:$J)+SUMIF([1]Futuros!$AD:$AD,$A1&amp;"_"&amp;AOT$11,[1]Futuros!$AK:$AK)+SUMIF([1]Opciones!$AF:$AF,$A1&amp;"_"&amp;AOT$11,[1]Opciones!$AO:$AO)</f>
        <v>#VALUE!</v>
      </c>
      <c r="AOU1" t="e">
        <f>+SUMIF([1]Cartera!$R:$R,$A1&amp;"_"&amp;AOU$11,[1]Cartera!$J:$J)+SUMIF([1]Futuros!$AD:$AD,$A1&amp;"_"&amp;AOU$11,[1]Futuros!$AK:$AK)+SUMIF([1]Opciones!$AF:$AF,$A1&amp;"_"&amp;AOU$11,[1]Opciones!$AO:$AO)</f>
        <v>#VALUE!</v>
      </c>
      <c r="AOV1" t="e">
        <f>+SUMIF([1]Cartera!$R:$R,$A1&amp;"_"&amp;AOV$11,[1]Cartera!$J:$J)+SUMIF([1]Futuros!$AD:$AD,$A1&amp;"_"&amp;AOV$11,[1]Futuros!$AK:$AK)+SUMIF([1]Opciones!$AF:$AF,$A1&amp;"_"&amp;AOV$11,[1]Opciones!$AO:$AO)</f>
        <v>#VALUE!</v>
      </c>
      <c r="AOW1" t="e">
        <f>+SUMIF([1]Cartera!$R:$R,$A1&amp;"_"&amp;AOW$11,[1]Cartera!$J:$J)+SUMIF([1]Futuros!$AD:$AD,$A1&amp;"_"&amp;AOW$11,[1]Futuros!$AK:$AK)+SUMIF([1]Opciones!$AF:$AF,$A1&amp;"_"&amp;AOW$11,[1]Opciones!$AO:$AO)</f>
        <v>#VALUE!</v>
      </c>
      <c r="AOX1" t="e">
        <f>+SUMIF([1]Cartera!$R:$R,$A1&amp;"_"&amp;AOX$11,[1]Cartera!$J:$J)+SUMIF([1]Futuros!$AD:$AD,$A1&amp;"_"&amp;AOX$11,[1]Futuros!$AK:$AK)+SUMIF([1]Opciones!$AF:$AF,$A1&amp;"_"&amp;AOX$11,[1]Opciones!$AO:$AO)</f>
        <v>#VALUE!</v>
      </c>
      <c r="AOY1" t="e">
        <f>+SUMIF([1]Cartera!$R:$R,$A1&amp;"_"&amp;AOY$11,[1]Cartera!$J:$J)+SUMIF([1]Futuros!$AD:$AD,$A1&amp;"_"&amp;AOY$11,[1]Futuros!$AK:$AK)+SUMIF([1]Opciones!$AF:$AF,$A1&amp;"_"&amp;AOY$11,[1]Opciones!$AO:$AO)</f>
        <v>#VALUE!</v>
      </c>
      <c r="AOZ1" t="e">
        <f>+SUMIF([1]Cartera!$R:$R,$A1&amp;"_"&amp;AOZ$11,[1]Cartera!$J:$J)+SUMIF([1]Futuros!$AD:$AD,$A1&amp;"_"&amp;AOZ$11,[1]Futuros!$AK:$AK)+SUMIF([1]Opciones!$AF:$AF,$A1&amp;"_"&amp;AOZ$11,[1]Opciones!$AO:$AO)</f>
        <v>#VALUE!</v>
      </c>
      <c r="APA1" t="e">
        <f>+SUMIF([1]Cartera!$R:$R,$A1&amp;"_"&amp;APA$11,[1]Cartera!$J:$J)+SUMIF([1]Futuros!$AD:$AD,$A1&amp;"_"&amp;APA$11,[1]Futuros!$AK:$AK)+SUMIF([1]Opciones!$AF:$AF,$A1&amp;"_"&amp;APA$11,[1]Opciones!$AO:$AO)</f>
        <v>#VALUE!</v>
      </c>
      <c r="APB1" t="e">
        <f>+SUMIF([1]Cartera!$R:$R,$A1&amp;"_"&amp;APB$11,[1]Cartera!$J:$J)+SUMIF([1]Futuros!$AD:$AD,$A1&amp;"_"&amp;APB$11,[1]Futuros!$AK:$AK)+SUMIF([1]Opciones!$AF:$AF,$A1&amp;"_"&amp;APB$11,[1]Opciones!$AO:$AO)</f>
        <v>#VALUE!</v>
      </c>
      <c r="APC1" t="e">
        <f>+SUMIF([1]Cartera!$R:$R,$A1&amp;"_"&amp;APC$11,[1]Cartera!$J:$J)+SUMIF([1]Futuros!$AD:$AD,$A1&amp;"_"&amp;APC$11,[1]Futuros!$AK:$AK)+SUMIF([1]Opciones!$AF:$AF,$A1&amp;"_"&amp;APC$11,[1]Opciones!$AO:$AO)</f>
        <v>#VALUE!</v>
      </c>
      <c r="APD1" t="e">
        <f>+SUMIF([1]Cartera!$R:$R,$A1&amp;"_"&amp;APD$11,[1]Cartera!$J:$J)+SUMIF([1]Futuros!$AD:$AD,$A1&amp;"_"&amp;APD$11,[1]Futuros!$AK:$AK)+SUMIF([1]Opciones!$AF:$AF,$A1&amp;"_"&amp;APD$11,[1]Opciones!$AO:$AO)</f>
        <v>#VALUE!</v>
      </c>
      <c r="APE1" t="e">
        <f>+SUMIF([1]Cartera!$R:$R,$A1&amp;"_"&amp;APE$11,[1]Cartera!$J:$J)+SUMIF([1]Futuros!$AD:$AD,$A1&amp;"_"&amp;APE$11,[1]Futuros!$AK:$AK)+SUMIF([1]Opciones!$AF:$AF,$A1&amp;"_"&amp;APE$11,[1]Opciones!$AO:$AO)</f>
        <v>#VALUE!</v>
      </c>
      <c r="APF1" t="e">
        <f>+SUMIF([1]Cartera!$R:$R,$A1&amp;"_"&amp;APF$11,[1]Cartera!$J:$J)+SUMIF([1]Futuros!$AD:$AD,$A1&amp;"_"&amp;APF$11,[1]Futuros!$AK:$AK)+SUMIF([1]Opciones!$AF:$AF,$A1&amp;"_"&amp;APF$11,[1]Opciones!$AO:$AO)</f>
        <v>#VALUE!</v>
      </c>
      <c r="APG1" t="e">
        <f>+SUMIF([1]Cartera!$R:$R,$A1&amp;"_"&amp;APG$11,[1]Cartera!$J:$J)+SUMIF([1]Futuros!$AD:$AD,$A1&amp;"_"&amp;APG$11,[1]Futuros!$AK:$AK)+SUMIF([1]Opciones!$AF:$AF,$A1&amp;"_"&amp;APG$11,[1]Opciones!$AO:$AO)</f>
        <v>#VALUE!</v>
      </c>
      <c r="APH1" t="e">
        <f>+SUMIF([1]Cartera!$R:$R,$A1&amp;"_"&amp;APH$11,[1]Cartera!$J:$J)+SUMIF([1]Futuros!$AD:$AD,$A1&amp;"_"&amp;APH$11,[1]Futuros!$AK:$AK)+SUMIF([1]Opciones!$AF:$AF,$A1&amp;"_"&amp;APH$11,[1]Opciones!$AO:$AO)</f>
        <v>#VALUE!</v>
      </c>
      <c r="API1" t="e">
        <f>+SUMIF([1]Cartera!$R:$R,$A1&amp;"_"&amp;API$11,[1]Cartera!$J:$J)+SUMIF([1]Futuros!$AD:$AD,$A1&amp;"_"&amp;API$11,[1]Futuros!$AK:$AK)+SUMIF([1]Opciones!$AF:$AF,$A1&amp;"_"&amp;API$11,[1]Opciones!$AO:$AO)</f>
        <v>#VALUE!</v>
      </c>
      <c r="APJ1" t="e">
        <f>+SUMIF([1]Cartera!$R:$R,$A1&amp;"_"&amp;APJ$11,[1]Cartera!$J:$J)+SUMIF([1]Futuros!$AD:$AD,$A1&amp;"_"&amp;APJ$11,[1]Futuros!$AK:$AK)+SUMIF([1]Opciones!$AF:$AF,$A1&amp;"_"&amp;APJ$11,[1]Opciones!$AO:$AO)</f>
        <v>#VALUE!</v>
      </c>
      <c r="APK1" t="e">
        <f>+SUMIF([1]Cartera!$R:$R,$A1&amp;"_"&amp;APK$11,[1]Cartera!$J:$J)+SUMIF([1]Futuros!$AD:$AD,$A1&amp;"_"&amp;APK$11,[1]Futuros!$AK:$AK)+SUMIF([1]Opciones!$AF:$AF,$A1&amp;"_"&amp;APK$11,[1]Opciones!$AO:$AO)</f>
        <v>#VALUE!</v>
      </c>
      <c r="APL1" t="e">
        <f>+SUMIF([1]Cartera!$R:$R,$A1&amp;"_"&amp;APL$11,[1]Cartera!$J:$J)+SUMIF([1]Futuros!$AD:$AD,$A1&amp;"_"&amp;APL$11,[1]Futuros!$AK:$AK)+SUMIF([1]Opciones!$AF:$AF,$A1&amp;"_"&amp;APL$11,[1]Opciones!$AO:$AO)</f>
        <v>#VALUE!</v>
      </c>
      <c r="APM1" t="e">
        <f>+SUMIF([1]Cartera!$R:$R,$A1&amp;"_"&amp;APM$11,[1]Cartera!$J:$J)+SUMIF([1]Futuros!$AD:$AD,$A1&amp;"_"&amp;APM$11,[1]Futuros!$AK:$AK)+SUMIF([1]Opciones!$AF:$AF,$A1&amp;"_"&amp;APM$11,[1]Opciones!$AO:$AO)</f>
        <v>#VALUE!</v>
      </c>
      <c r="APN1" t="e">
        <f>+SUMIF([1]Cartera!$R:$R,$A1&amp;"_"&amp;APN$11,[1]Cartera!$J:$J)+SUMIF([1]Futuros!$AD:$AD,$A1&amp;"_"&amp;APN$11,[1]Futuros!$AK:$AK)+SUMIF([1]Opciones!$AF:$AF,$A1&amp;"_"&amp;APN$11,[1]Opciones!$AO:$AO)</f>
        <v>#VALUE!</v>
      </c>
      <c r="APO1" t="e">
        <f>+SUMIF([1]Cartera!$R:$R,$A1&amp;"_"&amp;APO$11,[1]Cartera!$J:$J)+SUMIF([1]Futuros!$AD:$AD,$A1&amp;"_"&amp;APO$11,[1]Futuros!$AK:$AK)+SUMIF([1]Opciones!$AF:$AF,$A1&amp;"_"&amp;APO$11,[1]Opciones!$AO:$AO)</f>
        <v>#VALUE!</v>
      </c>
      <c r="APP1" t="e">
        <f>+SUMIF([1]Cartera!$R:$R,$A1&amp;"_"&amp;APP$11,[1]Cartera!$J:$J)+SUMIF([1]Futuros!$AD:$AD,$A1&amp;"_"&amp;APP$11,[1]Futuros!$AK:$AK)+SUMIF([1]Opciones!$AF:$AF,$A1&amp;"_"&amp;APP$11,[1]Opciones!$AO:$AO)</f>
        <v>#VALUE!</v>
      </c>
      <c r="APQ1" t="e">
        <f>+SUMIF([1]Cartera!$R:$R,$A1&amp;"_"&amp;APQ$11,[1]Cartera!$J:$J)+SUMIF([1]Futuros!$AD:$AD,$A1&amp;"_"&amp;APQ$11,[1]Futuros!$AK:$AK)+SUMIF([1]Opciones!$AF:$AF,$A1&amp;"_"&amp;APQ$11,[1]Opciones!$AO:$AO)</f>
        <v>#VALUE!</v>
      </c>
      <c r="APR1" t="e">
        <f>+SUMIF([1]Cartera!$R:$R,$A1&amp;"_"&amp;APR$11,[1]Cartera!$J:$J)+SUMIF([1]Futuros!$AD:$AD,$A1&amp;"_"&amp;APR$11,[1]Futuros!$AK:$AK)+SUMIF([1]Opciones!$AF:$AF,$A1&amp;"_"&amp;APR$11,[1]Opciones!$AO:$AO)</f>
        <v>#VALUE!</v>
      </c>
      <c r="APS1" t="e">
        <f>+SUMIF([1]Cartera!$R:$R,$A1&amp;"_"&amp;APS$11,[1]Cartera!$J:$J)+SUMIF([1]Futuros!$AD:$AD,$A1&amp;"_"&amp;APS$11,[1]Futuros!$AK:$AK)+SUMIF([1]Opciones!$AF:$AF,$A1&amp;"_"&amp;APS$11,[1]Opciones!$AO:$AO)</f>
        <v>#VALUE!</v>
      </c>
      <c r="APT1" t="e">
        <f>+SUMIF([1]Cartera!$R:$R,$A1&amp;"_"&amp;APT$11,[1]Cartera!$J:$J)+SUMIF([1]Futuros!$AD:$AD,$A1&amp;"_"&amp;APT$11,[1]Futuros!$AK:$AK)+SUMIF([1]Opciones!$AF:$AF,$A1&amp;"_"&amp;APT$11,[1]Opciones!$AO:$AO)</f>
        <v>#VALUE!</v>
      </c>
      <c r="APU1" t="e">
        <f>+SUMIF([1]Cartera!$R:$R,$A1&amp;"_"&amp;APU$11,[1]Cartera!$J:$J)+SUMIF([1]Futuros!$AD:$AD,$A1&amp;"_"&amp;APU$11,[1]Futuros!$AK:$AK)+SUMIF([1]Opciones!$AF:$AF,$A1&amp;"_"&amp;APU$11,[1]Opciones!$AO:$AO)</f>
        <v>#VALUE!</v>
      </c>
      <c r="APV1" t="e">
        <f>+SUMIF([1]Cartera!$R:$R,$A1&amp;"_"&amp;APV$11,[1]Cartera!$J:$J)+SUMIF([1]Futuros!$AD:$AD,$A1&amp;"_"&amp;APV$11,[1]Futuros!$AK:$AK)+SUMIF([1]Opciones!$AF:$AF,$A1&amp;"_"&amp;APV$11,[1]Opciones!$AO:$AO)</f>
        <v>#VALUE!</v>
      </c>
      <c r="APW1" t="e">
        <f>+SUMIF([1]Cartera!$R:$R,$A1&amp;"_"&amp;APW$11,[1]Cartera!$J:$J)+SUMIF([1]Futuros!$AD:$AD,$A1&amp;"_"&amp;APW$11,[1]Futuros!$AK:$AK)+SUMIF([1]Opciones!$AF:$AF,$A1&amp;"_"&amp;APW$11,[1]Opciones!$AO:$AO)</f>
        <v>#VALUE!</v>
      </c>
      <c r="APX1" t="e">
        <f>+SUMIF([1]Cartera!$R:$R,$A1&amp;"_"&amp;APX$11,[1]Cartera!$J:$J)+SUMIF([1]Futuros!$AD:$AD,$A1&amp;"_"&amp;APX$11,[1]Futuros!$AK:$AK)+SUMIF([1]Opciones!$AF:$AF,$A1&amp;"_"&amp;APX$11,[1]Opciones!$AO:$AO)</f>
        <v>#VALUE!</v>
      </c>
      <c r="APY1" t="e">
        <f>+SUMIF([1]Cartera!$R:$R,$A1&amp;"_"&amp;APY$11,[1]Cartera!$J:$J)+SUMIF([1]Futuros!$AD:$AD,$A1&amp;"_"&amp;APY$11,[1]Futuros!$AK:$AK)+SUMIF([1]Opciones!$AF:$AF,$A1&amp;"_"&amp;APY$11,[1]Opciones!$AO:$AO)</f>
        <v>#VALUE!</v>
      </c>
      <c r="APZ1" t="e">
        <f>+SUMIF([1]Cartera!$R:$R,$A1&amp;"_"&amp;APZ$11,[1]Cartera!$J:$J)+SUMIF([1]Futuros!$AD:$AD,$A1&amp;"_"&amp;APZ$11,[1]Futuros!$AK:$AK)+SUMIF([1]Opciones!$AF:$AF,$A1&amp;"_"&amp;APZ$11,[1]Opciones!$AO:$AO)</f>
        <v>#VALUE!</v>
      </c>
      <c r="AQA1" t="e">
        <f>+SUMIF([1]Cartera!$R:$R,$A1&amp;"_"&amp;AQA$11,[1]Cartera!$J:$J)+SUMIF([1]Futuros!$AD:$AD,$A1&amp;"_"&amp;AQA$11,[1]Futuros!$AK:$AK)+SUMIF([1]Opciones!$AF:$AF,$A1&amp;"_"&amp;AQA$11,[1]Opciones!$AO:$AO)</f>
        <v>#VALUE!</v>
      </c>
      <c r="AQB1" t="e">
        <f>+SUMIF([1]Cartera!$R:$R,$A1&amp;"_"&amp;AQB$11,[1]Cartera!$J:$J)+SUMIF([1]Futuros!$AD:$AD,$A1&amp;"_"&amp;AQB$11,[1]Futuros!$AK:$AK)+SUMIF([1]Opciones!$AF:$AF,$A1&amp;"_"&amp;AQB$11,[1]Opciones!$AO:$AO)</f>
        <v>#VALUE!</v>
      </c>
      <c r="AQC1" t="e">
        <f>+SUMIF([1]Cartera!$R:$R,$A1&amp;"_"&amp;AQC$11,[1]Cartera!$J:$J)+SUMIF([1]Futuros!$AD:$AD,$A1&amp;"_"&amp;AQC$11,[1]Futuros!$AK:$AK)+SUMIF([1]Opciones!$AF:$AF,$A1&amp;"_"&amp;AQC$11,[1]Opciones!$AO:$AO)</f>
        <v>#VALUE!</v>
      </c>
      <c r="AQD1" t="e">
        <f>+SUMIF([1]Cartera!$R:$R,$A1&amp;"_"&amp;AQD$11,[1]Cartera!$J:$J)+SUMIF([1]Futuros!$AD:$AD,$A1&amp;"_"&amp;AQD$11,[1]Futuros!$AK:$AK)+SUMIF([1]Opciones!$AF:$AF,$A1&amp;"_"&amp;AQD$11,[1]Opciones!$AO:$AO)</f>
        <v>#VALUE!</v>
      </c>
      <c r="AQE1" t="e">
        <f>+SUMIF([1]Cartera!$R:$R,$A1&amp;"_"&amp;AQE$11,[1]Cartera!$J:$J)+SUMIF([1]Futuros!$AD:$AD,$A1&amp;"_"&amp;AQE$11,[1]Futuros!$AK:$AK)+SUMIF([1]Opciones!$AF:$AF,$A1&amp;"_"&amp;AQE$11,[1]Opciones!$AO:$AO)</f>
        <v>#VALUE!</v>
      </c>
      <c r="AQF1" t="e">
        <f>+SUMIF([1]Cartera!$R:$R,$A1&amp;"_"&amp;AQF$11,[1]Cartera!$J:$J)+SUMIF([1]Futuros!$AD:$AD,$A1&amp;"_"&amp;AQF$11,[1]Futuros!$AK:$AK)+SUMIF([1]Opciones!$AF:$AF,$A1&amp;"_"&amp;AQF$11,[1]Opciones!$AO:$AO)</f>
        <v>#VALUE!</v>
      </c>
      <c r="AQG1" t="e">
        <f>+SUMIF([1]Cartera!$R:$R,$A1&amp;"_"&amp;AQG$11,[1]Cartera!$J:$J)+SUMIF([1]Futuros!$AD:$AD,$A1&amp;"_"&amp;AQG$11,[1]Futuros!$AK:$AK)+SUMIF([1]Opciones!$AF:$AF,$A1&amp;"_"&amp;AQG$11,[1]Opciones!$AO:$AO)</f>
        <v>#VALUE!</v>
      </c>
      <c r="AQH1" t="e">
        <f>+SUMIF([1]Cartera!$R:$R,$A1&amp;"_"&amp;AQH$11,[1]Cartera!$J:$J)+SUMIF([1]Futuros!$AD:$AD,$A1&amp;"_"&amp;AQH$11,[1]Futuros!$AK:$AK)+SUMIF([1]Opciones!$AF:$AF,$A1&amp;"_"&amp;AQH$11,[1]Opciones!$AO:$AO)</f>
        <v>#VALUE!</v>
      </c>
      <c r="AQI1" t="e">
        <f>+SUMIF([1]Cartera!$R:$R,$A1&amp;"_"&amp;AQI$11,[1]Cartera!$J:$J)+SUMIF([1]Futuros!$AD:$AD,$A1&amp;"_"&amp;AQI$11,[1]Futuros!$AK:$AK)+SUMIF([1]Opciones!$AF:$AF,$A1&amp;"_"&amp;AQI$11,[1]Opciones!$AO:$AO)</f>
        <v>#VALUE!</v>
      </c>
      <c r="AQJ1" t="e">
        <f>+SUMIF([1]Cartera!$R:$R,$A1&amp;"_"&amp;AQJ$11,[1]Cartera!$J:$J)+SUMIF([1]Futuros!$AD:$AD,$A1&amp;"_"&amp;AQJ$11,[1]Futuros!$AK:$AK)+SUMIF([1]Opciones!$AF:$AF,$A1&amp;"_"&amp;AQJ$11,[1]Opciones!$AO:$AO)</f>
        <v>#VALUE!</v>
      </c>
      <c r="AQK1" t="e">
        <f>+SUMIF([1]Cartera!$R:$R,$A1&amp;"_"&amp;AQK$11,[1]Cartera!$J:$J)+SUMIF([1]Futuros!$AD:$AD,$A1&amp;"_"&amp;AQK$11,[1]Futuros!$AK:$AK)+SUMIF([1]Opciones!$AF:$AF,$A1&amp;"_"&amp;AQK$11,[1]Opciones!$AO:$AO)</f>
        <v>#VALUE!</v>
      </c>
      <c r="AQL1" t="e">
        <f>+SUMIF([1]Cartera!$R:$R,$A1&amp;"_"&amp;AQL$11,[1]Cartera!$J:$J)+SUMIF([1]Futuros!$AD:$AD,$A1&amp;"_"&amp;AQL$11,[1]Futuros!$AK:$AK)+SUMIF([1]Opciones!$AF:$AF,$A1&amp;"_"&amp;AQL$11,[1]Opciones!$AO:$AO)</f>
        <v>#VALUE!</v>
      </c>
      <c r="AQM1" t="e">
        <f>+SUMIF([1]Cartera!$R:$R,$A1&amp;"_"&amp;AQM$11,[1]Cartera!$J:$J)+SUMIF([1]Futuros!$AD:$AD,$A1&amp;"_"&amp;AQM$11,[1]Futuros!$AK:$AK)+SUMIF([1]Opciones!$AF:$AF,$A1&amp;"_"&amp;AQM$11,[1]Opciones!$AO:$AO)</f>
        <v>#VALUE!</v>
      </c>
      <c r="AQN1" t="e">
        <f>+SUMIF([1]Cartera!$R:$R,$A1&amp;"_"&amp;AQN$11,[1]Cartera!$J:$J)+SUMIF([1]Futuros!$AD:$AD,$A1&amp;"_"&amp;AQN$11,[1]Futuros!$AK:$AK)+SUMIF([1]Opciones!$AF:$AF,$A1&amp;"_"&amp;AQN$11,[1]Opciones!$AO:$AO)</f>
        <v>#VALUE!</v>
      </c>
      <c r="AQO1" t="e">
        <f>+SUMIF([1]Cartera!$R:$R,$A1&amp;"_"&amp;AQO$11,[1]Cartera!$J:$J)+SUMIF([1]Futuros!$AD:$AD,$A1&amp;"_"&amp;AQO$11,[1]Futuros!$AK:$AK)+SUMIF([1]Opciones!$AF:$AF,$A1&amp;"_"&amp;AQO$11,[1]Opciones!$AO:$AO)</f>
        <v>#VALUE!</v>
      </c>
      <c r="AQP1" t="e">
        <f>+SUMIF([1]Cartera!$R:$R,$A1&amp;"_"&amp;AQP$11,[1]Cartera!$J:$J)+SUMIF([1]Futuros!$AD:$AD,$A1&amp;"_"&amp;AQP$11,[1]Futuros!$AK:$AK)+SUMIF([1]Opciones!$AF:$AF,$A1&amp;"_"&amp;AQP$11,[1]Opciones!$AO:$AO)</f>
        <v>#VALUE!</v>
      </c>
      <c r="AQQ1" t="e">
        <f>+SUMIF([1]Cartera!$R:$R,$A1&amp;"_"&amp;AQQ$11,[1]Cartera!$J:$J)+SUMIF([1]Futuros!$AD:$AD,$A1&amp;"_"&amp;AQQ$11,[1]Futuros!$AK:$AK)+SUMIF([1]Opciones!$AF:$AF,$A1&amp;"_"&amp;AQQ$11,[1]Opciones!$AO:$AO)</f>
        <v>#VALUE!</v>
      </c>
      <c r="AQR1" t="e">
        <f>+SUMIF([1]Cartera!$R:$R,$A1&amp;"_"&amp;AQR$11,[1]Cartera!$J:$J)+SUMIF([1]Futuros!$AD:$AD,$A1&amp;"_"&amp;AQR$11,[1]Futuros!$AK:$AK)+SUMIF([1]Opciones!$AF:$AF,$A1&amp;"_"&amp;AQR$11,[1]Opciones!$AO:$AO)</f>
        <v>#VALUE!</v>
      </c>
      <c r="AQS1" t="e">
        <f>+SUMIF([1]Cartera!$R:$R,$A1&amp;"_"&amp;AQS$11,[1]Cartera!$J:$J)+SUMIF([1]Futuros!$AD:$AD,$A1&amp;"_"&amp;AQS$11,[1]Futuros!$AK:$AK)+SUMIF([1]Opciones!$AF:$AF,$A1&amp;"_"&amp;AQS$11,[1]Opciones!$AO:$AO)</f>
        <v>#VALUE!</v>
      </c>
      <c r="AQT1" t="e">
        <f>+SUMIF([1]Cartera!$R:$R,$A1&amp;"_"&amp;AQT$11,[1]Cartera!$J:$J)+SUMIF([1]Futuros!$AD:$AD,$A1&amp;"_"&amp;AQT$11,[1]Futuros!$AK:$AK)+SUMIF([1]Opciones!$AF:$AF,$A1&amp;"_"&amp;AQT$11,[1]Opciones!$AO:$AO)</f>
        <v>#VALUE!</v>
      </c>
      <c r="AQU1" t="e">
        <f>+SUMIF([1]Cartera!$R:$R,$A1&amp;"_"&amp;AQU$11,[1]Cartera!$J:$J)+SUMIF([1]Futuros!$AD:$AD,$A1&amp;"_"&amp;AQU$11,[1]Futuros!$AK:$AK)+SUMIF([1]Opciones!$AF:$AF,$A1&amp;"_"&amp;AQU$11,[1]Opciones!$AO:$AO)</f>
        <v>#VALUE!</v>
      </c>
      <c r="AQV1" t="e">
        <f>+SUMIF([1]Cartera!$R:$R,$A1&amp;"_"&amp;AQV$11,[1]Cartera!$J:$J)+SUMIF([1]Futuros!$AD:$AD,$A1&amp;"_"&amp;AQV$11,[1]Futuros!$AK:$AK)+SUMIF([1]Opciones!$AF:$AF,$A1&amp;"_"&amp;AQV$11,[1]Opciones!$AO:$AO)</f>
        <v>#VALUE!</v>
      </c>
      <c r="AQW1" t="e">
        <f>+SUMIF([1]Cartera!$R:$R,$A1&amp;"_"&amp;AQW$11,[1]Cartera!$J:$J)+SUMIF([1]Futuros!$AD:$AD,$A1&amp;"_"&amp;AQW$11,[1]Futuros!$AK:$AK)+SUMIF([1]Opciones!$AF:$AF,$A1&amp;"_"&amp;AQW$11,[1]Opciones!$AO:$AO)</f>
        <v>#VALUE!</v>
      </c>
      <c r="AQX1" t="e">
        <f>+SUMIF([1]Cartera!$R:$R,$A1&amp;"_"&amp;AQX$11,[1]Cartera!$J:$J)+SUMIF([1]Futuros!$AD:$AD,$A1&amp;"_"&amp;AQX$11,[1]Futuros!$AK:$AK)+SUMIF([1]Opciones!$AF:$AF,$A1&amp;"_"&amp;AQX$11,[1]Opciones!$AO:$AO)</f>
        <v>#VALUE!</v>
      </c>
      <c r="AQY1" t="e">
        <f>+SUMIF([1]Cartera!$R:$R,$A1&amp;"_"&amp;AQY$11,[1]Cartera!$J:$J)+SUMIF([1]Futuros!$AD:$AD,$A1&amp;"_"&amp;AQY$11,[1]Futuros!$AK:$AK)+SUMIF([1]Opciones!$AF:$AF,$A1&amp;"_"&amp;AQY$11,[1]Opciones!$AO:$AO)</f>
        <v>#VALUE!</v>
      </c>
      <c r="AQZ1" t="e">
        <f>+SUMIF([1]Cartera!$R:$R,$A1&amp;"_"&amp;AQZ$11,[1]Cartera!$J:$J)+SUMIF([1]Futuros!$AD:$AD,$A1&amp;"_"&amp;AQZ$11,[1]Futuros!$AK:$AK)+SUMIF([1]Opciones!$AF:$AF,$A1&amp;"_"&amp;AQZ$11,[1]Opciones!$AO:$AO)</f>
        <v>#VALUE!</v>
      </c>
      <c r="ARA1" t="e">
        <f>+SUMIF([1]Cartera!$R:$R,$A1&amp;"_"&amp;ARA$11,[1]Cartera!$J:$J)+SUMIF([1]Futuros!$AD:$AD,$A1&amp;"_"&amp;ARA$11,[1]Futuros!$AK:$AK)+SUMIF([1]Opciones!$AF:$AF,$A1&amp;"_"&amp;ARA$11,[1]Opciones!$AO:$AO)</f>
        <v>#VALUE!</v>
      </c>
      <c r="ARB1" t="e">
        <f>+SUMIF([1]Cartera!$R:$R,$A1&amp;"_"&amp;ARB$11,[1]Cartera!$J:$J)+SUMIF([1]Futuros!$AD:$AD,$A1&amp;"_"&amp;ARB$11,[1]Futuros!$AK:$AK)+SUMIF([1]Opciones!$AF:$AF,$A1&amp;"_"&amp;ARB$11,[1]Opciones!$AO:$AO)</f>
        <v>#VALUE!</v>
      </c>
      <c r="ARC1" t="e">
        <f>+SUMIF([1]Cartera!$R:$R,$A1&amp;"_"&amp;ARC$11,[1]Cartera!$J:$J)+SUMIF([1]Futuros!$AD:$AD,$A1&amp;"_"&amp;ARC$11,[1]Futuros!$AK:$AK)+SUMIF([1]Opciones!$AF:$AF,$A1&amp;"_"&amp;ARC$11,[1]Opciones!$AO:$AO)</f>
        <v>#VALUE!</v>
      </c>
      <c r="ARD1" t="e">
        <f>+SUMIF([1]Cartera!$R:$R,$A1&amp;"_"&amp;ARD$11,[1]Cartera!$J:$J)+SUMIF([1]Futuros!$AD:$AD,$A1&amp;"_"&amp;ARD$11,[1]Futuros!$AK:$AK)+SUMIF([1]Opciones!$AF:$AF,$A1&amp;"_"&amp;ARD$11,[1]Opciones!$AO:$AO)</f>
        <v>#VALUE!</v>
      </c>
      <c r="ARE1" t="e">
        <f>+SUMIF([1]Cartera!$R:$R,$A1&amp;"_"&amp;ARE$11,[1]Cartera!$J:$J)+SUMIF([1]Futuros!$AD:$AD,$A1&amp;"_"&amp;ARE$11,[1]Futuros!$AK:$AK)+SUMIF([1]Opciones!$AF:$AF,$A1&amp;"_"&amp;ARE$11,[1]Opciones!$AO:$AO)</f>
        <v>#VALUE!</v>
      </c>
      <c r="ARF1" t="e">
        <f>+SUMIF([1]Cartera!$R:$R,$A1&amp;"_"&amp;ARF$11,[1]Cartera!$J:$J)+SUMIF([1]Futuros!$AD:$AD,$A1&amp;"_"&amp;ARF$11,[1]Futuros!$AK:$AK)+SUMIF([1]Opciones!$AF:$AF,$A1&amp;"_"&amp;ARF$11,[1]Opciones!$AO:$AO)</f>
        <v>#VALUE!</v>
      </c>
      <c r="ARG1" t="e">
        <f>+SUMIF([1]Cartera!$R:$R,$A1&amp;"_"&amp;ARG$11,[1]Cartera!$J:$J)+SUMIF([1]Futuros!$AD:$AD,$A1&amp;"_"&amp;ARG$11,[1]Futuros!$AK:$AK)+SUMIF([1]Opciones!$AF:$AF,$A1&amp;"_"&amp;ARG$11,[1]Opciones!$AO:$AO)</f>
        <v>#VALUE!</v>
      </c>
      <c r="ARH1" t="e">
        <f>+SUMIF([1]Cartera!$R:$R,$A1&amp;"_"&amp;ARH$11,[1]Cartera!$J:$J)+SUMIF([1]Futuros!$AD:$AD,$A1&amp;"_"&amp;ARH$11,[1]Futuros!$AK:$AK)+SUMIF([1]Opciones!$AF:$AF,$A1&amp;"_"&amp;ARH$11,[1]Opciones!$AO:$AO)</f>
        <v>#VALUE!</v>
      </c>
      <c r="ARI1" t="e">
        <f>+SUMIF([1]Cartera!$R:$R,$A1&amp;"_"&amp;ARI$11,[1]Cartera!$J:$J)+SUMIF([1]Futuros!$AD:$AD,$A1&amp;"_"&amp;ARI$11,[1]Futuros!$AK:$AK)+SUMIF([1]Opciones!$AF:$AF,$A1&amp;"_"&amp;ARI$11,[1]Opciones!$AO:$AO)</f>
        <v>#VALUE!</v>
      </c>
      <c r="ARJ1" t="e">
        <f>+SUMIF([1]Cartera!$R:$R,$A1&amp;"_"&amp;ARJ$11,[1]Cartera!$J:$J)+SUMIF([1]Futuros!$AD:$AD,$A1&amp;"_"&amp;ARJ$11,[1]Futuros!$AK:$AK)+SUMIF([1]Opciones!$AF:$AF,$A1&amp;"_"&amp;ARJ$11,[1]Opciones!$AO:$AO)</f>
        <v>#VALUE!</v>
      </c>
      <c r="ARK1" t="e">
        <f>+SUMIF([1]Cartera!$R:$R,$A1&amp;"_"&amp;ARK$11,[1]Cartera!$J:$J)+SUMIF([1]Futuros!$AD:$AD,$A1&amp;"_"&amp;ARK$11,[1]Futuros!$AK:$AK)+SUMIF([1]Opciones!$AF:$AF,$A1&amp;"_"&amp;ARK$11,[1]Opciones!$AO:$AO)</f>
        <v>#VALUE!</v>
      </c>
      <c r="ARL1" t="e">
        <f>+SUMIF([1]Cartera!$R:$R,$A1&amp;"_"&amp;ARL$11,[1]Cartera!$J:$J)+SUMIF([1]Futuros!$AD:$AD,$A1&amp;"_"&amp;ARL$11,[1]Futuros!$AK:$AK)+SUMIF([1]Opciones!$AF:$AF,$A1&amp;"_"&amp;ARL$11,[1]Opciones!$AO:$AO)</f>
        <v>#VALUE!</v>
      </c>
      <c r="ARM1" t="e">
        <f>+SUMIF([1]Cartera!$R:$R,$A1&amp;"_"&amp;ARM$11,[1]Cartera!$J:$J)+SUMIF([1]Futuros!$AD:$AD,$A1&amp;"_"&amp;ARM$11,[1]Futuros!$AK:$AK)+SUMIF([1]Opciones!$AF:$AF,$A1&amp;"_"&amp;ARM$11,[1]Opciones!$AO:$AO)</f>
        <v>#VALUE!</v>
      </c>
      <c r="ARN1" t="e">
        <f>+SUMIF([1]Cartera!$R:$R,$A1&amp;"_"&amp;ARN$11,[1]Cartera!$J:$J)+SUMIF([1]Futuros!$AD:$AD,$A1&amp;"_"&amp;ARN$11,[1]Futuros!$AK:$AK)+SUMIF([1]Opciones!$AF:$AF,$A1&amp;"_"&amp;ARN$11,[1]Opciones!$AO:$AO)</f>
        <v>#VALUE!</v>
      </c>
      <c r="ARO1" t="e">
        <f>+SUMIF([1]Cartera!$R:$R,$A1&amp;"_"&amp;ARO$11,[1]Cartera!$J:$J)+SUMIF([1]Futuros!$AD:$AD,$A1&amp;"_"&amp;ARO$11,[1]Futuros!$AK:$AK)+SUMIF([1]Opciones!$AF:$AF,$A1&amp;"_"&amp;ARO$11,[1]Opciones!$AO:$AO)</f>
        <v>#VALUE!</v>
      </c>
      <c r="ARP1" t="e">
        <f>+SUMIF([1]Cartera!$R:$R,$A1&amp;"_"&amp;ARP$11,[1]Cartera!$J:$J)+SUMIF([1]Futuros!$AD:$AD,$A1&amp;"_"&amp;ARP$11,[1]Futuros!$AK:$AK)+SUMIF([1]Opciones!$AF:$AF,$A1&amp;"_"&amp;ARP$11,[1]Opciones!$AO:$AO)</f>
        <v>#VALUE!</v>
      </c>
      <c r="ARQ1" t="e">
        <f>+SUMIF([1]Cartera!$R:$R,$A1&amp;"_"&amp;ARQ$11,[1]Cartera!$J:$J)+SUMIF([1]Futuros!$AD:$AD,$A1&amp;"_"&amp;ARQ$11,[1]Futuros!$AK:$AK)+SUMIF([1]Opciones!$AF:$AF,$A1&amp;"_"&amp;ARQ$11,[1]Opciones!$AO:$AO)</f>
        <v>#VALUE!</v>
      </c>
      <c r="ARR1" t="e">
        <f>+SUMIF([1]Cartera!$R:$R,$A1&amp;"_"&amp;ARR$11,[1]Cartera!$J:$J)+SUMIF([1]Futuros!$AD:$AD,$A1&amp;"_"&amp;ARR$11,[1]Futuros!$AK:$AK)+SUMIF([1]Opciones!$AF:$AF,$A1&amp;"_"&amp;ARR$11,[1]Opciones!$AO:$AO)</f>
        <v>#VALUE!</v>
      </c>
      <c r="ARS1" t="e">
        <f>+SUMIF([1]Cartera!$R:$R,$A1&amp;"_"&amp;ARS$11,[1]Cartera!$J:$J)+SUMIF([1]Futuros!$AD:$AD,$A1&amp;"_"&amp;ARS$11,[1]Futuros!$AK:$AK)+SUMIF([1]Opciones!$AF:$AF,$A1&amp;"_"&amp;ARS$11,[1]Opciones!$AO:$AO)</f>
        <v>#VALUE!</v>
      </c>
      <c r="ART1" t="e">
        <f>+SUMIF([1]Cartera!$R:$R,$A1&amp;"_"&amp;ART$11,[1]Cartera!$J:$J)+SUMIF([1]Futuros!$AD:$AD,$A1&amp;"_"&amp;ART$11,[1]Futuros!$AK:$AK)+SUMIF([1]Opciones!$AF:$AF,$A1&amp;"_"&amp;ART$11,[1]Opciones!$AO:$AO)</f>
        <v>#VALUE!</v>
      </c>
      <c r="ARU1" t="e">
        <f>+SUMIF([1]Cartera!$R:$R,$A1&amp;"_"&amp;ARU$11,[1]Cartera!$J:$J)+SUMIF([1]Futuros!$AD:$AD,$A1&amp;"_"&amp;ARU$11,[1]Futuros!$AK:$AK)+SUMIF([1]Opciones!$AF:$AF,$A1&amp;"_"&amp;ARU$11,[1]Opciones!$AO:$AO)</f>
        <v>#VALUE!</v>
      </c>
      <c r="ARV1" t="e">
        <f>+SUMIF([1]Cartera!$R:$R,$A1&amp;"_"&amp;ARV$11,[1]Cartera!$J:$J)+SUMIF([1]Futuros!$AD:$AD,$A1&amp;"_"&amp;ARV$11,[1]Futuros!$AK:$AK)+SUMIF([1]Opciones!$AF:$AF,$A1&amp;"_"&amp;ARV$11,[1]Opciones!$AO:$AO)</f>
        <v>#VALUE!</v>
      </c>
      <c r="ARW1" t="e">
        <f>+SUMIF([1]Cartera!$R:$R,$A1&amp;"_"&amp;ARW$11,[1]Cartera!$J:$J)+SUMIF([1]Futuros!$AD:$AD,$A1&amp;"_"&amp;ARW$11,[1]Futuros!$AK:$AK)+SUMIF([1]Opciones!$AF:$AF,$A1&amp;"_"&amp;ARW$11,[1]Opciones!$AO:$AO)</f>
        <v>#VALUE!</v>
      </c>
      <c r="ARX1" t="e">
        <f>+SUMIF([1]Cartera!$R:$R,$A1&amp;"_"&amp;ARX$11,[1]Cartera!$J:$J)+SUMIF([1]Futuros!$AD:$AD,$A1&amp;"_"&amp;ARX$11,[1]Futuros!$AK:$AK)+SUMIF([1]Opciones!$AF:$AF,$A1&amp;"_"&amp;ARX$11,[1]Opciones!$AO:$AO)</f>
        <v>#VALUE!</v>
      </c>
      <c r="ARY1" t="e">
        <f>+SUMIF([1]Cartera!$R:$R,$A1&amp;"_"&amp;ARY$11,[1]Cartera!$J:$J)+SUMIF([1]Futuros!$AD:$AD,$A1&amp;"_"&amp;ARY$11,[1]Futuros!$AK:$AK)+SUMIF([1]Opciones!$AF:$AF,$A1&amp;"_"&amp;ARY$11,[1]Opciones!$AO:$AO)</f>
        <v>#VALUE!</v>
      </c>
      <c r="ARZ1" t="e">
        <f>+SUMIF([1]Cartera!$R:$R,$A1&amp;"_"&amp;ARZ$11,[1]Cartera!$J:$J)+SUMIF([1]Futuros!$AD:$AD,$A1&amp;"_"&amp;ARZ$11,[1]Futuros!$AK:$AK)+SUMIF([1]Opciones!$AF:$AF,$A1&amp;"_"&amp;ARZ$11,[1]Opciones!$AO:$AO)</f>
        <v>#VALUE!</v>
      </c>
      <c r="ASA1" t="e">
        <f>+SUMIF([1]Cartera!$R:$R,$A1&amp;"_"&amp;ASA$11,[1]Cartera!$J:$J)+SUMIF([1]Futuros!$AD:$AD,$A1&amp;"_"&amp;ASA$11,[1]Futuros!$AK:$AK)+SUMIF([1]Opciones!$AF:$AF,$A1&amp;"_"&amp;ASA$11,[1]Opciones!$AO:$AO)</f>
        <v>#VALUE!</v>
      </c>
      <c r="ASB1" t="e">
        <f>+SUMIF([1]Cartera!$R:$R,$A1&amp;"_"&amp;ASB$11,[1]Cartera!$J:$J)+SUMIF([1]Futuros!$AD:$AD,$A1&amp;"_"&amp;ASB$11,[1]Futuros!$AK:$AK)+SUMIF([1]Opciones!$AF:$AF,$A1&amp;"_"&amp;ASB$11,[1]Opciones!$AO:$AO)</f>
        <v>#VALUE!</v>
      </c>
      <c r="ASC1" t="e">
        <f>+SUMIF([1]Cartera!$R:$R,$A1&amp;"_"&amp;ASC$11,[1]Cartera!$J:$J)+SUMIF([1]Futuros!$AD:$AD,$A1&amp;"_"&amp;ASC$11,[1]Futuros!$AK:$AK)+SUMIF([1]Opciones!$AF:$AF,$A1&amp;"_"&amp;ASC$11,[1]Opciones!$AO:$AO)</f>
        <v>#VALUE!</v>
      </c>
      <c r="ASD1" t="e">
        <f>+SUMIF([1]Cartera!$R:$R,$A1&amp;"_"&amp;ASD$11,[1]Cartera!$J:$J)+SUMIF([1]Futuros!$AD:$AD,$A1&amp;"_"&amp;ASD$11,[1]Futuros!$AK:$AK)+SUMIF([1]Opciones!$AF:$AF,$A1&amp;"_"&amp;ASD$11,[1]Opciones!$AO:$AO)</f>
        <v>#VALUE!</v>
      </c>
      <c r="ASE1" t="e">
        <f>+SUMIF([1]Cartera!$R:$R,$A1&amp;"_"&amp;ASE$11,[1]Cartera!$J:$J)+SUMIF([1]Futuros!$AD:$AD,$A1&amp;"_"&amp;ASE$11,[1]Futuros!$AK:$AK)+SUMIF([1]Opciones!$AF:$AF,$A1&amp;"_"&amp;ASE$11,[1]Opciones!$AO:$AO)</f>
        <v>#VALUE!</v>
      </c>
      <c r="ASF1" t="e">
        <f>+SUMIF([1]Cartera!$R:$R,$A1&amp;"_"&amp;ASF$11,[1]Cartera!$J:$J)+SUMIF([1]Futuros!$AD:$AD,$A1&amp;"_"&amp;ASF$11,[1]Futuros!$AK:$AK)+SUMIF([1]Opciones!$AF:$AF,$A1&amp;"_"&amp;ASF$11,[1]Opciones!$AO:$AO)</f>
        <v>#VALUE!</v>
      </c>
      <c r="ASG1" t="e">
        <f>+SUMIF([1]Cartera!$R:$R,$A1&amp;"_"&amp;ASG$11,[1]Cartera!$J:$J)+SUMIF([1]Futuros!$AD:$AD,$A1&amp;"_"&amp;ASG$11,[1]Futuros!$AK:$AK)+SUMIF([1]Opciones!$AF:$AF,$A1&amp;"_"&amp;ASG$11,[1]Opciones!$AO:$AO)</f>
        <v>#VALUE!</v>
      </c>
      <c r="ASH1" t="e">
        <f>+SUMIF([1]Cartera!$R:$R,$A1&amp;"_"&amp;ASH$11,[1]Cartera!$J:$J)+SUMIF([1]Futuros!$AD:$AD,$A1&amp;"_"&amp;ASH$11,[1]Futuros!$AK:$AK)+SUMIF([1]Opciones!$AF:$AF,$A1&amp;"_"&amp;ASH$11,[1]Opciones!$AO:$AO)</f>
        <v>#VALUE!</v>
      </c>
      <c r="ASI1" t="e">
        <f>+SUMIF([1]Cartera!$R:$R,$A1&amp;"_"&amp;ASI$11,[1]Cartera!$J:$J)+SUMIF([1]Futuros!$AD:$AD,$A1&amp;"_"&amp;ASI$11,[1]Futuros!$AK:$AK)+SUMIF([1]Opciones!$AF:$AF,$A1&amp;"_"&amp;ASI$11,[1]Opciones!$AO:$AO)</f>
        <v>#VALUE!</v>
      </c>
      <c r="ASJ1" t="e">
        <f>+SUMIF([1]Cartera!$R:$R,$A1&amp;"_"&amp;ASJ$11,[1]Cartera!$J:$J)+SUMIF([1]Futuros!$AD:$AD,$A1&amp;"_"&amp;ASJ$11,[1]Futuros!$AK:$AK)+SUMIF([1]Opciones!$AF:$AF,$A1&amp;"_"&amp;ASJ$11,[1]Opciones!$AO:$AO)</f>
        <v>#VALUE!</v>
      </c>
      <c r="ASK1" t="e">
        <f>+SUMIF([1]Cartera!$R:$R,$A1&amp;"_"&amp;ASK$11,[1]Cartera!$J:$J)+SUMIF([1]Futuros!$AD:$AD,$A1&amp;"_"&amp;ASK$11,[1]Futuros!$AK:$AK)+SUMIF([1]Opciones!$AF:$AF,$A1&amp;"_"&amp;ASK$11,[1]Opciones!$AO:$AO)</f>
        <v>#VALUE!</v>
      </c>
      <c r="ASL1" t="e">
        <f>+SUMIF([1]Cartera!$R:$R,$A1&amp;"_"&amp;ASL$11,[1]Cartera!$J:$J)+SUMIF([1]Futuros!$AD:$AD,$A1&amp;"_"&amp;ASL$11,[1]Futuros!$AK:$AK)+SUMIF([1]Opciones!$AF:$AF,$A1&amp;"_"&amp;ASL$11,[1]Opciones!$AO:$AO)</f>
        <v>#VALUE!</v>
      </c>
      <c r="ASM1" t="e">
        <f>+SUMIF([1]Cartera!$R:$R,$A1&amp;"_"&amp;ASM$11,[1]Cartera!$J:$J)+SUMIF([1]Futuros!$AD:$AD,$A1&amp;"_"&amp;ASM$11,[1]Futuros!$AK:$AK)+SUMIF([1]Opciones!$AF:$AF,$A1&amp;"_"&amp;ASM$11,[1]Opciones!$AO:$AO)</f>
        <v>#VALUE!</v>
      </c>
      <c r="ASN1" t="e">
        <f>+SUMIF([1]Cartera!$R:$R,$A1&amp;"_"&amp;ASN$11,[1]Cartera!$J:$J)+SUMIF([1]Futuros!$AD:$AD,$A1&amp;"_"&amp;ASN$11,[1]Futuros!$AK:$AK)+SUMIF([1]Opciones!$AF:$AF,$A1&amp;"_"&amp;ASN$11,[1]Opciones!$AO:$AO)</f>
        <v>#VALUE!</v>
      </c>
      <c r="ASO1" t="e">
        <f>+SUMIF([1]Cartera!$R:$R,$A1&amp;"_"&amp;ASO$11,[1]Cartera!$J:$J)+SUMIF([1]Futuros!$AD:$AD,$A1&amp;"_"&amp;ASO$11,[1]Futuros!$AK:$AK)+SUMIF([1]Opciones!$AF:$AF,$A1&amp;"_"&amp;ASO$11,[1]Opciones!$AO:$AO)</f>
        <v>#VALUE!</v>
      </c>
      <c r="ASP1" t="e">
        <f>+SUMIF([1]Cartera!$R:$R,$A1&amp;"_"&amp;ASP$11,[1]Cartera!$J:$J)+SUMIF([1]Futuros!$AD:$AD,$A1&amp;"_"&amp;ASP$11,[1]Futuros!$AK:$AK)+SUMIF([1]Opciones!$AF:$AF,$A1&amp;"_"&amp;ASP$11,[1]Opciones!$AO:$AO)</f>
        <v>#VALUE!</v>
      </c>
      <c r="ASQ1" t="e">
        <f>+SUMIF([1]Cartera!$R:$R,$A1&amp;"_"&amp;ASQ$11,[1]Cartera!$J:$J)+SUMIF([1]Futuros!$AD:$AD,$A1&amp;"_"&amp;ASQ$11,[1]Futuros!$AK:$AK)+SUMIF([1]Opciones!$AF:$AF,$A1&amp;"_"&amp;ASQ$11,[1]Opciones!$AO:$AO)</f>
        <v>#VALUE!</v>
      </c>
      <c r="ASR1" t="e">
        <f>+SUMIF([1]Cartera!$R:$R,$A1&amp;"_"&amp;ASR$11,[1]Cartera!$J:$J)+SUMIF([1]Futuros!$AD:$AD,$A1&amp;"_"&amp;ASR$11,[1]Futuros!$AK:$AK)+SUMIF([1]Opciones!$AF:$AF,$A1&amp;"_"&amp;ASR$11,[1]Opciones!$AO:$AO)</f>
        <v>#VALUE!</v>
      </c>
      <c r="ASS1" t="e">
        <f>+SUMIF([1]Cartera!$R:$R,$A1&amp;"_"&amp;ASS$11,[1]Cartera!$J:$J)+SUMIF([1]Futuros!$AD:$AD,$A1&amp;"_"&amp;ASS$11,[1]Futuros!$AK:$AK)+SUMIF([1]Opciones!$AF:$AF,$A1&amp;"_"&amp;ASS$11,[1]Opciones!$AO:$AO)</f>
        <v>#VALUE!</v>
      </c>
      <c r="AST1" t="e">
        <f>+SUMIF([1]Cartera!$R:$R,$A1&amp;"_"&amp;AST$11,[1]Cartera!$J:$J)+SUMIF([1]Futuros!$AD:$AD,$A1&amp;"_"&amp;AST$11,[1]Futuros!$AK:$AK)+SUMIF([1]Opciones!$AF:$AF,$A1&amp;"_"&amp;AST$11,[1]Opciones!$AO:$AO)</f>
        <v>#VALUE!</v>
      </c>
      <c r="ASU1" t="e">
        <f>+SUMIF([1]Cartera!$R:$R,$A1&amp;"_"&amp;ASU$11,[1]Cartera!$J:$J)+SUMIF([1]Futuros!$AD:$AD,$A1&amp;"_"&amp;ASU$11,[1]Futuros!$AK:$AK)+SUMIF([1]Opciones!$AF:$AF,$A1&amp;"_"&amp;ASU$11,[1]Opciones!$AO:$AO)</f>
        <v>#VALUE!</v>
      </c>
      <c r="ASV1" t="e">
        <f>+SUMIF([1]Cartera!$R:$R,$A1&amp;"_"&amp;ASV$11,[1]Cartera!$J:$J)+SUMIF([1]Futuros!$AD:$AD,$A1&amp;"_"&amp;ASV$11,[1]Futuros!$AK:$AK)+SUMIF([1]Opciones!$AF:$AF,$A1&amp;"_"&amp;ASV$11,[1]Opciones!$AO:$AO)</f>
        <v>#VALUE!</v>
      </c>
      <c r="ASW1" t="e">
        <f>+SUMIF([1]Cartera!$R:$R,$A1&amp;"_"&amp;ASW$11,[1]Cartera!$J:$J)+SUMIF([1]Futuros!$AD:$AD,$A1&amp;"_"&amp;ASW$11,[1]Futuros!$AK:$AK)+SUMIF([1]Opciones!$AF:$AF,$A1&amp;"_"&amp;ASW$11,[1]Opciones!$AO:$AO)</f>
        <v>#VALUE!</v>
      </c>
      <c r="ASX1" t="e">
        <f>+SUMIF([1]Cartera!$R:$R,$A1&amp;"_"&amp;ASX$11,[1]Cartera!$J:$J)+SUMIF([1]Futuros!$AD:$AD,$A1&amp;"_"&amp;ASX$11,[1]Futuros!$AK:$AK)+SUMIF([1]Opciones!$AF:$AF,$A1&amp;"_"&amp;ASX$11,[1]Opciones!$AO:$AO)</f>
        <v>#VALUE!</v>
      </c>
      <c r="ASY1" t="e">
        <f>+SUMIF([1]Cartera!$R:$R,$A1&amp;"_"&amp;ASY$11,[1]Cartera!$J:$J)+SUMIF([1]Futuros!$AD:$AD,$A1&amp;"_"&amp;ASY$11,[1]Futuros!$AK:$AK)+SUMIF([1]Opciones!$AF:$AF,$A1&amp;"_"&amp;ASY$11,[1]Opciones!$AO:$AO)</f>
        <v>#VALUE!</v>
      </c>
      <c r="ASZ1" t="e">
        <f>+SUMIF([1]Cartera!$R:$R,$A1&amp;"_"&amp;ASZ$11,[1]Cartera!$J:$J)+SUMIF([1]Futuros!$AD:$AD,$A1&amp;"_"&amp;ASZ$11,[1]Futuros!$AK:$AK)+SUMIF([1]Opciones!$AF:$AF,$A1&amp;"_"&amp;ASZ$11,[1]Opciones!$AO:$AO)</f>
        <v>#VALUE!</v>
      </c>
      <c r="ATA1" t="e">
        <f>+SUMIF([1]Cartera!$R:$R,$A1&amp;"_"&amp;ATA$11,[1]Cartera!$J:$J)+SUMIF([1]Futuros!$AD:$AD,$A1&amp;"_"&amp;ATA$11,[1]Futuros!$AK:$AK)+SUMIF([1]Opciones!$AF:$AF,$A1&amp;"_"&amp;ATA$11,[1]Opciones!$AO:$AO)</f>
        <v>#VALUE!</v>
      </c>
      <c r="ATB1" t="e">
        <f>+SUMIF([1]Cartera!$R:$R,$A1&amp;"_"&amp;ATB$11,[1]Cartera!$J:$J)+SUMIF([1]Futuros!$AD:$AD,$A1&amp;"_"&amp;ATB$11,[1]Futuros!$AK:$AK)+SUMIF([1]Opciones!$AF:$AF,$A1&amp;"_"&amp;ATB$11,[1]Opciones!$AO:$AO)</f>
        <v>#VALUE!</v>
      </c>
      <c r="ATC1" t="e">
        <f>+SUMIF([1]Cartera!$R:$R,$A1&amp;"_"&amp;ATC$11,[1]Cartera!$J:$J)+SUMIF([1]Futuros!$AD:$AD,$A1&amp;"_"&amp;ATC$11,[1]Futuros!$AK:$AK)+SUMIF([1]Opciones!$AF:$AF,$A1&amp;"_"&amp;ATC$11,[1]Opciones!$AO:$AO)</f>
        <v>#VALUE!</v>
      </c>
      <c r="ATD1" t="e">
        <f>+SUMIF([1]Cartera!$R:$R,$A1&amp;"_"&amp;ATD$11,[1]Cartera!$J:$J)+SUMIF([1]Futuros!$AD:$AD,$A1&amp;"_"&amp;ATD$11,[1]Futuros!$AK:$AK)+SUMIF([1]Opciones!$AF:$AF,$A1&amp;"_"&amp;ATD$11,[1]Opciones!$AO:$AO)</f>
        <v>#VALUE!</v>
      </c>
      <c r="ATE1" t="e">
        <f>+SUMIF([1]Cartera!$R:$R,$A1&amp;"_"&amp;ATE$11,[1]Cartera!$J:$J)+SUMIF([1]Futuros!$AD:$AD,$A1&amp;"_"&amp;ATE$11,[1]Futuros!$AK:$AK)+SUMIF([1]Opciones!$AF:$AF,$A1&amp;"_"&amp;ATE$11,[1]Opciones!$AO:$AO)</f>
        <v>#VALUE!</v>
      </c>
      <c r="ATF1" t="e">
        <f>+SUMIF([1]Cartera!$R:$R,$A1&amp;"_"&amp;ATF$11,[1]Cartera!$J:$J)+SUMIF([1]Futuros!$AD:$AD,$A1&amp;"_"&amp;ATF$11,[1]Futuros!$AK:$AK)+SUMIF([1]Opciones!$AF:$AF,$A1&amp;"_"&amp;ATF$11,[1]Opciones!$AO:$AO)</f>
        <v>#VALUE!</v>
      </c>
      <c r="ATG1" t="e">
        <f>+SUMIF([1]Cartera!$R:$R,$A1&amp;"_"&amp;ATG$11,[1]Cartera!$J:$J)+SUMIF([1]Futuros!$AD:$AD,$A1&amp;"_"&amp;ATG$11,[1]Futuros!$AK:$AK)+SUMIF([1]Opciones!$AF:$AF,$A1&amp;"_"&amp;ATG$11,[1]Opciones!$AO:$AO)</f>
        <v>#VALUE!</v>
      </c>
      <c r="ATH1" t="e">
        <f>+SUMIF([1]Cartera!$R:$R,$A1&amp;"_"&amp;ATH$11,[1]Cartera!$J:$J)+SUMIF([1]Futuros!$AD:$AD,$A1&amp;"_"&amp;ATH$11,[1]Futuros!$AK:$AK)+SUMIF([1]Opciones!$AF:$AF,$A1&amp;"_"&amp;ATH$11,[1]Opciones!$AO:$AO)</f>
        <v>#VALUE!</v>
      </c>
      <c r="ATI1" t="e">
        <f>+SUMIF([1]Cartera!$R:$R,$A1&amp;"_"&amp;ATI$11,[1]Cartera!$J:$J)+SUMIF([1]Futuros!$AD:$AD,$A1&amp;"_"&amp;ATI$11,[1]Futuros!$AK:$AK)+SUMIF([1]Opciones!$AF:$AF,$A1&amp;"_"&amp;ATI$11,[1]Opciones!$AO:$AO)</f>
        <v>#VALUE!</v>
      </c>
      <c r="ATJ1" t="e">
        <f>+SUMIF([1]Cartera!$R:$R,$A1&amp;"_"&amp;ATJ$11,[1]Cartera!$J:$J)+SUMIF([1]Futuros!$AD:$AD,$A1&amp;"_"&amp;ATJ$11,[1]Futuros!$AK:$AK)+SUMIF([1]Opciones!$AF:$AF,$A1&amp;"_"&amp;ATJ$11,[1]Opciones!$AO:$AO)</f>
        <v>#VALUE!</v>
      </c>
      <c r="ATK1" t="e">
        <f>+SUMIF([1]Cartera!$R:$R,$A1&amp;"_"&amp;ATK$11,[1]Cartera!$J:$J)+SUMIF([1]Futuros!$AD:$AD,$A1&amp;"_"&amp;ATK$11,[1]Futuros!$AK:$AK)+SUMIF([1]Opciones!$AF:$AF,$A1&amp;"_"&amp;ATK$11,[1]Opciones!$AO:$AO)</f>
        <v>#VALUE!</v>
      </c>
      <c r="ATL1" t="e">
        <f>+SUMIF([1]Cartera!$R:$R,$A1&amp;"_"&amp;ATL$11,[1]Cartera!$J:$J)+SUMIF([1]Futuros!$AD:$AD,$A1&amp;"_"&amp;ATL$11,[1]Futuros!$AK:$AK)+SUMIF([1]Opciones!$AF:$AF,$A1&amp;"_"&amp;ATL$11,[1]Opciones!$AO:$AO)</f>
        <v>#VALUE!</v>
      </c>
      <c r="ATM1" t="e">
        <f>+SUMIF([1]Cartera!$R:$R,$A1&amp;"_"&amp;ATM$11,[1]Cartera!$J:$J)+SUMIF([1]Futuros!$AD:$AD,$A1&amp;"_"&amp;ATM$11,[1]Futuros!$AK:$AK)+SUMIF([1]Opciones!$AF:$AF,$A1&amp;"_"&amp;ATM$11,[1]Opciones!$AO:$AO)</f>
        <v>#VALUE!</v>
      </c>
      <c r="ATN1" t="e">
        <f>+SUMIF([1]Cartera!$R:$R,$A1&amp;"_"&amp;ATN$11,[1]Cartera!$J:$J)+SUMIF([1]Futuros!$AD:$AD,$A1&amp;"_"&amp;ATN$11,[1]Futuros!$AK:$AK)+SUMIF([1]Opciones!$AF:$AF,$A1&amp;"_"&amp;ATN$11,[1]Opciones!$AO:$AO)</f>
        <v>#VALUE!</v>
      </c>
      <c r="ATO1" t="e">
        <f>+SUMIF([1]Cartera!$R:$R,$A1&amp;"_"&amp;ATO$11,[1]Cartera!$J:$J)+SUMIF([1]Futuros!$AD:$AD,$A1&amp;"_"&amp;ATO$11,[1]Futuros!$AK:$AK)+SUMIF([1]Opciones!$AF:$AF,$A1&amp;"_"&amp;ATO$11,[1]Opciones!$AO:$AO)</f>
        <v>#VALUE!</v>
      </c>
      <c r="ATP1" t="e">
        <f>+SUMIF([1]Cartera!$R:$R,$A1&amp;"_"&amp;ATP$11,[1]Cartera!$J:$J)+SUMIF([1]Futuros!$AD:$AD,$A1&amp;"_"&amp;ATP$11,[1]Futuros!$AK:$AK)+SUMIF([1]Opciones!$AF:$AF,$A1&amp;"_"&amp;ATP$11,[1]Opciones!$AO:$AO)</f>
        <v>#VALUE!</v>
      </c>
      <c r="ATQ1" t="e">
        <f>+SUMIF([1]Cartera!$R:$R,$A1&amp;"_"&amp;ATQ$11,[1]Cartera!$J:$J)+SUMIF([1]Futuros!$AD:$AD,$A1&amp;"_"&amp;ATQ$11,[1]Futuros!$AK:$AK)+SUMIF([1]Opciones!$AF:$AF,$A1&amp;"_"&amp;ATQ$11,[1]Opciones!$AO:$AO)</f>
        <v>#VALUE!</v>
      </c>
    </row>
    <row r="2" spans="1:1213" x14ac:dyDescent="0.25">
      <c r="A2" s="8" t="s">
        <v>3</v>
      </c>
      <c r="B2" s="38" t="s">
        <v>1</v>
      </c>
      <c r="C2" s="1">
        <f>C1</f>
        <v>46241</v>
      </c>
      <c r="D2" s="8" t="str">
        <f t="shared" si="0"/>
        <v>IN-FONDO2_Q_07/08/2026</v>
      </c>
      <c r="E2">
        <f>+INDEX([1]Pat_Int!$G:$G,MATCH($A2,[1]Pat_Int!$B:$B,0))</f>
        <v>28150046684.720657</v>
      </c>
      <c r="F2">
        <f>+INDEX([1]Pat_Int!$D:$D,MATCH($A2,[1]Pat_Int!$B:$B,0))</f>
        <v>160676367.9589844</v>
      </c>
      <c r="G2">
        <f>+INDEX([1]IN_Mon!$AQ$7:$AS$52,MATCH(G$11,[1]IN_Mon!$AP$7:$AP$52,0),MATCH($A2,[1]IN_Mon!$AQ$6:$ASV$6,0))</f>
        <v>1018.770000138289</v>
      </c>
      <c r="H2">
        <f>+INDEX([1]IN_Mon!$AQ$7:$AS$52,MATCH(H$11,[1]IN_Mon!$AP$7:$AP$52,0),MATCH($A2,[1]IN_Mon!$AQ$6:$ASV$6,0))</f>
        <v>0</v>
      </c>
      <c r="I2">
        <f>+INDEX([1]IN_Mon!$AQ$7:$AS$52,MATCH(I$11,[1]IN_Mon!$AP$7:$AP$52,0),MATCH($A2,[1]IN_Mon!$AQ$6:$ASV$6,0))</f>
        <v>0</v>
      </c>
      <c r="J2">
        <f>+INDEX([1]IN_Mon!$AQ$7:$AS$52,MATCH(J$11,[1]IN_Mon!$AP$7:$AP$52,0),MATCH($A2,[1]IN_Mon!$AQ$6:$ASV$6,0))</f>
        <v>0</v>
      </c>
      <c r="K2">
        <f>+INDEX([1]IN_Mon!$AQ$7:$AS$52,MATCH(K$11,[1]IN_Mon!$AP$7:$AP$52,0),MATCH($A2,[1]IN_Mon!$AQ$6:$ASV$6,0))</f>
        <v>0</v>
      </c>
      <c r="L2">
        <f>+INDEX([1]IN_Mon!$AQ$7:$AS$52,MATCH(L$11,[1]IN_Mon!$AP$7:$AP$52,0),MATCH($A2,[1]IN_Mon!$AQ$6:$ASV$6,0))</f>
        <v>13645615.66</v>
      </c>
      <c r="M2">
        <f>+INDEX([1]IN_Mon!$AQ$7:$AS$52,MATCH(M$11,[1]IN_Mon!$AP$7:$AP$52,0),MATCH($A2,[1]IN_Mon!$AQ$6:$ASV$6,0))</f>
        <v>79102.149999988469</v>
      </c>
      <c r="N2">
        <f>+INDEX([1]IN_Mon!$AQ$7:$AS$52,MATCH(N$11,[1]IN_Mon!$AP$7:$AP$52,0),MATCH($A2,[1]IN_Mon!$AQ$6:$ASV$6,0))</f>
        <v>13428.949999950661</v>
      </c>
      <c r="O2">
        <f>+INDEX([1]IN_Mon!$AQ$7:$AS$52,MATCH(O$11,[1]IN_Mon!$AP$7:$AP$52,0),MATCH($A2,[1]IN_Mon!$AQ$6:$ASV$6,0))</f>
        <v>1000</v>
      </c>
      <c r="P2">
        <f>+INDEX([1]IN_Mon!$AQ$7:$AS$52,MATCH(P$11,[1]IN_Mon!$AP$7:$AP$52,0),MATCH($A2,[1]IN_Mon!$AQ$6:$ASV$6,0))</f>
        <v>200</v>
      </c>
      <c r="Q2">
        <f>+INDEX([1]IN_Mon!$AQ$7:$AS$52,MATCH(Q$11,[1]IN_Mon!$AP$7:$AP$52,0),MATCH($A2,[1]IN_Mon!$AQ$6:$ASV$6,0))</f>
        <v>0</v>
      </c>
      <c r="R2">
        <f>+INDEX([1]IN_Mon!$AQ$7:$AS$52,MATCH(R$11,[1]IN_Mon!$AP$7:$AP$52,0),MATCH($A2,[1]IN_Mon!$AQ$6:$ASV$6,0))</f>
        <v>199.99999999999997</v>
      </c>
      <c r="S2">
        <f>+INDEX([1]IN_Mon!$AQ$7:$AS$52,MATCH(S$11,[1]IN_Mon!$AP$7:$AP$52,0),MATCH($A2,[1]IN_Mon!$AQ$6:$ASV$6,0))</f>
        <v>0</v>
      </c>
      <c r="T2">
        <f>+INDEX([1]IN_Mon!$AQ$7:$AS$52,MATCH(T$11,[1]IN_Mon!$AP$7:$AP$52,0),MATCH($A2,[1]IN_Mon!$AQ$6:$ASV$6,0))</f>
        <v>300</v>
      </c>
      <c r="U2">
        <f>+INDEX([1]IN_Mon!$AQ$7:$AS$52,MATCH(U$11,[1]IN_Mon!$AP$7:$AP$52,0),MATCH($A2,[1]IN_Mon!$AQ$6:$ASV$6,0))</f>
        <v>300</v>
      </c>
      <c r="V2">
        <f>+INDEX([1]IN_Mon!$AQ$7:$AS$52,MATCH(V$11,[1]IN_Mon!$AP$7:$AP$52,0),MATCH($A2,[1]IN_Mon!$AQ$6:$ASV$6,0))</f>
        <v>1.0000000955883217</v>
      </c>
      <c r="W2">
        <f>+INDEX([1]IN_Mon!$AQ$7:$AS$52,MATCH(W$11,[1]IN_Mon!$AP$7:$AP$52,0),MATCH($A2,[1]IN_Mon!$AQ$6:$ASV$6,0))</f>
        <v>1000</v>
      </c>
      <c r="X2">
        <f>+INDEX([1]Pat_Int!$E:$E,MATCH($A2,[1]Pat_Int!$B:$B,0))</f>
        <v>4215424677.4722257</v>
      </c>
      <c r="Y2">
        <f>+INDEX([1]Pat_Int!$F:$F,MATCH($A2,[1]Pat_Int!$B:$B,0))</f>
        <v>4545897338.93645</v>
      </c>
      <c r="Z2">
        <f>+F2-SUM(G5:W5)</f>
        <v>114215967.7499994</v>
      </c>
      <c r="AA2" t="e">
        <f>+SUMIF([1]Cartera!$R:$R,$A2&amp;"_"&amp;AA$11,[1]Cartera!$J:$J)</f>
        <v>#VALUE!</v>
      </c>
      <c r="AB2" t="e">
        <f>+SUMIF([1]Cartera!$R:$R,$A2&amp;"_"&amp;AB$11,[1]Cartera!$J:$J)</f>
        <v>#VALUE!</v>
      </c>
      <c r="AC2" t="e">
        <f>+SUMIF([1]Cartera!$R:$R,$A2&amp;"_"&amp;AC$11,[1]Cartera!$J:$J)</f>
        <v>#VALUE!</v>
      </c>
      <c r="AD2" t="e">
        <f>+SUMIF([1]Cartera!$R:$R,$A2&amp;"_"&amp;AD$11,[1]Cartera!$J:$J)</f>
        <v>#VALUE!</v>
      </c>
      <c r="AE2" t="e">
        <f>+SUMIF([1]Cartera!$R:$R,$A2&amp;"_"&amp;AE$11,[1]Cartera!$J:$J)</f>
        <v>#VALUE!</v>
      </c>
      <c r="AF2" t="e">
        <f>+SUMIF([1]Cartera!$R:$R,$A2&amp;"_"&amp;AF$11,[1]Cartera!$J:$J)</f>
        <v>#VALUE!</v>
      </c>
      <c r="AG2" t="e">
        <f>+SUMIF([1]Cartera!$R:$R,$A2&amp;"_"&amp;AG$11,[1]Cartera!$J:$J)</f>
        <v>#VALUE!</v>
      </c>
      <c r="AH2" t="e">
        <f>+SUMIF([1]Cartera!$R:$R,$A2&amp;"_"&amp;AH$11,[1]Cartera!$J:$J)</f>
        <v>#VALUE!</v>
      </c>
      <c r="AI2" t="e">
        <f>+SUMIF([1]Cartera!$R:$R,$A2&amp;"_"&amp;AI$11,[1]Cartera!$J:$J)+SUMIF([1]Futuros!$AD:$AD,$A2&amp;"_"&amp;AI$11,[1]Futuros!$AK:$AK)+SUMIF([1]Opciones!$AF:$AF,$A2&amp;"_"&amp;AI$11,[1]Opciones!$AO:$AO)</f>
        <v>#VALUE!</v>
      </c>
      <c r="AJ2" t="e">
        <f>+SUMIF([1]Cartera!$R:$R,$A2&amp;"_"&amp;AJ$11,[1]Cartera!$J:$J)+SUMIF([1]Futuros!$AD:$AD,$A2&amp;"_"&amp;AJ$11,[1]Futuros!$AK:$AK)+SUMIF([1]Opciones!$AF:$AF,$A2&amp;"_"&amp;AJ$11,[1]Opciones!$AO:$AO)</f>
        <v>#VALUE!</v>
      </c>
      <c r="AK2" t="e">
        <f>+SUMIF([1]Cartera!$R:$R,$A2&amp;"_"&amp;AK$11,[1]Cartera!$J:$J)+SUMIF([1]Futuros!$AD:$AD,$A2&amp;"_"&amp;AK$11,[1]Futuros!$AK:$AK)+SUMIF([1]Opciones!$AF:$AF,$A2&amp;"_"&amp;AK$11,[1]Opciones!$AO:$AO)</f>
        <v>#VALUE!</v>
      </c>
      <c r="AL2" t="e">
        <f>+SUMIF([1]Cartera!$R:$R,$A2&amp;"_"&amp;AL$11,[1]Cartera!$J:$J)+SUMIF([1]Futuros!$AD:$AD,$A2&amp;"_"&amp;AL$11,[1]Futuros!$AK:$AK)+SUMIF([1]Opciones!$AF:$AF,$A2&amp;"_"&amp;AL$11,[1]Opciones!$AO:$AO)</f>
        <v>#VALUE!</v>
      </c>
      <c r="AM2" t="e">
        <f>+SUMIF([1]Cartera!$R:$R,$A2&amp;"_"&amp;AM$11,[1]Cartera!$J:$J)+SUMIF([1]Futuros!$AD:$AD,$A2&amp;"_"&amp;AM$11,[1]Futuros!$AK:$AK)+SUMIF([1]Opciones!$AF:$AF,$A2&amp;"_"&amp;AM$11,[1]Opciones!$AO:$AO)</f>
        <v>#VALUE!</v>
      </c>
      <c r="AN2" t="e">
        <f>+SUMIF([1]Cartera!$R:$R,$A2&amp;"_"&amp;AN$11,[1]Cartera!$J:$J)+SUMIF([1]Futuros!$AD:$AD,$A2&amp;"_"&amp;AN$11,[1]Futuros!$AK:$AK)+SUMIF([1]Opciones!$AF:$AF,$A2&amp;"_"&amp;AN$11,[1]Opciones!$AO:$AO)</f>
        <v>#VALUE!</v>
      </c>
      <c r="AO2" t="e">
        <f>+SUMIF([1]Cartera!$R:$R,$A2&amp;"_"&amp;AO$11,[1]Cartera!$J:$J)+SUMIF([1]Futuros!$AD:$AD,$A2&amp;"_"&amp;AO$11,[1]Futuros!$AK:$AK)+SUMIF([1]Opciones!$AF:$AF,$A2&amp;"_"&amp;AO$11,[1]Opciones!$AO:$AO)</f>
        <v>#VALUE!</v>
      </c>
      <c r="AP2" t="e">
        <f>+SUMIF([1]Cartera!$R:$R,$A2&amp;"_"&amp;AP$11,[1]Cartera!$J:$J)+SUMIF([1]Futuros!$AD:$AD,$A2&amp;"_"&amp;AP$11,[1]Futuros!$AK:$AK)+SUMIF([1]Opciones!$AF:$AF,$A2&amp;"_"&amp;AP$11,[1]Opciones!$AO:$AO)</f>
        <v>#VALUE!</v>
      </c>
      <c r="AQ2" t="e">
        <f>+SUMIF([1]Cartera!$R:$R,$A2&amp;"_"&amp;AQ$11,[1]Cartera!$J:$J)+SUMIF([1]Futuros!$AD:$AD,$A2&amp;"_"&amp;AQ$11,[1]Futuros!$AK:$AK)+SUMIF([1]Opciones!$AF:$AF,$A2&amp;"_"&amp;AQ$11,[1]Opciones!$AO:$AO)</f>
        <v>#VALUE!</v>
      </c>
      <c r="AR2" t="e">
        <f>+SUMIF([1]Cartera!$R:$R,$A2&amp;"_"&amp;AR$11,[1]Cartera!$J:$J)+SUMIF([1]Futuros!$AD:$AD,$A2&amp;"_"&amp;AR$11,[1]Futuros!$AK:$AK)+SUMIF([1]Opciones!$AF:$AF,$A2&amp;"_"&amp;AR$11,[1]Opciones!$AO:$AO)</f>
        <v>#VALUE!</v>
      </c>
      <c r="AS2" t="e">
        <f>+SUMIF([1]Cartera!$R:$R,$A2&amp;"_"&amp;AS$11,[1]Cartera!$J:$J)+SUMIF([1]Futuros!$AD:$AD,$A2&amp;"_"&amp;AS$11,[1]Futuros!$AK:$AK)+SUMIF([1]Opciones!$AF:$AF,$A2&amp;"_"&amp;AS$11,[1]Opciones!$AO:$AO)</f>
        <v>#VALUE!</v>
      </c>
      <c r="AT2" t="e">
        <f>+SUMIF([1]Cartera!$R:$R,$A2&amp;"_"&amp;AT$11,[1]Cartera!$J:$J)+SUMIF([1]Futuros!$AD:$AD,$A2&amp;"_"&amp;AT$11,[1]Futuros!$AK:$AK)+SUMIF([1]Opciones!$AF:$AF,$A2&amp;"_"&amp;AT$11,[1]Opciones!$AO:$AO)</f>
        <v>#VALUE!</v>
      </c>
      <c r="AU2" t="e">
        <f>+SUMIF([1]Cartera!$R:$R,$A2&amp;"_"&amp;AU$11,[1]Cartera!$J:$J)+SUMIF([1]Futuros!$AD:$AD,$A2&amp;"_"&amp;AU$11,[1]Futuros!$AK:$AK)+SUMIF([1]Opciones!$AF:$AF,$A2&amp;"_"&amp;AU$11,[1]Opciones!$AO:$AO)</f>
        <v>#VALUE!</v>
      </c>
      <c r="AV2" t="e">
        <f>+SUMIF([1]Cartera!$R:$R,$A2&amp;"_"&amp;AV$11,[1]Cartera!$J:$J)+SUMIF([1]Futuros!$AD:$AD,$A2&amp;"_"&amp;AV$11,[1]Futuros!$AK:$AK)+SUMIF([1]Opciones!$AF:$AF,$A2&amp;"_"&amp;AV$11,[1]Opciones!$AO:$AO)</f>
        <v>#VALUE!</v>
      </c>
      <c r="AW2" t="e">
        <f>+SUMIF([1]Cartera!$R:$R,$A2&amp;"_"&amp;AW$11,[1]Cartera!$J:$J)+SUMIF([1]Futuros!$AD:$AD,$A2&amp;"_"&amp;AW$11,[1]Futuros!$AK:$AK)+SUMIF([1]Opciones!$AF:$AF,$A2&amp;"_"&amp;AW$11,[1]Opciones!$AO:$AO)</f>
        <v>#VALUE!</v>
      </c>
      <c r="AX2" t="e">
        <f>+SUMIF([1]Cartera!$R:$R,$A2&amp;"_"&amp;AX$11,[1]Cartera!$J:$J)+SUMIF([1]Futuros!$AD:$AD,$A2&amp;"_"&amp;AX$11,[1]Futuros!$AK:$AK)+SUMIF([1]Opciones!$AF:$AF,$A2&amp;"_"&amp;AX$11,[1]Opciones!$AO:$AO)</f>
        <v>#VALUE!</v>
      </c>
      <c r="AY2" t="e">
        <f>+SUMIF([1]Cartera!$R:$R,$A2&amp;"_"&amp;AY$11,[1]Cartera!$J:$J)+SUMIF([1]Futuros!$AD:$AD,$A2&amp;"_"&amp;AY$11,[1]Futuros!$AK:$AK)+SUMIF([1]Opciones!$AF:$AF,$A2&amp;"_"&amp;AY$11,[1]Opciones!$AO:$AO)</f>
        <v>#VALUE!</v>
      </c>
      <c r="AZ2" t="e">
        <f>+SUMIF([1]Cartera!$R:$R,$A2&amp;"_"&amp;AZ$11,[1]Cartera!$J:$J)+SUMIF([1]Futuros!$AD:$AD,$A2&amp;"_"&amp;AZ$11,[1]Futuros!$AK:$AK)+SUMIF([1]Opciones!$AF:$AF,$A2&amp;"_"&amp;AZ$11,[1]Opciones!$AO:$AO)</f>
        <v>#VALUE!</v>
      </c>
      <c r="BA2" t="e">
        <f>+SUMIF([1]Cartera!$R:$R,$A2&amp;"_"&amp;BA$11,[1]Cartera!$J:$J)+SUMIF([1]Futuros!$AD:$AD,$A2&amp;"_"&amp;BA$11,[1]Futuros!$AK:$AK)+SUMIF([1]Opciones!$AF:$AF,$A2&amp;"_"&amp;BA$11,[1]Opciones!$AO:$AO)</f>
        <v>#VALUE!</v>
      </c>
      <c r="BB2" t="e">
        <f>+SUMIF([1]Cartera!$R:$R,$A2&amp;"_"&amp;BB$11,[1]Cartera!$J:$J)+SUMIF([1]Futuros!$AD:$AD,$A2&amp;"_"&amp;BB$11,[1]Futuros!$AK:$AK)+SUMIF([1]Opciones!$AF:$AF,$A2&amp;"_"&amp;BB$11,[1]Opciones!$AO:$AO)</f>
        <v>#VALUE!</v>
      </c>
      <c r="BC2" t="e">
        <f>+SUMIF([1]Cartera!$R:$R,$A2&amp;"_"&amp;BC$11,[1]Cartera!$J:$J)+SUMIF([1]Futuros!$AD:$AD,$A2&amp;"_"&amp;BC$11,[1]Futuros!$AK:$AK)+SUMIF([1]Opciones!$AF:$AF,$A2&amp;"_"&amp;BC$11,[1]Opciones!$AO:$AO)</f>
        <v>#VALUE!</v>
      </c>
      <c r="BD2" t="e">
        <f>+SUMIF([1]Cartera!$R:$R,$A2&amp;"_"&amp;BD$11,[1]Cartera!$J:$J)+SUMIF([1]Futuros!$AD:$AD,$A2&amp;"_"&amp;BD$11,[1]Futuros!$AK:$AK)+SUMIF([1]Opciones!$AF:$AF,$A2&amp;"_"&amp;BD$11,[1]Opciones!$AO:$AO)</f>
        <v>#VALUE!</v>
      </c>
      <c r="BE2" t="e">
        <f>+SUMIF([1]Cartera!$R:$R,$A2&amp;"_"&amp;BE$11,[1]Cartera!$J:$J)+SUMIF([1]Futuros!$AD:$AD,$A2&amp;"_"&amp;BE$11,[1]Futuros!$AK:$AK)+SUMIF([1]Opciones!$AF:$AF,$A2&amp;"_"&amp;BE$11,[1]Opciones!$AO:$AO)</f>
        <v>#VALUE!</v>
      </c>
      <c r="BF2" t="e">
        <f>+SUMIF([1]Cartera!$R:$R,$A2&amp;"_"&amp;BF$11,[1]Cartera!$J:$J)+SUMIF([1]Futuros!$AD:$AD,$A2&amp;"_"&amp;BF$11,[1]Futuros!$AK:$AK)+SUMIF([1]Opciones!$AF:$AF,$A2&amp;"_"&amp;BF$11,[1]Opciones!$AO:$AO)</f>
        <v>#VALUE!</v>
      </c>
      <c r="BG2" t="e">
        <f>+SUMIF([1]Cartera!$R:$R,$A2&amp;"_"&amp;BG$11,[1]Cartera!$J:$J)+SUMIF([1]Futuros!$AD:$AD,$A2&amp;"_"&amp;BG$11,[1]Futuros!$AK:$AK)+SUMIF([1]Opciones!$AF:$AF,$A2&amp;"_"&amp;BG$11,[1]Opciones!$AO:$AO)</f>
        <v>#VALUE!</v>
      </c>
      <c r="BH2" t="e">
        <f>+SUMIF([1]Cartera!$R:$R,$A2&amp;"_"&amp;BH$11,[1]Cartera!$J:$J)+SUMIF([1]Futuros!$AD:$AD,$A2&amp;"_"&amp;BH$11,[1]Futuros!$AK:$AK)+SUMIF([1]Opciones!$AF:$AF,$A2&amp;"_"&amp;BH$11,[1]Opciones!$AO:$AO)</f>
        <v>#VALUE!</v>
      </c>
      <c r="BI2" t="e">
        <f>+SUMIF([1]Cartera!$R:$R,$A2&amp;"_"&amp;BI$11,[1]Cartera!$J:$J)+SUMIF([1]Futuros!$AD:$AD,$A2&amp;"_"&amp;BI$11,[1]Futuros!$AK:$AK)+SUMIF([1]Opciones!$AF:$AF,$A2&amp;"_"&amp;BI$11,[1]Opciones!$AO:$AO)</f>
        <v>#VALUE!</v>
      </c>
      <c r="BJ2" t="e">
        <f>+SUMIF([1]Cartera!$R:$R,$A2&amp;"_"&amp;BJ$11,[1]Cartera!$J:$J)+SUMIF([1]Futuros!$AD:$AD,$A2&amp;"_"&amp;BJ$11,[1]Futuros!$AK:$AK)+SUMIF([1]Opciones!$AF:$AF,$A2&amp;"_"&amp;BJ$11,[1]Opciones!$AO:$AO)</f>
        <v>#VALUE!</v>
      </c>
      <c r="BK2" t="e">
        <f>+SUMIF([1]Cartera!$R:$R,$A2&amp;"_"&amp;BK$11,[1]Cartera!$J:$J)+SUMIF([1]Futuros!$AD:$AD,$A2&amp;"_"&amp;BK$11,[1]Futuros!$AK:$AK)+SUMIF([1]Opciones!$AF:$AF,$A2&amp;"_"&amp;BK$11,[1]Opciones!$AO:$AO)</f>
        <v>#VALUE!</v>
      </c>
      <c r="BL2" t="e">
        <f>+SUMIF([1]Cartera!$R:$R,$A2&amp;"_"&amp;BL$11,[1]Cartera!$J:$J)+SUMIF([1]Futuros!$AD:$AD,$A2&amp;"_"&amp;BL$11,[1]Futuros!$AK:$AK)+SUMIF([1]Opciones!$AF:$AF,$A2&amp;"_"&amp;BL$11,[1]Opciones!$AO:$AO)</f>
        <v>#VALUE!</v>
      </c>
      <c r="BM2" t="e">
        <f>+SUMIF([1]Cartera!$R:$R,$A2&amp;"_"&amp;BM$11,[1]Cartera!$J:$J)+SUMIF([1]Futuros!$AD:$AD,$A2&amp;"_"&amp;BM$11,[1]Futuros!$AK:$AK)+SUMIF([1]Opciones!$AF:$AF,$A2&amp;"_"&amp;BM$11,[1]Opciones!$AO:$AO)</f>
        <v>#VALUE!</v>
      </c>
      <c r="BN2" t="e">
        <f>+SUMIF([1]Cartera!$R:$R,$A2&amp;"_"&amp;BN$11,[1]Cartera!$J:$J)+SUMIF([1]Futuros!$AD:$AD,$A2&amp;"_"&amp;BN$11,[1]Futuros!$AK:$AK)+SUMIF([1]Opciones!$AF:$AF,$A2&amp;"_"&amp;BN$11,[1]Opciones!$AO:$AO)</f>
        <v>#VALUE!</v>
      </c>
      <c r="BO2" t="e">
        <f>+SUMIF([1]Cartera!$R:$R,$A2&amp;"_"&amp;BO$11,[1]Cartera!$J:$J)+SUMIF([1]Futuros!$AD:$AD,$A2&amp;"_"&amp;BO$11,[1]Futuros!$AK:$AK)+SUMIF([1]Opciones!$AF:$AF,$A2&amp;"_"&amp;BO$11,[1]Opciones!$AO:$AO)</f>
        <v>#VALUE!</v>
      </c>
      <c r="BP2" t="e">
        <f>+SUMIF([1]Cartera!$R:$R,$A2&amp;"_"&amp;BP$11,[1]Cartera!$J:$J)+SUMIF([1]Futuros!$AD:$AD,$A2&amp;"_"&amp;BP$11,[1]Futuros!$AK:$AK)+SUMIF([1]Opciones!$AF:$AF,$A2&amp;"_"&amp;BP$11,[1]Opciones!$AO:$AO)</f>
        <v>#VALUE!</v>
      </c>
      <c r="BQ2" t="e">
        <f>+SUMIF([1]Cartera!$R:$R,$A2&amp;"_"&amp;BQ$11,[1]Cartera!$J:$J)+SUMIF([1]Futuros!$AD:$AD,$A2&amp;"_"&amp;BQ$11,[1]Futuros!$AK:$AK)+SUMIF([1]Opciones!$AF:$AF,$A2&amp;"_"&amp;BQ$11,[1]Opciones!$AO:$AO)</f>
        <v>#VALUE!</v>
      </c>
      <c r="BR2" t="e">
        <f>+SUMIF([1]Cartera!$R:$R,$A2&amp;"_"&amp;BR$11,[1]Cartera!$J:$J)+SUMIF([1]Futuros!$AD:$AD,$A2&amp;"_"&amp;BR$11,[1]Futuros!$AK:$AK)+SUMIF([1]Opciones!$AF:$AF,$A2&amp;"_"&amp;BR$11,[1]Opciones!$AO:$AO)</f>
        <v>#VALUE!</v>
      </c>
      <c r="BS2" t="e">
        <f>+SUMIF([1]Cartera!$R:$R,$A2&amp;"_"&amp;BS$11,[1]Cartera!$J:$J)+SUMIF([1]Futuros!$AD:$AD,$A2&amp;"_"&amp;BS$11,[1]Futuros!$AK:$AK)+SUMIF([1]Opciones!$AF:$AF,$A2&amp;"_"&amp;BS$11,[1]Opciones!$AO:$AO)</f>
        <v>#VALUE!</v>
      </c>
      <c r="BT2" t="e">
        <f>+SUMIF([1]Cartera!$R:$R,$A2&amp;"_"&amp;BT$11,[1]Cartera!$J:$J)+SUMIF([1]Futuros!$AD:$AD,$A2&amp;"_"&amp;BT$11,[1]Futuros!$AK:$AK)+SUMIF([1]Opciones!$AF:$AF,$A2&amp;"_"&amp;BT$11,[1]Opciones!$AO:$AO)</f>
        <v>#VALUE!</v>
      </c>
      <c r="BU2" t="e">
        <f>+SUMIF([1]Cartera!$R:$R,$A2&amp;"_"&amp;BU$11,[1]Cartera!$J:$J)+SUMIF([1]Futuros!$AD:$AD,$A2&amp;"_"&amp;BU$11,[1]Futuros!$AK:$AK)+SUMIF([1]Opciones!$AF:$AF,$A2&amp;"_"&amp;BU$11,[1]Opciones!$AO:$AO)</f>
        <v>#VALUE!</v>
      </c>
      <c r="BV2" t="e">
        <f>+SUMIF([1]Cartera!$R:$R,$A2&amp;"_"&amp;BV$11,[1]Cartera!$J:$J)+SUMIF([1]Futuros!$AD:$AD,$A2&amp;"_"&amp;BV$11,[1]Futuros!$AK:$AK)+SUMIF([1]Opciones!$AF:$AF,$A2&amp;"_"&amp;BV$11,[1]Opciones!$AO:$AO)</f>
        <v>#VALUE!</v>
      </c>
      <c r="BW2" t="e">
        <f>+SUMIF([1]Cartera!$R:$R,$A2&amp;"_"&amp;BW$11,[1]Cartera!$J:$J)+SUMIF([1]Futuros!$AD:$AD,$A2&amp;"_"&amp;BW$11,[1]Futuros!$AK:$AK)+SUMIF([1]Opciones!$AF:$AF,$A2&amp;"_"&amp;BW$11,[1]Opciones!$AO:$AO)</f>
        <v>#VALUE!</v>
      </c>
      <c r="BX2" t="e">
        <f>+SUMIF([1]Cartera!$R:$R,$A2&amp;"_"&amp;BX$11,[1]Cartera!$J:$J)+SUMIF([1]Futuros!$AD:$AD,$A2&amp;"_"&amp;BX$11,[1]Futuros!$AK:$AK)+SUMIF([1]Opciones!$AF:$AF,$A2&amp;"_"&amp;BX$11,[1]Opciones!$AO:$AO)</f>
        <v>#VALUE!</v>
      </c>
      <c r="BY2" t="e">
        <f>+SUMIF([1]Cartera!$R:$R,$A2&amp;"_"&amp;BY$11,[1]Cartera!$J:$J)+SUMIF([1]Futuros!$AD:$AD,$A2&amp;"_"&amp;BY$11,[1]Futuros!$AK:$AK)+SUMIF([1]Opciones!$AF:$AF,$A2&amp;"_"&amp;BY$11,[1]Opciones!$AO:$AO)</f>
        <v>#VALUE!</v>
      </c>
      <c r="BZ2" t="e">
        <f>+SUMIF([1]Cartera!$R:$R,$A2&amp;"_"&amp;BZ$11,[1]Cartera!$J:$J)+SUMIF([1]Futuros!$AD:$AD,$A2&amp;"_"&amp;BZ$11,[1]Futuros!$AK:$AK)+SUMIF([1]Opciones!$AF:$AF,$A2&amp;"_"&amp;BZ$11,[1]Opciones!$AO:$AO)</f>
        <v>#VALUE!</v>
      </c>
      <c r="CA2" t="e">
        <f>+SUMIF([1]Cartera!$R:$R,$A2&amp;"_"&amp;CA$11,[1]Cartera!$J:$J)+SUMIF([1]Futuros!$AD:$AD,$A2&amp;"_"&amp;CA$11,[1]Futuros!$AK:$AK)+SUMIF([1]Opciones!$AF:$AF,$A2&amp;"_"&amp;CA$11,[1]Opciones!$AO:$AO)</f>
        <v>#VALUE!</v>
      </c>
      <c r="CB2" t="e">
        <f>+SUMIF([1]Cartera!$R:$R,$A2&amp;"_"&amp;CB$11,[1]Cartera!$J:$J)+SUMIF([1]Futuros!$AD:$AD,$A2&amp;"_"&amp;CB$11,[1]Futuros!$AK:$AK)+SUMIF([1]Opciones!$AF:$AF,$A2&amp;"_"&amp;CB$11,[1]Opciones!$AO:$AO)</f>
        <v>#VALUE!</v>
      </c>
      <c r="CC2" t="e">
        <f>+SUMIF([1]Cartera!$R:$R,$A2&amp;"_"&amp;CC$11,[1]Cartera!$J:$J)+SUMIF([1]Futuros!$AD:$AD,$A2&amp;"_"&amp;CC$11,[1]Futuros!$AK:$AK)+SUMIF([1]Opciones!$AF:$AF,$A2&amp;"_"&amp;CC$11,[1]Opciones!$AO:$AO)</f>
        <v>#VALUE!</v>
      </c>
      <c r="CD2" t="e">
        <f>+SUMIF([1]Cartera!$R:$R,$A2&amp;"_"&amp;CD$11,[1]Cartera!$J:$J)+SUMIF([1]Futuros!$AD:$AD,$A2&amp;"_"&amp;CD$11,[1]Futuros!$AK:$AK)+SUMIF([1]Opciones!$AF:$AF,$A2&amp;"_"&amp;CD$11,[1]Opciones!$AO:$AO)</f>
        <v>#VALUE!</v>
      </c>
      <c r="CE2" t="e">
        <f>+SUMIF([1]Cartera!$R:$R,$A2&amp;"_"&amp;CE$11,[1]Cartera!$J:$J)+SUMIF([1]Futuros!$AD:$AD,$A2&amp;"_"&amp;CE$11,[1]Futuros!$AK:$AK)+SUMIF([1]Opciones!$AF:$AF,$A2&amp;"_"&amp;CE$11,[1]Opciones!$AO:$AO)</f>
        <v>#VALUE!</v>
      </c>
      <c r="CF2" t="e">
        <f>+SUMIF([1]Cartera!$R:$R,$A2&amp;"_"&amp;CF$11,[1]Cartera!$J:$J)+SUMIF([1]Futuros!$AD:$AD,$A2&amp;"_"&amp;CF$11,[1]Futuros!$AK:$AK)+SUMIF([1]Opciones!$AF:$AF,$A2&amp;"_"&amp;CF$11,[1]Opciones!$AO:$AO)</f>
        <v>#VALUE!</v>
      </c>
      <c r="CG2" t="e">
        <f>+SUMIF([1]Cartera!$R:$R,$A2&amp;"_"&amp;CG$11,[1]Cartera!$J:$J)+SUMIF([1]Futuros!$AD:$AD,$A2&amp;"_"&amp;CG$11,[1]Futuros!$AK:$AK)+SUMIF([1]Opciones!$AF:$AF,$A2&amp;"_"&amp;CG$11,[1]Opciones!$AO:$AO)</f>
        <v>#VALUE!</v>
      </c>
      <c r="CH2" t="e">
        <f>+SUMIF([1]Cartera!$R:$R,$A2&amp;"_"&amp;CH$11,[1]Cartera!$J:$J)+SUMIF([1]Futuros!$AD:$AD,$A2&amp;"_"&amp;CH$11,[1]Futuros!$AK:$AK)+SUMIF([1]Opciones!$AF:$AF,$A2&amp;"_"&amp;CH$11,[1]Opciones!$AO:$AO)</f>
        <v>#VALUE!</v>
      </c>
      <c r="CI2" t="e">
        <f>+SUMIF([1]Cartera!$R:$R,$A2&amp;"_"&amp;CI$11,[1]Cartera!$J:$J)+SUMIF([1]Futuros!$AD:$AD,$A2&amp;"_"&amp;CI$11,[1]Futuros!$AK:$AK)+SUMIF([1]Opciones!$AF:$AF,$A2&amp;"_"&amp;CI$11,[1]Opciones!$AO:$AO)</f>
        <v>#VALUE!</v>
      </c>
      <c r="CJ2" t="e">
        <f>+SUMIF([1]Cartera!$R:$R,$A2&amp;"_"&amp;CJ$11,[1]Cartera!$J:$J)+SUMIF([1]Futuros!$AD:$AD,$A2&amp;"_"&amp;CJ$11,[1]Futuros!$AK:$AK)+SUMIF([1]Opciones!$AF:$AF,$A2&amp;"_"&amp;CJ$11,[1]Opciones!$AO:$AO)</f>
        <v>#VALUE!</v>
      </c>
      <c r="CK2" t="e">
        <f>+SUMIF([1]Cartera!$R:$R,$A2&amp;"_"&amp;CK$11,[1]Cartera!$J:$J)+SUMIF([1]Futuros!$AD:$AD,$A2&amp;"_"&amp;CK$11,[1]Futuros!$AK:$AK)+SUMIF([1]Opciones!$AF:$AF,$A2&amp;"_"&amp;CK$11,[1]Opciones!$AO:$AO)</f>
        <v>#VALUE!</v>
      </c>
      <c r="CL2" t="e">
        <f>+SUMIF([1]Cartera!$R:$R,$A2&amp;"_"&amp;CL$11,[1]Cartera!$J:$J)+SUMIF([1]Futuros!$AD:$AD,$A2&amp;"_"&amp;CL$11,[1]Futuros!$AK:$AK)+SUMIF([1]Opciones!$AF:$AF,$A2&amp;"_"&amp;CL$11,[1]Opciones!$AO:$AO)</f>
        <v>#VALUE!</v>
      </c>
      <c r="CM2" t="e">
        <f>+SUMIF([1]Cartera!$R:$R,$A2&amp;"_"&amp;CM$11,[1]Cartera!$J:$J)+SUMIF([1]Futuros!$AD:$AD,$A2&amp;"_"&amp;CM$11,[1]Futuros!$AK:$AK)+SUMIF([1]Opciones!$AF:$AF,$A2&amp;"_"&amp;CM$11,[1]Opciones!$AO:$AO)</f>
        <v>#VALUE!</v>
      </c>
      <c r="CN2" t="e">
        <f>+SUMIF([1]Cartera!$R:$R,$A2&amp;"_"&amp;CN$11,[1]Cartera!$J:$J)+SUMIF([1]Futuros!$AD:$AD,$A2&amp;"_"&amp;CN$11,[1]Futuros!$AK:$AK)+SUMIF([1]Opciones!$AF:$AF,$A2&amp;"_"&amp;CN$11,[1]Opciones!$AO:$AO)</f>
        <v>#VALUE!</v>
      </c>
      <c r="CO2" t="e">
        <f>+SUMIF([1]Cartera!$R:$R,$A2&amp;"_"&amp;CO$11,[1]Cartera!$J:$J)+SUMIF([1]Futuros!$AD:$AD,$A2&amp;"_"&amp;CO$11,[1]Futuros!$AK:$AK)+SUMIF([1]Opciones!$AF:$AF,$A2&amp;"_"&amp;CO$11,[1]Opciones!$AO:$AO)</f>
        <v>#VALUE!</v>
      </c>
      <c r="CP2" t="e">
        <f>+SUMIF([1]Cartera!$R:$R,$A2&amp;"_"&amp;CP$11,[1]Cartera!$J:$J)+SUMIF([1]Futuros!$AD:$AD,$A2&amp;"_"&amp;CP$11,[1]Futuros!$AK:$AK)+SUMIF([1]Opciones!$AF:$AF,$A2&amp;"_"&amp;CP$11,[1]Opciones!$AO:$AO)</f>
        <v>#VALUE!</v>
      </c>
      <c r="CQ2" t="e">
        <f>+SUMIF([1]Cartera!$R:$R,$A2&amp;"_"&amp;CQ$11,[1]Cartera!$J:$J)+SUMIF([1]Futuros!$AD:$AD,$A2&amp;"_"&amp;CQ$11,[1]Futuros!$AK:$AK)+SUMIF([1]Opciones!$AF:$AF,$A2&amp;"_"&amp;CQ$11,[1]Opciones!$AO:$AO)</f>
        <v>#VALUE!</v>
      </c>
      <c r="CR2" t="e">
        <f>+SUMIF([1]Cartera!$R:$R,$A2&amp;"_"&amp;CR$11,[1]Cartera!$J:$J)+SUMIF([1]Futuros!$AD:$AD,$A2&amp;"_"&amp;CR$11,[1]Futuros!$AK:$AK)+SUMIF([1]Opciones!$AF:$AF,$A2&amp;"_"&amp;CR$11,[1]Opciones!$AO:$AO)</f>
        <v>#VALUE!</v>
      </c>
      <c r="CS2" t="e">
        <f>+SUMIF([1]Cartera!$R:$R,$A2&amp;"_"&amp;CS$11,[1]Cartera!$J:$J)+SUMIF([1]Futuros!$AD:$AD,$A2&amp;"_"&amp;CS$11,[1]Futuros!$AK:$AK)+SUMIF([1]Opciones!$AF:$AF,$A2&amp;"_"&amp;CS$11,[1]Opciones!$AO:$AO)</f>
        <v>#VALUE!</v>
      </c>
      <c r="CT2" t="e">
        <f>+SUMIF([1]Cartera!$R:$R,$A2&amp;"_"&amp;CT$11,[1]Cartera!$J:$J)+SUMIF([1]Futuros!$AD:$AD,$A2&amp;"_"&amp;CT$11,[1]Futuros!$AK:$AK)+SUMIF([1]Opciones!$AF:$AF,$A2&amp;"_"&amp;CT$11,[1]Opciones!$AO:$AO)</f>
        <v>#VALUE!</v>
      </c>
      <c r="CU2" t="e">
        <f>+SUMIF([1]Cartera!$R:$R,$A2&amp;"_"&amp;CU$11,[1]Cartera!$J:$J)+SUMIF([1]Futuros!$AD:$AD,$A2&amp;"_"&amp;CU$11,[1]Futuros!$AK:$AK)+SUMIF([1]Opciones!$AF:$AF,$A2&amp;"_"&amp;CU$11,[1]Opciones!$AO:$AO)</f>
        <v>#VALUE!</v>
      </c>
      <c r="CV2" t="e">
        <f>+SUMIF([1]Cartera!$R:$R,$A2&amp;"_"&amp;CV$11,[1]Cartera!$J:$J)+SUMIF([1]Futuros!$AD:$AD,$A2&amp;"_"&amp;CV$11,[1]Futuros!$AK:$AK)+SUMIF([1]Opciones!$AF:$AF,$A2&amp;"_"&amp;CV$11,[1]Opciones!$AO:$AO)</f>
        <v>#VALUE!</v>
      </c>
      <c r="CW2" t="e">
        <f>+SUMIF([1]Cartera!$R:$R,$A2&amp;"_"&amp;CW$11,[1]Cartera!$J:$J)+SUMIF([1]Futuros!$AD:$AD,$A2&amp;"_"&amp;CW$11,[1]Futuros!$AK:$AK)+SUMIF([1]Opciones!$AF:$AF,$A2&amp;"_"&amp;CW$11,[1]Opciones!$AO:$AO)</f>
        <v>#VALUE!</v>
      </c>
      <c r="CX2" t="e">
        <f>+SUMIF([1]Cartera!$R:$R,$A2&amp;"_"&amp;CX$11,[1]Cartera!$J:$J)+SUMIF([1]Futuros!$AD:$AD,$A2&amp;"_"&amp;CX$11,[1]Futuros!$AK:$AK)+SUMIF([1]Opciones!$AF:$AF,$A2&amp;"_"&amp;CX$11,[1]Opciones!$AO:$AO)</f>
        <v>#VALUE!</v>
      </c>
      <c r="CY2" t="e">
        <f>+SUMIF([1]Cartera!$R:$R,$A2&amp;"_"&amp;CY$11,[1]Cartera!$J:$J)+SUMIF([1]Futuros!$AD:$AD,$A2&amp;"_"&amp;CY$11,[1]Futuros!$AK:$AK)+SUMIF([1]Opciones!$AF:$AF,$A2&amp;"_"&amp;CY$11,[1]Opciones!$AO:$AO)</f>
        <v>#VALUE!</v>
      </c>
      <c r="CZ2" t="e">
        <f>+SUMIF([1]Cartera!$R:$R,$A2&amp;"_"&amp;CZ$11,[1]Cartera!$J:$J)+SUMIF([1]Futuros!$AD:$AD,$A2&amp;"_"&amp;CZ$11,[1]Futuros!$AK:$AK)+SUMIF([1]Opciones!$AF:$AF,$A2&amp;"_"&amp;CZ$11,[1]Opciones!$AO:$AO)</f>
        <v>#VALUE!</v>
      </c>
      <c r="DA2" t="e">
        <f>+SUMIF([1]Cartera!$R:$R,$A2&amp;"_"&amp;DA$11,[1]Cartera!$J:$J)+SUMIF([1]Futuros!$AD:$AD,$A2&amp;"_"&amp;DA$11,[1]Futuros!$AK:$AK)+SUMIF([1]Opciones!$AF:$AF,$A2&amp;"_"&amp;DA$11,[1]Opciones!$AO:$AO)</f>
        <v>#VALUE!</v>
      </c>
      <c r="DB2" t="e">
        <f>+SUMIF([1]Cartera!$R:$R,$A2&amp;"_"&amp;DB$11,[1]Cartera!$J:$J)+SUMIF([1]Futuros!$AD:$AD,$A2&amp;"_"&amp;DB$11,[1]Futuros!$AK:$AK)+SUMIF([1]Opciones!$AF:$AF,$A2&amp;"_"&amp;DB$11,[1]Opciones!$AO:$AO)</f>
        <v>#VALUE!</v>
      </c>
      <c r="DC2" t="e">
        <f>+SUMIF([1]Cartera!$R:$R,$A2&amp;"_"&amp;DC$11,[1]Cartera!$J:$J)+SUMIF([1]Futuros!$AD:$AD,$A2&amp;"_"&amp;DC$11,[1]Futuros!$AK:$AK)+SUMIF([1]Opciones!$AF:$AF,$A2&amp;"_"&amp;DC$11,[1]Opciones!$AO:$AO)</f>
        <v>#VALUE!</v>
      </c>
      <c r="DD2" t="e">
        <f>+SUMIF([1]Cartera!$R:$R,$A2&amp;"_"&amp;DD$11,[1]Cartera!$J:$J)+SUMIF([1]Futuros!$AD:$AD,$A2&amp;"_"&amp;DD$11,[1]Futuros!$AK:$AK)+SUMIF([1]Opciones!$AF:$AF,$A2&amp;"_"&amp;DD$11,[1]Opciones!$AO:$AO)</f>
        <v>#VALUE!</v>
      </c>
      <c r="DE2" t="e">
        <f>+SUMIF([1]Cartera!$R:$R,$A2&amp;"_"&amp;DE$11,[1]Cartera!$J:$J)+SUMIF([1]Futuros!$AD:$AD,$A2&amp;"_"&amp;DE$11,[1]Futuros!$AK:$AK)+SUMIF([1]Opciones!$AF:$AF,$A2&amp;"_"&amp;DE$11,[1]Opciones!$AO:$AO)</f>
        <v>#VALUE!</v>
      </c>
      <c r="DF2" t="e">
        <f>+SUMIF([1]Cartera!$R:$R,$A2&amp;"_"&amp;DF$11,[1]Cartera!$J:$J)+SUMIF([1]Futuros!$AD:$AD,$A2&amp;"_"&amp;DF$11,[1]Futuros!$AK:$AK)+SUMIF([1]Opciones!$AF:$AF,$A2&amp;"_"&amp;DF$11,[1]Opciones!$AO:$AO)</f>
        <v>#VALUE!</v>
      </c>
      <c r="DG2" t="e">
        <f>+SUMIF([1]Cartera!$R:$R,$A2&amp;"_"&amp;DG$11,[1]Cartera!$J:$J)+SUMIF([1]Futuros!$AD:$AD,$A2&amp;"_"&amp;DG$11,[1]Futuros!$AK:$AK)+SUMIF([1]Opciones!$AF:$AF,$A2&amp;"_"&amp;DG$11,[1]Opciones!$AO:$AO)</f>
        <v>#VALUE!</v>
      </c>
      <c r="DH2" t="e">
        <f>+SUMIF([1]Cartera!$R:$R,$A2&amp;"_"&amp;DH$11,[1]Cartera!$J:$J)+SUMIF([1]Futuros!$AD:$AD,$A2&amp;"_"&amp;DH$11,[1]Futuros!$AK:$AK)+SUMIF([1]Opciones!$AF:$AF,$A2&amp;"_"&amp;DH$11,[1]Opciones!$AO:$AO)</f>
        <v>#VALUE!</v>
      </c>
      <c r="DI2" t="e">
        <f>+SUMIF([1]Cartera!$R:$R,$A2&amp;"_"&amp;DI$11,[1]Cartera!$J:$J)+SUMIF([1]Futuros!$AD:$AD,$A2&amp;"_"&amp;DI$11,[1]Futuros!$AK:$AK)+SUMIF([1]Opciones!$AF:$AF,$A2&amp;"_"&amp;DI$11,[1]Opciones!$AO:$AO)</f>
        <v>#VALUE!</v>
      </c>
      <c r="DJ2" t="e">
        <f>+SUMIF([1]Cartera!$R:$R,$A2&amp;"_"&amp;DJ$11,[1]Cartera!$J:$J)+SUMIF([1]Futuros!$AD:$AD,$A2&amp;"_"&amp;DJ$11,[1]Futuros!$AK:$AK)+SUMIF([1]Opciones!$AF:$AF,$A2&amp;"_"&amp;DJ$11,[1]Opciones!$AO:$AO)</f>
        <v>#VALUE!</v>
      </c>
      <c r="DK2" t="e">
        <f>+SUMIF([1]Cartera!$R:$R,$A2&amp;"_"&amp;DK$11,[1]Cartera!$J:$J)+SUMIF([1]Futuros!$AD:$AD,$A2&amp;"_"&amp;DK$11,[1]Futuros!$AK:$AK)+SUMIF([1]Opciones!$AF:$AF,$A2&amp;"_"&amp;DK$11,[1]Opciones!$AO:$AO)</f>
        <v>#VALUE!</v>
      </c>
      <c r="DL2" t="e">
        <f>+SUMIF([1]Cartera!$R:$R,$A2&amp;"_"&amp;DL$11,[1]Cartera!$J:$J)+SUMIF([1]Futuros!$AD:$AD,$A2&amp;"_"&amp;DL$11,[1]Futuros!$AK:$AK)+SUMIF([1]Opciones!$AF:$AF,$A2&amp;"_"&amp;DL$11,[1]Opciones!$AO:$AO)</f>
        <v>#VALUE!</v>
      </c>
      <c r="DM2" t="e">
        <f>+SUMIF([1]Cartera!$R:$R,$A2&amp;"_"&amp;DM$11,[1]Cartera!$J:$J)+SUMIF([1]Futuros!$AD:$AD,$A2&amp;"_"&amp;DM$11,[1]Futuros!$AK:$AK)+SUMIF([1]Opciones!$AF:$AF,$A2&amp;"_"&amp;DM$11,[1]Opciones!$AO:$AO)</f>
        <v>#VALUE!</v>
      </c>
      <c r="DN2" t="e">
        <f>+SUMIF([1]Cartera!$R:$R,$A2&amp;"_"&amp;DN$11,[1]Cartera!$J:$J)+SUMIF([1]Futuros!$AD:$AD,$A2&amp;"_"&amp;DN$11,[1]Futuros!$AK:$AK)+SUMIF([1]Opciones!$AF:$AF,$A2&amp;"_"&amp;DN$11,[1]Opciones!$AO:$AO)</f>
        <v>#VALUE!</v>
      </c>
      <c r="DO2" t="e">
        <f>+SUMIF([1]Cartera!$R:$R,$A2&amp;"_"&amp;DO$11,[1]Cartera!$J:$J)+SUMIF([1]Futuros!$AD:$AD,$A2&amp;"_"&amp;DO$11,[1]Futuros!$AK:$AK)+SUMIF([1]Opciones!$AF:$AF,$A2&amp;"_"&amp;DO$11,[1]Opciones!$AO:$AO)</f>
        <v>#VALUE!</v>
      </c>
      <c r="DP2" t="e">
        <f>+SUMIF([1]Cartera!$R:$R,$A2&amp;"_"&amp;DP$11,[1]Cartera!$J:$J)+SUMIF([1]Futuros!$AD:$AD,$A2&amp;"_"&amp;DP$11,[1]Futuros!$AK:$AK)+SUMIF([1]Opciones!$AF:$AF,$A2&amp;"_"&amp;DP$11,[1]Opciones!$AO:$AO)</f>
        <v>#VALUE!</v>
      </c>
      <c r="DQ2" t="e">
        <f>+SUMIF([1]Cartera!$R:$R,$A2&amp;"_"&amp;DQ$11,[1]Cartera!$J:$J)+SUMIF([1]Futuros!$AD:$AD,$A2&amp;"_"&amp;DQ$11,[1]Futuros!$AK:$AK)+SUMIF([1]Opciones!$AF:$AF,$A2&amp;"_"&amp;DQ$11,[1]Opciones!$AO:$AO)</f>
        <v>#VALUE!</v>
      </c>
      <c r="DR2" t="e">
        <f>+SUMIF([1]Cartera!$R:$R,$A2&amp;"_"&amp;DR$11,[1]Cartera!$J:$J)+SUMIF([1]Futuros!$AD:$AD,$A2&amp;"_"&amp;DR$11,[1]Futuros!$AK:$AK)+SUMIF([1]Opciones!$AF:$AF,$A2&amp;"_"&amp;DR$11,[1]Opciones!$AO:$AO)</f>
        <v>#VALUE!</v>
      </c>
      <c r="DS2" t="e">
        <f>+SUMIF([1]Cartera!$R:$R,$A2&amp;"_"&amp;DS$11,[1]Cartera!$J:$J)+SUMIF([1]Futuros!$AD:$AD,$A2&amp;"_"&amp;DS$11,[1]Futuros!$AK:$AK)+SUMIF([1]Opciones!$AF:$AF,$A2&amp;"_"&amp;DS$11,[1]Opciones!$AO:$AO)</f>
        <v>#VALUE!</v>
      </c>
      <c r="DT2" t="e">
        <f>+SUMIF([1]Cartera!$R:$R,$A2&amp;"_"&amp;DT$11,[1]Cartera!$J:$J)+SUMIF([1]Futuros!$AD:$AD,$A2&amp;"_"&amp;DT$11,[1]Futuros!$AK:$AK)+SUMIF([1]Opciones!$AF:$AF,$A2&amp;"_"&amp;DT$11,[1]Opciones!$AO:$AO)</f>
        <v>#VALUE!</v>
      </c>
      <c r="DU2" t="e">
        <f>+SUMIF([1]Cartera!$R:$R,$A2&amp;"_"&amp;DU$11,[1]Cartera!$J:$J)+SUMIF([1]Futuros!$AD:$AD,$A2&amp;"_"&amp;DU$11,[1]Futuros!$AK:$AK)+SUMIF([1]Opciones!$AF:$AF,$A2&amp;"_"&amp;DU$11,[1]Opciones!$AO:$AO)</f>
        <v>#VALUE!</v>
      </c>
      <c r="DV2" t="e">
        <f>+SUMIF([1]Cartera!$R:$R,$A2&amp;"_"&amp;DV$11,[1]Cartera!$J:$J)+SUMIF([1]Futuros!$AD:$AD,$A2&amp;"_"&amp;DV$11,[1]Futuros!$AK:$AK)+SUMIF([1]Opciones!$AF:$AF,$A2&amp;"_"&amp;DV$11,[1]Opciones!$AO:$AO)</f>
        <v>#VALUE!</v>
      </c>
      <c r="DW2" t="e">
        <f>+SUMIF([1]Cartera!$R:$R,$A2&amp;"_"&amp;DW$11,[1]Cartera!$J:$J)+SUMIF([1]Futuros!$AD:$AD,$A2&amp;"_"&amp;DW$11,[1]Futuros!$AK:$AK)+SUMIF([1]Opciones!$AF:$AF,$A2&amp;"_"&amp;DW$11,[1]Opciones!$AO:$AO)</f>
        <v>#VALUE!</v>
      </c>
      <c r="DX2" t="e">
        <f>+SUMIF([1]Cartera!$R:$R,$A2&amp;"_"&amp;DX$11,[1]Cartera!$J:$J)+SUMIF([1]Futuros!$AD:$AD,$A2&amp;"_"&amp;DX$11,[1]Futuros!$AK:$AK)+SUMIF([1]Opciones!$AF:$AF,$A2&amp;"_"&amp;DX$11,[1]Opciones!$AO:$AO)</f>
        <v>#VALUE!</v>
      </c>
      <c r="DY2" t="e">
        <f>+SUMIF([1]Cartera!$R:$R,$A2&amp;"_"&amp;DY$11,[1]Cartera!$J:$J)+SUMIF([1]Futuros!$AD:$AD,$A2&amp;"_"&amp;DY$11,[1]Futuros!$AK:$AK)+SUMIF([1]Opciones!$AF:$AF,$A2&amp;"_"&amp;DY$11,[1]Opciones!$AO:$AO)</f>
        <v>#VALUE!</v>
      </c>
      <c r="DZ2" t="e">
        <f>+SUMIF([1]Cartera!$R:$R,$A2&amp;"_"&amp;DZ$11,[1]Cartera!$J:$J)+SUMIF([1]Futuros!$AD:$AD,$A2&amp;"_"&amp;DZ$11,[1]Futuros!$AK:$AK)+SUMIF([1]Opciones!$AF:$AF,$A2&amp;"_"&amp;DZ$11,[1]Opciones!$AO:$AO)</f>
        <v>#VALUE!</v>
      </c>
      <c r="EA2" t="e">
        <f>+SUMIF([1]Cartera!$R:$R,$A2&amp;"_"&amp;EA$11,[1]Cartera!$J:$J)+SUMIF([1]Futuros!$AD:$AD,$A2&amp;"_"&amp;EA$11,[1]Futuros!$AK:$AK)+SUMIF([1]Opciones!$AF:$AF,$A2&amp;"_"&amp;EA$11,[1]Opciones!$AO:$AO)</f>
        <v>#VALUE!</v>
      </c>
      <c r="EB2" t="e">
        <f>+SUMIF([1]Cartera!$R:$R,$A2&amp;"_"&amp;EB$11,[1]Cartera!$J:$J)+SUMIF([1]Futuros!$AD:$AD,$A2&amp;"_"&amp;EB$11,[1]Futuros!$AK:$AK)+SUMIF([1]Opciones!$AF:$AF,$A2&amp;"_"&amp;EB$11,[1]Opciones!$AO:$AO)</f>
        <v>#VALUE!</v>
      </c>
      <c r="EC2" t="e">
        <f>+SUMIF([1]Cartera!$R:$R,$A2&amp;"_"&amp;EC$11,[1]Cartera!$J:$J)+SUMIF([1]Futuros!$AD:$AD,$A2&amp;"_"&amp;EC$11,[1]Futuros!$AK:$AK)+SUMIF([1]Opciones!$AF:$AF,$A2&amp;"_"&amp;EC$11,[1]Opciones!$AO:$AO)</f>
        <v>#VALUE!</v>
      </c>
      <c r="ED2" t="e">
        <f>+SUMIF([1]Cartera!$R:$R,$A2&amp;"_"&amp;ED$11,[1]Cartera!$J:$J)+SUMIF([1]Futuros!$AD:$AD,$A2&amp;"_"&amp;ED$11,[1]Futuros!$AK:$AK)+SUMIF([1]Opciones!$AF:$AF,$A2&amp;"_"&amp;ED$11,[1]Opciones!$AO:$AO)</f>
        <v>#VALUE!</v>
      </c>
      <c r="EE2" t="e">
        <f>+SUMIF([1]Cartera!$R:$R,$A2&amp;"_"&amp;EE$11,[1]Cartera!$J:$J)+SUMIF([1]Futuros!$AD:$AD,$A2&amp;"_"&amp;EE$11,[1]Futuros!$AK:$AK)+SUMIF([1]Opciones!$AF:$AF,$A2&amp;"_"&amp;EE$11,[1]Opciones!$AO:$AO)</f>
        <v>#VALUE!</v>
      </c>
      <c r="EF2" t="e">
        <f>+SUMIF([1]Cartera!$R:$R,$A2&amp;"_"&amp;EF$11,[1]Cartera!$J:$J)+SUMIF([1]Futuros!$AD:$AD,$A2&amp;"_"&amp;EF$11,[1]Futuros!$AK:$AK)+SUMIF([1]Opciones!$AF:$AF,$A2&amp;"_"&amp;EF$11,[1]Opciones!$AO:$AO)</f>
        <v>#VALUE!</v>
      </c>
      <c r="EG2" t="e">
        <f>+SUMIF([1]Cartera!$R:$R,$A2&amp;"_"&amp;EG$11,[1]Cartera!$J:$J)+SUMIF([1]Futuros!$AD:$AD,$A2&amp;"_"&amp;EG$11,[1]Futuros!$AK:$AK)+SUMIF([1]Opciones!$AF:$AF,$A2&amp;"_"&amp;EG$11,[1]Opciones!$AO:$AO)</f>
        <v>#VALUE!</v>
      </c>
      <c r="EH2" t="e">
        <f>+SUMIF([1]Cartera!$R:$R,$A2&amp;"_"&amp;EH$11,[1]Cartera!$J:$J)+SUMIF([1]Futuros!$AD:$AD,$A2&amp;"_"&amp;EH$11,[1]Futuros!$AK:$AK)+SUMIF([1]Opciones!$AF:$AF,$A2&amp;"_"&amp;EH$11,[1]Opciones!$AO:$AO)</f>
        <v>#VALUE!</v>
      </c>
      <c r="EI2" t="e">
        <f>+SUMIF([1]Cartera!$R:$R,$A2&amp;"_"&amp;EI$11,[1]Cartera!$J:$J)+SUMIF([1]Futuros!$AD:$AD,$A2&amp;"_"&amp;EI$11,[1]Futuros!$AK:$AK)+SUMIF([1]Opciones!$AF:$AF,$A2&amp;"_"&amp;EI$11,[1]Opciones!$AO:$AO)</f>
        <v>#VALUE!</v>
      </c>
      <c r="EJ2" t="e">
        <f>+SUMIF([1]Cartera!$R:$R,$A2&amp;"_"&amp;EJ$11,[1]Cartera!$J:$J)+SUMIF([1]Futuros!$AD:$AD,$A2&amp;"_"&amp;EJ$11,[1]Futuros!$AK:$AK)+SUMIF([1]Opciones!$AF:$AF,$A2&amp;"_"&amp;EJ$11,[1]Opciones!$AO:$AO)</f>
        <v>#VALUE!</v>
      </c>
      <c r="EK2" t="e">
        <f>+SUMIF([1]Cartera!$R:$R,$A2&amp;"_"&amp;EK$11,[1]Cartera!$J:$J)+SUMIF([1]Futuros!$AD:$AD,$A2&amp;"_"&amp;EK$11,[1]Futuros!$AK:$AK)+SUMIF([1]Opciones!$AF:$AF,$A2&amp;"_"&amp;EK$11,[1]Opciones!$AO:$AO)</f>
        <v>#VALUE!</v>
      </c>
      <c r="EL2" t="e">
        <f>+SUMIF([1]Cartera!$R:$R,$A2&amp;"_"&amp;EL$11,[1]Cartera!$J:$J)+SUMIF([1]Futuros!$AD:$AD,$A2&amp;"_"&amp;EL$11,[1]Futuros!$AK:$AK)+SUMIF([1]Opciones!$AF:$AF,$A2&amp;"_"&amp;EL$11,[1]Opciones!$AO:$AO)</f>
        <v>#VALUE!</v>
      </c>
      <c r="EM2" t="e">
        <f>+SUMIF([1]Cartera!$R:$R,$A2&amp;"_"&amp;EM$11,[1]Cartera!$J:$J)+SUMIF([1]Futuros!$AD:$AD,$A2&amp;"_"&amp;EM$11,[1]Futuros!$AK:$AK)+SUMIF([1]Opciones!$AF:$AF,$A2&amp;"_"&amp;EM$11,[1]Opciones!$AO:$AO)</f>
        <v>#VALUE!</v>
      </c>
      <c r="EN2" t="e">
        <f>+SUMIF([1]Cartera!$R:$R,$A2&amp;"_"&amp;EN$11,[1]Cartera!$J:$J)+SUMIF([1]Futuros!$AD:$AD,$A2&amp;"_"&amp;EN$11,[1]Futuros!$AK:$AK)+SUMIF([1]Opciones!$AF:$AF,$A2&amp;"_"&amp;EN$11,[1]Opciones!$AO:$AO)</f>
        <v>#VALUE!</v>
      </c>
      <c r="EO2" t="e">
        <f>+SUMIF([1]Cartera!$R:$R,$A2&amp;"_"&amp;EO$11,[1]Cartera!$J:$J)+SUMIF([1]Futuros!$AD:$AD,$A2&amp;"_"&amp;EO$11,[1]Futuros!$AK:$AK)+SUMIF([1]Opciones!$AF:$AF,$A2&amp;"_"&amp;EO$11,[1]Opciones!$AO:$AO)</f>
        <v>#VALUE!</v>
      </c>
      <c r="EP2" t="e">
        <f>+SUMIF([1]Cartera!$R:$R,$A2&amp;"_"&amp;EP$11,[1]Cartera!$J:$J)+SUMIF([1]Futuros!$AD:$AD,$A2&amp;"_"&amp;EP$11,[1]Futuros!$AK:$AK)+SUMIF([1]Opciones!$AF:$AF,$A2&amp;"_"&amp;EP$11,[1]Opciones!$AO:$AO)</f>
        <v>#VALUE!</v>
      </c>
      <c r="EQ2" t="e">
        <f>+SUMIF([1]Cartera!$R:$R,$A2&amp;"_"&amp;EQ$11,[1]Cartera!$J:$J)+SUMIF([1]Futuros!$AD:$AD,$A2&amp;"_"&amp;EQ$11,[1]Futuros!$AK:$AK)+SUMIF([1]Opciones!$AF:$AF,$A2&amp;"_"&amp;EQ$11,[1]Opciones!$AO:$AO)</f>
        <v>#VALUE!</v>
      </c>
      <c r="ER2" t="e">
        <f>+SUMIF([1]Cartera!$R:$R,$A2&amp;"_"&amp;ER$11,[1]Cartera!$J:$J)+SUMIF([1]Futuros!$AD:$AD,$A2&amp;"_"&amp;ER$11,[1]Futuros!$AK:$AK)+SUMIF([1]Opciones!$AF:$AF,$A2&amp;"_"&amp;ER$11,[1]Opciones!$AO:$AO)</f>
        <v>#VALUE!</v>
      </c>
      <c r="ES2" t="e">
        <f>+SUMIF([1]Cartera!$R:$R,$A2&amp;"_"&amp;ES$11,[1]Cartera!$J:$J)+SUMIF([1]Futuros!$AD:$AD,$A2&amp;"_"&amp;ES$11,[1]Futuros!$AK:$AK)+SUMIF([1]Opciones!$AF:$AF,$A2&amp;"_"&amp;ES$11,[1]Opciones!$AO:$AO)</f>
        <v>#VALUE!</v>
      </c>
      <c r="ET2" t="e">
        <f>+SUMIF([1]Cartera!$R:$R,$A2&amp;"_"&amp;ET$11,[1]Cartera!$J:$J)+SUMIF([1]Futuros!$AD:$AD,$A2&amp;"_"&amp;ET$11,[1]Futuros!$AK:$AK)+SUMIF([1]Opciones!$AF:$AF,$A2&amp;"_"&amp;ET$11,[1]Opciones!$AO:$AO)</f>
        <v>#VALUE!</v>
      </c>
      <c r="EU2" t="e">
        <f>+SUMIF([1]Cartera!$R:$R,$A2&amp;"_"&amp;EU$11,[1]Cartera!$J:$J)+SUMIF([1]Futuros!$AD:$AD,$A2&amp;"_"&amp;EU$11,[1]Futuros!$AK:$AK)+SUMIF([1]Opciones!$AF:$AF,$A2&amp;"_"&amp;EU$11,[1]Opciones!$AO:$AO)</f>
        <v>#VALUE!</v>
      </c>
      <c r="EV2" t="e">
        <f>+SUMIF([1]Cartera!$R:$R,$A2&amp;"_"&amp;EV$11,[1]Cartera!$J:$J)+SUMIF([1]Futuros!$AD:$AD,$A2&amp;"_"&amp;EV$11,[1]Futuros!$AK:$AK)+SUMIF([1]Opciones!$AF:$AF,$A2&amp;"_"&amp;EV$11,[1]Opciones!$AO:$AO)</f>
        <v>#VALUE!</v>
      </c>
      <c r="EW2" t="e">
        <f>+SUMIF([1]Cartera!$R:$R,$A2&amp;"_"&amp;EW$11,[1]Cartera!$J:$J)+SUMIF([1]Futuros!$AD:$AD,$A2&amp;"_"&amp;EW$11,[1]Futuros!$AK:$AK)+SUMIF([1]Opciones!$AF:$AF,$A2&amp;"_"&amp;EW$11,[1]Opciones!$AO:$AO)</f>
        <v>#VALUE!</v>
      </c>
      <c r="EX2" t="e">
        <f>+SUMIF([1]Cartera!$R:$R,$A2&amp;"_"&amp;EX$11,[1]Cartera!$J:$J)+SUMIF([1]Futuros!$AD:$AD,$A2&amp;"_"&amp;EX$11,[1]Futuros!$AK:$AK)+SUMIF([1]Opciones!$AF:$AF,$A2&amp;"_"&amp;EX$11,[1]Opciones!$AO:$AO)</f>
        <v>#VALUE!</v>
      </c>
      <c r="EY2" t="e">
        <f>+SUMIF([1]Cartera!$R:$R,$A2&amp;"_"&amp;EY$11,[1]Cartera!$J:$J)+SUMIF([1]Futuros!$AD:$AD,$A2&amp;"_"&amp;EY$11,[1]Futuros!$AK:$AK)+SUMIF([1]Opciones!$AF:$AF,$A2&amp;"_"&amp;EY$11,[1]Opciones!$AO:$AO)</f>
        <v>#VALUE!</v>
      </c>
      <c r="EZ2" t="e">
        <f>+SUMIF([1]Cartera!$R:$R,$A2&amp;"_"&amp;EZ$11,[1]Cartera!$J:$J)+SUMIF([1]Futuros!$AD:$AD,$A2&amp;"_"&amp;EZ$11,[1]Futuros!$AK:$AK)+SUMIF([1]Opciones!$AF:$AF,$A2&amp;"_"&amp;EZ$11,[1]Opciones!$AO:$AO)</f>
        <v>#VALUE!</v>
      </c>
      <c r="FA2" t="e">
        <f>+SUMIF([1]Cartera!$R:$R,$A2&amp;"_"&amp;FA$11,[1]Cartera!$J:$J)+SUMIF([1]Futuros!$AD:$AD,$A2&amp;"_"&amp;FA$11,[1]Futuros!$AK:$AK)+SUMIF([1]Opciones!$AF:$AF,$A2&amp;"_"&amp;FA$11,[1]Opciones!$AO:$AO)</f>
        <v>#VALUE!</v>
      </c>
      <c r="FB2" t="e">
        <f>+SUMIF([1]Cartera!$R:$R,$A2&amp;"_"&amp;FB$11,[1]Cartera!$J:$J)+SUMIF([1]Futuros!$AD:$AD,$A2&amp;"_"&amp;FB$11,[1]Futuros!$AK:$AK)+SUMIF([1]Opciones!$AF:$AF,$A2&amp;"_"&amp;FB$11,[1]Opciones!$AO:$AO)</f>
        <v>#VALUE!</v>
      </c>
      <c r="FC2" t="e">
        <f>+SUMIF([1]Cartera!$R:$R,$A2&amp;"_"&amp;FC$11,[1]Cartera!$J:$J)+SUMIF([1]Futuros!$AD:$AD,$A2&amp;"_"&amp;FC$11,[1]Futuros!$AK:$AK)+SUMIF([1]Opciones!$AF:$AF,$A2&amp;"_"&amp;FC$11,[1]Opciones!$AO:$AO)</f>
        <v>#VALUE!</v>
      </c>
      <c r="FD2" t="e">
        <f>+SUMIF([1]Cartera!$R:$R,$A2&amp;"_"&amp;FD$11,[1]Cartera!$J:$J)+SUMIF([1]Futuros!$AD:$AD,$A2&amp;"_"&amp;FD$11,[1]Futuros!$AK:$AK)+SUMIF([1]Opciones!$AF:$AF,$A2&amp;"_"&amp;FD$11,[1]Opciones!$AO:$AO)</f>
        <v>#VALUE!</v>
      </c>
      <c r="FE2" t="e">
        <f>+SUMIF([1]Cartera!$R:$R,$A2&amp;"_"&amp;FE$11,[1]Cartera!$J:$J)+SUMIF([1]Futuros!$AD:$AD,$A2&amp;"_"&amp;FE$11,[1]Futuros!$AK:$AK)+SUMIF([1]Opciones!$AF:$AF,$A2&amp;"_"&amp;FE$11,[1]Opciones!$AO:$AO)</f>
        <v>#VALUE!</v>
      </c>
      <c r="FF2" t="e">
        <f>+SUMIF([1]Cartera!$R:$R,$A2&amp;"_"&amp;FF$11,[1]Cartera!$J:$J)+SUMIF([1]Futuros!$AD:$AD,$A2&amp;"_"&amp;FF$11,[1]Futuros!$AK:$AK)+SUMIF([1]Opciones!$AF:$AF,$A2&amp;"_"&amp;FF$11,[1]Opciones!$AO:$AO)</f>
        <v>#VALUE!</v>
      </c>
      <c r="FG2" t="e">
        <f>+SUMIF([1]Cartera!$R:$R,$A2&amp;"_"&amp;FG$11,[1]Cartera!$J:$J)+SUMIF([1]Futuros!$AD:$AD,$A2&amp;"_"&amp;FG$11,[1]Futuros!$AK:$AK)+SUMIF([1]Opciones!$AF:$AF,$A2&amp;"_"&amp;FG$11,[1]Opciones!$AO:$AO)</f>
        <v>#VALUE!</v>
      </c>
      <c r="FH2" t="e">
        <f>+SUMIF([1]Cartera!$R:$R,$A2&amp;"_"&amp;FH$11,[1]Cartera!$J:$J)+SUMIF([1]Futuros!$AD:$AD,$A2&amp;"_"&amp;FH$11,[1]Futuros!$AK:$AK)+SUMIF([1]Opciones!$AF:$AF,$A2&amp;"_"&amp;FH$11,[1]Opciones!$AO:$AO)</f>
        <v>#VALUE!</v>
      </c>
      <c r="FI2" t="e">
        <f>+SUMIF([1]Cartera!$R:$R,$A2&amp;"_"&amp;FI$11,[1]Cartera!$J:$J)+SUMIF([1]Futuros!$AD:$AD,$A2&amp;"_"&amp;FI$11,[1]Futuros!$AK:$AK)+SUMIF([1]Opciones!$AF:$AF,$A2&amp;"_"&amp;FI$11,[1]Opciones!$AO:$AO)</f>
        <v>#VALUE!</v>
      </c>
      <c r="FJ2" t="e">
        <f>+SUMIF([1]Cartera!$R:$R,$A2&amp;"_"&amp;FJ$11,[1]Cartera!$J:$J)+SUMIF([1]Futuros!$AD:$AD,$A2&amp;"_"&amp;FJ$11,[1]Futuros!$AK:$AK)+SUMIF([1]Opciones!$AF:$AF,$A2&amp;"_"&amp;FJ$11,[1]Opciones!$AO:$AO)</f>
        <v>#VALUE!</v>
      </c>
      <c r="FK2" t="e">
        <f>+SUMIF([1]Cartera!$R:$R,$A2&amp;"_"&amp;FK$11,[1]Cartera!$J:$J)+SUMIF([1]Futuros!$AD:$AD,$A2&amp;"_"&amp;FK$11,[1]Futuros!$AK:$AK)+SUMIF([1]Opciones!$AF:$AF,$A2&amp;"_"&amp;FK$11,[1]Opciones!$AO:$AO)</f>
        <v>#VALUE!</v>
      </c>
      <c r="FL2" t="e">
        <f>+SUMIF([1]Cartera!$R:$R,$A2&amp;"_"&amp;FL$11,[1]Cartera!$J:$J)+SUMIF([1]Futuros!$AD:$AD,$A2&amp;"_"&amp;FL$11,[1]Futuros!$AK:$AK)+SUMIF([1]Opciones!$AF:$AF,$A2&amp;"_"&amp;FL$11,[1]Opciones!$AO:$AO)</f>
        <v>#VALUE!</v>
      </c>
      <c r="FM2" t="e">
        <f>+SUMIF([1]Cartera!$R:$R,$A2&amp;"_"&amp;FM$11,[1]Cartera!$J:$J)+SUMIF([1]Futuros!$AD:$AD,$A2&amp;"_"&amp;FM$11,[1]Futuros!$AK:$AK)+SUMIF([1]Opciones!$AF:$AF,$A2&amp;"_"&amp;FM$11,[1]Opciones!$AO:$AO)</f>
        <v>#VALUE!</v>
      </c>
      <c r="FN2" t="e">
        <f>+SUMIF([1]Cartera!$R:$R,$A2&amp;"_"&amp;FN$11,[1]Cartera!$J:$J)+SUMIF([1]Futuros!$AD:$AD,$A2&amp;"_"&amp;FN$11,[1]Futuros!$AK:$AK)+SUMIF([1]Opciones!$AF:$AF,$A2&amp;"_"&amp;FN$11,[1]Opciones!$AO:$AO)</f>
        <v>#VALUE!</v>
      </c>
      <c r="FO2" t="e">
        <f>+SUMIF([1]Cartera!$R:$R,$A2&amp;"_"&amp;FO$11,[1]Cartera!$J:$J)+SUMIF([1]Futuros!$AD:$AD,$A2&amp;"_"&amp;FO$11,[1]Futuros!$AK:$AK)+SUMIF([1]Opciones!$AF:$AF,$A2&amp;"_"&amp;FO$11,[1]Opciones!$AO:$AO)</f>
        <v>#VALUE!</v>
      </c>
      <c r="FP2" t="e">
        <f>+SUMIF([1]Cartera!$R:$R,$A2&amp;"_"&amp;FP$11,[1]Cartera!$J:$J)+SUMIF([1]Futuros!$AD:$AD,$A2&amp;"_"&amp;FP$11,[1]Futuros!$AK:$AK)+SUMIF([1]Opciones!$AF:$AF,$A2&amp;"_"&amp;FP$11,[1]Opciones!$AO:$AO)</f>
        <v>#VALUE!</v>
      </c>
      <c r="FQ2" t="e">
        <f>+SUMIF([1]Cartera!$R:$R,$A2&amp;"_"&amp;FQ$11,[1]Cartera!$J:$J)+SUMIF([1]Futuros!$AD:$AD,$A2&amp;"_"&amp;FQ$11,[1]Futuros!$AK:$AK)+SUMIF([1]Opciones!$AF:$AF,$A2&amp;"_"&amp;FQ$11,[1]Opciones!$AO:$AO)</f>
        <v>#VALUE!</v>
      </c>
      <c r="FR2" t="e">
        <f>+SUMIF([1]Cartera!$R:$R,$A2&amp;"_"&amp;FR$11,[1]Cartera!$J:$J)+SUMIF([1]Futuros!$AD:$AD,$A2&amp;"_"&amp;FR$11,[1]Futuros!$AK:$AK)+SUMIF([1]Opciones!$AF:$AF,$A2&amp;"_"&amp;FR$11,[1]Opciones!$AO:$AO)</f>
        <v>#VALUE!</v>
      </c>
      <c r="FS2" t="e">
        <f>+SUMIF([1]Cartera!$R:$R,$A2&amp;"_"&amp;FS$11,[1]Cartera!$J:$J)+SUMIF([1]Futuros!$AD:$AD,$A2&amp;"_"&amp;FS$11,[1]Futuros!$AK:$AK)+SUMIF([1]Opciones!$AF:$AF,$A2&amp;"_"&amp;FS$11,[1]Opciones!$AO:$AO)</f>
        <v>#VALUE!</v>
      </c>
      <c r="FT2" t="e">
        <f>+SUMIF([1]Cartera!$R:$R,$A2&amp;"_"&amp;FT$11,[1]Cartera!$J:$J)+SUMIF([1]Futuros!$AD:$AD,$A2&amp;"_"&amp;FT$11,[1]Futuros!$AK:$AK)+SUMIF([1]Opciones!$AF:$AF,$A2&amp;"_"&amp;FT$11,[1]Opciones!$AO:$AO)</f>
        <v>#VALUE!</v>
      </c>
      <c r="FU2" t="e">
        <f>+SUMIF([1]Cartera!$R:$R,$A2&amp;"_"&amp;FU$11,[1]Cartera!$J:$J)+SUMIF([1]Futuros!$AD:$AD,$A2&amp;"_"&amp;FU$11,[1]Futuros!$AK:$AK)+SUMIF([1]Opciones!$AF:$AF,$A2&amp;"_"&amp;FU$11,[1]Opciones!$AO:$AO)</f>
        <v>#VALUE!</v>
      </c>
      <c r="FV2" t="e">
        <f>+SUMIF([1]Cartera!$R:$R,$A2&amp;"_"&amp;FV$11,[1]Cartera!$J:$J)+SUMIF([1]Futuros!$AD:$AD,$A2&amp;"_"&amp;FV$11,[1]Futuros!$AK:$AK)+SUMIF([1]Opciones!$AF:$AF,$A2&amp;"_"&amp;FV$11,[1]Opciones!$AO:$AO)</f>
        <v>#VALUE!</v>
      </c>
      <c r="FW2" t="e">
        <f>+SUMIF([1]Cartera!$R:$R,$A2&amp;"_"&amp;FW$11,[1]Cartera!$J:$J)+SUMIF([1]Futuros!$AD:$AD,$A2&amp;"_"&amp;FW$11,[1]Futuros!$AK:$AK)+SUMIF([1]Opciones!$AF:$AF,$A2&amp;"_"&amp;FW$11,[1]Opciones!$AO:$AO)</f>
        <v>#VALUE!</v>
      </c>
      <c r="FX2" t="e">
        <f>+SUMIF([1]Cartera!$R:$R,$A2&amp;"_"&amp;FX$11,[1]Cartera!$J:$J)+SUMIF([1]Futuros!$AD:$AD,$A2&amp;"_"&amp;FX$11,[1]Futuros!$AK:$AK)+SUMIF([1]Opciones!$AF:$AF,$A2&amp;"_"&amp;FX$11,[1]Opciones!$AO:$AO)</f>
        <v>#VALUE!</v>
      </c>
      <c r="FY2" t="e">
        <f>+SUMIF([1]Cartera!$R:$R,$A2&amp;"_"&amp;FY$11,[1]Cartera!$J:$J)+SUMIF([1]Futuros!$AD:$AD,$A2&amp;"_"&amp;FY$11,[1]Futuros!$AK:$AK)+SUMIF([1]Opciones!$AF:$AF,$A2&amp;"_"&amp;FY$11,[1]Opciones!$AO:$AO)</f>
        <v>#VALUE!</v>
      </c>
      <c r="FZ2" t="e">
        <f>+SUMIF([1]Cartera!$R:$R,$A2&amp;"_"&amp;FZ$11,[1]Cartera!$J:$J)+SUMIF([1]Futuros!$AD:$AD,$A2&amp;"_"&amp;FZ$11,[1]Futuros!$AK:$AK)+SUMIF([1]Opciones!$AF:$AF,$A2&amp;"_"&amp;FZ$11,[1]Opciones!$AO:$AO)</f>
        <v>#VALUE!</v>
      </c>
      <c r="GA2" t="e">
        <f>+SUMIF([1]Cartera!$R:$R,$A2&amp;"_"&amp;GA$11,[1]Cartera!$J:$J)+SUMIF([1]Futuros!$AD:$AD,$A2&amp;"_"&amp;GA$11,[1]Futuros!$AK:$AK)+SUMIF([1]Opciones!$AF:$AF,$A2&amp;"_"&amp;GA$11,[1]Opciones!$AO:$AO)</f>
        <v>#VALUE!</v>
      </c>
      <c r="GB2" t="e">
        <f>+SUMIF([1]Cartera!$R:$R,$A2&amp;"_"&amp;GB$11,[1]Cartera!$J:$J)+SUMIF([1]Futuros!$AD:$AD,$A2&amp;"_"&amp;GB$11,[1]Futuros!$AK:$AK)+SUMIF([1]Opciones!$AF:$AF,$A2&amp;"_"&amp;GB$11,[1]Opciones!$AO:$AO)</f>
        <v>#VALUE!</v>
      </c>
      <c r="GC2" t="e">
        <f>+SUMIF([1]Cartera!$R:$R,$A2&amp;"_"&amp;GC$11,[1]Cartera!$J:$J)+SUMIF([1]Futuros!$AD:$AD,$A2&amp;"_"&amp;GC$11,[1]Futuros!$AK:$AK)+SUMIF([1]Opciones!$AF:$AF,$A2&amp;"_"&amp;GC$11,[1]Opciones!$AO:$AO)</f>
        <v>#VALUE!</v>
      </c>
      <c r="GD2" t="e">
        <f>+SUMIF([1]Cartera!$R:$R,$A2&amp;"_"&amp;GD$11,[1]Cartera!$J:$J)+SUMIF([1]Futuros!$AD:$AD,$A2&amp;"_"&amp;GD$11,[1]Futuros!$AK:$AK)+SUMIF([1]Opciones!$AF:$AF,$A2&amp;"_"&amp;GD$11,[1]Opciones!$AO:$AO)</f>
        <v>#VALUE!</v>
      </c>
      <c r="GE2" t="e">
        <f>+SUMIF([1]Cartera!$R:$R,$A2&amp;"_"&amp;GE$11,[1]Cartera!$J:$J)+SUMIF([1]Futuros!$AD:$AD,$A2&amp;"_"&amp;GE$11,[1]Futuros!$AK:$AK)+SUMIF([1]Opciones!$AF:$AF,$A2&amp;"_"&amp;GE$11,[1]Opciones!$AO:$AO)</f>
        <v>#VALUE!</v>
      </c>
      <c r="GF2" t="e">
        <f>+SUMIF([1]Cartera!$R:$R,$A2&amp;"_"&amp;GF$11,[1]Cartera!$J:$J)+SUMIF([1]Futuros!$AD:$AD,$A2&amp;"_"&amp;GF$11,[1]Futuros!$AK:$AK)+SUMIF([1]Opciones!$AF:$AF,$A2&amp;"_"&amp;GF$11,[1]Opciones!$AO:$AO)</f>
        <v>#VALUE!</v>
      </c>
      <c r="GG2" t="e">
        <f>+SUMIF([1]Cartera!$R:$R,$A2&amp;"_"&amp;GG$11,[1]Cartera!$J:$J)+SUMIF([1]Futuros!$AD:$AD,$A2&amp;"_"&amp;GG$11,[1]Futuros!$AK:$AK)+SUMIF([1]Opciones!$AF:$AF,$A2&amp;"_"&amp;GG$11,[1]Opciones!$AO:$AO)</f>
        <v>#VALUE!</v>
      </c>
      <c r="GH2" t="e">
        <f>+SUMIF([1]Cartera!$R:$R,$A2&amp;"_"&amp;GH$11,[1]Cartera!$J:$J)+SUMIF([1]Futuros!$AD:$AD,$A2&amp;"_"&amp;GH$11,[1]Futuros!$AK:$AK)+SUMIF([1]Opciones!$AF:$AF,$A2&amp;"_"&amp;GH$11,[1]Opciones!$AO:$AO)</f>
        <v>#VALUE!</v>
      </c>
      <c r="GI2" t="e">
        <f>+SUMIF([1]Cartera!$R:$R,$A2&amp;"_"&amp;GI$11,[1]Cartera!$J:$J)+SUMIF([1]Futuros!$AD:$AD,$A2&amp;"_"&amp;GI$11,[1]Futuros!$AK:$AK)+SUMIF([1]Opciones!$AF:$AF,$A2&amp;"_"&amp;GI$11,[1]Opciones!$AO:$AO)</f>
        <v>#VALUE!</v>
      </c>
      <c r="GJ2" t="e">
        <f>+SUMIF([1]Cartera!$R:$R,$A2&amp;"_"&amp;GJ$11,[1]Cartera!$J:$J)+SUMIF([1]Futuros!$AD:$AD,$A2&amp;"_"&amp;GJ$11,[1]Futuros!$AK:$AK)+SUMIF([1]Opciones!$AF:$AF,$A2&amp;"_"&amp;GJ$11,[1]Opciones!$AO:$AO)</f>
        <v>#VALUE!</v>
      </c>
      <c r="GK2" t="e">
        <f>+SUMIF([1]Cartera!$R:$R,$A2&amp;"_"&amp;GK$11,[1]Cartera!$J:$J)+SUMIF([1]Futuros!$AD:$AD,$A2&amp;"_"&amp;GK$11,[1]Futuros!$AK:$AK)+SUMIF([1]Opciones!$AF:$AF,$A2&amp;"_"&amp;GK$11,[1]Opciones!$AO:$AO)</f>
        <v>#VALUE!</v>
      </c>
      <c r="GL2" t="e">
        <f>+SUMIF([1]Cartera!$R:$R,$A2&amp;"_"&amp;GL$11,[1]Cartera!$J:$J)+SUMIF([1]Futuros!$AD:$AD,$A2&amp;"_"&amp;GL$11,[1]Futuros!$AK:$AK)+SUMIF([1]Opciones!$AF:$AF,$A2&amp;"_"&amp;GL$11,[1]Opciones!$AO:$AO)</f>
        <v>#VALUE!</v>
      </c>
      <c r="GM2" t="e">
        <f>+SUMIF([1]Cartera!$R:$R,$A2&amp;"_"&amp;GM$11,[1]Cartera!$J:$J)+SUMIF([1]Futuros!$AD:$AD,$A2&amp;"_"&amp;GM$11,[1]Futuros!$AK:$AK)+SUMIF([1]Opciones!$AF:$AF,$A2&amp;"_"&amp;GM$11,[1]Opciones!$AO:$AO)</f>
        <v>#VALUE!</v>
      </c>
      <c r="GN2" t="e">
        <f>+SUMIF([1]Cartera!$R:$R,$A2&amp;"_"&amp;GN$11,[1]Cartera!$J:$J)+SUMIF([1]Futuros!$AD:$AD,$A2&amp;"_"&amp;GN$11,[1]Futuros!$AK:$AK)+SUMIF([1]Opciones!$AF:$AF,$A2&amp;"_"&amp;GN$11,[1]Opciones!$AO:$AO)</f>
        <v>#VALUE!</v>
      </c>
      <c r="GO2" t="e">
        <f>+SUMIF([1]Cartera!$R:$R,$A2&amp;"_"&amp;GO$11,[1]Cartera!$J:$J)+SUMIF([1]Futuros!$AD:$AD,$A2&amp;"_"&amp;GO$11,[1]Futuros!$AK:$AK)+SUMIF([1]Opciones!$AF:$AF,$A2&amp;"_"&amp;GO$11,[1]Opciones!$AO:$AO)</f>
        <v>#VALUE!</v>
      </c>
      <c r="GP2" t="e">
        <f>+SUMIF([1]Cartera!$R:$R,$A2&amp;"_"&amp;GP$11,[1]Cartera!$J:$J)+SUMIF([1]Futuros!$AD:$AD,$A2&amp;"_"&amp;GP$11,[1]Futuros!$AK:$AK)+SUMIF([1]Opciones!$AF:$AF,$A2&amp;"_"&amp;GP$11,[1]Opciones!$AO:$AO)</f>
        <v>#VALUE!</v>
      </c>
      <c r="GQ2" t="e">
        <f>+SUMIF([1]Cartera!$R:$R,$A2&amp;"_"&amp;GQ$11,[1]Cartera!$J:$J)+SUMIF([1]Futuros!$AD:$AD,$A2&amp;"_"&amp;GQ$11,[1]Futuros!$AK:$AK)+SUMIF([1]Opciones!$AF:$AF,$A2&amp;"_"&amp;GQ$11,[1]Opciones!$AO:$AO)</f>
        <v>#VALUE!</v>
      </c>
      <c r="GR2" t="e">
        <f>+SUMIF([1]Cartera!$R:$R,$A2&amp;"_"&amp;GR$11,[1]Cartera!$J:$J)+SUMIF([1]Futuros!$AD:$AD,$A2&amp;"_"&amp;GR$11,[1]Futuros!$AK:$AK)+SUMIF([1]Opciones!$AF:$AF,$A2&amp;"_"&amp;GR$11,[1]Opciones!$AO:$AO)</f>
        <v>#VALUE!</v>
      </c>
      <c r="GS2" t="e">
        <f>+SUMIF([1]Cartera!$R:$R,$A2&amp;"_"&amp;GS$11,[1]Cartera!$J:$J)+SUMIF([1]Futuros!$AD:$AD,$A2&amp;"_"&amp;GS$11,[1]Futuros!$AK:$AK)+SUMIF([1]Opciones!$AF:$AF,$A2&amp;"_"&amp;GS$11,[1]Opciones!$AO:$AO)</f>
        <v>#VALUE!</v>
      </c>
      <c r="GT2" t="e">
        <f>+SUMIF([1]Cartera!$R:$R,$A2&amp;"_"&amp;GT$11,[1]Cartera!$J:$J)+SUMIF([1]Futuros!$AD:$AD,$A2&amp;"_"&amp;GT$11,[1]Futuros!$AK:$AK)+SUMIF([1]Opciones!$AF:$AF,$A2&amp;"_"&amp;GT$11,[1]Opciones!$AO:$AO)</f>
        <v>#VALUE!</v>
      </c>
      <c r="GU2" t="e">
        <f>+SUMIF([1]Cartera!$R:$R,$A2&amp;"_"&amp;GU$11,[1]Cartera!$J:$J)+SUMIF([1]Futuros!$AD:$AD,$A2&amp;"_"&amp;GU$11,[1]Futuros!$AK:$AK)+SUMIF([1]Opciones!$AF:$AF,$A2&amp;"_"&amp;GU$11,[1]Opciones!$AO:$AO)</f>
        <v>#VALUE!</v>
      </c>
      <c r="GV2" t="e">
        <f>+SUMIF([1]Cartera!$R:$R,$A2&amp;"_"&amp;GV$11,[1]Cartera!$J:$J)+SUMIF([1]Futuros!$AD:$AD,$A2&amp;"_"&amp;GV$11,[1]Futuros!$AK:$AK)+SUMIF([1]Opciones!$AF:$AF,$A2&amp;"_"&amp;GV$11,[1]Opciones!$AO:$AO)</f>
        <v>#VALUE!</v>
      </c>
      <c r="GW2" t="e">
        <f>+SUMIF([1]Cartera!$R:$R,$A2&amp;"_"&amp;GW$11,[1]Cartera!$J:$J)+SUMIF([1]Futuros!$AD:$AD,$A2&amp;"_"&amp;GW$11,[1]Futuros!$AK:$AK)+SUMIF([1]Opciones!$AF:$AF,$A2&amp;"_"&amp;GW$11,[1]Opciones!$AO:$AO)</f>
        <v>#VALUE!</v>
      </c>
      <c r="GX2" t="e">
        <f>+SUMIF([1]Cartera!$R:$R,$A2&amp;"_"&amp;GX$11,[1]Cartera!$J:$J)+SUMIF([1]Futuros!$AD:$AD,$A2&amp;"_"&amp;GX$11,[1]Futuros!$AK:$AK)+SUMIF([1]Opciones!$AF:$AF,$A2&amp;"_"&amp;GX$11,[1]Opciones!$AO:$AO)</f>
        <v>#VALUE!</v>
      </c>
      <c r="GY2" t="e">
        <f>+SUMIF([1]Cartera!$R:$R,$A2&amp;"_"&amp;GY$11,[1]Cartera!$J:$J)+SUMIF([1]Futuros!$AD:$AD,$A2&amp;"_"&amp;GY$11,[1]Futuros!$AK:$AK)+SUMIF([1]Opciones!$AF:$AF,$A2&amp;"_"&amp;GY$11,[1]Opciones!$AO:$AO)</f>
        <v>#VALUE!</v>
      </c>
      <c r="GZ2" t="e">
        <f>+SUMIF([1]Cartera!$R:$R,$A2&amp;"_"&amp;GZ$11,[1]Cartera!$J:$J)+SUMIF([1]Futuros!$AD:$AD,$A2&amp;"_"&amp;GZ$11,[1]Futuros!$AK:$AK)+SUMIF([1]Opciones!$AF:$AF,$A2&amp;"_"&amp;GZ$11,[1]Opciones!$AO:$AO)</f>
        <v>#VALUE!</v>
      </c>
      <c r="HA2" t="e">
        <f>+SUMIF([1]Cartera!$R:$R,$A2&amp;"_"&amp;HA$11,[1]Cartera!$J:$J)+SUMIF([1]Futuros!$AD:$AD,$A2&amp;"_"&amp;HA$11,[1]Futuros!$AK:$AK)+SUMIF([1]Opciones!$AF:$AF,$A2&amp;"_"&amp;HA$11,[1]Opciones!$AO:$AO)</f>
        <v>#VALUE!</v>
      </c>
      <c r="HB2" t="e">
        <f>+SUMIF([1]Cartera!$R:$R,$A2&amp;"_"&amp;HB$11,[1]Cartera!$J:$J)+SUMIF([1]Futuros!$AD:$AD,$A2&amp;"_"&amp;HB$11,[1]Futuros!$AK:$AK)+SUMIF([1]Opciones!$AF:$AF,$A2&amp;"_"&amp;HB$11,[1]Opciones!$AO:$AO)</f>
        <v>#VALUE!</v>
      </c>
      <c r="HC2" t="e">
        <f>+SUMIF([1]Cartera!$R:$R,$A2&amp;"_"&amp;HC$11,[1]Cartera!$J:$J)+SUMIF([1]Futuros!$AD:$AD,$A2&amp;"_"&amp;HC$11,[1]Futuros!$AK:$AK)+SUMIF([1]Opciones!$AF:$AF,$A2&amp;"_"&amp;HC$11,[1]Opciones!$AO:$AO)</f>
        <v>#VALUE!</v>
      </c>
      <c r="HD2" t="e">
        <f>+SUMIF([1]Cartera!$R:$R,$A2&amp;"_"&amp;HD$11,[1]Cartera!$J:$J)+SUMIF([1]Futuros!$AD:$AD,$A2&amp;"_"&amp;HD$11,[1]Futuros!$AK:$AK)+SUMIF([1]Opciones!$AF:$AF,$A2&amp;"_"&amp;HD$11,[1]Opciones!$AO:$AO)</f>
        <v>#VALUE!</v>
      </c>
      <c r="HE2" t="e">
        <f>+SUMIF([1]Cartera!$R:$R,$A2&amp;"_"&amp;HE$11,[1]Cartera!$J:$J)+SUMIF([1]Futuros!$AD:$AD,$A2&amp;"_"&amp;HE$11,[1]Futuros!$AK:$AK)+SUMIF([1]Opciones!$AF:$AF,$A2&amp;"_"&amp;HE$11,[1]Opciones!$AO:$AO)</f>
        <v>#VALUE!</v>
      </c>
      <c r="HF2" t="e">
        <f>+SUMIF([1]Cartera!$R:$R,$A2&amp;"_"&amp;HF$11,[1]Cartera!$J:$J)+SUMIF([1]Futuros!$AD:$AD,$A2&amp;"_"&amp;HF$11,[1]Futuros!$AK:$AK)+SUMIF([1]Opciones!$AF:$AF,$A2&amp;"_"&amp;HF$11,[1]Opciones!$AO:$AO)</f>
        <v>#VALUE!</v>
      </c>
      <c r="HG2" t="e">
        <f>+SUMIF([1]Cartera!$R:$R,$A2&amp;"_"&amp;HG$11,[1]Cartera!$J:$J)+SUMIF([1]Futuros!$AD:$AD,$A2&amp;"_"&amp;HG$11,[1]Futuros!$AK:$AK)+SUMIF([1]Opciones!$AF:$AF,$A2&amp;"_"&amp;HG$11,[1]Opciones!$AO:$AO)</f>
        <v>#VALUE!</v>
      </c>
      <c r="HH2" t="e">
        <f>+SUMIF([1]Cartera!$R:$R,$A2&amp;"_"&amp;HH$11,[1]Cartera!$J:$J)+SUMIF([1]Futuros!$AD:$AD,$A2&amp;"_"&amp;HH$11,[1]Futuros!$AK:$AK)+SUMIF([1]Opciones!$AF:$AF,$A2&amp;"_"&amp;HH$11,[1]Opciones!$AO:$AO)</f>
        <v>#VALUE!</v>
      </c>
      <c r="HI2" t="e">
        <f>+SUMIF([1]Cartera!$R:$R,$A2&amp;"_"&amp;HI$11,[1]Cartera!$J:$J)+SUMIF([1]Futuros!$AD:$AD,$A2&amp;"_"&amp;HI$11,[1]Futuros!$AK:$AK)+SUMIF([1]Opciones!$AF:$AF,$A2&amp;"_"&amp;HI$11,[1]Opciones!$AO:$AO)</f>
        <v>#VALUE!</v>
      </c>
      <c r="HJ2" t="e">
        <f>+SUMIF([1]Cartera!$R:$R,$A2&amp;"_"&amp;HJ$11,[1]Cartera!$J:$J)+SUMIF([1]Futuros!$AD:$AD,$A2&amp;"_"&amp;HJ$11,[1]Futuros!$AK:$AK)+SUMIF([1]Opciones!$AF:$AF,$A2&amp;"_"&amp;HJ$11,[1]Opciones!$AO:$AO)</f>
        <v>#VALUE!</v>
      </c>
      <c r="HK2" t="e">
        <f>+SUMIF([1]Cartera!$R:$R,$A2&amp;"_"&amp;HK$11,[1]Cartera!$J:$J)+SUMIF([1]Futuros!$AD:$AD,$A2&amp;"_"&amp;HK$11,[1]Futuros!$AK:$AK)+SUMIF([1]Opciones!$AF:$AF,$A2&amp;"_"&amp;HK$11,[1]Opciones!$AO:$AO)</f>
        <v>#VALUE!</v>
      </c>
      <c r="HL2" t="e">
        <f>+SUMIF([1]Cartera!$R:$R,$A2&amp;"_"&amp;HL$11,[1]Cartera!$J:$J)+SUMIF([1]Futuros!$AD:$AD,$A2&amp;"_"&amp;HL$11,[1]Futuros!$AK:$AK)+SUMIF([1]Opciones!$AF:$AF,$A2&amp;"_"&amp;HL$11,[1]Opciones!$AO:$AO)</f>
        <v>#VALUE!</v>
      </c>
      <c r="HM2" t="e">
        <f>+SUMIF([1]Cartera!$R:$R,$A2&amp;"_"&amp;HM$11,[1]Cartera!$J:$J)+SUMIF([1]Futuros!$AD:$AD,$A2&amp;"_"&amp;HM$11,[1]Futuros!$AK:$AK)+SUMIF([1]Opciones!$AF:$AF,$A2&amp;"_"&amp;HM$11,[1]Opciones!$AO:$AO)</f>
        <v>#VALUE!</v>
      </c>
      <c r="HN2" t="e">
        <f>+SUMIF([1]Cartera!$R:$R,$A2&amp;"_"&amp;HN$11,[1]Cartera!$J:$J)+SUMIF([1]Futuros!$AD:$AD,$A2&amp;"_"&amp;HN$11,[1]Futuros!$AK:$AK)+SUMIF([1]Opciones!$AF:$AF,$A2&amp;"_"&amp;HN$11,[1]Opciones!$AO:$AO)</f>
        <v>#VALUE!</v>
      </c>
      <c r="HO2" t="e">
        <f>+SUMIF([1]Cartera!$R:$R,$A2&amp;"_"&amp;HO$11,[1]Cartera!$J:$J)+SUMIF([1]Futuros!$AD:$AD,$A2&amp;"_"&amp;HO$11,[1]Futuros!$AK:$AK)+SUMIF([1]Opciones!$AF:$AF,$A2&amp;"_"&amp;HO$11,[1]Opciones!$AO:$AO)</f>
        <v>#VALUE!</v>
      </c>
      <c r="HP2" t="e">
        <f>+SUMIF([1]Cartera!$R:$R,$A2&amp;"_"&amp;HP$11,[1]Cartera!$J:$J)+SUMIF([1]Futuros!$AD:$AD,$A2&amp;"_"&amp;HP$11,[1]Futuros!$AK:$AK)+SUMIF([1]Opciones!$AF:$AF,$A2&amp;"_"&amp;HP$11,[1]Opciones!$AO:$AO)</f>
        <v>#VALUE!</v>
      </c>
      <c r="HQ2" t="e">
        <f>+SUMIF([1]Cartera!$R:$R,$A2&amp;"_"&amp;HQ$11,[1]Cartera!$J:$J)+SUMIF([1]Futuros!$AD:$AD,$A2&amp;"_"&amp;HQ$11,[1]Futuros!$AK:$AK)+SUMIF([1]Opciones!$AF:$AF,$A2&amp;"_"&amp;HQ$11,[1]Opciones!$AO:$AO)</f>
        <v>#VALUE!</v>
      </c>
      <c r="HR2" t="e">
        <f>+SUMIF([1]Cartera!$R:$R,$A2&amp;"_"&amp;HR$11,[1]Cartera!$J:$J)+SUMIF([1]Futuros!$AD:$AD,$A2&amp;"_"&amp;HR$11,[1]Futuros!$AK:$AK)+SUMIF([1]Opciones!$AF:$AF,$A2&amp;"_"&amp;HR$11,[1]Opciones!$AO:$AO)</f>
        <v>#VALUE!</v>
      </c>
      <c r="HS2" t="e">
        <f>+SUMIF([1]Cartera!$R:$R,$A2&amp;"_"&amp;HS$11,[1]Cartera!$J:$J)+SUMIF([1]Futuros!$AD:$AD,$A2&amp;"_"&amp;HS$11,[1]Futuros!$AK:$AK)+SUMIF([1]Opciones!$AF:$AF,$A2&amp;"_"&amp;HS$11,[1]Opciones!$AO:$AO)</f>
        <v>#VALUE!</v>
      </c>
      <c r="HT2" t="e">
        <f>+SUMIF([1]Cartera!$R:$R,$A2&amp;"_"&amp;HT$11,[1]Cartera!$J:$J)+SUMIF([1]Futuros!$AD:$AD,$A2&amp;"_"&amp;HT$11,[1]Futuros!$AK:$AK)+SUMIF([1]Opciones!$AF:$AF,$A2&amp;"_"&amp;HT$11,[1]Opciones!$AO:$AO)</f>
        <v>#VALUE!</v>
      </c>
      <c r="HU2" t="e">
        <f>+SUMIF([1]Cartera!$R:$R,$A2&amp;"_"&amp;HU$11,[1]Cartera!$J:$J)+SUMIF([1]Futuros!$AD:$AD,$A2&amp;"_"&amp;HU$11,[1]Futuros!$AK:$AK)+SUMIF([1]Opciones!$AF:$AF,$A2&amp;"_"&amp;HU$11,[1]Opciones!$AO:$AO)</f>
        <v>#VALUE!</v>
      </c>
      <c r="HV2" t="e">
        <f>+SUMIF([1]Cartera!$R:$R,$A2&amp;"_"&amp;HV$11,[1]Cartera!$J:$J)+SUMIF([1]Futuros!$AD:$AD,$A2&amp;"_"&amp;HV$11,[1]Futuros!$AK:$AK)+SUMIF([1]Opciones!$AF:$AF,$A2&amp;"_"&amp;HV$11,[1]Opciones!$AO:$AO)</f>
        <v>#VALUE!</v>
      </c>
      <c r="HW2" t="e">
        <f>+SUMIF([1]Cartera!$R:$R,$A2&amp;"_"&amp;HW$11,[1]Cartera!$J:$J)+SUMIF([1]Futuros!$AD:$AD,$A2&amp;"_"&amp;HW$11,[1]Futuros!$AK:$AK)+SUMIF([1]Opciones!$AF:$AF,$A2&amp;"_"&amp;HW$11,[1]Opciones!$AO:$AO)</f>
        <v>#VALUE!</v>
      </c>
      <c r="HX2" t="e">
        <f>+SUMIF([1]Cartera!$R:$R,$A2&amp;"_"&amp;HX$11,[1]Cartera!$J:$J)+SUMIF([1]Futuros!$AD:$AD,$A2&amp;"_"&amp;HX$11,[1]Futuros!$AK:$AK)+SUMIF([1]Opciones!$AF:$AF,$A2&amp;"_"&amp;HX$11,[1]Opciones!$AO:$AO)</f>
        <v>#VALUE!</v>
      </c>
      <c r="HY2" t="e">
        <f>+SUMIF([1]Cartera!$R:$R,$A2&amp;"_"&amp;HY$11,[1]Cartera!$J:$J)+SUMIF([1]Futuros!$AD:$AD,$A2&amp;"_"&amp;HY$11,[1]Futuros!$AK:$AK)+SUMIF([1]Opciones!$AF:$AF,$A2&amp;"_"&amp;HY$11,[1]Opciones!$AO:$AO)</f>
        <v>#VALUE!</v>
      </c>
      <c r="HZ2" t="e">
        <f>+SUMIF([1]Cartera!$R:$R,$A2&amp;"_"&amp;HZ$11,[1]Cartera!$J:$J)+SUMIF([1]Futuros!$AD:$AD,$A2&amp;"_"&amp;HZ$11,[1]Futuros!$AK:$AK)+SUMIF([1]Opciones!$AF:$AF,$A2&amp;"_"&amp;HZ$11,[1]Opciones!$AO:$AO)</f>
        <v>#VALUE!</v>
      </c>
      <c r="IA2" t="e">
        <f>+SUMIF([1]Cartera!$R:$R,$A2&amp;"_"&amp;IA$11,[1]Cartera!$J:$J)+SUMIF([1]Futuros!$AD:$AD,$A2&amp;"_"&amp;IA$11,[1]Futuros!$AK:$AK)+SUMIF([1]Opciones!$AF:$AF,$A2&amp;"_"&amp;IA$11,[1]Opciones!$AO:$AO)</f>
        <v>#VALUE!</v>
      </c>
      <c r="IB2" t="e">
        <f>+SUMIF([1]Cartera!$R:$R,$A2&amp;"_"&amp;IB$11,[1]Cartera!$J:$J)+SUMIF([1]Futuros!$AD:$AD,$A2&amp;"_"&amp;IB$11,[1]Futuros!$AK:$AK)+SUMIF([1]Opciones!$AF:$AF,$A2&amp;"_"&amp;IB$11,[1]Opciones!$AO:$AO)</f>
        <v>#VALUE!</v>
      </c>
      <c r="IC2" t="e">
        <f>+SUMIF([1]Cartera!$R:$R,$A2&amp;"_"&amp;IC$11,[1]Cartera!$J:$J)+SUMIF([1]Futuros!$AD:$AD,$A2&amp;"_"&amp;IC$11,[1]Futuros!$AK:$AK)+SUMIF([1]Opciones!$AF:$AF,$A2&amp;"_"&amp;IC$11,[1]Opciones!$AO:$AO)</f>
        <v>#VALUE!</v>
      </c>
      <c r="ID2" t="e">
        <f>+SUMIF([1]Cartera!$R:$R,$A2&amp;"_"&amp;ID$11,[1]Cartera!$J:$J)+SUMIF([1]Futuros!$AD:$AD,$A2&amp;"_"&amp;ID$11,[1]Futuros!$AK:$AK)+SUMIF([1]Opciones!$AF:$AF,$A2&amp;"_"&amp;ID$11,[1]Opciones!$AO:$AO)</f>
        <v>#VALUE!</v>
      </c>
      <c r="IE2" t="e">
        <f>+SUMIF([1]Cartera!$R:$R,$A2&amp;"_"&amp;IE$11,[1]Cartera!$J:$J)+SUMIF([1]Futuros!$AD:$AD,$A2&amp;"_"&amp;IE$11,[1]Futuros!$AK:$AK)+SUMIF([1]Opciones!$AF:$AF,$A2&amp;"_"&amp;IE$11,[1]Opciones!$AO:$AO)</f>
        <v>#VALUE!</v>
      </c>
      <c r="IF2" t="e">
        <f>+SUMIF([1]Cartera!$R:$R,$A2&amp;"_"&amp;IF$11,[1]Cartera!$J:$J)+SUMIF([1]Futuros!$AD:$AD,$A2&amp;"_"&amp;IF$11,[1]Futuros!$AK:$AK)+SUMIF([1]Opciones!$AF:$AF,$A2&amp;"_"&amp;IF$11,[1]Opciones!$AO:$AO)</f>
        <v>#VALUE!</v>
      </c>
      <c r="IG2" t="e">
        <f>+SUMIF([1]Cartera!$R:$R,$A2&amp;"_"&amp;IG$11,[1]Cartera!$J:$J)+SUMIF([1]Futuros!$AD:$AD,$A2&amp;"_"&amp;IG$11,[1]Futuros!$AK:$AK)+SUMIF([1]Opciones!$AF:$AF,$A2&amp;"_"&amp;IG$11,[1]Opciones!$AO:$AO)</f>
        <v>#VALUE!</v>
      </c>
      <c r="IH2" t="e">
        <f>+SUMIF([1]Cartera!$R:$R,$A2&amp;"_"&amp;IH$11,[1]Cartera!$J:$J)+SUMIF([1]Futuros!$AD:$AD,$A2&amp;"_"&amp;IH$11,[1]Futuros!$AK:$AK)+SUMIF([1]Opciones!$AF:$AF,$A2&amp;"_"&amp;IH$11,[1]Opciones!$AO:$AO)</f>
        <v>#VALUE!</v>
      </c>
      <c r="II2" t="e">
        <f>+SUMIF([1]Cartera!$R:$R,$A2&amp;"_"&amp;II$11,[1]Cartera!$J:$J)+SUMIF([1]Futuros!$AD:$AD,$A2&amp;"_"&amp;II$11,[1]Futuros!$AK:$AK)+SUMIF([1]Opciones!$AF:$AF,$A2&amp;"_"&amp;II$11,[1]Opciones!$AO:$AO)</f>
        <v>#VALUE!</v>
      </c>
      <c r="IJ2" t="e">
        <f>+SUMIF([1]Cartera!$R:$R,$A2&amp;"_"&amp;IJ$11,[1]Cartera!$J:$J)+SUMIF([1]Futuros!$AD:$AD,$A2&amp;"_"&amp;IJ$11,[1]Futuros!$AK:$AK)+SUMIF([1]Opciones!$AF:$AF,$A2&amp;"_"&amp;IJ$11,[1]Opciones!$AO:$AO)</f>
        <v>#VALUE!</v>
      </c>
      <c r="IK2" t="e">
        <f>+SUMIF([1]Cartera!$R:$R,$A2&amp;"_"&amp;IK$11,[1]Cartera!$J:$J)+SUMIF([1]Futuros!$AD:$AD,$A2&amp;"_"&amp;IK$11,[1]Futuros!$AK:$AK)+SUMIF([1]Opciones!$AF:$AF,$A2&amp;"_"&amp;IK$11,[1]Opciones!$AO:$AO)</f>
        <v>#VALUE!</v>
      </c>
      <c r="IL2" t="e">
        <f>+SUMIF([1]Cartera!$R:$R,$A2&amp;"_"&amp;IL$11,[1]Cartera!$J:$J)+SUMIF([1]Futuros!$AD:$AD,$A2&amp;"_"&amp;IL$11,[1]Futuros!$AK:$AK)+SUMIF([1]Opciones!$AF:$AF,$A2&amp;"_"&amp;IL$11,[1]Opciones!$AO:$AO)</f>
        <v>#VALUE!</v>
      </c>
      <c r="IM2" t="e">
        <f>+SUMIF([1]Cartera!$R:$R,$A2&amp;"_"&amp;IM$11,[1]Cartera!$J:$J)+SUMIF([1]Futuros!$AD:$AD,$A2&amp;"_"&amp;IM$11,[1]Futuros!$AK:$AK)+SUMIF([1]Opciones!$AF:$AF,$A2&amp;"_"&amp;IM$11,[1]Opciones!$AO:$AO)</f>
        <v>#VALUE!</v>
      </c>
      <c r="IN2" t="e">
        <f>+SUMIF([1]Cartera!$R:$R,$A2&amp;"_"&amp;IN$11,[1]Cartera!$J:$J)+SUMIF([1]Futuros!$AD:$AD,$A2&amp;"_"&amp;IN$11,[1]Futuros!$AK:$AK)+SUMIF([1]Opciones!$AF:$AF,$A2&amp;"_"&amp;IN$11,[1]Opciones!$AO:$AO)</f>
        <v>#VALUE!</v>
      </c>
      <c r="IO2" t="e">
        <f>+SUMIF([1]Cartera!$R:$R,$A2&amp;"_"&amp;IO$11,[1]Cartera!$J:$J)+SUMIF([1]Futuros!$AD:$AD,$A2&amp;"_"&amp;IO$11,[1]Futuros!$AK:$AK)+SUMIF([1]Opciones!$AF:$AF,$A2&amp;"_"&amp;IO$11,[1]Opciones!$AO:$AO)</f>
        <v>#VALUE!</v>
      </c>
      <c r="IP2" t="e">
        <f>+SUMIF([1]Cartera!$R:$R,$A2&amp;"_"&amp;IP$11,[1]Cartera!$J:$J)+SUMIF([1]Futuros!$AD:$AD,$A2&amp;"_"&amp;IP$11,[1]Futuros!$AK:$AK)+SUMIF([1]Opciones!$AF:$AF,$A2&amp;"_"&amp;IP$11,[1]Opciones!$AO:$AO)</f>
        <v>#VALUE!</v>
      </c>
      <c r="IQ2" t="e">
        <f>+SUMIF([1]Cartera!$R:$R,$A2&amp;"_"&amp;IQ$11,[1]Cartera!$J:$J)+SUMIF([1]Futuros!$AD:$AD,$A2&amp;"_"&amp;IQ$11,[1]Futuros!$AK:$AK)+SUMIF([1]Opciones!$AF:$AF,$A2&amp;"_"&amp;IQ$11,[1]Opciones!$AO:$AO)</f>
        <v>#VALUE!</v>
      </c>
      <c r="IR2" t="e">
        <f>+SUMIF([1]Cartera!$R:$R,$A2&amp;"_"&amp;IR$11,[1]Cartera!$J:$J)+SUMIF([1]Futuros!$AD:$AD,$A2&amp;"_"&amp;IR$11,[1]Futuros!$AK:$AK)+SUMIF([1]Opciones!$AF:$AF,$A2&amp;"_"&amp;IR$11,[1]Opciones!$AO:$AO)</f>
        <v>#VALUE!</v>
      </c>
      <c r="IS2" t="e">
        <f>+SUMIF([1]Cartera!$R:$R,$A2&amp;"_"&amp;IS$11,[1]Cartera!$J:$J)+SUMIF([1]Futuros!$AD:$AD,$A2&amp;"_"&amp;IS$11,[1]Futuros!$AK:$AK)+SUMIF([1]Opciones!$AF:$AF,$A2&amp;"_"&amp;IS$11,[1]Opciones!$AO:$AO)</f>
        <v>#VALUE!</v>
      </c>
      <c r="IT2" t="e">
        <f>+SUMIF([1]Cartera!$R:$R,$A2&amp;"_"&amp;IT$11,[1]Cartera!$J:$J)+SUMIF([1]Futuros!$AD:$AD,$A2&amp;"_"&amp;IT$11,[1]Futuros!$AK:$AK)+SUMIF([1]Opciones!$AF:$AF,$A2&amp;"_"&amp;IT$11,[1]Opciones!$AO:$AO)</f>
        <v>#VALUE!</v>
      </c>
      <c r="IU2" t="e">
        <f>+SUMIF([1]Cartera!$R:$R,$A2&amp;"_"&amp;IU$11,[1]Cartera!$J:$J)+SUMIF([1]Futuros!$AD:$AD,$A2&amp;"_"&amp;IU$11,[1]Futuros!$AK:$AK)+SUMIF([1]Opciones!$AF:$AF,$A2&amp;"_"&amp;IU$11,[1]Opciones!$AO:$AO)</f>
        <v>#VALUE!</v>
      </c>
      <c r="IV2" t="e">
        <f>+SUMIF([1]Cartera!$R:$R,$A2&amp;"_"&amp;IV$11,[1]Cartera!$J:$J)+SUMIF([1]Futuros!$AD:$AD,$A2&amp;"_"&amp;IV$11,[1]Futuros!$AK:$AK)+SUMIF([1]Opciones!$AF:$AF,$A2&amp;"_"&amp;IV$11,[1]Opciones!$AO:$AO)</f>
        <v>#VALUE!</v>
      </c>
      <c r="IW2" t="e">
        <f>+SUMIF([1]Cartera!$R:$R,$A2&amp;"_"&amp;IW$11,[1]Cartera!$J:$J)+SUMIF([1]Futuros!$AD:$AD,$A2&amp;"_"&amp;IW$11,[1]Futuros!$AK:$AK)+SUMIF([1]Opciones!$AF:$AF,$A2&amp;"_"&amp;IW$11,[1]Opciones!$AO:$AO)</f>
        <v>#VALUE!</v>
      </c>
      <c r="IX2" t="e">
        <f>+SUMIF([1]Cartera!$R:$R,$A2&amp;"_"&amp;IX$11,[1]Cartera!$J:$J)+SUMIF([1]Futuros!$AD:$AD,$A2&amp;"_"&amp;IX$11,[1]Futuros!$AK:$AK)+SUMIF([1]Opciones!$AF:$AF,$A2&amp;"_"&amp;IX$11,[1]Opciones!$AO:$AO)</f>
        <v>#VALUE!</v>
      </c>
      <c r="IY2" t="e">
        <f>+SUMIF([1]Cartera!$R:$R,$A2&amp;"_"&amp;IY$11,[1]Cartera!$J:$J)+SUMIF([1]Futuros!$AD:$AD,$A2&amp;"_"&amp;IY$11,[1]Futuros!$AK:$AK)+SUMIF([1]Opciones!$AF:$AF,$A2&amp;"_"&amp;IY$11,[1]Opciones!$AO:$AO)</f>
        <v>#VALUE!</v>
      </c>
      <c r="IZ2" t="e">
        <f>+SUMIF([1]Cartera!$R:$R,$A2&amp;"_"&amp;IZ$11,[1]Cartera!$J:$J)+SUMIF([1]Futuros!$AD:$AD,$A2&amp;"_"&amp;IZ$11,[1]Futuros!$AK:$AK)+SUMIF([1]Opciones!$AF:$AF,$A2&amp;"_"&amp;IZ$11,[1]Opciones!$AO:$AO)</f>
        <v>#VALUE!</v>
      </c>
      <c r="JA2" t="e">
        <f>+SUMIF([1]Cartera!$R:$R,$A2&amp;"_"&amp;JA$11,[1]Cartera!$J:$J)+SUMIF([1]Futuros!$AD:$AD,$A2&amp;"_"&amp;JA$11,[1]Futuros!$AK:$AK)+SUMIF([1]Opciones!$AF:$AF,$A2&amp;"_"&amp;JA$11,[1]Opciones!$AO:$AO)</f>
        <v>#VALUE!</v>
      </c>
      <c r="JB2" t="e">
        <f>+SUMIF([1]Cartera!$R:$R,$A2&amp;"_"&amp;JB$11,[1]Cartera!$J:$J)+SUMIF([1]Futuros!$AD:$AD,$A2&amp;"_"&amp;JB$11,[1]Futuros!$AK:$AK)+SUMIF([1]Opciones!$AF:$AF,$A2&amp;"_"&amp;JB$11,[1]Opciones!$AO:$AO)</f>
        <v>#VALUE!</v>
      </c>
      <c r="JC2" t="e">
        <f>+SUMIF([1]Cartera!$R:$R,$A2&amp;"_"&amp;JC$11,[1]Cartera!$J:$J)+SUMIF([1]Futuros!$AD:$AD,$A2&amp;"_"&amp;JC$11,[1]Futuros!$AK:$AK)+SUMIF([1]Opciones!$AF:$AF,$A2&amp;"_"&amp;JC$11,[1]Opciones!$AO:$AO)</f>
        <v>#VALUE!</v>
      </c>
      <c r="JD2" t="e">
        <f>+SUMIF([1]Cartera!$R:$R,$A2&amp;"_"&amp;JD$11,[1]Cartera!$J:$J)+SUMIF([1]Futuros!$AD:$AD,$A2&amp;"_"&amp;JD$11,[1]Futuros!$AK:$AK)+SUMIF([1]Opciones!$AF:$AF,$A2&amp;"_"&amp;JD$11,[1]Opciones!$AO:$AO)</f>
        <v>#VALUE!</v>
      </c>
      <c r="JE2" t="e">
        <f>+SUMIF([1]Cartera!$R:$R,$A2&amp;"_"&amp;JE$11,[1]Cartera!$J:$J)+SUMIF([1]Futuros!$AD:$AD,$A2&amp;"_"&amp;JE$11,[1]Futuros!$AK:$AK)+SUMIF([1]Opciones!$AF:$AF,$A2&amp;"_"&amp;JE$11,[1]Opciones!$AO:$AO)</f>
        <v>#VALUE!</v>
      </c>
      <c r="JF2" t="e">
        <f>+SUMIF([1]Cartera!$R:$R,$A2&amp;"_"&amp;JF$11,[1]Cartera!$J:$J)+SUMIF([1]Futuros!$AD:$AD,$A2&amp;"_"&amp;JF$11,[1]Futuros!$AK:$AK)+SUMIF([1]Opciones!$AF:$AF,$A2&amp;"_"&amp;JF$11,[1]Opciones!$AO:$AO)</f>
        <v>#VALUE!</v>
      </c>
      <c r="JG2" t="e">
        <f>+SUMIF([1]Cartera!$R:$R,$A2&amp;"_"&amp;JG$11,[1]Cartera!$J:$J)+SUMIF([1]Futuros!$AD:$AD,$A2&amp;"_"&amp;JG$11,[1]Futuros!$AK:$AK)+SUMIF([1]Opciones!$AF:$AF,$A2&amp;"_"&amp;JG$11,[1]Opciones!$AO:$AO)</f>
        <v>#VALUE!</v>
      </c>
      <c r="JH2" t="e">
        <f>+SUMIF([1]Cartera!$R:$R,$A2&amp;"_"&amp;JH$11,[1]Cartera!$J:$J)+SUMIF([1]Futuros!$AD:$AD,$A2&amp;"_"&amp;JH$11,[1]Futuros!$AK:$AK)+SUMIF([1]Opciones!$AF:$AF,$A2&amp;"_"&amp;JH$11,[1]Opciones!$AO:$AO)</f>
        <v>#VALUE!</v>
      </c>
      <c r="JI2" t="e">
        <f>+SUMIF([1]Cartera!$R:$R,$A2&amp;"_"&amp;JI$11,[1]Cartera!$J:$J)+SUMIF([1]Futuros!$AD:$AD,$A2&amp;"_"&amp;JI$11,[1]Futuros!$AK:$AK)+SUMIF([1]Opciones!$AF:$AF,$A2&amp;"_"&amp;JI$11,[1]Opciones!$AO:$AO)</f>
        <v>#VALUE!</v>
      </c>
      <c r="JJ2" t="e">
        <f>+SUMIF([1]Cartera!$R:$R,$A2&amp;"_"&amp;JJ$11,[1]Cartera!$J:$J)+SUMIF([1]Futuros!$AD:$AD,$A2&amp;"_"&amp;JJ$11,[1]Futuros!$AK:$AK)+SUMIF([1]Opciones!$AF:$AF,$A2&amp;"_"&amp;JJ$11,[1]Opciones!$AO:$AO)</f>
        <v>#VALUE!</v>
      </c>
      <c r="JK2" t="e">
        <f>+SUMIF([1]Cartera!$R:$R,$A2&amp;"_"&amp;JK$11,[1]Cartera!$J:$J)+SUMIF([1]Futuros!$AD:$AD,$A2&amp;"_"&amp;JK$11,[1]Futuros!$AK:$AK)+SUMIF([1]Opciones!$AF:$AF,$A2&amp;"_"&amp;JK$11,[1]Opciones!$AO:$AO)</f>
        <v>#VALUE!</v>
      </c>
      <c r="JL2" t="e">
        <f>+SUMIF([1]Cartera!$R:$R,$A2&amp;"_"&amp;JL$11,[1]Cartera!$J:$J)+SUMIF([1]Futuros!$AD:$AD,$A2&amp;"_"&amp;JL$11,[1]Futuros!$AK:$AK)+SUMIF([1]Opciones!$AF:$AF,$A2&amp;"_"&amp;JL$11,[1]Opciones!$AO:$AO)</f>
        <v>#VALUE!</v>
      </c>
      <c r="JM2" t="e">
        <f>+SUMIF([1]Cartera!$R:$R,$A2&amp;"_"&amp;JM$11,[1]Cartera!$J:$J)+SUMIF([1]Futuros!$AD:$AD,$A2&amp;"_"&amp;JM$11,[1]Futuros!$AK:$AK)+SUMIF([1]Opciones!$AF:$AF,$A2&amp;"_"&amp;JM$11,[1]Opciones!$AO:$AO)</f>
        <v>#VALUE!</v>
      </c>
      <c r="JN2" t="e">
        <f>+SUMIF([1]Cartera!$R:$R,$A2&amp;"_"&amp;JN$11,[1]Cartera!$J:$J)+SUMIF([1]Futuros!$AD:$AD,$A2&amp;"_"&amp;JN$11,[1]Futuros!$AK:$AK)+SUMIF([1]Opciones!$AF:$AF,$A2&amp;"_"&amp;JN$11,[1]Opciones!$AO:$AO)</f>
        <v>#VALUE!</v>
      </c>
      <c r="JO2" t="e">
        <f>+SUMIF([1]Cartera!$R:$R,$A2&amp;"_"&amp;JO$11,[1]Cartera!$J:$J)+SUMIF([1]Futuros!$AD:$AD,$A2&amp;"_"&amp;JO$11,[1]Futuros!$AK:$AK)+SUMIF([1]Opciones!$AF:$AF,$A2&amp;"_"&amp;JO$11,[1]Opciones!$AO:$AO)</f>
        <v>#VALUE!</v>
      </c>
      <c r="JP2" t="e">
        <f>+SUMIF([1]Cartera!$R:$R,$A2&amp;"_"&amp;JP$11,[1]Cartera!$J:$J)+SUMIF([1]Futuros!$AD:$AD,$A2&amp;"_"&amp;JP$11,[1]Futuros!$AK:$AK)+SUMIF([1]Opciones!$AF:$AF,$A2&amp;"_"&amp;JP$11,[1]Opciones!$AO:$AO)</f>
        <v>#VALUE!</v>
      </c>
      <c r="JQ2" t="e">
        <f>+SUMIF([1]Cartera!$R:$R,$A2&amp;"_"&amp;JQ$11,[1]Cartera!$J:$J)+SUMIF([1]Futuros!$AD:$AD,$A2&amp;"_"&amp;JQ$11,[1]Futuros!$AK:$AK)+SUMIF([1]Opciones!$AF:$AF,$A2&amp;"_"&amp;JQ$11,[1]Opciones!$AO:$AO)</f>
        <v>#VALUE!</v>
      </c>
      <c r="JR2" t="e">
        <f>+SUMIF([1]Cartera!$R:$R,$A2&amp;"_"&amp;JR$11,[1]Cartera!$J:$J)+SUMIF([1]Futuros!$AD:$AD,$A2&amp;"_"&amp;JR$11,[1]Futuros!$AK:$AK)+SUMIF([1]Opciones!$AF:$AF,$A2&amp;"_"&amp;JR$11,[1]Opciones!$AO:$AO)</f>
        <v>#VALUE!</v>
      </c>
      <c r="JS2" t="e">
        <f>+SUMIF([1]Cartera!$R:$R,$A2&amp;"_"&amp;JS$11,[1]Cartera!$J:$J)+SUMIF([1]Futuros!$AD:$AD,$A2&amp;"_"&amp;JS$11,[1]Futuros!$AK:$AK)+SUMIF([1]Opciones!$AF:$AF,$A2&amp;"_"&amp;JS$11,[1]Opciones!$AO:$AO)</f>
        <v>#VALUE!</v>
      </c>
      <c r="JT2" t="e">
        <f>+SUMIF([1]Cartera!$R:$R,$A2&amp;"_"&amp;JT$11,[1]Cartera!$J:$J)+SUMIF([1]Futuros!$AD:$AD,$A2&amp;"_"&amp;JT$11,[1]Futuros!$AK:$AK)+SUMIF([1]Opciones!$AF:$AF,$A2&amp;"_"&amp;JT$11,[1]Opciones!$AO:$AO)</f>
        <v>#VALUE!</v>
      </c>
      <c r="JU2" t="e">
        <f>+SUMIF([1]Cartera!$R:$R,$A2&amp;"_"&amp;JU$11,[1]Cartera!$J:$J)+SUMIF([1]Futuros!$AD:$AD,$A2&amp;"_"&amp;JU$11,[1]Futuros!$AK:$AK)+SUMIF([1]Opciones!$AF:$AF,$A2&amp;"_"&amp;JU$11,[1]Opciones!$AO:$AO)</f>
        <v>#VALUE!</v>
      </c>
      <c r="JV2" t="e">
        <f>+SUMIF([1]Cartera!$R:$R,$A2&amp;"_"&amp;JV$11,[1]Cartera!$J:$J)+SUMIF([1]Futuros!$AD:$AD,$A2&amp;"_"&amp;JV$11,[1]Futuros!$AK:$AK)+SUMIF([1]Opciones!$AF:$AF,$A2&amp;"_"&amp;JV$11,[1]Opciones!$AO:$AO)</f>
        <v>#VALUE!</v>
      </c>
      <c r="JW2" t="e">
        <f>+SUMIF([1]Cartera!$R:$R,$A2&amp;"_"&amp;JW$11,[1]Cartera!$J:$J)+SUMIF([1]Futuros!$AD:$AD,$A2&amp;"_"&amp;JW$11,[1]Futuros!$AK:$AK)+SUMIF([1]Opciones!$AF:$AF,$A2&amp;"_"&amp;JW$11,[1]Opciones!$AO:$AO)</f>
        <v>#VALUE!</v>
      </c>
      <c r="JX2" t="e">
        <f>+SUMIF([1]Cartera!$R:$R,$A2&amp;"_"&amp;JX$11,[1]Cartera!$J:$J)+SUMIF([1]Futuros!$AD:$AD,$A2&amp;"_"&amp;JX$11,[1]Futuros!$AK:$AK)+SUMIF([1]Opciones!$AF:$AF,$A2&amp;"_"&amp;JX$11,[1]Opciones!$AO:$AO)</f>
        <v>#VALUE!</v>
      </c>
      <c r="JY2" t="e">
        <f>+SUMIF([1]Cartera!$R:$R,$A2&amp;"_"&amp;JY$11,[1]Cartera!$J:$J)+SUMIF([1]Futuros!$AD:$AD,$A2&amp;"_"&amp;JY$11,[1]Futuros!$AK:$AK)+SUMIF([1]Opciones!$AF:$AF,$A2&amp;"_"&amp;JY$11,[1]Opciones!$AO:$AO)</f>
        <v>#VALUE!</v>
      </c>
      <c r="JZ2" t="e">
        <f>+SUMIF([1]Cartera!$R:$R,$A2&amp;"_"&amp;JZ$11,[1]Cartera!$J:$J)+SUMIF([1]Futuros!$AD:$AD,$A2&amp;"_"&amp;JZ$11,[1]Futuros!$AK:$AK)+SUMIF([1]Opciones!$AF:$AF,$A2&amp;"_"&amp;JZ$11,[1]Opciones!$AO:$AO)</f>
        <v>#VALUE!</v>
      </c>
      <c r="KA2" t="e">
        <f>+SUMIF([1]Cartera!$R:$R,$A2&amp;"_"&amp;KA$11,[1]Cartera!$J:$J)+SUMIF([1]Futuros!$AD:$AD,$A2&amp;"_"&amp;KA$11,[1]Futuros!$AK:$AK)+SUMIF([1]Opciones!$AF:$AF,$A2&amp;"_"&amp;KA$11,[1]Opciones!$AO:$AO)</f>
        <v>#VALUE!</v>
      </c>
      <c r="KB2" t="e">
        <f>+SUMIF([1]Cartera!$R:$R,$A2&amp;"_"&amp;KB$11,[1]Cartera!$J:$J)+SUMIF([1]Futuros!$AD:$AD,$A2&amp;"_"&amp;KB$11,[1]Futuros!$AK:$AK)+SUMIF([1]Opciones!$AF:$AF,$A2&amp;"_"&amp;KB$11,[1]Opciones!$AO:$AO)</f>
        <v>#VALUE!</v>
      </c>
      <c r="KC2" t="e">
        <f>+SUMIF([1]Cartera!$R:$R,$A2&amp;"_"&amp;KC$11,[1]Cartera!$J:$J)+SUMIF([1]Futuros!$AD:$AD,$A2&amp;"_"&amp;KC$11,[1]Futuros!$AK:$AK)+SUMIF([1]Opciones!$AF:$AF,$A2&amp;"_"&amp;KC$11,[1]Opciones!$AO:$AO)</f>
        <v>#VALUE!</v>
      </c>
      <c r="KD2" t="e">
        <f>+SUMIF([1]Cartera!$R:$R,$A2&amp;"_"&amp;KD$11,[1]Cartera!$J:$J)+SUMIF([1]Futuros!$AD:$AD,$A2&amp;"_"&amp;KD$11,[1]Futuros!$AK:$AK)+SUMIF([1]Opciones!$AF:$AF,$A2&amp;"_"&amp;KD$11,[1]Opciones!$AO:$AO)</f>
        <v>#VALUE!</v>
      </c>
      <c r="KE2" t="e">
        <f>+SUMIF([1]Cartera!$R:$R,$A2&amp;"_"&amp;KE$11,[1]Cartera!$J:$J)+SUMIF([1]Futuros!$AD:$AD,$A2&amp;"_"&amp;KE$11,[1]Futuros!$AK:$AK)+SUMIF([1]Opciones!$AF:$AF,$A2&amp;"_"&amp;KE$11,[1]Opciones!$AO:$AO)</f>
        <v>#VALUE!</v>
      </c>
      <c r="KF2" t="e">
        <f>+SUMIF([1]Cartera!$R:$R,$A2&amp;"_"&amp;KF$11,[1]Cartera!$J:$J)+SUMIF([1]Futuros!$AD:$AD,$A2&amp;"_"&amp;KF$11,[1]Futuros!$AK:$AK)+SUMIF([1]Opciones!$AF:$AF,$A2&amp;"_"&amp;KF$11,[1]Opciones!$AO:$AO)</f>
        <v>#VALUE!</v>
      </c>
      <c r="KG2" t="e">
        <f>+SUMIF([1]Cartera!$R:$R,$A2&amp;"_"&amp;KG$11,[1]Cartera!$J:$J)+SUMIF([1]Futuros!$AD:$AD,$A2&amp;"_"&amp;KG$11,[1]Futuros!$AK:$AK)+SUMIF([1]Opciones!$AF:$AF,$A2&amp;"_"&amp;KG$11,[1]Opciones!$AO:$AO)</f>
        <v>#VALUE!</v>
      </c>
      <c r="KH2" t="e">
        <f>+SUMIF([1]Cartera!$R:$R,$A2&amp;"_"&amp;KH$11,[1]Cartera!$J:$J)+SUMIF([1]Futuros!$AD:$AD,$A2&amp;"_"&amp;KH$11,[1]Futuros!$AK:$AK)+SUMIF([1]Opciones!$AF:$AF,$A2&amp;"_"&amp;KH$11,[1]Opciones!$AO:$AO)</f>
        <v>#VALUE!</v>
      </c>
      <c r="KI2" t="e">
        <f>+SUMIF([1]Cartera!$R:$R,$A2&amp;"_"&amp;KI$11,[1]Cartera!$J:$J)+SUMIF([1]Futuros!$AD:$AD,$A2&amp;"_"&amp;KI$11,[1]Futuros!$AK:$AK)+SUMIF([1]Opciones!$AF:$AF,$A2&amp;"_"&amp;KI$11,[1]Opciones!$AO:$AO)</f>
        <v>#VALUE!</v>
      </c>
      <c r="KJ2" t="e">
        <f>+SUMIF([1]Cartera!$R:$R,$A2&amp;"_"&amp;KJ$11,[1]Cartera!$J:$J)+SUMIF([1]Futuros!$AD:$AD,$A2&amp;"_"&amp;KJ$11,[1]Futuros!$AK:$AK)+SUMIF([1]Opciones!$AF:$AF,$A2&amp;"_"&amp;KJ$11,[1]Opciones!$AO:$AO)</f>
        <v>#VALUE!</v>
      </c>
      <c r="KK2" t="e">
        <f>+SUMIF([1]Cartera!$R:$R,$A2&amp;"_"&amp;KK$11,[1]Cartera!$J:$J)+SUMIF([1]Futuros!$AD:$AD,$A2&amp;"_"&amp;KK$11,[1]Futuros!$AK:$AK)+SUMIF([1]Opciones!$AF:$AF,$A2&amp;"_"&amp;KK$11,[1]Opciones!$AO:$AO)</f>
        <v>#VALUE!</v>
      </c>
      <c r="KL2" t="e">
        <f>+SUMIF([1]Cartera!$R:$R,$A2&amp;"_"&amp;KL$11,[1]Cartera!$J:$J)+SUMIF([1]Futuros!$AD:$AD,$A2&amp;"_"&amp;KL$11,[1]Futuros!$AK:$AK)+SUMIF([1]Opciones!$AF:$AF,$A2&amp;"_"&amp;KL$11,[1]Opciones!$AO:$AO)</f>
        <v>#VALUE!</v>
      </c>
      <c r="KM2" t="e">
        <f>+SUMIF([1]Cartera!$R:$R,$A2&amp;"_"&amp;KM$11,[1]Cartera!$J:$J)+SUMIF([1]Futuros!$AD:$AD,$A2&amp;"_"&amp;KM$11,[1]Futuros!$AK:$AK)+SUMIF([1]Opciones!$AF:$AF,$A2&amp;"_"&amp;KM$11,[1]Opciones!$AO:$AO)</f>
        <v>#VALUE!</v>
      </c>
      <c r="KN2" t="e">
        <f>+SUMIF([1]Cartera!$R:$R,$A2&amp;"_"&amp;KN$11,[1]Cartera!$J:$J)+SUMIF([1]Futuros!$AD:$AD,$A2&amp;"_"&amp;KN$11,[1]Futuros!$AK:$AK)+SUMIF([1]Opciones!$AF:$AF,$A2&amp;"_"&amp;KN$11,[1]Opciones!$AO:$AO)</f>
        <v>#VALUE!</v>
      </c>
      <c r="KO2" t="e">
        <f>+SUMIF([1]Cartera!$R:$R,$A2&amp;"_"&amp;KO$11,[1]Cartera!$J:$J)+SUMIF([1]Futuros!$AD:$AD,$A2&amp;"_"&amp;KO$11,[1]Futuros!$AK:$AK)+SUMIF([1]Opciones!$AF:$AF,$A2&amp;"_"&amp;KO$11,[1]Opciones!$AO:$AO)</f>
        <v>#VALUE!</v>
      </c>
      <c r="KP2" t="e">
        <f>+SUMIF([1]Cartera!$R:$R,$A2&amp;"_"&amp;KP$11,[1]Cartera!$J:$J)+SUMIF([1]Futuros!$AD:$AD,$A2&amp;"_"&amp;KP$11,[1]Futuros!$AK:$AK)+SUMIF([1]Opciones!$AF:$AF,$A2&amp;"_"&amp;KP$11,[1]Opciones!$AO:$AO)</f>
        <v>#VALUE!</v>
      </c>
      <c r="KQ2" t="e">
        <f>+SUMIF([1]Cartera!$R:$R,$A2&amp;"_"&amp;KQ$11,[1]Cartera!$J:$J)+SUMIF([1]Futuros!$AD:$AD,$A2&amp;"_"&amp;KQ$11,[1]Futuros!$AK:$AK)+SUMIF([1]Opciones!$AF:$AF,$A2&amp;"_"&amp;KQ$11,[1]Opciones!$AO:$AO)</f>
        <v>#VALUE!</v>
      </c>
      <c r="KR2" t="e">
        <f>+SUMIF([1]Cartera!$R:$R,$A2&amp;"_"&amp;KR$11,[1]Cartera!$J:$J)+SUMIF([1]Futuros!$AD:$AD,$A2&amp;"_"&amp;KR$11,[1]Futuros!$AK:$AK)+SUMIF([1]Opciones!$AF:$AF,$A2&amp;"_"&amp;KR$11,[1]Opciones!$AO:$AO)</f>
        <v>#VALUE!</v>
      </c>
      <c r="KS2" t="e">
        <f>+SUMIF([1]Cartera!$R:$R,$A2&amp;"_"&amp;KS$11,[1]Cartera!$J:$J)+SUMIF([1]Futuros!$AD:$AD,$A2&amp;"_"&amp;KS$11,[1]Futuros!$AK:$AK)+SUMIF([1]Opciones!$AF:$AF,$A2&amp;"_"&amp;KS$11,[1]Opciones!$AO:$AO)</f>
        <v>#VALUE!</v>
      </c>
      <c r="KT2" t="e">
        <f>+SUMIF([1]Cartera!$R:$R,$A2&amp;"_"&amp;KT$11,[1]Cartera!$J:$J)+SUMIF([1]Futuros!$AD:$AD,$A2&amp;"_"&amp;KT$11,[1]Futuros!$AK:$AK)+SUMIF([1]Opciones!$AF:$AF,$A2&amp;"_"&amp;KT$11,[1]Opciones!$AO:$AO)</f>
        <v>#VALUE!</v>
      </c>
      <c r="KU2" t="e">
        <f>+SUMIF([1]Cartera!$R:$R,$A2&amp;"_"&amp;KU$11,[1]Cartera!$J:$J)+SUMIF([1]Futuros!$AD:$AD,$A2&amp;"_"&amp;KU$11,[1]Futuros!$AK:$AK)+SUMIF([1]Opciones!$AF:$AF,$A2&amp;"_"&amp;KU$11,[1]Opciones!$AO:$AO)</f>
        <v>#VALUE!</v>
      </c>
      <c r="KV2" t="e">
        <f>+SUMIF([1]Cartera!$R:$R,$A2&amp;"_"&amp;KV$11,[1]Cartera!$J:$J)+SUMIF([1]Futuros!$AD:$AD,$A2&amp;"_"&amp;KV$11,[1]Futuros!$AK:$AK)+SUMIF([1]Opciones!$AF:$AF,$A2&amp;"_"&amp;KV$11,[1]Opciones!$AO:$AO)</f>
        <v>#VALUE!</v>
      </c>
      <c r="KW2" t="e">
        <f>+SUMIF([1]Cartera!$R:$R,$A2&amp;"_"&amp;KW$11,[1]Cartera!$J:$J)+SUMIF([1]Futuros!$AD:$AD,$A2&amp;"_"&amp;KW$11,[1]Futuros!$AK:$AK)+SUMIF([1]Opciones!$AF:$AF,$A2&amp;"_"&amp;KW$11,[1]Opciones!$AO:$AO)</f>
        <v>#VALUE!</v>
      </c>
      <c r="KX2" t="e">
        <f>+SUMIF([1]Cartera!$R:$R,$A2&amp;"_"&amp;KX$11,[1]Cartera!$J:$J)+SUMIF([1]Futuros!$AD:$AD,$A2&amp;"_"&amp;KX$11,[1]Futuros!$AK:$AK)+SUMIF([1]Opciones!$AF:$AF,$A2&amp;"_"&amp;KX$11,[1]Opciones!$AO:$AO)</f>
        <v>#VALUE!</v>
      </c>
      <c r="KY2" t="e">
        <f>+SUMIF([1]Cartera!$R:$R,$A2&amp;"_"&amp;KY$11,[1]Cartera!$J:$J)+SUMIF([1]Futuros!$AD:$AD,$A2&amp;"_"&amp;KY$11,[1]Futuros!$AK:$AK)+SUMIF([1]Opciones!$AF:$AF,$A2&amp;"_"&amp;KY$11,[1]Opciones!$AO:$AO)</f>
        <v>#VALUE!</v>
      </c>
      <c r="KZ2" t="e">
        <f>+SUMIF([1]Cartera!$R:$R,$A2&amp;"_"&amp;KZ$11,[1]Cartera!$J:$J)+SUMIF([1]Futuros!$AD:$AD,$A2&amp;"_"&amp;KZ$11,[1]Futuros!$AK:$AK)+SUMIF([1]Opciones!$AF:$AF,$A2&amp;"_"&amp;KZ$11,[1]Opciones!$AO:$AO)</f>
        <v>#VALUE!</v>
      </c>
      <c r="LA2" t="e">
        <f>+SUMIF([1]Cartera!$R:$R,$A2&amp;"_"&amp;LA$11,[1]Cartera!$J:$J)+SUMIF([1]Futuros!$AD:$AD,$A2&amp;"_"&amp;LA$11,[1]Futuros!$AK:$AK)+SUMIF([1]Opciones!$AF:$AF,$A2&amp;"_"&amp;LA$11,[1]Opciones!$AO:$AO)</f>
        <v>#VALUE!</v>
      </c>
      <c r="LB2" t="e">
        <f>+SUMIF([1]Cartera!$R:$R,$A2&amp;"_"&amp;LB$11,[1]Cartera!$J:$J)+SUMIF([1]Futuros!$AD:$AD,$A2&amp;"_"&amp;LB$11,[1]Futuros!$AK:$AK)+SUMIF([1]Opciones!$AF:$AF,$A2&amp;"_"&amp;LB$11,[1]Opciones!$AO:$AO)</f>
        <v>#VALUE!</v>
      </c>
      <c r="LC2" t="e">
        <f>+SUMIF([1]Cartera!$R:$R,$A2&amp;"_"&amp;LC$11,[1]Cartera!$J:$J)+SUMIF([1]Futuros!$AD:$AD,$A2&amp;"_"&amp;LC$11,[1]Futuros!$AK:$AK)+SUMIF([1]Opciones!$AF:$AF,$A2&amp;"_"&amp;LC$11,[1]Opciones!$AO:$AO)</f>
        <v>#VALUE!</v>
      </c>
      <c r="LD2" t="e">
        <f>+SUMIF([1]Cartera!$R:$R,$A2&amp;"_"&amp;LD$11,[1]Cartera!$J:$J)+SUMIF([1]Futuros!$AD:$AD,$A2&amp;"_"&amp;LD$11,[1]Futuros!$AK:$AK)+SUMIF([1]Opciones!$AF:$AF,$A2&amp;"_"&amp;LD$11,[1]Opciones!$AO:$AO)</f>
        <v>#VALUE!</v>
      </c>
      <c r="LE2" t="e">
        <f>+SUMIF([1]Cartera!$R:$R,$A2&amp;"_"&amp;LE$11,[1]Cartera!$J:$J)+SUMIF([1]Futuros!$AD:$AD,$A2&amp;"_"&amp;LE$11,[1]Futuros!$AK:$AK)+SUMIF([1]Opciones!$AF:$AF,$A2&amp;"_"&amp;LE$11,[1]Opciones!$AO:$AO)</f>
        <v>#VALUE!</v>
      </c>
      <c r="LF2" t="e">
        <f>+SUMIF([1]Cartera!$R:$R,$A2&amp;"_"&amp;LF$11,[1]Cartera!$J:$J)+SUMIF([1]Futuros!$AD:$AD,$A2&amp;"_"&amp;LF$11,[1]Futuros!$AK:$AK)+SUMIF([1]Opciones!$AF:$AF,$A2&amp;"_"&amp;LF$11,[1]Opciones!$AO:$AO)</f>
        <v>#VALUE!</v>
      </c>
      <c r="LG2" t="e">
        <f>+SUMIF([1]Cartera!$R:$R,$A2&amp;"_"&amp;LG$11,[1]Cartera!$J:$J)+SUMIF([1]Futuros!$AD:$AD,$A2&amp;"_"&amp;LG$11,[1]Futuros!$AK:$AK)+SUMIF([1]Opciones!$AF:$AF,$A2&amp;"_"&amp;LG$11,[1]Opciones!$AO:$AO)</f>
        <v>#VALUE!</v>
      </c>
      <c r="LH2" t="e">
        <f>+SUMIF([1]Cartera!$R:$R,$A2&amp;"_"&amp;LH$11,[1]Cartera!$J:$J)+SUMIF([1]Futuros!$AD:$AD,$A2&amp;"_"&amp;LH$11,[1]Futuros!$AK:$AK)+SUMIF([1]Opciones!$AF:$AF,$A2&amp;"_"&amp;LH$11,[1]Opciones!$AO:$AO)</f>
        <v>#VALUE!</v>
      </c>
      <c r="LI2" t="e">
        <f>+SUMIF([1]Cartera!$R:$R,$A2&amp;"_"&amp;LI$11,[1]Cartera!$J:$J)+SUMIF([1]Futuros!$AD:$AD,$A2&amp;"_"&amp;LI$11,[1]Futuros!$AK:$AK)+SUMIF([1]Opciones!$AF:$AF,$A2&amp;"_"&amp;LI$11,[1]Opciones!$AO:$AO)</f>
        <v>#VALUE!</v>
      </c>
      <c r="LJ2" t="e">
        <f>+SUMIF([1]Cartera!$R:$R,$A2&amp;"_"&amp;LJ$11,[1]Cartera!$J:$J)+SUMIF([1]Futuros!$AD:$AD,$A2&amp;"_"&amp;LJ$11,[1]Futuros!$AK:$AK)+SUMIF([1]Opciones!$AF:$AF,$A2&amp;"_"&amp;LJ$11,[1]Opciones!$AO:$AO)</f>
        <v>#VALUE!</v>
      </c>
      <c r="LK2" t="e">
        <f>+SUMIF([1]Cartera!$R:$R,$A2&amp;"_"&amp;LK$11,[1]Cartera!$J:$J)+SUMIF([1]Futuros!$AD:$AD,$A2&amp;"_"&amp;LK$11,[1]Futuros!$AK:$AK)+SUMIF([1]Opciones!$AF:$AF,$A2&amp;"_"&amp;LK$11,[1]Opciones!$AO:$AO)</f>
        <v>#VALUE!</v>
      </c>
      <c r="LL2" t="e">
        <f>+SUMIF([1]Cartera!$R:$R,$A2&amp;"_"&amp;LL$11,[1]Cartera!$J:$J)+SUMIF([1]Futuros!$AD:$AD,$A2&amp;"_"&amp;LL$11,[1]Futuros!$AK:$AK)+SUMIF([1]Opciones!$AF:$AF,$A2&amp;"_"&amp;LL$11,[1]Opciones!$AO:$AO)</f>
        <v>#VALUE!</v>
      </c>
      <c r="LM2" t="e">
        <f>+SUMIF([1]Cartera!$R:$R,$A2&amp;"_"&amp;LM$11,[1]Cartera!$J:$J)+SUMIF([1]Futuros!$AD:$AD,$A2&amp;"_"&amp;LM$11,[1]Futuros!$AK:$AK)+SUMIF([1]Opciones!$AF:$AF,$A2&amp;"_"&amp;LM$11,[1]Opciones!$AO:$AO)</f>
        <v>#VALUE!</v>
      </c>
      <c r="LN2" t="e">
        <f>+SUMIF([1]Cartera!$R:$R,$A2&amp;"_"&amp;LN$11,[1]Cartera!$J:$J)+SUMIF([1]Futuros!$AD:$AD,$A2&amp;"_"&amp;LN$11,[1]Futuros!$AK:$AK)+SUMIF([1]Opciones!$AF:$AF,$A2&amp;"_"&amp;LN$11,[1]Opciones!$AO:$AO)</f>
        <v>#VALUE!</v>
      </c>
      <c r="LO2" t="e">
        <f>+SUMIF([1]Cartera!$R:$R,$A2&amp;"_"&amp;LO$11,[1]Cartera!$J:$J)+SUMIF([1]Futuros!$AD:$AD,$A2&amp;"_"&amp;LO$11,[1]Futuros!$AK:$AK)+SUMIF([1]Opciones!$AF:$AF,$A2&amp;"_"&amp;LO$11,[1]Opciones!$AO:$AO)</f>
        <v>#VALUE!</v>
      </c>
      <c r="LP2" t="e">
        <f>+SUMIF([1]Cartera!$R:$R,$A2&amp;"_"&amp;LP$11,[1]Cartera!$J:$J)+SUMIF([1]Futuros!$AD:$AD,$A2&amp;"_"&amp;LP$11,[1]Futuros!$AK:$AK)+SUMIF([1]Opciones!$AF:$AF,$A2&amp;"_"&amp;LP$11,[1]Opciones!$AO:$AO)</f>
        <v>#VALUE!</v>
      </c>
      <c r="LQ2" t="e">
        <f>+SUMIF([1]Cartera!$R:$R,$A2&amp;"_"&amp;LQ$11,[1]Cartera!$J:$J)+SUMIF([1]Futuros!$AD:$AD,$A2&amp;"_"&amp;LQ$11,[1]Futuros!$AK:$AK)+SUMIF([1]Opciones!$AF:$AF,$A2&amp;"_"&amp;LQ$11,[1]Opciones!$AO:$AO)</f>
        <v>#VALUE!</v>
      </c>
      <c r="LR2" t="e">
        <f>+SUMIF([1]Cartera!$R:$R,$A2&amp;"_"&amp;LR$11,[1]Cartera!$J:$J)+SUMIF([1]Futuros!$AD:$AD,$A2&amp;"_"&amp;LR$11,[1]Futuros!$AK:$AK)+SUMIF([1]Opciones!$AF:$AF,$A2&amp;"_"&amp;LR$11,[1]Opciones!$AO:$AO)</f>
        <v>#VALUE!</v>
      </c>
      <c r="LS2" t="e">
        <f>+SUMIF([1]Cartera!$R:$R,$A2&amp;"_"&amp;LS$11,[1]Cartera!$J:$J)+SUMIF([1]Futuros!$AD:$AD,$A2&amp;"_"&amp;LS$11,[1]Futuros!$AK:$AK)+SUMIF([1]Opciones!$AF:$AF,$A2&amp;"_"&amp;LS$11,[1]Opciones!$AO:$AO)</f>
        <v>#VALUE!</v>
      </c>
      <c r="LT2" t="e">
        <f>+SUMIF([1]Cartera!$R:$R,$A2&amp;"_"&amp;LT$11,[1]Cartera!$J:$J)+SUMIF([1]Futuros!$AD:$AD,$A2&amp;"_"&amp;LT$11,[1]Futuros!$AK:$AK)+SUMIF([1]Opciones!$AF:$AF,$A2&amp;"_"&amp;LT$11,[1]Opciones!$AO:$AO)</f>
        <v>#VALUE!</v>
      </c>
      <c r="LU2" t="e">
        <f>+SUMIF([1]Cartera!$R:$R,$A2&amp;"_"&amp;LU$11,[1]Cartera!$J:$J)+SUMIF([1]Futuros!$AD:$AD,$A2&amp;"_"&amp;LU$11,[1]Futuros!$AK:$AK)+SUMIF([1]Opciones!$AF:$AF,$A2&amp;"_"&amp;LU$11,[1]Opciones!$AO:$AO)</f>
        <v>#VALUE!</v>
      </c>
      <c r="LV2" t="e">
        <f>+SUMIF([1]Cartera!$R:$R,$A2&amp;"_"&amp;LV$11,[1]Cartera!$J:$J)+SUMIF([1]Futuros!$AD:$AD,$A2&amp;"_"&amp;LV$11,[1]Futuros!$AK:$AK)+SUMIF([1]Opciones!$AF:$AF,$A2&amp;"_"&amp;LV$11,[1]Opciones!$AO:$AO)</f>
        <v>#VALUE!</v>
      </c>
      <c r="LW2" t="e">
        <f>+SUMIF([1]Cartera!$R:$R,$A2&amp;"_"&amp;LW$11,[1]Cartera!$J:$J)+SUMIF([1]Futuros!$AD:$AD,$A2&amp;"_"&amp;LW$11,[1]Futuros!$AK:$AK)+SUMIF([1]Opciones!$AF:$AF,$A2&amp;"_"&amp;LW$11,[1]Opciones!$AO:$AO)</f>
        <v>#VALUE!</v>
      </c>
      <c r="LX2" t="e">
        <f>+SUMIF([1]Cartera!$R:$R,$A2&amp;"_"&amp;LX$11,[1]Cartera!$J:$J)+SUMIF([1]Futuros!$AD:$AD,$A2&amp;"_"&amp;LX$11,[1]Futuros!$AK:$AK)+SUMIF([1]Opciones!$AF:$AF,$A2&amp;"_"&amp;LX$11,[1]Opciones!$AO:$AO)</f>
        <v>#VALUE!</v>
      </c>
      <c r="LY2" t="e">
        <f>+SUMIF([1]Cartera!$R:$R,$A2&amp;"_"&amp;LY$11,[1]Cartera!$J:$J)+SUMIF([1]Futuros!$AD:$AD,$A2&amp;"_"&amp;LY$11,[1]Futuros!$AK:$AK)+SUMIF([1]Opciones!$AF:$AF,$A2&amp;"_"&amp;LY$11,[1]Opciones!$AO:$AO)</f>
        <v>#VALUE!</v>
      </c>
      <c r="LZ2" t="e">
        <f>+SUMIF([1]Cartera!$R:$R,$A2&amp;"_"&amp;LZ$11,[1]Cartera!$J:$J)+SUMIF([1]Futuros!$AD:$AD,$A2&amp;"_"&amp;LZ$11,[1]Futuros!$AK:$AK)+SUMIF([1]Opciones!$AF:$AF,$A2&amp;"_"&amp;LZ$11,[1]Opciones!$AO:$AO)</f>
        <v>#VALUE!</v>
      </c>
      <c r="MA2" t="e">
        <f>+SUMIF([1]Cartera!$R:$R,$A2&amp;"_"&amp;MA$11,[1]Cartera!$J:$J)+SUMIF([1]Futuros!$AD:$AD,$A2&amp;"_"&amp;MA$11,[1]Futuros!$AK:$AK)+SUMIF([1]Opciones!$AF:$AF,$A2&amp;"_"&amp;MA$11,[1]Opciones!$AO:$AO)</f>
        <v>#VALUE!</v>
      </c>
      <c r="MB2" t="e">
        <f>+SUMIF([1]Cartera!$R:$R,$A2&amp;"_"&amp;MB$11,[1]Cartera!$J:$J)+SUMIF([1]Futuros!$AD:$AD,$A2&amp;"_"&amp;MB$11,[1]Futuros!$AK:$AK)+SUMIF([1]Opciones!$AF:$AF,$A2&amp;"_"&amp;MB$11,[1]Opciones!$AO:$AO)</f>
        <v>#VALUE!</v>
      </c>
      <c r="MC2" t="e">
        <f>+SUMIF([1]Cartera!$R:$R,$A2&amp;"_"&amp;MC$11,[1]Cartera!$J:$J)+SUMIF([1]Futuros!$AD:$AD,$A2&amp;"_"&amp;MC$11,[1]Futuros!$AK:$AK)+SUMIF([1]Opciones!$AF:$AF,$A2&amp;"_"&amp;MC$11,[1]Opciones!$AO:$AO)</f>
        <v>#VALUE!</v>
      </c>
      <c r="MD2" t="e">
        <f>+SUMIF([1]Cartera!$R:$R,$A2&amp;"_"&amp;MD$11,[1]Cartera!$J:$J)+SUMIF([1]Futuros!$AD:$AD,$A2&amp;"_"&amp;MD$11,[1]Futuros!$AK:$AK)+SUMIF([1]Opciones!$AF:$AF,$A2&amp;"_"&amp;MD$11,[1]Opciones!$AO:$AO)</f>
        <v>#VALUE!</v>
      </c>
      <c r="ME2" t="e">
        <f>+SUMIF([1]Cartera!$R:$R,$A2&amp;"_"&amp;ME$11,[1]Cartera!$J:$J)+SUMIF([1]Futuros!$AD:$AD,$A2&amp;"_"&amp;ME$11,[1]Futuros!$AK:$AK)+SUMIF([1]Opciones!$AF:$AF,$A2&amp;"_"&amp;ME$11,[1]Opciones!$AO:$AO)</f>
        <v>#VALUE!</v>
      </c>
      <c r="MF2" t="e">
        <f>+SUMIF([1]Cartera!$R:$R,$A2&amp;"_"&amp;MF$11,[1]Cartera!$J:$J)+SUMIF([1]Futuros!$AD:$AD,$A2&amp;"_"&amp;MF$11,[1]Futuros!$AK:$AK)+SUMIF([1]Opciones!$AF:$AF,$A2&amp;"_"&amp;MF$11,[1]Opciones!$AO:$AO)</f>
        <v>#VALUE!</v>
      </c>
      <c r="MG2" t="e">
        <f>+SUMIF([1]Cartera!$R:$R,$A2&amp;"_"&amp;MG$11,[1]Cartera!$J:$J)+SUMIF([1]Futuros!$AD:$AD,$A2&amp;"_"&amp;MG$11,[1]Futuros!$AK:$AK)+SUMIF([1]Opciones!$AF:$AF,$A2&amp;"_"&amp;MG$11,[1]Opciones!$AO:$AO)</f>
        <v>#VALUE!</v>
      </c>
      <c r="MH2" t="e">
        <f>+SUMIF([1]Cartera!$R:$R,$A2&amp;"_"&amp;MH$11,[1]Cartera!$J:$J)+SUMIF([1]Futuros!$AD:$AD,$A2&amp;"_"&amp;MH$11,[1]Futuros!$AK:$AK)+SUMIF([1]Opciones!$AF:$AF,$A2&amp;"_"&amp;MH$11,[1]Opciones!$AO:$AO)</f>
        <v>#VALUE!</v>
      </c>
      <c r="MI2" t="e">
        <f>+SUMIF([1]Cartera!$R:$R,$A2&amp;"_"&amp;MI$11,[1]Cartera!$J:$J)+SUMIF([1]Futuros!$AD:$AD,$A2&amp;"_"&amp;MI$11,[1]Futuros!$AK:$AK)+SUMIF([1]Opciones!$AF:$AF,$A2&amp;"_"&amp;MI$11,[1]Opciones!$AO:$AO)</f>
        <v>#VALUE!</v>
      </c>
      <c r="MJ2" t="e">
        <f>+SUMIF([1]Cartera!$R:$R,$A2&amp;"_"&amp;MJ$11,[1]Cartera!$J:$J)+SUMIF([1]Futuros!$AD:$AD,$A2&amp;"_"&amp;MJ$11,[1]Futuros!$AK:$AK)+SUMIF([1]Opciones!$AF:$AF,$A2&amp;"_"&amp;MJ$11,[1]Opciones!$AO:$AO)</f>
        <v>#VALUE!</v>
      </c>
      <c r="MK2" t="e">
        <f>+SUMIF([1]Cartera!$R:$R,$A2&amp;"_"&amp;MK$11,[1]Cartera!$J:$J)+SUMIF([1]Futuros!$AD:$AD,$A2&amp;"_"&amp;MK$11,[1]Futuros!$AK:$AK)+SUMIF([1]Opciones!$AF:$AF,$A2&amp;"_"&amp;MK$11,[1]Opciones!$AO:$AO)</f>
        <v>#VALUE!</v>
      </c>
      <c r="ML2" t="e">
        <f>+SUMIF([1]Cartera!$R:$R,$A2&amp;"_"&amp;ML$11,[1]Cartera!$J:$J)+SUMIF([1]Futuros!$AD:$AD,$A2&amp;"_"&amp;ML$11,[1]Futuros!$AK:$AK)+SUMIF([1]Opciones!$AF:$AF,$A2&amp;"_"&amp;ML$11,[1]Opciones!$AO:$AO)</f>
        <v>#VALUE!</v>
      </c>
      <c r="MM2" t="e">
        <f>+SUMIF([1]Cartera!$R:$R,$A2&amp;"_"&amp;MM$11,[1]Cartera!$J:$J)+SUMIF([1]Futuros!$AD:$AD,$A2&amp;"_"&amp;MM$11,[1]Futuros!$AK:$AK)+SUMIF([1]Opciones!$AF:$AF,$A2&amp;"_"&amp;MM$11,[1]Opciones!$AO:$AO)</f>
        <v>#VALUE!</v>
      </c>
      <c r="MN2" t="e">
        <f>+SUMIF([1]Cartera!$R:$R,$A2&amp;"_"&amp;MN$11,[1]Cartera!$J:$J)+SUMIF([1]Futuros!$AD:$AD,$A2&amp;"_"&amp;MN$11,[1]Futuros!$AK:$AK)+SUMIF([1]Opciones!$AF:$AF,$A2&amp;"_"&amp;MN$11,[1]Opciones!$AO:$AO)</f>
        <v>#VALUE!</v>
      </c>
      <c r="MO2" t="e">
        <f>+SUMIF([1]Cartera!$R:$R,$A2&amp;"_"&amp;MO$11,[1]Cartera!$J:$J)+SUMIF([1]Futuros!$AD:$AD,$A2&amp;"_"&amp;MO$11,[1]Futuros!$AK:$AK)+SUMIF([1]Opciones!$AF:$AF,$A2&amp;"_"&amp;MO$11,[1]Opciones!$AO:$AO)</f>
        <v>#VALUE!</v>
      </c>
      <c r="MP2" t="e">
        <f>+SUMIF([1]Cartera!$R:$R,$A2&amp;"_"&amp;MP$11,[1]Cartera!$J:$J)+SUMIF([1]Futuros!$AD:$AD,$A2&amp;"_"&amp;MP$11,[1]Futuros!$AK:$AK)+SUMIF([1]Opciones!$AF:$AF,$A2&amp;"_"&amp;MP$11,[1]Opciones!$AO:$AO)</f>
        <v>#VALUE!</v>
      </c>
      <c r="MQ2" t="e">
        <f>+SUMIF([1]Cartera!$R:$R,$A2&amp;"_"&amp;MQ$11,[1]Cartera!$J:$J)+SUMIF([1]Futuros!$AD:$AD,$A2&amp;"_"&amp;MQ$11,[1]Futuros!$AK:$AK)+SUMIF([1]Opciones!$AF:$AF,$A2&amp;"_"&amp;MQ$11,[1]Opciones!$AO:$AO)</f>
        <v>#VALUE!</v>
      </c>
      <c r="MR2" t="e">
        <f>+SUMIF([1]Cartera!$R:$R,$A2&amp;"_"&amp;MR$11,[1]Cartera!$J:$J)+SUMIF([1]Futuros!$AD:$AD,$A2&amp;"_"&amp;MR$11,[1]Futuros!$AK:$AK)+SUMIF([1]Opciones!$AF:$AF,$A2&amp;"_"&amp;MR$11,[1]Opciones!$AO:$AO)</f>
        <v>#VALUE!</v>
      </c>
      <c r="MS2" t="e">
        <f>+SUMIF([1]Cartera!$R:$R,$A2&amp;"_"&amp;MS$11,[1]Cartera!$J:$J)+SUMIF([1]Futuros!$AD:$AD,$A2&amp;"_"&amp;MS$11,[1]Futuros!$AK:$AK)+SUMIF([1]Opciones!$AF:$AF,$A2&amp;"_"&amp;MS$11,[1]Opciones!$AO:$AO)</f>
        <v>#VALUE!</v>
      </c>
      <c r="MT2" t="e">
        <f>+SUMIF([1]Cartera!$R:$R,$A2&amp;"_"&amp;MT$11,[1]Cartera!$J:$J)+SUMIF([1]Futuros!$AD:$AD,$A2&amp;"_"&amp;MT$11,[1]Futuros!$AK:$AK)+SUMIF([1]Opciones!$AF:$AF,$A2&amp;"_"&amp;MT$11,[1]Opciones!$AO:$AO)</f>
        <v>#VALUE!</v>
      </c>
      <c r="MU2" t="e">
        <f>+SUMIF([1]Cartera!$R:$R,$A2&amp;"_"&amp;MU$11,[1]Cartera!$J:$J)+SUMIF([1]Futuros!$AD:$AD,$A2&amp;"_"&amp;MU$11,[1]Futuros!$AK:$AK)+SUMIF([1]Opciones!$AF:$AF,$A2&amp;"_"&amp;MU$11,[1]Opciones!$AO:$AO)</f>
        <v>#VALUE!</v>
      </c>
      <c r="MV2" t="e">
        <f>+SUMIF([1]Cartera!$R:$R,$A2&amp;"_"&amp;MV$11,[1]Cartera!$J:$J)+SUMIF([1]Futuros!$AD:$AD,$A2&amp;"_"&amp;MV$11,[1]Futuros!$AK:$AK)+SUMIF([1]Opciones!$AF:$AF,$A2&amp;"_"&amp;MV$11,[1]Opciones!$AO:$AO)</f>
        <v>#VALUE!</v>
      </c>
      <c r="MW2" t="e">
        <f>+SUMIF([1]Cartera!$R:$R,$A2&amp;"_"&amp;MW$11,[1]Cartera!$J:$J)+SUMIF([1]Futuros!$AD:$AD,$A2&amp;"_"&amp;MW$11,[1]Futuros!$AK:$AK)+SUMIF([1]Opciones!$AF:$AF,$A2&amp;"_"&amp;MW$11,[1]Opciones!$AO:$AO)</f>
        <v>#VALUE!</v>
      </c>
      <c r="MX2" t="e">
        <f>+SUMIF([1]Cartera!$R:$R,$A2&amp;"_"&amp;MX$11,[1]Cartera!$J:$J)+SUMIF([1]Futuros!$AD:$AD,$A2&amp;"_"&amp;MX$11,[1]Futuros!$AK:$AK)+SUMIF([1]Opciones!$AF:$AF,$A2&amp;"_"&amp;MX$11,[1]Opciones!$AO:$AO)</f>
        <v>#VALUE!</v>
      </c>
      <c r="MY2" t="e">
        <f>+SUMIF([1]Cartera!$R:$R,$A2&amp;"_"&amp;MY$11,[1]Cartera!$J:$J)+SUMIF([1]Futuros!$AD:$AD,$A2&amp;"_"&amp;MY$11,[1]Futuros!$AK:$AK)+SUMIF([1]Opciones!$AF:$AF,$A2&amp;"_"&amp;MY$11,[1]Opciones!$AO:$AO)</f>
        <v>#VALUE!</v>
      </c>
      <c r="MZ2" t="e">
        <f>+SUMIF([1]Cartera!$R:$R,$A2&amp;"_"&amp;MZ$11,[1]Cartera!$J:$J)+SUMIF([1]Futuros!$AD:$AD,$A2&amp;"_"&amp;MZ$11,[1]Futuros!$AK:$AK)+SUMIF([1]Opciones!$AF:$AF,$A2&amp;"_"&amp;MZ$11,[1]Opciones!$AO:$AO)</f>
        <v>#VALUE!</v>
      </c>
      <c r="NA2" t="e">
        <f>+SUMIF([1]Cartera!$R:$R,$A2&amp;"_"&amp;NA$11,[1]Cartera!$J:$J)+SUMIF([1]Futuros!$AD:$AD,$A2&amp;"_"&amp;NA$11,[1]Futuros!$AK:$AK)+SUMIF([1]Opciones!$AF:$AF,$A2&amp;"_"&amp;NA$11,[1]Opciones!$AO:$AO)</f>
        <v>#VALUE!</v>
      </c>
      <c r="NB2" t="e">
        <f>+SUMIF([1]Cartera!$R:$R,$A2&amp;"_"&amp;NB$11,[1]Cartera!$J:$J)+SUMIF([1]Futuros!$AD:$AD,$A2&amp;"_"&amp;NB$11,[1]Futuros!$AK:$AK)+SUMIF([1]Opciones!$AF:$AF,$A2&amp;"_"&amp;NB$11,[1]Opciones!$AO:$AO)</f>
        <v>#VALUE!</v>
      </c>
      <c r="NC2" t="e">
        <f>+SUMIF([1]Cartera!$R:$R,$A2&amp;"_"&amp;NC$11,[1]Cartera!$J:$J)+SUMIF([1]Futuros!$AD:$AD,$A2&amp;"_"&amp;NC$11,[1]Futuros!$AK:$AK)+SUMIF([1]Opciones!$AF:$AF,$A2&amp;"_"&amp;NC$11,[1]Opciones!$AO:$AO)</f>
        <v>#VALUE!</v>
      </c>
      <c r="ND2" t="e">
        <f>+SUMIF([1]Cartera!$R:$R,$A2&amp;"_"&amp;ND$11,[1]Cartera!$J:$J)+SUMIF([1]Futuros!$AD:$AD,$A2&amp;"_"&amp;ND$11,[1]Futuros!$AK:$AK)+SUMIF([1]Opciones!$AF:$AF,$A2&amp;"_"&amp;ND$11,[1]Opciones!$AO:$AO)</f>
        <v>#VALUE!</v>
      </c>
      <c r="NE2" t="e">
        <f>+SUMIF([1]Cartera!$R:$R,$A2&amp;"_"&amp;NE$11,[1]Cartera!$J:$J)+SUMIF([1]Futuros!$AD:$AD,$A2&amp;"_"&amp;NE$11,[1]Futuros!$AK:$AK)+SUMIF([1]Opciones!$AF:$AF,$A2&amp;"_"&amp;NE$11,[1]Opciones!$AO:$AO)</f>
        <v>#VALUE!</v>
      </c>
      <c r="NF2" t="e">
        <f>+SUMIF([1]Cartera!$R:$R,$A2&amp;"_"&amp;NF$11,[1]Cartera!$J:$J)+SUMIF([1]Futuros!$AD:$AD,$A2&amp;"_"&amp;NF$11,[1]Futuros!$AK:$AK)+SUMIF([1]Opciones!$AF:$AF,$A2&amp;"_"&amp;NF$11,[1]Opciones!$AO:$AO)</f>
        <v>#VALUE!</v>
      </c>
      <c r="NG2" t="e">
        <f>+SUMIF([1]Cartera!$R:$R,$A2&amp;"_"&amp;NG$11,[1]Cartera!$J:$J)+SUMIF([1]Futuros!$AD:$AD,$A2&amp;"_"&amp;NG$11,[1]Futuros!$AK:$AK)+SUMIF([1]Opciones!$AF:$AF,$A2&amp;"_"&amp;NG$11,[1]Opciones!$AO:$AO)</f>
        <v>#VALUE!</v>
      </c>
      <c r="NH2" t="e">
        <f>+SUMIF([1]Cartera!$R:$R,$A2&amp;"_"&amp;NH$11,[1]Cartera!$J:$J)+SUMIF([1]Futuros!$AD:$AD,$A2&amp;"_"&amp;NH$11,[1]Futuros!$AK:$AK)+SUMIF([1]Opciones!$AF:$AF,$A2&amp;"_"&amp;NH$11,[1]Opciones!$AO:$AO)</f>
        <v>#VALUE!</v>
      </c>
      <c r="NI2" t="e">
        <f>+SUMIF([1]Cartera!$R:$R,$A2&amp;"_"&amp;NI$11,[1]Cartera!$J:$J)+SUMIF([1]Futuros!$AD:$AD,$A2&amp;"_"&amp;NI$11,[1]Futuros!$AK:$AK)+SUMIF([1]Opciones!$AF:$AF,$A2&amp;"_"&amp;NI$11,[1]Opciones!$AO:$AO)</f>
        <v>#VALUE!</v>
      </c>
      <c r="NJ2" t="e">
        <f>+SUMIF([1]Cartera!$R:$R,$A2&amp;"_"&amp;NJ$11,[1]Cartera!$J:$J)+SUMIF([1]Futuros!$AD:$AD,$A2&amp;"_"&amp;NJ$11,[1]Futuros!$AK:$AK)+SUMIF([1]Opciones!$AF:$AF,$A2&amp;"_"&amp;NJ$11,[1]Opciones!$AO:$AO)</f>
        <v>#VALUE!</v>
      </c>
      <c r="NK2" t="e">
        <f>+SUMIF([1]Cartera!$R:$R,$A2&amp;"_"&amp;NK$11,[1]Cartera!$J:$J)+SUMIF([1]Futuros!$AD:$AD,$A2&amp;"_"&amp;NK$11,[1]Futuros!$AK:$AK)+SUMIF([1]Opciones!$AF:$AF,$A2&amp;"_"&amp;NK$11,[1]Opciones!$AO:$AO)</f>
        <v>#VALUE!</v>
      </c>
      <c r="NL2" t="e">
        <f>+SUMIF([1]Cartera!$R:$R,$A2&amp;"_"&amp;NL$11,[1]Cartera!$J:$J)+SUMIF([1]Futuros!$AD:$AD,$A2&amp;"_"&amp;NL$11,[1]Futuros!$AK:$AK)+SUMIF([1]Opciones!$AF:$AF,$A2&amp;"_"&amp;NL$11,[1]Opciones!$AO:$AO)</f>
        <v>#VALUE!</v>
      </c>
      <c r="NM2" t="e">
        <f>+SUMIF([1]Cartera!$R:$R,$A2&amp;"_"&amp;NM$11,[1]Cartera!$J:$J)+SUMIF([1]Futuros!$AD:$AD,$A2&amp;"_"&amp;NM$11,[1]Futuros!$AK:$AK)+SUMIF([1]Opciones!$AF:$AF,$A2&amp;"_"&amp;NM$11,[1]Opciones!$AO:$AO)</f>
        <v>#VALUE!</v>
      </c>
      <c r="NN2" t="e">
        <f>+SUMIF([1]Cartera!$R:$R,$A2&amp;"_"&amp;NN$11,[1]Cartera!$J:$J)+SUMIF([1]Futuros!$AD:$AD,$A2&amp;"_"&amp;NN$11,[1]Futuros!$AK:$AK)+SUMIF([1]Opciones!$AF:$AF,$A2&amp;"_"&amp;NN$11,[1]Opciones!$AO:$AO)</f>
        <v>#VALUE!</v>
      </c>
      <c r="NO2" t="e">
        <f>+SUMIF([1]Cartera!$R:$R,$A2&amp;"_"&amp;NO$11,[1]Cartera!$J:$J)+SUMIF([1]Futuros!$AD:$AD,$A2&amp;"_"&amp;NO$11,[1]Futuros!$AK:$AK)+SUMIF([1]Opciones!$AF:$AF,$A2&amp;"_"&amp;NO$11,[1]Opciones!$AO:$AO)</f>
        <v>#VALUE!</v>
      </c>
      <c r="NP2" t="e">
        <f>+SUMIF([1]Cartera!$R:$R,$A2&amp;"_"&amp;NP$11,[1]Cartera!$J:$J)+SUMIF([1]Futuros!$AD:$AD,$A2&amp;"_"&amp;NP$11,[1]Futuros!$AK:$AK)+SUMIF([1]Opciones!$AF:$AF,$A2&amp;"_"&amp;NP$11,[1]Opciones!$AO:$AO)</f>
        <v>#VALUE!</v>
      </c>
      <c r="NQ2" t="e">
        <f>+SUMIF([1]Cartera!$R:$R,$A2&amp;"_"&amp;NQ$11,[1]Cartera!$J:$J)+SUMIF([1]Futuros!$AD:$AD,$A2&amp;"_"&amp;NQ$11,[1]Futuros!$AK:$AK)+SUMIF([1]Opciones!$AF:$AF,$A2&amp;"_"&amp;NQ$11,[1]Opciones!$AO:$AO)</f>
        <v>#VALUE!</v>
      </c>
      <c r="NR2" t="e">
        <f>+SUMIF([1]Cartera!$R:$R,$A2&amp;"_"&amp;NR$11,[1]Cartera!$J:$J)+SUMIF([1]Futuros!$AD:$AD,$A2&amp;"_"&amp;NR$11,[1]Futuros!$AK:$AK)+SUMIF([1]Opciones!$AF:$AF,$A2&amp;"_"&amp;NR$11,[1]Opciones!$AO:$AO)</f>
        <v>#VALUE!</v>
      </c>
      <c r="NS2" t="e">
        <f>+SUMIF([1]Cartera!$R:$R,$A2&amp;"_"&amp;NS$11,[1]Cartera!$J:$J)+SUMIF([1]Futuros!$AD:$AD,$A2&amp;"_"&amp;NS$11,[1]Futuros!$AK:$AK)+SUMIF([1]Opciones!$AF:$AF,$A2&amp;"_"&amp;NS$11,[1]Opciones!$AO:$AO)</f>
        <v>#VALUE!</v>
      </c>
      <c r="NT2" t="e">
        <f>+SUMIF([1]Cartera!$R:$R,$A2&amp;"_"&amp;NT$11,[1]Cartera!$J:$J)+SUMIF([1]Futuros!$AD:$AD,$A2&amp;"_"&amp;NT$11,[1]Futuros!$AK:$AK)+SUMIF([1]Opciones!$AF:$AF,$A2&amp;"_"&amp;NT$11,[1]Opciones!$AO:$AO)</f>
        <v>#VALUE!</v>
      </c>
      <c r="NU2" t="e">
        <f>+SUMIF([1]Cartera!$R:$R,$A2&amp;"_"&amp;NU$11,[1]Cartera!$J:$J)+SUMIF([1]Futuros!$AD:$AD,$A2&amp;"_"&amp;NU$11,[1]Futuros!$AK:$AK)+SUMIF([1]Opciones!$AF:$AF,$A2&amp;"_"&amp;NU$11,[1]Opciones!$AO:$AO)</f>
        <v>#VALUE!</v>
      </c>
      <c r="NV2" t="e">
        <f>+SUMIF([1]Cartera!$R:$R,$A2&amp;"_"&amp;NV$11,[1]Cartera!$J:$J)+SUMIF([1]Futuros!$AD:$AD,$A2&amp;"_"&amp;NV$11,[1]Futuros!$AK:$AK)+SUMIF([1]Opciones!$AF:$AF,$A2&amp;"_"&amp;NV$11,[1]Opciones!$AO:$AO)</f>
        <v>#VALUE!</v>
      </c>
      <c r="NW2" t="e">
        <f>+SUMIF([1]Cartera!$R:$R,$A2&amp;"_"&amp;NW$11,[1]Cartera!$J:$J)+SUMIF([1]Futuros!$AD:$AD,$A2&amp;"_"&amp;NW$11,[1]Futuros!$AK:$AK)+SUMIF([1]Opciones!$AF:$AF,$A2&amp;"_"&amp;NW$11,[1]Opciones!$AO:$AO)</f>
        <v>#VALUE!</v>
      </c>
      <c r="NX2" t="e">
        <f>+SUMIF([1]Cartera!$R:$R,$A2&amp;"_"&amp;NX$11,[1]Cartera!$J:$J)+SUMIF([1]Futuros!$AD:$AD,$A2&amp;"_"&amp;NX$11,[1]Futuros!$AK:$AK)+SUMIF([1]Opciones!$AF:$AF,$A2&amp;"_"&amp;NX$11,[1]Opciones!$AO:$AO)</f>
        <v>#VALUE!</v>
      </c>
      <c r="NY2" t="e">
        <f>+SUMIF([1]Cartera!$R:$R,$A2&amp;"_"&amp;NY$11,[1]Cartera!$J:$J)+SUMIF([1]Futuros!$AD:$AD,$A2&amp;"_"&amp;NY$11,[1]Futuros!$AK:$AK)+SUMIF([1]Opciones!$AF:$AF,$A2&amp;"_"&amp;NY$11,[1]Opciones!$AO:$AO)</f>
        <v>#VALUE!</v>
      </c>
      <c r="NZ2" t="e">
        <f>+SUMIF([1]Cartera!$R:$R,$A2&amp;"_"&amp;NZ$11,[1]Cartera!$J:$J)+SUMIF([1]Futuros!$AD:$AD,$A2&amp;"_"&amp;NZ$11,[1]Futuros!$AK:$AK)+SUMIF([1]Opciones!$AF:$AF,$A2&amp;"_"&amp;NZ$11,[1]Opciones!$AO:$AO)</f>
        <v>#VALUE!</v>
      </c>
      <c r="OA2" t="e">
        <f>+SUMIF([1]Cartera!$R:$R,$A2&amp;"_"&amp;OA$11,[1]Cartera!$J:$J)+SUMIF([1]Futuros!$AD:$AD,$A2&amp;"_"&amp;OA$11,[1]Futuros!$AK:$AK)+SUMIF([1]Opciones!$AF:$AF,$A2&amp;"_"&amp;OA$11,[1]Opciones!$AO:$AO)</f>
        <v>#VALUE!</v>
      </c>
      <c r="OB2" t="e">
        <f>+SUMIF([1]Cartera!$R:$R,$A2&amp;"_"&amp;OB$11,[1]Cartera!$J:$J)+SUMIF([1]Futuros!$AD:$AD,$A2&amp;"_"&amp;OB$11,[1]Futuros!$AK:$AK)+SUMIF([1]Opciones!$AF:$AF,$A2&amp;"_"&amp;OB$11,[1]Opciones!$AO:$AO)</f>
        <v>#VALUE!</v>
      </c>
      <c r="OC2" t="e">
        <f>+SUMIF([1]Cartera!$R:$R,$A2&amp;"_"&amp;OC$11,[1]Cartera!$J:$J)+SUMIF([1]Futuros!$AD:$AD,$A2&amp;"_"&amp;OC$11,[1]Futuros!$AK:$AK)+SUMIF([1]Opciones!$AF:$AF,$A2&amp;"_"&amp;OC$11,[1]Opciones!$AO:$AO)</f>
        <v>#VALUE!</v>
      </c>
      <c r="OD2" t="e">
        <f>+SUMIF([1]Cartera!$R:$R,$A2&amp;"_"&amp;OD$11,[1]Cartera!$J:$J)+SUMIF([1]Futuros!$AD:$AD,$A2&amp;"_"&amp;OD$11,[1]Futuros!$AK:$AK)+SUMIF([1]Opciones!$AF:$AF,$A2&amp;"_"&amp;OD$11,[1]Opciones!$AO:$AO)</f>
        <v>#VALUE!</v>
      </c>
      <c r="OE2" t="e">
        <f>+SUMIF([1]Cartera!$R:$R,$A2&amp;"_"&amp;OE$11,[1]Cartera!$J:$J)+SUMIF([1]Futuros!$AD:$AD,$A2&amp;"_"&amp;OE$11,[1]Futuros!$AK:$AK)+SUMIF([1]Opciones!$AF:$AF,$A2&amp;"_"&amp;OE$11,[1]Opciones!$AO:$AO)</f>
        <v>#VALUE!</v>
      </c>
      <c r="OF2" t="e">
        <f>+SUMIF([1]Cartera!$R:$R,$A2&amp;"_"&amp;OF$11,[1]Cartera!$J:$J)+SUMIF([1]Futuros!$AD:$AD,$A2&amp;"_"&amp;OF$11,[1]Futuros!$AK:$AK)+SUMIF([1]Opciones!$AF:$AF,$A2&amp;"_"&amp;OF$11,[1]Opciones!$AO:$AO)</f>
        <v>#VALUE!</v>
      </c>
      <c r="OG2" t="e">
        <f>+SUMIF([1]Cartera!$R:$R,$A2&amp;"_"&amp;OG$11,[1]Cartera!$J:$J)+SUMIF([1]Futuros!$AD:$AD,$A2&amp;"_"&amp;OG$11,[1]Futuros!$AK:$AK)+SUMIF([1]Opciones!$AF:$AF,$A2&amp;"_"&amp;OG$11,[1]Opciones!$AO:$AO)</f>
        <v>#VALUE!</v>
      </c>
      <c r="OH2" t="e">
        <f>+SUMIF([1]Cartera!$R:$R,$A2&amp;"_"&amp;OH$11,[1]Cartera!$J:$J)+SUMIF([1]Futuros!$AD:$AD,$A2&amp;"_"&amp;OH$11,[1]Futuros!$AK:$AK)+SUMIF([1]Opciones!$AF:$AF,$A2&amp;"_"&amp;OH$11,[1]Opciones!$AO:$AO)</f>
        <v>#VALUE!</v>
      </c>
      <c r="OI2" t="e">
        <f>+SUMIF([1]Cartera!$R:$R,$A2&amp;"_"&amp;OI$11,[1]Cartera!$J:$J)+SUMIF([1]Futuros!$AD:$AD,$A2&amp;"_"&amp;OI$11,[1]Futuros!$AK:$AK)+SUMIF([1]Opciones!$AF:$AF,$A2&amp;"_"&amp;OI$11,[1]Opciones!$AO:$AO)</f>
        <v>#VALUE!</v>
      </c>
      <c r="OJ2" t="e">
        <f>+SUMIF([1]Cartera!$R:$R,$A2&amp;"_"&amp;OJ$11,[1]Cartera!$J:$J)+SUMIF([1]Futuros!$AD:$AD,$A2&amp;"_"&amp;OJ$11,[1]Futuros!$AK:$AK)+SUMIF([1]Opciones!$AF:$AF,$A2&amp;"_"&amp;OJ$11,[1]Opciones!$AO:$AO)</f>
        <v>#VALUE!</v>
      </c>
      <c r="OK2" t="e">
        <f>+SUMIF([1]Cartera!$R:$R,$A2&amp;"_"&amp;OK$11,[1]Cartera!$J:$J)+SUMIF([1]Futuros!$AD:$AD,$A2&amp;"_"&amp;OK$11,[1]Futuros!$AK:$AK)+SUMIF([1]Opciones!$AF:$AF,$A2&amp;"_"&amp;OK$11,[1]Opciones!$AO:$AO)</f>
        <v>#VALUE!</v>
      </c>
      <c r="OL2" t="e">
        <f>+SUMIF([1]Cartera!$R:$R,$A2&amp;"_"&amp;OL$11,[1]Cartera!$J:$J)+SUMIF([1]Futuros!$AD:$AD,$A2&amp;"_"&amp;OL$11,[1]Futuros!$AK:$AK)+SUMIF([1]Opciones!$AF:$AF,$A2&amp;"_"&amp;OL$11,[1]Opciones!$AO:$AO)</f>
        <v>#VALUE!</v>
      </c>
      <c r="OM2" t="e">
        <f>+SUMIF([1]Cartera!$R:$R,$A2&amp;"_"&amp;OM$11,[1]Cartera!$J:$J)+SUMIF([1]Futuros!$AD:$AD,$A2&amp;"_"&amp;OM$11,[1]Futuros!$AK:$AK)+SUMIF([1]Opciones!$AF:$AF,$A2&amp;"_"&amp;OM$11,[1]Opciones!$AO:$AO)</f>
        <v>#VALUE!</v>
      </c>
      <c r="ON2" t="e">
        <f>+SUMIF([1]Cartera!$R:$R,$A2&amp;"_"&amp;ON$11,[1]Cartera!$J:$J)+SUMIF([1]Futuros!$AD:$AD,$A2&amp;"_"&amp;ON$11,[1]Futuros!$AK:$AK)+SUMIF([1]Opciones!$AF:$AF,$A2&amp;"_"&amp;ON$11,[1]Opciones!$AO:$AO)</f>
        <v>#VALUE!</v>
      </c>
      <c r="OO2" t="e">
        <f>+SUMIF([1]Cartera!$R:$R,$A2&amp;"_"&amp;OO$11,[1]Cartera!$J:$J)+SUMIF([1]Futuros!$AD:$AD,$A2&amp;"_"&amp;OO$11,[1]Futuros!$AK:$AK)+SUMIF([1]Opciones!$AF:$AF,$A2&amp;"_"&amp;OO$11,[1]Opciones!$AO:$AO)</f>
        <v>#VALUE!</v>
      </c>
      <c r="OP2" t="e">
        <f>+SUMIF([1]Cartera!$R:$R,$A2&amp;"_"&amp;OP$11,[1]Cartera!$J:$J)+SUMIF([1]Futuros!$AD:$AD,$A2&amp;"_"&amp;OP$11,[1]Futuros!$AK:$AK)+SUMIF([1]Opciones!$AF:$AF,$A2&amp;"_"&amp;OP$11,[1]Opciones!$AO:$AO)</f>
        <v>#VALUE!</v>
      </c>
      <c r="OQ2" t="e">
        <f>+SUMIF([1]Cartera!$R:$R,$A2&amp;"_"&amp;OQ$11,[1]Cartera!$J:$J)+SUMIF([1]Futuros!$AD:$AD,$A2&amp;"_"&amp;OQ$11,[1]Futuros!$AK:$AK)+SUMIF([1]Opciones!$AF:$AF,$A2&amp;"_"&amp;OQ$11,[1]Opciones!$AO:$AO)</f>
        <v>#VALUE!</v>
      </c>
      <c r="OR2" t="e">
        <f>+SUMIF([1]Cartera!$R:$R,$A2&amp;"_"&amp;OR$11,[1]Cartera!$J:$J)+SUMIF([1]Futuros!$AD:$AD,$A2&amp;"_"&amp;OR$11,[1]Futuros!$AK:$AK)+SUMIF([1]Opciones!$AF:$AF,$A2&amp;"_"&amp;OR$11,[1]Opciones!$AO:$AO)</f>
        <v>#VALUE!</v>
      </c>
      <c r="OS2" t="e">
        <f>+SUMIF([1]Cartera!$R:$R,$A2&amp;"_"&amp;OS$11,[1]Cartera!$J:$J)+SUMIF([1]Futuros!$AD:$AD,$A2&amp;"_"&amp;OS$11,[1]Futuros!$AK:$AK)+SUMIF([1]Opciones!$AF:$AF,$A2&amp;"_"&amp;OS$11,[1]Opciones!$AO:$AO)</f>
        <v>#VALUE!</v>
      </c>
      <c r="OT2" t="e">
        <f>+SUMIF([1]Cartera!$R:$R,$A2&amp;"_"&amp;OT$11,[1]Cartera!$J:$J)+SUMIF([1]Futuros!$AD:$AD,$A2&amp;"_"&amp;OT$11,[1]Futuros!$AK:$AK)+SUMIF([1]Opciones!$AF:$AF,$A2&amp;"_"&amp;OT$11,[1]Opciones!$AO:$AO)</f>
        <v>#VALUE!</v>
      </c>
      <c r="OU2" t="e">
        <f>+SUMIF([1]Cartera!$R:$R,$A2&amp;"_"&amp;OU$11,[1]Cartera!$J:$J)+SUMIF([1]Futuros!$AD:$AD,$A2&amp;"_"&amp;OU$11,[1]Futuros!$AK:$AK)+SUMIF([1]Opciones!$AF:$AF,$A2&amp;"_"&amp;OU$11,[1]Opciones!$AO:$AO)</f>
        <v>#VALUE!</v>
      </c>
      <c r="OV2" t="e">
        <f>+SUMIF([1]Cartera!$R:$R,$A2&amp;"_"&amp;OV$11,[1]Cartera!$J:$J)+SUMIF([1]Futuros!$AD:$AD,$A2&amp;"_"&amp;OV$11,[1]Futuros!$AK:$AK)+SUMIF([1]Opciones!$AF:$AF,$A2&amp;"_"&amp;OV$11,[1]Opciones!$AO:$AO)</f>
        <v>#VALUE!</v>
      </c>
      <c r="OW2" t="e">
        <f>+SUMIF([1]Cartera!$R:$R,$A2&amp;"_"&amp;OW$11,[1]Cartera!$J:$J)+SUMIF([1]Futuros!$AD:$AD,$A2&amp;"_"&amp;OW$11,[1]Futuros!$AK:$AK)+SUMIF([1]Opciones!$AF:$AF,$A2&amp;"_"&amp;OW$11,[1]Opciones!$AO:$AO)</f>
        <v>#VALUE!</v>
      </c>
      <c r="OX2" t="e">
        <f>+SUMIF([1]Cartera!$R:$R,$A2&amp;"_"&amp;OX$11,[1]Cartera!$J:$J)+SUMIF([1]Futuros!$AD:$AD,$A2&amp;"_"&amp;OX$11,[1]Futuros!$AK:$AK)+SUMIF([1]Opciones!$AF:$AF,$A2&amp;"_"&amp;OX$11,[1]Opciones!$AO:$AO)</f>
        <v>#VALUE!</v>
      </c>
      <c r="OY2" t="e">
        <f>+SUMIF([1]Cartera!$R:$R,$A2&amp;"_"&amp;OY$11,[1]Cartera!$J:$J)+SUMIF([1]Futuros!$AD:$AD,$A2&amp;"_"&amp;OY$11,[1]Futuros!$AK:$AK)+SUMIF([1]Opciones!$AF:$AF,$A2&amp;"_"&amp;OY$11,[1]Opciones!$AO:$AO)</f>
        <v>#VALUE!</v>
      </c>
      <c r="OZ2" t="e">
        <f>+SUMIF([1]Cartera!$R:$R,$A2&amp;"_"&amp;OZ$11,[1]Cartera!$J:$J)+SUMIF([1]Futuros!$AD:$AD,$A2&amp;"_"&amp;OZ$11,[1]Futuros!$AK:$AK)+SUMIF([1]Opciones!$AF:$AF,$A2&amp;"_"&amp;OZ$11,[1]Opciones!$AO:$AO)</f>
        <v>#VALUE!</v>
      </c>
      <c r="PA2" t="e">
        <f>+SUMIF([1]Cartera!$R:$R,$A2&amp;"_"&amp;PA$11,[1]Cartera!$J:$J)+SUMIF([1]Futuros!$AD:$AD,$A2&amp;"_"&amp;PA$11,[1]Futuros!$AK:$AK)+SUMIF([1]Opciones!$AF:$AF,$A2&amp;"_"&amp;PA$11,[1]Opciones!$AO:$AO)</f>
        <v>#VALUE!</v>
      </c>
      <c r="PB2" t="e">
        <f>+SUMIF([1]Cartera!$R:$R,$A2&amp;"_"&amp;PB$11,[1]Cartera!$J:$J)+SUMIF([1]Futuros!$AD:$AD,$A2&amp;"_"&amp;PB$11,[1]Futuros!$AK:$AK)+SUMIF([1]Opciones!$AF:$AF,$A2&amp;"_"&amp;PB$11,[1]Opciones!$AO:$AO)</f>
        <v>#VALUE!</v>
      </c>
      <c r="PC2" t="e">
        <f>+SUMIF([1]Cartera!$R:$R,$A2&amp;"_"&amp;PC$11,[1]Cartera!$J:$J)+SUMIF([1]Futuros!$AD:$AD,$A2&amp;"_"&amp;PC$11,[1]Futuros!$AK:$AK)+SUMIF([1]Opciones!$AF:$AF,$A2&amp;"_"&amp;PC$11,[1]Opciones!$AO:$AO)</f>
        <v>#VALUE!</v>
      </c>
      <c r="PD2" t="e">
        <f>+SUMIF([1]Cartera!$R:$R,$A2&amp;"_"&amp;PD$11,[1]Cartera!$J:$J)+SUMIF([1]Futuros!$AD:$AD,$A2&amp;"_"&amp;PD$11,[1]Futuros!$AK:$AK)+SUMIF([1]Opciones!$AF:$AF,$A2&amp;"_"&amp;PD$11,[1]Opciones!$AO:$AO)</f>
        <v>#VALUE!</v>
      </c>
      <c r="PE2" t="e">
        <f>+SUMIF([1]Cartera!$R:$R,$A2&amp;"_"&amp;PE$11,[1]Cartera!$J:$J)+SUMIF([1]Futuros!$AD:$AD,$A2&amp;"_"&amp;PE$11,[1]Futuros!$AK:$AK)+SUMIF([1]Opciones!$AF:$AF,$A2&amp;"_"&amp;PE$11,[1]Opciones!$AO:$AO)</f>
        <v>#VALUE!</v>
      </c>
      <c r="PF2" t="e">
        <f>+SUMIF([1]Cartera!$R:$R,$A2&amp;"_"&amp;PF$11,[1]Cartera!$J:$J)+SUMIF([1]Futuros!$AD:$AD,$A2&amp;"_"&amp;PF$11,[1]Futuros!$AK:$AK)+SUMIF([1]Opciones!$AF:$AF,$A2&amp;"_"&amp;PF$11,[1]Opciones!$AO:$AO)</f>
        <v>#VALUE!</v>
      </c>
      <c r="PG2" t="e">
        <f>+SUMIF([1]Cartera!$R:$R,$A2&amp;"_"&amp;PG$11,[1]Cartera!$J:$J)+SUMIF([1]Futuros!$AD:$AD,$A2&amp;"_"&amp;PG$11,[1]Futuros!$AK:$AK)+SUMIF([1]Opciones!$AF:$AF,$A2&amp;"_"&amp;PG$11,[1]Opciones!$AO:$AO)</f>
        <v>#VALUE!</v>
      </c>
      <c r="PH2" t="e">
        <f>+SUMIF([1]Cartera!$R:$R,$A2&amp;"_"&amp;PH$11,[1]Cartera!$J:$J)+SUMIF([1]Futuros!$AD:$AD,$A2&amp;"_"&amp;PH$11,[1]Futuros!$AK:$AK)+SUMIF([1]Opciones!$AF:$AF,$A2&amp;"_"&amp;PH$11,[1]Opciones!$AO:$AO)</f>
        <v>#VALUE!</v>
      </c>
      <c r="PI2" t="e">
        <f>+SUMIF([1]Cartera!$R:$R,$A2&amp;"_"&amp;PI$11,[1]Cartera!$J:$J)+SUMIF([1]Futuros!$AD:$AD,$A2&amp;"_"&amp;PI$11,[1]Futuros!$AK:$AK)+SUMIF([1]Opciones!$AF:$AF,$A2&amp;"_"&amp;PI$11,[1]Opciones!$AO:$AO)</f>
        <v>#VALUE!</v>
      </c>
      <c r="PJ2" t="e">
        <f>+SUMIF([1]Cartera!$R:$R,$A2&amp;"_"&amp;PJ$11,[1]Cartera!$J:$J)+SUMIF([1]Futuros!$AD:$AD,$A2&amp;"_"&amp;PJ$11,[1]Futuros!$AK:$AK)+SUMIF([1]Opciones!$AF:$AF,$A2&amp;"_"&amp;PJ$11,[1]Opciones!$AO:$AO)</f>
        <v>#VALUE!</v>
      </c>
      <c r="PK2" t="e">
        <f>+SUMIF([1]Cartera!$R:$R,$A2&amp;"_"&amp;PK$11,[1]Cartera!$J:$J)+SUMIF([1]Futuros!$AD:$AD,$A2&amp;"_"&amp;PK$11,[1]Futuros!$AK:$AK)+SUMIF([1]Opciones!$AF:$AF,$A2&amp;"_"&amp;PK$11,[1]Opciones!$AO:$AO)</f>
        <v>#VALUE!</v>
      </c>
      <c r="PL2" t="e">
        <f>+SUMIF([1]Cartera!$R:$R,$A2&amp;"_"&amp;PL$11,[1]Cartera!$J:$J)+SUMIF([1]Futuros!$AD:$AD,$A2&amp;"_"&amp;PL$11,[1]Futuros!$AK:$AK)+SUMIF([1]Opciones!$AF:$AF,$A2&amp;"_"&amp;PL$11,[1]Opciones!$AO:$AO)</f>
        <v>#VALUE!</v>
      </c>
      <c r="PM2" t="e">
        <f>+SUMIF([1]Cartera!$R:$R,$A2&amp;"_"&amp;PM$11,[1]Cartera!$J:$J)+SUMIF([1]Futuros!$AD:$AD,$A2&amp;"_"&amp;PM$11,[1]Futuros!$AK:$AK)+SUMIF([1]Opciones!$AF:$AF,$A2&amp;"_"&amp;PM$11,[1]Opciones!$AO:$AO)</f>
        <v>#VALUE!</v>
      </c>
      <c r="PN2" t="e">
        <f>+SUMIF([1]Cartera!$R:$R,$A2&amp;"_"&amp;PN$11,[1]Cartera!$J:$J)+SUMIF([1]Futuros!$AD:$AD,$A2&amp;"_"&amp;PN$11,[1]Futuros!$AK:$AK)+SUMIF([1]Opciones!$AF:$AF,$A2&amp;"_"&amp;PN$11,[1]Opciones!$AO:$AO)</f>
        <v>#VALUE!</v>
      </c>
      <c r="PO2" t="e">
        <f>+SUMIF([1]Cartera!$R:$R,$A2&amp;"_"&amp;PO$11,[1]Cartera!$J:$J)+SUMIF([1]Futuros!$AD:$AD,$A2&amp;"_"&amp;PO$11,[1]Futuros!$AK:$AK)+SUMIF([1]Opciones!$AF:$AF,$A2&amp;"_"&amp;PO$11,[1]Opciones!$AO:$AO)</f>
        <v>#VALUE!</v>
      </c>
      <c r="PP2" t="e">
        <f>+SUMIF([1]Cartera!$R:$R,$A2&amp;"_"&amp;PP$11,[1]Cartera!$J:$J)+SUMIF([1]Futuros!$AD:$AD,$A2&amp;"_"&amp;PP$11,[1]Futuros!$AK:$AK)+SUMIF([1]Opciones!$AF:$AF,$A2&amp;"_"&amp;PP$11,[1]Opciones!$AO:$AO)</f>
        <v>#VALUE!</v>
      </c>
      <c r="PQ2" t="e">
        <f>+SUMIF([1]Cartera!$R:$R,$A2&amp;"_"&amp;PQ$11,[1]Cartera!$J:$J)+SUMIF([1]Futuros!$AD:$AD,$A2&amp;"_"&amp;PQ$11,[1]Futuros!$AK:$AK)+SUMIF([1]Opciones!$AF:$AF,$A2&amp;"_"&amp;PQ$11,[1]Opciones!$AO:$AO)</f>
        <v>#VALUE!</v>
      </c>
      <c r="PR2" t="e">
        <f>+SUMIF([1]Cartera!$R:$R,$A2&amp;"_"&amp;PR$11,[1]Cartera!$J:$J)+SUMIF([1]Futuros!$AD:$AD,$A2&amp;"_"&amp;PR$11,[1]Futuros!$AK:$AK)+SUMIF([1]Opciones!$AF:$AF,$A2&amp;"_"&amp;PR$11,[1]Opciones!$AO:$AO)</f>
        <v>#VALUE!</v>
      </c>
      <c r="PS2" t="e">
        <f>+SUMIF([1]Cartera!$R:$R,$A2&amp;"_"&amp;PS$11,[1]Cartera!$J:$J)+SUMIF([1]Futuros!$AD:$AD,$A2&amp;"_"&amp;PS$11,[1]Futuros!$AK:$AK)+SUMIF([1]Opciones!$AF:$AF,$A2&amp;"_"&amp;PS$11,[1]Opciones!$AO:$AO)</f>
        <v>#VALUE!</v>
      </c>
      <c r="PT2" t="e">
        <f>+SUMIF([1]Cartera!$R:$R,$A2&amp;"_"&amp;PT$11,[1]Cartera!$J:$J)+SUMIF([1]Futuros!$AD:$AD,$A2&amp;"_"&amp;PT$11,[1]Futuros!$AK:$AK)+SUMIF([1]Opciones!$AF:$AF,$A2&amp;"_"&amp;PT$11,[1]Opciones!$AO:$AO)</f>
        <v>#VALUE!</v>
      </c>
      <c r="PU2" t="e">
        <f>+SUMIF([1]Cartera!$R:$R,$A2&amp;"_"&amp;PU$11,[1]Cartera!$J:$J)+SUMIF([1]Futuros!$AD:$AD,$A2&amp;"_"&amp;PU$11,[1]Futuros!$AK:$AK)+SUMIF([1]Opciones!$AF:$AF,$A2&amp;"_"&amp;PU$11,[1]Opciones!$AO:$AO)</f>
        <v>#VALUE!</v>
      </c>
      <c r="PV2" t="e">
        <f>+SUMIF([1]Cartera!$R:$R,$A2&amp;"_"&amp;PV$11,[1]Cartera!$J:$J)+SUMIF([1]Futuros!$AD:$AD,$A2&amp;"_"&amp;PV$11,[1]Futuros!$AK:$AK)+SUMIF([1]Opciones!$AF:$AF,$A2&amp;"_"&amp;PV$11,[1]Opciones!$AO:$AO)</f>
        <v>#VALUE!</v>
      </c>
      <c r="PW2" t="e">
        <f>+SUMIF([1]Cartera!$R:$R,$A2&amp;"_"&amp;PW$11,[1]Cartera!$J:$J)+SUMIF([1]Futuros!$AD:$AD,$A2&amp;"_"&amp;PW$11,[1]Futuros!$AK:$AK)+SUMIF([1]Opciones!$AF:$AF,$A2&amp;"_"&amp;PW$11,[1]Opciones!$AO:$AO)</f>
        <v>#VALUE!</v>
      </c>
      <c r="PX2" t="e">
        <f>+SUMIF([1]Cartera!$R:$R,$A2&amp;"_"&amp;PX$11,[1]Cartera!$J:$J)+SUMIF([1]Futuros!$AD:$AD,$A2&amp;"_"&amp;PX$11,[1]Futuros!$AK:$AK)+SUMIF([1]Opciones!$AF:$AF,$A2&amp;"_"&amp;PX$11,[1]Opciones!$AO:$AO)</f>
        <v>#VALUE!</v>
      </c>
      <c r="PY2" t="e">
        <f>+SUMIF([1]Cartera!$R:$R,$A2&amp;"_"&amp;PY$11,[1]Cartera!$J:$J)+SUMIF([1]Futuros!$AD:$AD,$A2&amp;"_"&amp;PY$11,[1]Futuros!$AK:$AK)+SUMIF([1]Opciones!$AF:$AF,$A2&amp;"_"&amp;PY$11,[1]Opciones!$AO:$AO)</f>
        <v>#VALUE!</v>
      </c>
      <c r="PZ2" t="e">
        <f>+SUMIF([1]Cartera!$R:$R,$A2&amp;"_"&amp;PZ$11,[1]Cartera!$J:$J)+SUMIF([1]Futuros!$AD:$AD,$A2&amp;"_"&amp;PZ$11,[1]Futuros!$AK:$AK)+SUMIF([1]Opciones!$AF:$AF,$A2&amp;"_"&amp;PZ$11,[1]Opciones!$AO:$AO)</f>
        <v>#VALUE!</v>
      </c>
      <c r="QA2" t="e">
        <f>+SUMIF([1]Cartera!$R:$R,$A2&amp;"_"&amp;QA$11,[1]Cartera!$J:$J)+SUMIF([1]Futuros!$AD:$AD,$A2&amp;"_"&amp;QA$11,[1]Futuros!$AK:$AK)+SUMIF([1]Opciones!$AF:$AF,$A2&amp;"_"&amp;QA$11,[1]Opciones!$AO:$AO)</f>
        <v>#VALUE!</v>
      </c>
      <c r="QB2" t="e">
        <f>+SUMIF([1]Cartera!$R:$R,$A2&amp;"_"&amp;QB$11,[1]Cartera!$J:$J)+SUMIF([1]Futuros!$AD:$AD,$A2&amp;"_"&amp;QB$11,[1]Futuros!$AK:$AK)+SUMIF([1]Opciones!$AF:$AF,$A2&amp;"_"&amp;QB$11,[1]Opciones!$AO:$AO)</f>
        <v>#VALUE!</v>
      </c>
      <c r="QC2" t="e">
        <f>+SUMIF([1]Cartera!$R:$R,$A2&amp;"_"&amp;QC$11,[1]Cartera!$J:$J)+SUMIF([1]Futuros!$AD:$AD,$A2&amp;"_"&amp;QC$11,[1]Futuros!$AK:$AK)+SUMIF([1]Opciones!$AF:$AF,$A2&amp;"_"&amp;QC$11,[1]Opciones!$AO:$AO)</f>
        <v>#VALUE!</v>
      </c>
      <c r="QD2" t="e">
        <f>+SUMIF([1]Cartera!$R:$R,$A2&amp;"_"&amp;QD$11,[1]Cartera!$J:$J)+SUMIF([1]Futuros!$AD:$AD,$A2&amp;"_"&amp;QD$11,[1]Futuros!$AK:$AK)+SUMIF([1]Opciones!$AF:$AF,$A2&amp;"_"&amp;QD$11,[1]Opciones!$AO:$AO)</f>
        <v>#VALUE!</v>
      </c>
      <c r="QE2" t="e">
        <f>+SUMIF([1]Cartera!$R:$R,$A2&amp;"_"&amp;QE$11,[1]Cartera!$J:$J)+SUMIF([1]Futuros!$AD:$AD,$A2&amp;"_"&amp;QE$11,[1]Futuros!$AK:$AK)+SUMIF([1]Opciones!$AF:$AF,$A2&amp;"_"&amp;QE$11,[1]Opciones!$AO:$AO)</f>
        <v>#VALUE!</v>
      </c>
      <c r="QF2" t="e">
        <f>+SUMIF([1]Cartera!$R:$R,$A2&amp;"_"&amp;QF$11,[1]Cartera!$J:$J)+SUMIF([1]Futuros!$AD:$AD,$A2&amp;"_"&amp;QF$11,[1]Futuros!$AK:$AK)+SUMIF([1]Opciones!$AF:$AF,$A2&amp;"_"&amp;QF$11,[1]Opciones!$AO:$AO)</f>
        <v>#VALUE!</v>
      </c>
      <c r="QG2" t="e">
        <f>+SUMIF([1]Cartera!$R:$R,$A2&amp;"_"&amp;QG$11,[1]Cartera!$J:$J)+SUMIF([1]Futuros!$AD:$AD,$A2&amp;"_"&amp;QG$11,[1]Futuros!$AK:$AK)+SUMIF([1]Opciones!$AF:$AF,$A2&amp;"_"&amp;QG$11,[1]Opciones!$AO:$AO)</f>
        <v>#VALUE!</v>
      </c>
      <c r="QH2" t="e">
        <f>+SUMIF([1]Cartera!$R:$R,$A2&amp;"_"&amp;QH$11,[1]Cartera!$J:$J)+SUMIF([1]Futuros!$AD:$AD,$A2&amp;"_"&amp;QH$11,[1]Futuros!$AK:$AK)+SUMIF([1]Opciones!$AF:$AF,$A2&amp;"_"&amp;QH$11,[1]Opciones!$AO:$AO)</f>
        <v>#VALUE!</v>
      </c>
      <c r="QI2" t="e">
        <f>+SUMIF([1]Cartera!$R:$R,$A2&amp;"_"&amp;QI$11,[1]Cartera!$J:$J)+SUMIF([1]Futuros!$AD:$AD,$A2&amp;"_"&amp;QI$11,[1]Futuros!$AK:$AK)+SUMIF([1]Opciones!$AF:$AF,$A2&amp;"_"&amp;QI$11,[1]Opciones!$AO:$AO)</f>
        <v>#VALUE!</v>
      </c>
      <c r="QJ2" t="e">
        <f>+SUMIF([1]Cartera!$R:$R,$A2&amp;"_"&amp;QJ$11,[1]Cartera!$J:$J)+SUMIF([1]Futuros!$AD:$AD,$A2&amp;"_"&amp;QJ$11,[1]Futuros!$AK:$AK)+SUMIF([1]Opciones!$AF:$AF,$A2&amp;"_"&amp;QJ$11,[1]Opciones!$AO:$AO)</f>
        <v>#VALUE!</v>
      </c>
      <c r="QK2" t="e">
        <f>+SUMIF([1]Cartera!$R:$R,$A2&amp;"_"&amp;QK$11,[1]Cartera!$J:$J)+SUMIF([1]Futuros!$AD:$AD,$A2&amp;"_"&amp;QK$11,[1]Futuros!$AK:$AK)+SUMIF([1]Opciones!$AF:$AF,$A2&amp;"_"&amp;QK$11,[1]Opciones!$AO:$AO)</f>
        <v>#VALUE!</v>
      </c>
      <c r="QL2" t="e">
        <f>+SUMIF([1]Cartera!$R:$R,$A2&amp;"_"&amp;QL$11,[1]Cartera!$J:$J)+SUMIF([1]Futuros!$AD:$AD,$A2&amp;"_"&amp;QL$11,[1]Futuros!$AK:$AK)+SUMIF([1]Opciones!$AF:$AF,$A2&amp;"_"&amp;QL$11,[1]Opciones!$AO:$AO)</f>
        <v>#VALUE!</v>
      </c>
      <c r="QM2" t="e">
        <f>+SUMIF([1]Cartera!$R:$R,$A2&amp;"_"&amp;QM$11,[1]Cartera!$J:$J)+SUMIF([1]Futuros!$AD:$AD,$A2&amp;"_"&amp;QM$11,[1]Futuros!$AK:$AK)+SUMIF([1]Opciones!$AF:$AF,$A2&amp;"_"&amp;QM$11,[1]Opciones!$AO:$AO)</f>
        <v>#VALUE!</v>
      </c>
      <c r="QN2" t="e">
        <f>+SUMIF([1]Cartera!$R:$R,$A2&amp;"_"&amp;QN$11,[1]Cartera!$J:$J)+SUMIF([1]Futuros!$AD:$AD,$A2&amp;"_"&amp;QN$11,[1]Futuros!$AK:$AK)+SUMIF([1]Opciones!$AF:$AF,$A2&amp;"_"&amp;QN$11,[1]Opciones!$AO:$AO)</f>
        <v>#VALUE!</v>
      </c>
      <c r="QO2" t="e">
        <f>+SUMIF([1]Cartera!$R:$R,$A2&amp;"_"&amp;QO$11,[1]Cartera!$J:$J)+SUMIF([1]Futuros!$AD:$AD,$A2&amp;"_"&amp;QO$11,[1]Futuros!$AK:$AK)+SUMIF([1]Opciones!$AF:$AF,$A2&amp;"_"&amp;QO$11,[1]Opciones!$AO:$AO)</f>
        <v>#VALUE!</v>
      </c>
      <c r="QP2" t="e">
        <f>+SUMIF([1]Cartera!$R:$R,$A2&amp;"_"&amp;QP$11,[1]Cartera!$J:$J)+SUMIF([1]Futuros!$AD:$AD,$A2&amp;"_"&amp;QP$11,[1]Futuros!$AK:$AK)+SUMIF([1]Opciones!$AF:$AF,$A2&amp;"_"&amp;QP$11,[1]Opciones!$AO:$AO)</f>
        <v>#VALUE!</v>
      </c>
      <c r="QQ2" t="e">
        <f>+SUMIF([1]Cartera!$R:$R,$A2&amp;"_"&amp;QQ$11,[1]Cartera!$J:$J)+SUMIF([1]Futuros!$AD:$AD,$A2&amp;"_"&amp;QQ$11,[1]Futuros!$AK:$AK)+SUMIF([1]Opciones!$AF:$AF,$A2&amp;"_"&amp;QQ$11,[1]Opciones!$AO:$AO)</f>
        <v>#VALUE!</v>
      </c>
      <c r="QR2" t="e">
        <f>+SUMIF([1]Cartera!$R:$R,$A2&amp;"_"&amp;QR$11,[1]Cartera!$J:$J)+SUMIF([1]Futuros!$AD:$AD,$A2&amp;"_"&amp;QR$11,[1]Futuros!$AK:$AK)+SUMIF([1]Opciones!$AF:$AF,$A2&amp;"_"&amp;QR$11,[1]Opciones!$AO:$AO)</f>
        <v>#VALUE!</v>
      </c>
      <c r="QS2" t="e">
        <f>+SUMIF([1]Cartera!$R:$R,$A2&amp;"_"&amp;QS$11,[1]Cartera!$J:$J)+SUMIF([1]Futuros!$AD:$AD,$A2&amp;"_"&amp;QS$11,[1]Futuros!$AK:$AK)+SUMIF([1]Opciones!$AF:$AF,$A2&amp;"_"&amp;QS$11,[1]Opciones!$AO:$AO)</f>
        <v>#VALUE!</v>
      </c>
      <c r="QT2" t="e">
        <f>+SUMIF([1]Cartera!$R:$R,$A2&amp;"_"&amp;QT$11,[1]Cartera!$J:$J)+SUMIF([1]Futuros!$AD:$AD,$A2&amp;"_"&amp;QT$11,[1]Futuros!$AK:$AK)+SUMIF([1]Opciones!$AF:$AF,$A2&amp;"_"&amp;QT$11,[1]Opciones!$AO:$AO)</f>
        <v>#VALUE!</v>
      </c>
      <c r="QU2" t="e">
        <f>+SUMIF([1]Cartera!$R:$R,$A2&amp;"_"&amp;QU$11,[1]Cartera!$J:$J)+SUMIF([1]Futuros!$AD:$AD,$A2&amp;"_"&amp;QU$11,[1]Futuros!$AK:$AK)+SUMIF([1]Opciones!$AF:$AF,$A2&amp;"_"&amp;QU$11,[1]Opciones!$AO:$AO)</f>
        <v>#VALUE!</v>
      </c>
      <c r="QV2" t="e">
        <f>+SUMIF([1]Cartera!$R:$R,$A2&amp;"_"&amp;QV$11,[1]Cartera!$J:$J)+SUMIF([1]Futuros!$AD:$AD,$A2&amp;"_"&amp;QV$11,[1]Futuros!$AK:$AK)+SUMIF([1]Opciones!$AF:$AF,$A2&amp;"_"&amp;QV$11,[1]Opciones!$AO:$AO)</f>
        <v>#VALUE!</v>
      </c>
      <c r="QW2" t="e">
        <f>+SUMIF([1]Cartera!$R:$R,$A2&amp;"_"&amp;QW$11,[1]Cartera!$J:$J)+SUMIF([1]Futuros!$AD:$AD,$A2&amp;"_"&amp;QW$11,[1]Futuros!$AK:$AK)+SUMIF([1]Opciones!$AF:$AF,$A2&amp;"_"&amp;QW$11,[1]Opciones!$AO:$AO)</f>
        <v>#VALUE!</v>
      </c>
      <c r="QX2" t="e">
        <f>+SUMIF([1]Cartera!$R:$R,$A2&amp;"_"&amp;QX$11,[1]Cartera!$J:$J)+SUMIF([1]Futuros!$AD:$AD,$A2&amp;"_"&amp;QX$11,[1]Futuros!$AK:$AK)+SUMIF([1]Opciones!$AF:$AF,$A2&amp;"_"&amp;QX$11,[1]Opciones!$AO:$AO)</f>
        <v>#VALUE!</v>
      </c>
      <c r="QY2" t="e">
        <f>+SUMIF([1]Cartera!$R:$R,$A2&amp;"_"&amp;QY$11,[1]Cartera!$J:$J)+SUMIF([1]Futuros!$AD:$AD,$A2&amp;"_"&amp;QY$11,[1]Futuros!$AK:$AK)+SUMIF([1]Opciones!$AF:$AF,$A2&amp;"_"&amp;QY$11,[1]Opciones!$AO:$AO)</f>
        <v>#VALUE!</v>
      </c>
      <c r="QZ2" t="e">
        <f>+SUMIF([1]Cartera!$R:$R,$A2&amp;"_"&amp;QZ$11,[1]Cartera!$J:$J)+SUMIF([1]Futuros!$AD:$AD,$A2&amp;"_"&amp;QZ$11,[1]Futuros!$AK:$AK)+SUMIF([1]Opciones!$AF:$AF,$A2&amp;"_"&amp;QZ$11,[1]Opciones!$AO:$AO)</f>
        <v>#VALUE!</v>
      </c>
      <c r="RA2" t="e">
        <f>+SUMIF([1]Cartera!$R:$R,$A2&amp;"_"&amp;RA$11,[1]Cartera!$J:$J)+SUMIF([1]Futuros!$AD:$AD,$A2&amp;"_"&amp;RA$11,[1]Futuros!$AK:$AK)+SUMIF([1]Opciones!$AF:$AF,$A2&amp;"_"&amp;RA$11,[1]Opciones!$AO:$AO)</f>
        <v>#VALUE!</v>
      </c>
      <c r="RB2" t="e">
        <f>+SUMIF([1]Cartera!$R:$R,$A2&amp;"_"&amp;RB$11,[1]Cartera!$J:$J)+SUMIF([1]Futuros!$AD:$AD,$A2&amp;"_"&amp;RB$11,[1]Futuros!$AK:$AK)+SUMIF([1]Opciones!$AF:$AF,$A2&amp;"_"&amp;RB$11,[1]Opciones!$AO:$AO)</f>
        <v>#VALUE!</v>
      </c>
      <c r="RC2" t="e">
        <f>+SUMIF([1]Cartera!$R:$R,$A2&amp;"_"&amp;RC$11,[1]Cartera!$J:$J)+SUMIF([1]Futuros!$AD:$AD,$A2&amp;"_"&amp;RC$11,[1]Futuros!$AK:$AK)+SUMIF([1]Opciones!$AF:$AF,$A2&amp;"_"&amp;RC$11,[1]Opciones!$AO:$AO)</f>
        <v>#VALUE!</v>
      </c>
      <c r="RD2" t="e">
        <f>+SUMIF([1]Cartera!$R:$R,$A2&amp;"_"&amp;RD$11,[1]Cartera!$J:$J)+SUMIF([1]Futuros!$AD:$AD,$A2&amp;"_"&amp;RD$11,[1]Futuros!$AK:$AK)+SUMIF([1]Opciones!$AF:$AF,$A2&amp;"_"&amp;RD$11,[1]Opciones!$AO:$AO)</f>
        <v>#VALUE!</v>
      </c>
      <c r="RE2" t="e">
        <f>+SUMIF([1]Cartera!$R:$R,$A2&amp;"_"&amp;RE$11,[1]Cartera!$J:$J)+SUMIF([1]Futuros!$AD:$AD,$A2&amp;"_"&amp;RE$11,[1]Futuros!$AK:$AK)+SUMIF([1]Opciones!$AF:$AF,$A2&amp;"_"&amp;RE$11,[1]Opciones!$AO:$AO)</f>
        <v>#VALUE!</v>
      </c>
      <c r="RF2" t="e">
        <f>+SUMIF([1]Cartera!$R:$R,$A2&amp;"_"&amp;RF$11,[1]Cartera!$J:$J)+SUMIF([1]Futuros!$AD:$AD,$A2&amp;"_"&amp;RF$11,[1]Futuros!$AK:$AK)+SUMIF([1]Opciones!$AF:$AF,$A2&amp;"_"&amp;RF$11,[1]Opciones!$AO:$AO)</f>
        <v>#VALUE!</v>
      </c>
      <c r="RG2" t="e">
        <f>+SUMIF([1]Cartera!$R:$R,$A2&amp;"_"&amp;RG$11,[1]Cartera!$J:$J)+SUMIF([1]Futuros!$AD:$AD,$A2&amp;"_"&amp;RG$11,[1]Futuros!$AK:$AK)+SUMIF([1]Opciones!$AF:$AF,$A2&amp;"_"&amp;RG$11,[1]Opciones!$AO:$AO)</f>
        <v>#VALUE!</v>
      </c>
      <c r="RH2" t="e">
        <f>+SUMIF([1]Cartera!$R:$R,$A2&amp;"_"&amp;RH$11,[1]Cartera!$J:$J)+SUMIF([1]Futuros!$AD:$AD,$A2&amp;"_"&amp;RH$11,[1]Futuros!$AK:$AK)+SUMIF([1]Opciones!$AF:$AF,$A2&amp;"_"&amp;RH$11,[1]Opciones!$AO:$AO)</f>
        <v>#VALUE!</v>
      </c>
      <c r="RI2" t="e">
        <f>+SUMIF([1]Cartera!$R:$R,$A2&amp;"_"&amp;RI$11,[1]Cartera!$J:$J)+SUMIF([1]Futuros!$AD:$AD,$A2&amp;"_"&amp;RI$11,[1]Futuros!$AK:$AK)+SUMIF([1]Opciones!$AF:$AF,$A2&amp;"_"&amp;RI$11,[1]Opciones!$AO:$AO)</f>
        <v>#VALUE!</v>
      </c>
      <c r="RJ2" t="e">
        <f>+SUMIF([1]Cartera!$R:$R,$A2&amp;"_"&amp;RJ$11,[1]Cartera!$J:$J)+SUMIF([1]Futuros!$AD:$AD,$A2&amp;"_"&amp;RJ$11,[1]Futuros!$AK:$AK)+SUMIF([1]Opciones!$AF:$AF,$A2&amp;"_"&amp;RJ$11,[1]Opciones!$AO:$AO)</f>
        <v>#VALUE!</v>
      </c>
      <c r="RK2" t="e">
        <f>+SUMIF([1]Cartera!$R:$R,$A2&amp;"_"&amp;RK$11,[1]Cartera!$J:$J)+SUMIF([1]Futuros!$AD:$AD,$A2&amp;"_"&amp;RK$11,[1]Futuros!$AK:$AK)+SUMIF([1]Opciones!$AF:$AF,$A2&amp;"_"&amp;RK$11,[1]Opciones!$AO:$AO)</f>
        <v>#VALUE!</v>
      </c>
      <c r="RL2" t="e">
        <f>+SUMIF([1]Cartera!$R:$R,$A2&amp;"_"&amp;RL$11,[1]Cartera!$J:$J)+SUMIF([1]Futuros!$AD:$AD,$A2&amp;"_"&amp;RL$11,[1]Futuros!$AK:$AK)+SUMIF([1]Opciones!$AF:$AF,$A2&amp;"_"&amp;RL$11,[1]Opciones!$AO:$AO)</f>
        <v>#VALUE!</v>
      </c>
      <c r="RM2" t="e">
        <f>+SUMIF([1]Cartera!$R:$R,$A2&amp;"_"&amp;RM$11,[1]Cartera!$J:$J)+SUMIF([1]Futuros!$AD:$AD,$A2&amp;"_"&amp;RM$11,[1]Futuros!$AK:$AK)+SUMIF([1]Opciones!$AF:$AF,$A2&amp;"_"&amp;RM$11,[1]Opciones!$AO:$AO)</f>
        <v>#VALUE!</v>
      </c>
      <c r="RN2" t="e">
        <f>+SUMIF([1]Cartera!$R:$R,$A2&amp;"_"&amp;RN$11,[1]Cartera!$J:$J)+SUMIF([1]Futuros!$AD:$AD,$A2&amp;"_"&amp;RN$11,[1]Futuros!$AK:$AK)+SUMIF([1]Opciones!$AF:$AF,$A2&amp;"_"&amp;RN$11,[1]Opciones!$AO:$AO)</f>
        <v>#VALUE!</v>
      </c>
      <c r="RO2" t="e">
        <f>+SUMIF([1]Cartera!$R:$R,$A2&amp;"_"&amp;RO$11,[1]Cartera!$J:$J)+SUMIF([1]Futuros!$AD:$AD,$A2&amp;"_"&amp;RO$11,[1]Futuros!$AK:$AK)+SUMIF([1]Opciones!$AF:$AF,$A2&amp;"_"&amp;RO$11,[1]Opciones!$AO:$AO)</f>
        <v>#VALUE!</v>
      </c>
      <c r="RP2" t="e">
        <f>+SUMIF([1]Cartera!$R:$R,$A2&amp;"_"&amp;RP$11,[1]Cartera!$J:$J)+SUMIF([1]Futuros!$AD:$AD,$A2&amp;"_"&amp;RP$11,[1]Futuros!$AK:$AK)+SUMIF([1]Opciones!$AF:$AF,$A2&amp;"_"&amp;RP$11,[1]Opciones!$AO:$AO)</f>
        <v>#VALUE!</v>
      </c>
      <c r="RQ2" t="e">
        <f>+SUMIF([1]Cartera!$R:$R,$A2&amp;"_"&amp;RQ$11,[1]Cartera!$J:$J)+SUMIF([1]Futuros!$AD:$AD,$A2&amp;"_"&amp;RQ$11,[1]Futuros!$AK:$AK)+SUMIF([1]Opciones!$AF:$AF,$A2&amp;"_"&amp;RQ$11,[1]Opciones!$AO:$AO)</f>
        <v>#VALUE!</v>
      </c>
      <c r="RR2" t="e">
        <f>+SUMIF([1]Cartera!$R:$R,$A2&amp;"_"&amp;RR$11,[1]Cartera!$J:$J)+SUMIF([1]Futuros!$AD:$AD,$A2&amp;"_"&amp;RR$11,[1]Futuros!$AK:$AK)+SUMIF([1]Opciones!$AF:$AF,$A2&amp;"_"&amp;RR$11,[1]Opciones!$AO:$AO)</f>
        <v>#VALUE!</v>
      </c>
      <c r="RS2" t="e">
        <f>+SUMIF([1]Cartera!$R:$R,$A2&amp;"_"&amp;RS$11,[1]Cartera!$J:$J)+SUMIF([1]Futuros!$AD:$AD,$A2&amp;"_"&amp;RS$11,[1]Futuros!$AK:$AK)+SUMIF([1]Opciones!$AF:$AF,$A2&amp;"_"&amp;RS$11,[1]Opciones!$AO:$AO)</f>
        <v>#VALUE!</v>
      </c>
      <c r="RT2" t="e">
        <f>+SUMIF([1]Cartera!$R:$R,$A2&amp;"_"&amp;RT$11,[1]Cartera!$J:$J)+SUMIF([1]Futuros!$AD:$AD,$A2&amp;"_"&amp;RT$11,[1]Futuros!$AK:$AK)+SUMIF([1]Opciones!$AF:$AF,$A2&amp;"_"&amp;RT$11,[1]Opciones!$AO:$AO)</f>
        <v>#VALUE!</v>
      </c>
      <c r="RU2" t="e">
        <f>+SUMIF([1]Cartera!$R:$R,$A2&amp;"_"&amp;RU$11,[1]Cartera!$J:$J)+SUMIF([1]Futuros!$AD:$AD,$A2&amp;"_"&amp;RU$11,[1]Futuros!$AK:$AK)+SUMIF([1]Opciones!$AF:$AF,$A2&amp;"_"&amp;RU$11,[1]Opciones!$AO:$AO)</f>
        <v>#VALUE!</v>
      </c>
      <c r="RV2" t="e">
        <f>+SUMIF([1]Cartera!$R:$R,$A2&amp;"_"&amp;RV$11,[1]Cartera!$J:$J)+SUMIF([1]Futuros!$AD:$AD,$A2&amp;"_"&amp;RV$11,[1]Futuros!$AK:$AK)+SUMIF([1]Opciones!$AF:$AF,$A2&amp;"_"&amp;RV$11,[1]Opciones!$AO:$AO)</f>
        <v>#VALUE!</v>
      </c>
      <c r="RW2" t="e">
        <f>+SUMIF([1]Cartera!$R:$R,$A2&amp;"_"&amp;RW$11,[1]Cartera!$J:$J)+SUMIF([1]Futuros!$AD:$AD,$A2&amp;"_"&amp;RW$11,[1]Futuros!$AK:$AK)+SUMIF([1]Opciones!$AF:$AF,$A2&amp;"_"&amp;RW$11,[1]Opciones!$AO:$AO)</f>
        <v>#VALUE!</v>
      </c>
      <c r="RX2" t="e">
        <f>+SUMIF([1]Cartera!$R:$R,$A2&amp;"_"&amp;RX$11,[1]Cartera!$J:$J)+SUMIF([1]Futuros!$AD:$AD,$A2&amp;"_"&amp;RX$11,[1]Futuros!$AK:$AK)+SUMIF([1]Opciones!$AF:$AF,$A2&amp;"_"&amp;RX$11,[1]Opciones!$AO:$AO)</f>
        <v>#VALUE!</v>
      </c>
      <c r="RY2" t="e">
        <f>+SUMIF([1]Cartera!$R:$R,$A2&amp;"_"&amp;RY$11,[1]Cartera!$J:$J)+SUMIF([1]Futuros!$AD:$AD,$A2&amp;"_"&amp;RY$11,[1]Futuros!$AK:$AK)+SUMIF([1]Opciones!$AF:$AF,$A2&amp;"_"&amp;RY$11,[1]Opciones!$AO:$AO)</f>
        <v>#VALUE!</v>
      </c>
      <c r="RZ2" t="e">
        <f>+SUMIF([1]Cartera!$R:$R,$A2&amp;"_"&amp;RZ$11,[1]Cartera!$J:$J)+SUMIF([1]Futuros!$AD:$AD,$A2&amp;"_"&amp;RZ$11,[1]Futuros!$AK:$AK)+SUMIF([1]Opciones!$AF:$AF,$A2&amp;"_"&amp;RZ$11,[1]Opciones!$AO:$AO)</f>
        <v>#VALUE!</v>
      </c>
      <c r="SA2" t="e">
        <f>+SUMIF([1]Cartera!$R:$R,$A2&amp;"_"&amp;SA$11,[1]Cartera!$J:$J)+SUMIF([1]Futuros!$AD:$AD,$A2&amp;"_"&amp;SA$11,[1]Futuros!$AK:$AK)+SUMIF([1]Opciones!$AF:$AF,$A2&amp;"_"&amp;SA$11,[1]Opciones!$AO:$AO)</f>
        <v>#VALUE!</v>
      </c>
      <c r="SB2" t="e">
        <f>+SUMIF([1]Cartera!$R:$R,$A2&amp;"_"&amp;SB$11,[1]Cartera!$J:$J)+SUMIF([1]Futuros!$AD:$AD,$A2&amp;"_"&amp;SB$11,[1]Futuros!$AK:$AK)+SUMIF([1]Opciones!$AF:$AF,$A2&amp;"_"&amp;SB$11,[1]Opciones!$AO:$AO)</f>
        <v>#VALUE!</v>
      </c>
      <c r="SC2" t="e">
        <f>+SUMIF([1]Cartera!$R:$R,$A2&amp;"_"&amp;SC$11,[1]Cartera!$J:$J)+SUMIF([1]Futuros!$AD:$AD,$A2&amp;"_"&amp;SC$11,[1]Futuros!$AK:$AK)+SUMIF([1]Opciones!$AF:$AF,$A2&amp;"_"&amp;SC$11,[1]Opciones!$AO:$AO)</f>
        <v>#VALUE!</v>
      </c>
      <c r="SD2" t="e">
        <f>+SUMIF([1]Cartera!$R:$R,$A2&amp;"_"&amp;SD$11,[1]Cartera!$J:$J)+SUMIF([1]Futuros!$AD:$AD,$A2&amp;"_"&amp;SD$11,[1]Futuros!$AK:$AK)+SUMIF([1]Opciones!$AF:$AF,$A2&amp;"_"&amp;SD$11,[1]Opciones!$AO:$AO)</f>
        <v>#VALUE!</v>
      </c>
      <c r="SE2" t="e">
        <f>+SUMIF([1]Cartera!$R:$R,$A2&amp;"_"&amp;SE$11,[1]Cartera!$J:$J)+SUMIF([1]Futuros!$AD:$AD,$A2&amp;"_"&amp;SE$11,[1]Futuros!$AK:$AK)+SUMIF([1]Opciones!$AF:$AF,$A2&amp;"_"&amp;SE$11,[1]Opciones!$AO:$AO)</f>
        <v>#VALUE!</v>
      </c>
      <c r="SF2" t="e">
        <f>+SUMIF([1]Cartera!$R:$R,$A2&amp;"_"&amp;SF$11,[1]Cartera!$J:$J)+SUMIF([1]Futuros!$AD:$AD,$A2&amp;"_"&amp;SF$11,[1]Futuros!$AK:$AK)+SUMIF([1]Opciones!$AF:$AF,$A2&amp;"_"&amp;SF$11,[1]Opciones!$AO:$AO)</f>
        <v>#VALUE!</v>
      </c>
      <c r="SG2" t="e">
        <f>+SUMIF([1]Cartera!$R:$R,$A2&amp;"_"&amp;SG$11,[1]Cartera!$J:$J)+SUMIF([1]Futuros!$AD:$AD,$A2&amp;"_"&amp;SG$11,[1]Futuros!$AK:$AK)+SUMIF([1]Opciones!$AF:$AF,$A2&amp;"_"&amp;SG$11,[1]Opciones!$AO:$AO)</f>
        <v>#VALUE!</v>
      </c>
      <c r="SH2" t="e">
        <f>+SUMIF([1]Cartera!$R:$R,$A2&amp;"_"&amp;SH$11,[1]Cartera!$J:$J)+SUMIF([1]Futuros!$AD:$AD,$A2&amp;"_"&amp;SH$11,[1]Futuros!$AK:$AK)+SUMIF([1]Opciones!$AF:$AF,$A2&amp;"_"&amp;SH$11,[1]Opciones!$AO:$AO)</f>
        <v>#VALUE!</v>
      </c>
      <c r="SI2" t="e">
        <f>+SUMIF([1]Cartera!$R:$R,$A2&amp;"_"&amp;SI$11,[1]Cartera!$J:$J)+SUMIF([1]Futuros!$AD:$AD,$A2&amp;"_"&amp;SI$11,[1]Futuros!$AK:$AK)+SUMIF([1]Opciones!$AF:$AF,$A2&amp;"_"&amp;SI$11,[1]Opciones!$AO:$AO)</f>
        <v>#VALUE!</v>
      </c>
      <c r="SJ2" t="e">
        <f>+SUMIF([1]Cartera!$R:$R,$A2&amp;"_"&amp;SJ$11,[1]Cartera!$J:$J)+SUMIF([1]Futuros!$AD:$AD,$A2&amp;"_"&amp;SJ$11,[1]Futuros!$AK:$AK)+SUMIF([1]Opciones!$AF:$AF,$A2&amp;"_"&amp;SJ$11,[1]Opciones!$AO:$AO)</f>
        <v>#VALUE!</v>
      </c>
      <c r="SK2" t="e">
        <f>+SUMIF([1]Cartera!$R:$R,$A2&amp;"_"&amp;SK$11,[1]Cartera!$J:$J)+SUMIF([1]Futuros!$AD:$AD,$A2&amp;"_"&amp;SK$11,[1]Futuros!$AK:$AK)+SUMIF([1]Opciones!$AF:$AF,$A2&amp;"_"&amp;SK$11,[1]Opciones!$AO:$AO)</f>
        <v>#VALUE!</v>
      </c>
      <c r="SL2" t="e">
        <f>+SUMIF([1]Cartera!$R:$R,$A2&amp;"_"&amp;SL$11,[1]Cartera!$J:$J)+SUMIF([1]Futuros!$AD:$AD,$A2&amp;"_"&amp;SL$11,[1]Futuros!$AK:$AK)+SUMIF([1]Opciones!$AF:$AF,$A2&amp;"_"&amp;SL$11,[1]Opciones!$AO:$AO)</f>
        <v>#VALUE!</v>
      </c>
      <c r="SM2" t="e">
        <f>+SUMIF([1]Cartera!$R:$R,$A2&amp;"_"&amp;SM$11,[1]Cartera!$J:$J)+SUMIF([1]Futuros!$AD:$AD,$A2&amp;"_"&amp;SM$11,[1]Futuros!$AK:$AK)+SUMIF([1]Opciones!$AF:$AF,$A2&amp;"_"&amp;SM$11,[1]Opciones!$AO:$AO)</f>
        <v>#VALUE!</v>
      </c>
      <c r="SN2" t="e">
        <f>+SUMIF([1]Cartera!$R:$R,$A2&amp;"_"&amp;SN$11,[1]Cartera!$J:$J)+SUMIF([1]Futuros!$AD:$AD,$A2&amp;"_"&amp;SN$11,[1]Futuros!$AK:$AK)+SUMIF([1]Opciones!$AF:$AF,$A2&amp;"_"&amp;SN$11,[1]Opciones!$AO:$AO)</f>
        <v>#VALUE!</v>
      </c>
      <c r="SO2" t="e">
        <f>+SUMIF([1]Cartera!$R:$R,$A2&amp;"_"&amp;SO$11,[1]Cartera!$J:$J)+SUMIF([1]Futuros!$AD:$AD,$A2&amp;"_"&amp;SO$11,[1]Futuros!$AK:$AK)+SUMIF([1]Opciones!$AF:$AF,$A2&amp;"_"&amp;SO$11,[1]Opciones!$AO:$AO)</f>
        <v>#VALUE!</v>
      </c>
      <c r="SP2" t="e">
        <f>+SUMIF([1]Cartera!$R:$R,$A2&amp;"_"&amp;SP$11,[1]Cartera!$J:$J)+SUMIF([1]Futuros!$AD:$AD,$A2&amp;"_"&amp;SP$11,[1]Futuros!$AK:$AK)+SUMIF([1]Opciones!$AF:$AF,$A2&amp;"_"&amp;SP$11,[1]Opciones!$AO:$AO)</f>
        <v>#VALUE!</v>
      </c>
      <c r="SQ2" t="e">
        <f>+SUMIF([1]Cartera!$R:$R,$A2&amp;"_"&amp;SQ$11,[1]Cartera!$J:$J)+SUMIF([1]Futuros!$AD:$AD,$A2&amp;"_"&amp;SQ$11,[1]Futuros!$AK:$AK)+SUMIF([1]Opciones!$AF:$AF,$A2&amp;"_"&amp;SQ$11,[1]Opciones!$AO:$AO)</f>
        <v>#VALUE!</v>
      </c>
      <c r="SR2" t="e">
        <f>+SUMIF([1]Cartera!$R:$R,$A2&amp;"_"&amp;SR$11,[1]Cartera!$J:$J)+SUMIF([1]Futuros!$AD:$AD,$A2&amp;"_"&amp;SR$11,[1]Futuros!$AK:$AK)+SUMIF([1]Opciones!$AF:$AF,$A2&amp;"_"&amp;SR$11,[1]Opciones!$AO:$AO)</f>
        <v>#VALUE!</v>
      </c>
      <c r="SS2" t="e">
        <f>+SUMIF([1]Cartera!$R:$R,$A2&amp;"_"&amp;SS$11,[1]Cartera!$J:$J)+SUMIF([1]Futuros!$AD:$AD,$A2&amp;"_"&amp;SS$11,[1]Futuros!$AK:$AK)+SUMIF([1]Opciones!$AF:$AF,$A2&amp;"_"&amp;SS$11,[1]Opciones!$AO:$AO)</f>
        <v>#VALUE!</v>
      </c>
      <c r="ST2" t="e">
        <f>+SUMIF([1]Cartera!$R:$R,$A2&amp;"_"&amp;ST$11,[1]Cartera!$J:$J)+SUMIF([1]Futuros!$AD:$AD,$A2&amp;"_"&amp;ST$11,[1]Futuros!$AK:$AK)+SUMIF([1]Opciones!$AF:$AF,$A2&amp;"_"&amp;ST$11,[1]Opciones!$AO:$AO)</f>
        <v>#VALUE!</v>
      </c>
      <c r="SU2" t="e">
        <f>+SUMIF([1]Cartera!$R:$R,$A2&amp;"_"&amp;SU$11,[1]Cartera!$J:$J)+SUMIF([1]Futuros!$AD:$AD,$A2&amp;"_"&amp;SU$11,[1]Futuros!$AK:$AK)+SUMIF([1]Opciones!$AF:$AF,$A2&amp;"_"&amp;SU$11,[1]Opciones!$AO:$AO)</f>
        <v>#VALUE!</v>
      </c>
      <c r="SV2" t="e">
        <f>+SUMIF([1]Cartera!$R:$R,$A2&amp;"_"&amp;SV$11,[1]Cartera!$J:$J)+SUMIF([1]Futuros!$AD:$AD,$A2&amp;"_"&amp;SV$11,[1]Futuros!$AK:$AK)+SUMIF([1]Opciones!$AF:$AF,$A2&amp;"_"&amp;SV$11,[1]Opciones!$AO:$AO)</f>
        <v>#VALUE!</v>
      </c>
      <c r="SW2" t="e">
        <f>+SUMIF([1]Cartera!$R:$R,$A2&amp;"_"&amp;SW$11,[1]Cartera!$J:$J)+SUMIF([1]Futuros!$AD:$AD,$A2&amp;"_"&amp;SW$11,[1]Futuros!$AK:$AK)+SUMIF([1]Opciones!$AF:$AF,$A2&amp;"_"&amp;SW$11,[1]Opciones!$AO:$AO)</f>
        <v>#VALUE!</v>
      </c>
      <c r="SX2" t="e">
        <f>+SUMIF([1]Cartera!$R:$R,$A2&amp;"_"&amp;SX$11,[1]Cartera!$J:$J)+SUMIF([1]Futuros!$AD:$AD,$A2&amp;"_"&amp;SX$11,[1]Futuros!$AK:$AK)+SUMIF([1]Opciones!$AF:$AF,$A2&amp;"_"&amp;SX$11,[1]Opciones!$AO:$AO)</f>
        <v>#VALUE!</v>
      </c>
      <c r="SY2" t="e">
        <f>+SUMIF([1]Cartera!$R:$R,$A2&amp;"_"&amp;SY$11,[1]Cartera!$J:$J)+SUMIF([1]Futuros!$AD:$AD,$A2&amp;"_"&amp;SY$11,[1]Futuros!$AK:$AK)+SUMIF([1]Opciones!$AF:$AF,$A2&amp;"_"&amp;SY$11,[1]Opciones!$AO:$AO)</f>
        <v>#VALUE!</v>
      </c>
      <c r="SZ2" t="e">
        <f>+SUMIF([1]Cartera!$R:$R,$A2&amp;"_"&amp;SZ$11,[1]Cartera!$J:$J)+SUMIF([1]Futuros!$AD:$AD,$A2&amp;"_"&amp;SZ$11,[1]Futuros!$AK:$AK)+SUMIF([1]Opciones!$AF:$AF,$A2&amp;"_"&amp;SZ$11,[1]Opciones!$AO:$AO)</f>
        <v>#VALUE!</v>
      </c>
      <c r="TA2" t="e">
        <f>+SUMIF([1]Cartera!$R:$R,$A2&amp;"_"&amp;TA$11,[1]Cartera!$J:$J)+SUMIF([1]Futuros!$AD:$AD,$A2&amp;"_"&amp;TA$11,[1]Futuros!$AK:$AK)+SUMIF([1]Opciones!$AF:$AF,$A2&amp;"_"&amp;TA$11,[1]Opciones!$AO:$AO)</f>
        <v>#VALUE!</v>
      </c>
      <c r="TB2" t="e">
        <f>+SUMIF([1]Cartera!$R:$R,$A2&amp;"_"&amp;TB$11,[1]Cartera!$J:$J)+SUMIF([1]Futuros!$AD:$AD,$A2&amp;"_"&amp;TB$11,[1]Futuros!$AK:$AK)+SUMIF([1]Opciones!$AF:$AF,$A2&amp;"_"&amp;TB$11,[1]Opciones!$AO:$AO)</f>
        <v>#VALUE!</v>
      </c>
      <c r="TC2" t="e">
        <f>+SUMIF([1]Cartera!$R:$R,$A2&amp;"_"&amp;TC$11,[1]Cartera!$J:$J)+SUMIF([1]Futuros!$AD:$AD,$A2&amp;"_"&amp;TC$11,[1]Futuros!$AK:$AK)+SUMIF([1]Opciones!$AF:$AF,$A2&amp;"_"&amp;TC$11,[1]Opciones!$AO:$AO)</f>
        <v>#VALUE!</v>
      </c>
      <c r="TD2" t="e">
        <f>+SUMIF([1]Cartera!$R:$R,$A2&amp;"_"&amp;TD$11,[1]Cartera!$J:$J)+SUMIF([1]Futuros!$AD:$AD,$A2&amp;"_"&amp;TD$11,[1]Futuros!$AK:$AK)+SUMIF([1]Opciones!$AF:$AF,$A2&amp;"_"&amp;TD$11,[1]Opciones!$AO:$AO)</f>
        <v>#VALUE!</v>
      </c>
      <c r="TE2" t="e">
        <f>+SUMIF([1]Cartera!$R:$R,$A2&amp;"_"&amp;TE$11,[1]Cartera!$J:$J)+SUMIF([1]Futuros!$AD:$AD,$A2&amp;"_"&amp;TE$11,[1]Futuros!$AK:$AK)+SUMIF([1]Opciones!$AF:$AF,$A2&amp;"_"&amp;TE$11,[1]Opciones!$AO:$AO)</f>
        <v>#VALUE!</v>
      </c>
      <c r="TF2" t="e">
        <f>+SUMIF([1]Cartera!$R:$R,$A2&amp;"_"&amp;TF$11,[1]Cartera!$J:$J)+SUMIF([1]Futuros!$AD:$AD,$A2&amp;"_"&amp;TF$11,[1]Futuros!$AK:$AK)+SUMIF([1]Opciones!$AF:$AF,$A2&amp;"_"&amp;TF$11,[1]Opciones!$AO:$AO)</f>
        <v>#VALUE!</v>
      </c>
      <c r="TG2" t="e">
        <f>+SUMIF([1]Cartera!$R:$R,$A2&amp;"_"&amp;TG$11,[1]Cartera!$J:$J)+SUMIF([1]Futuros!$AD:$AD,$A2&amp;"_"&amp;TG$11,[1]Futuros!$AK:$AK)+SUMIF([1]Opciones!$AF:$AF,$A2&amp;"_"&amp;TG$11,[1]Opciones!$AO:$AO)</f>
        <v>#VALUE!</v>
      </c>
      <c r="TH2" t="e">
        <f>+SUMIF([1]Cartera!$R:$R,$A2&amp;"_"&amp;TH$11,[1]Cartera!$J:$J)+SUMIF([1]Futuros!$AD:$AD,$A2&amp;"_"&amp;TH$11,[1]Futuros!$AK:$AK)+SUMIF([1]Opciones!$AF:$AF,$A2&amp;"_"&amp;TH$11,[1]Opciones!$AO:$AO)</f>
        <v>#VALUE!</v>
      </c>
      <c r="TI2" t="e">
        <f>+SUMIF([1]Cartera!$R:$R,$A2&amp;"_"&amp;TI$11,[1]Cartera!$J:$J)+SUMIF([1]Futuros!$AD:$AD,$A2&amp;"_"&amp;TI$11,[1]Futuros!$AK:$AK)+SUMIF([1]Opciones!$AF:$AF,$A2&amp;"_"&amp;TI$11,[1]Opciones!$AO:$AO)</f>
        <v>#VALUE!</v>
      </c>
      <c r="TJ2" t="e">
        <f>+SUMIF([1]Cartera!$R:$R,$A2&amp;"_"&amp;TJ$11,[1]Cartera!$J:$J)+SUMIF([1]Futuros!$AD:$AD,$A2&amp;"_"&amp;TJ$11,[1]Futuros!$AK:$AK)+SUMIF([1]Opciones!$AF:$AF,$A2&amp;"_"&amp;TJ$11,[1]Opciones!$AO:$AO)</f>
        <v>#VALUE!</v>
      </c>
      <c r="TK2" t="e">
        <f>+SUMIF([1]Cartera!$R:$R,$A2&amp;"_"&amp;TK$11,[1]Cartera!$J:$J)+SUMIF([1]Futuros!$AD:$AD,$A2&amp;"_"&amp;TK$11,[1]Futuros!$AK:$AK)+SUMIF([1]Opciones!$AF:$AF,$A2&amp;"_"&amp;TK$11,[1]Opciones!$AO:$AO)</f>
        <v>#VALUE!</v>
      </c>
      <c r="TL2" t="e">
        <f>+SUMIF([1]Cartera!$R:$R,$A2&amp;"_"&amp;TL$11,[1]Cartera!$J:$J)+SUMIF([1]Futuros!$AD:$AD,$A2&amp;"_"&amp;TL$11,[1]Futuros!$AK:$AK)+SUMIF([1]Opciones!$AF:$AF,$A2&amp;"_"&amp;TL$11,[1]Opciones!$AO:$AO)</f>
        <v>#VALUE!</v>
      </c>
      <c r="TM2" t="e">
        <f>+SUMIF([1]Cartera!$R:$R,$A2&amp;"_"&amp;TM$11,[1]Cartera!$J:$J)+SUMIF([1]Futuros!$AD:$AD,$A2&amp;"_"&amp;TM$11,[1]Futuros!$AK:$AK)+SUMIF([1]Opciones!$AF:$AF,$A2&amp;"_"&amp;TM$11,[1]Opciones!$AO:$AO)</f>
        <v>#VALUE!</v>
      </c>
      <c r="TN2" t="e">
        <f>+SUMIF([1]Cartera!$R:$R,$A2&amp;"_"&amp;TN$11,[1]Cartera!$J:$J)+SUMIF([1]Futuros!$AD:$AD,$A2&amp;"_"&amp;TN$11,[1]Futuros!$AK:$AK)+SUMIF([1]Opciones!$AF:$AF,$A2&amp;"_"&amp;TN$11,[1]Opciones!$AO:$AO)</f>
        <v>#VALUE!</v>
      </c>
      <c r="TO2" t="e">
        <f>+SUMIF([1]Cartera!$R:$R,$A2&amp;"_"&amp;TO$11,[1]Cartera!$J:$J)+SUMIF([1]Futuros!$AD:$AD,$A2&amp;"_"&amp;TO$11,[1]Futuros!$AK:$AK)+SUMIF([1]Opciones!$AF:$AF,$A2&amp;"_"&amp;TO$11,[1]Opciones!$AO:$AO)</f>
        <v>#VALUE!</v>
      </c>
      <c r="TP2" t="e">
        <f>+SUMIF([1]Cartera!$R:$R,$A2&amp;"_"&amp;TP$11,[1]Cartera!$J:$J)+SUMIF([1]Futuros!$AD:$AD,$A2&amp;"_"&amp;TP$11,[1]Futuros!$AK:$AK)+SUMIF([1]Opciones!$AF:$AF,$A2&amp;"_"&amp;TP$11,[1]Opciones!$AO:$AO)</f>
        <v>#VALUE!</v>
      </c>
      <c r="TQ2" t="e">
        <f>+SUMIF([1]Cartera!$R:$R,$A2&amp;"_"&amp;TQ$11,[1]Cartera!$J:$J)+SUMIF([1]Futuros!$AD:$AD,$A2&amp;"_"&amp;TQ$11,[1]Futuros!$AK:$AK)+SUMIF([1]Opciones!$AF:$AF,$A2&amp;"_"&amp;TQ$11,[1]Opciones!$AO:$AO)</f>
        <v>#VALUE!</v>
      </c>
      <c r="TR2" t="e">
        <f>+SUMIF([1]Cartera!$R:$R,$A2&amp;"_"&amp;TR$11,[1]Cartera!$J:$J)+SUMIF([1]Futuros!$AD:$AD,$A2&amp;"_"&amp;TR$11,[1]Futuros!$AK:$AK)+SUMIF([1]Opciones!$AF:$AF,$A2&amp;"_"&amp;TR$11,[1]Opciones!$AO:$AO)</f>
        <v>#VALUE!</v>
      </c>
      <c r="TS2" t="e">
        <f>+SUMIF([1]Cartera!$R:$R,$A2&amp;"_"&amp;TS$11,[1]Cartera!$J:$J)+SUMIF([1]Futuros!$AD:$AD,$A2&amp;"_"&amp;TS$11,[1]Futuros!$AK:$AK)+SUMIF([1]Opciones!$AF:$AF,$A2&amp;"_"&amp;TS$11,[1]Opciones!$AO:$AO)</f>
        <v>#VALUE!</v>
      </c>
      <c r="TT2" t="e">
        <f>+SUMIF([1]Cartera!$R:$R,$A2&amp;"_"&amp;TT$11,[1]Cartera!$J:$J)+SUMIF([1]Futuros!$AD:$AD,$A2&amp;"_"&amp;TT$11,[1]Futuros!$AK:$AK)+SUMIF([1]Opciones!$AF:$AF,$A2&amp;"_"&amp;TT$11,[1]Opciones!$AO:$AO)</f>
        <v>#VALUE!</v>
      </c>
      <c r="TU2" t="e">
        <f>+SUMIF([1]Cartera!$R:$R,$A2&amp;"_"&amp;TU$11,[1]Cartera!$J:$J)+SUMIF([1]Futuros!$AD:$AD,$A2&amp;"_"&amp;TU$11,[1]Futuros!$AK:$AK)+SUMIF([1]Opciones!$AF:$AF,$A2&amp;"_"&amp;TU$11,[1]Opciones!$AO:$AO)</f>
        <v>#VALUE!</v>
      </c>
      <c r="TV2" t="e">
        <f>+SUMIF([1]Cartera!$R:$R,$A2&amp;"_"&amp;TV$11,[1]Cartera!$J:$J)+SUMIF([1]Futuros!$AD:$AD,$A2&amp;"_"&amp;TV$11,[1]Futuros!$AK:$AK)+SUMIF([1]Opciones!$AF:$AF,$A2&amp;"_"&amp;TV$11,[1]Opciones!$AO:$AO)</f>
        <v>#VALUE!</v>
      </c>
      <c r="TW2" t="e">
        <f>+SUMIF([1]Cartera!$R:$R,$A2&amp;"_"&amp;TW$11,[1]Cartera!$J:$J)+SUMIF([1]Futuros!$AD:$AD,$A2&amp;"_"&amp;TW$11,[1]Futuros!$AK:$AK)+SUMIF([1]Opciones!$AF:$AF,$A2&amp;"_"&amp;TW$11,[1]Opciones!$AO:$AO)</f>
        <v>#VALUE!</v>
      </c>
      <c r="TX2" t="e">
        <f>+SUMIF([1]Cartera!$R:$R,$A2&amp;"_"&amp;TX$11,[1]Cartera!$J:$J)+SUMIF([1]Futuros!$AD:$AD,$A2&amp;"_"&amp;TX$11,[1]Futuros!$AK:$AK)+SUMIF([1]Opciones!$AF:$AF,$A2&amp;"_"&amp;TX$11,[1]Opciones!$AO:$AO)</f>
        <v>#VALUE!</v>
      </c>
      <c r="TY2" t="e">
        <f>+SUMIF([1]Cartera!$R:$R,$A2&amp;"_"&amp;TY$11,[1]Cartera!$J:$J)+SUMIF([1]Futuros!$AD:$AD,$A2&amp;"_"&amp;TY$11,[1]Futuros!$AK:$AK)+SUMIF([1]Opciones!$AF:$AF,$A2&amp;"_"&amp;TY$11,[1]Opciones!$AO:$AO)</f>
        <v>#VALUE!</v>
      </c>
      <c r="TZ2" t="e">
        <f>+SUMIF([1]Cartera!$R:$R,$A2&amp;"_"&amp;TZ$11,[1]Cartera!$J:$J)+SUMIF([1]Futuros!$AD:$AD,$A2&amp;"_"&amp;TZ$11,[1]Futuros!$AK:$AK)+SUMIF([1]Opciones!$AF:$AF,$A2&amp;"_"&amp;TZ$11,[1]Opciones!$AO:$AO)</f>
        <v>#VALUE!</v>
      </c>
      <c r="UA2" t="e">
        <f>+SUMIF([1]Cartera!$R:$R,$A2&amp;"_"&amp;UA$11,[1]Cartera!$J:$J)+SUMIF([1]Futuros!$AD:$AD,$A2&amp;"_"&amp;UA$11,[1]Futuros!$AK:$AK)+SUMIF([1]Opciones!$AF:$AF,$A2&amp;"_"&amp;UA$11,[1]Opciones!$AO:$AO)</f>
        <v>#VALUE!</v>
      </c>
      <c r="UB2" t="e">
        <f>+SUMIF([1]Cartera!$R:$R,$A2&amp;"_"&amp;UB$11,[1]Cartera!$J:$J)+SUMIF([1]Futuros!$AD:$AD,$A2&amp;"_"&amp;UB$11,[1]Futuros!$AK:$AK)+SUMIF([1]Opciones!$AF:$AF,$A2&amp;"_"&amp;UB$11,[1]Opciones!$AO:$AO)</f>
        <v>#VALUE!</v>
      </c>
      <c r="UC2" t="e">
        <f>+SUMIF([1]Cartera!$R:$R,$A2&amp;"_"&amp;UC$11,[1]Cartera!$J:$J)+SUMIF([1]Futuros!$AD:$AD,$A2&amp;"_"&amp;UC$11,[1]Futuros!$AK:$AK)+SUMIF([1]Opciones!$AF:$AF,$A2&amp;"_"&amp;UC$11,[1]Opciones!$AO:$AO)</f>
        <v>#VALUE!</v>
      </c>
      <c r="UD2" t="e">
        <f>+SUMIF([1]Cartera!$R:$R,$A2&amp;"_"&amp;UD$11,[1]Cartera!$J:$J)+SUMIF([1]Futuros!$AD:$AD,$A2&amp;"_"&amp;UD$11,[1]Futuros!$AK:$AK)+SUMIF([1]Opciones!$AF:$AF,$A2&amp;"_"&amp;UD$11,[1]Opciones!$AO:$AO)</f>
        <v>#VALUE!</v>
      </c>
      <c r="UE2" t="e">
        <f>+SUMIF([1]Cartera!$R:$R,$A2&amp;"_"&amp;UE$11,[1]Cartera!$J:$J)+SUMIF([1]Futuros!$AD:$AD,$A2&amp;"_"&amp;UE$11,[1]Futuros!$AK:$AK)+SUMIF([1]Opciones!$AF:$AF,$A2&amp;"_"&amp;UE$11,[1]Opciones!$AO:$AO)</f>
        <v>#VALUE!</v>
      </c>
      <c r="UF2" t="e">
        <f>+SUMIF([1]Cartera!$R:$R,$A2&amp;"_"&amp;UF$11,[1]Cartera!$J:$J)+SUMIF([1]Futuros!$AD:$AD,$A2&amp;"_"&amp;UF$11,[1]Futuros!$AK:$AK)+SUMIF([1]Opciones!$AF:$AF,$A2&amp;"_"&amp;UF$11,[1]Opciones!$AO:$AO)</f>
        <v>#VALUE!</v>
      </c>
      <c r="UG2" t="e">
        <f>+SUMIF([1]Cartera!$R:$R,$A2&amp;"_"&amp;UG$11,[1]Cartera!$J:$J)+SUMIF([1]Futuros!$AD:$AD,$A2&amp;"_"&amp;UG$11,[1]Futuros!$AK:$AK)+SUMIF([1]Opciones!$AF:$AF,$A2&amp;"_"&amp;UG$11,[1]Opciones!$AO:$AO)</f>
        <v>#VALUE!</v>
      </c>
      <c r="UH2" t="e">
        <f>+SUMIF([1]Cartera!$R:$R,$A2&amp;"_"&amp;UH$11,[1]Cartera!$J:$J)+SUMIF([1]Futuros!$AD:$AD,$A2&amp;"_"&amp;UH$11,[1]Futuros!$AK:$AK)+SUMIF([1]Opciones!$AF:$AF,$A2&amp;"_"&amp;UH$11,[1]Opciones!$AO:$AO)</f>
        <v>#VALUE!</v>
      </c>
      <c r="UI2" t="e">
        <f>+SUMIF([1]Cartera!$R:$R,$A2&amp;"_"&amp;UI$11,[1]Cartera!$J:$J)+SUMIF([1]Futuros!$AD:$AD,$A2&amp;"_"&amp;UI$11,[1]Futuros!$AK:$AK)+SUMIF([1]Opciones!$AF:$AF,$A2&amp;"_"&amp;UI$11,[1]Opciones!$AO:$AO)</f>
        <v>#VALUE!</v>
      </c>
      <c r="UJ2" t="e">
        <f>+SUMIF([1]Cartera!$R:$R,$A2&amp;"_"&amp;UJ$11,[1]Cartera!$J:$J)+SUMIF([1]Futuros!$AD:$AD,$A2&amp;"_"&amp;UJ$11,[1]Futuros!$AK:$AK)+SUMIF([1]Opciones!$AF:$AF,$A2&amp;"_"&amp;UJ$11,[1]Opciones!$AO:$AO)</f>
        <v>#VALUE!</v>
      </c>
      <c r="UK2" t="e">
        <f>+SUMIF([1]Cartera!$R:$R,$A2&amp;"_"&amp;UK$11,[1]Cartera!$J:$J)+SUMIF([1]Futuros!$AD:$AD,$A2&amp;"_"&amp;UK$11,[1]Futuros!$AK:$AK)+SUMIF([1]Opciones!$AF:$AF,$A2&amp;"_"&amp;UK$11,[1]Opciones!$AO:$AO)</f>
        <v>#VALUE!</v>
      </c>
      <c r="UL2" t="e">
        <f>+SUMIF([1]Cartera!$R:$R,$A2&amp;"_"&amp;UL$11,[1]Cartera!$J:$J)+SUMIF([1]Futuros!$AD:$AD,$A2&amp;"_"&amp;UL$11,[1]Futuros!$AK:$AK)+SUMIF([1]Opciones!$AF:$AF,$A2&amp;"_"&amp;UL$11,[1]Opciones!$AO:$AO)</f>
        <v>#VALUE!</v>
      </c>
      <c r="UM2" t="e">
        <f>+SUMIF([1]Cartera!$R:$R,$A2&amp;"_"&amp;UM$11,[1]Cartera!$J:$J)+SUMIF([1]Futuros!$AD:$AD,$A2&amp;"_"&amp;UM$11,[1]Futuros!$AK:$AK)+SUMIF([1]Opciones!$AF:$AF,$A2&amp;"_"&amp;UM$11,[1]Opciones!$AO:$AO)</f>
        <v>#VALUE!</v>
      </c>
      <c r="UN2" t="e">
        <f>+SUMIF([1]Cartera!$R:$R,$A2&amp;"_"&amp;UN$11,[1]Cartera!$J:$J)+SUMIF([1]Futuros!$AD:$AD,$A2&amp;"_"&amp;UN$11,[1]Futuros!$AK:$AK)+SUMIF([1]Opciones!$AF:$AF,$A2&amp;"_"&amp;UN$11,[1]Opciones!$AO:$AO)</f>
        <v>#VALUE!</v>
      </c>
      <c r="UO2" t="e">
        <f>+SUMIF([1]Cartera!$R:$R,$A2&amp;"_"&amp;UO$11,[1]Cartera!$J:$J)+SUMIF([1]Futuros!$AD:$AD,$A2&amp;"_"&amp;UO$11,[1]Futuros!$AK:$AK)+SUMIF([1]Opciones!$AF:$AF,$A2&amp;"_"&amp;UO$11,[1]Opciones!$AO:$AO)</f>
        <v>#VALUE!</v>
      </c>
      <c r="UP2" t="e">
        <f>+SUMIF([1]Cartera!$R:$R,$A2&amp;"_"&amp;UP$11,[1]Cartera!$J:$J)+SUMIF([1]Futuros!$AD:$AD,$A2&amp;"_"&amp;UP$11,[1]Futuros!$AK:$AK)+SUMIF([1]Opciones!$AF:$AF,$A2&amp;"_"&amp;UP$11,[1]Opciones!$AO:$AO)</f>
        <v>#VALUE!</v>
      </c>
      <c r="UQ2" t="e">
        <f>+SUMIF([1]Cartera!$R:$R,$A2&amp;"_"&amp;UQ$11,[1]Cartera!$J:$J)+SUMIF([1]Futuros!$AD:$AD,$A2&amp;"_"&amp;UQ$11,[1]Futuros!$AK:$AK)+SUMIF([1]Opciones!$AF:$AF,$A2&amp;"_"&amp;UQ$11,[1]Opciones!$AO:$AO)</f>
        <v>#VALUE!</v>
      </c>
      <c r="UR2" t="e">
        <f>+SUMIF([1]Cartera!$R:$R,$A2&amp;"_"&amp;UR$11,[1]Cartera!$J:$J)+SUMIF([1]Futuros!$AD:$AD,$A2&amp;"_"&amp;UR$11,[1]Futuros!$AK:$AK)+SUMIF([1]Opciones!$AF:$AF,$A2&amp;"_"&amp;UR$11,[1]Opciones!$AO:$AO)</f>
        <v>#VALUE!</v>
      </c>
      <c r="US2" t="e">
        <f>+SUMIF([1]Cartera!$R:$R,$A2&amp;"_"&amp;US$11,[1]Cartera!$J:$J)+SUMIF([1]Futuros!$AD:$AD,$A2&amp;"_"&amp;US$11,[1]Futuros!$AK:$AK)+SUMIF([1]Opciones!$AF:$AF,$A2&amp;"_"&amp;US$11,[1]Opciones!$AO:$AO)</f>
        <v>#VALUE!</v>
      </c>
      <c r="UT2" t="e">
        <f>+SUMIF([1]Cartera!$R:$R,$A2&amp;"_"&amp;UT$11,[1]Cartera!$J:$J)+SUMIF([1]Futuros!$AD:$AD,$A2&amp;"_"&amp;UT$11,[1]Futuros!$AK:$AK)+SUMIF([1]Opciones!$AF:$AF,$A2&amp;"_"&amp;UT$11,[1]Opciones!$AO:$AO)</f>
        <v>#VALUE!</v>
      </c>
      <c r="UU2" t="e">
        <f>+SUMIF([1]Cartera!$R:$R,$A2&amp;"_"&amp;UU$11,[1]Cartera!$J:$J)+SUMIF([1]Futuros!$AD:$AD,$A2&amp;"_"&amp;UU$11,[1]Futuros!$AK:$AK)+SUMIF([1]Opciones!$AF:$AF,$A2&amp;"_"&amp;UU$11,[1]Opciones!$AO:$AO)</f>
        <v>#VALUE!</v>
      </c>
      <c r="UV2" t="e">
        <f>+SUMIF([1]Cartera!$R:$R,$A2&amp;"_"&amp;UV$11,[1]Cartera!$J:$J)+SUMIF([1]Futuros!$AD:$AD,$A2&amp;"_"&amp;UV$11,[1]Futuros!$AK:$AK)+SUMIF([1]Opciones!$AF:$AF,$A2&amp;"_"&amp;UV$11,[1]Opciones!$AO:$AO)</f>
        <v>#VALUE!</v>
      </c>
      <c r="UW2" t="e">
        <f>+SUMIF([1]Cartera!$R:$R,$A2&amp;"_"&amp;UW$11,[1]Cartera!$J:$J)+SUMIF([1]Futuros!$AD:$AD,$A2&amp;"_"&amp;UW$11,[1]Futuros!$AK:$AK)+SUMIF([1]Opciones!$AF:$AF,$A2&amp;"_"&amp;UW$11,[1]Opciones!$AO:$AO)</f>
        <v>#VALUE!</v>
      </c>
      <c r="UX2" t="e">
        <f>+SUMIF([1]Cartera!$R:$R,$A2&amp;"_"&amp;UX$11,[1]Cartera!$J:$J)+SUMIF([1]Futuros!$AD:$AD,$A2&amp;"_"&amp;UX$11,[1]Futuros!$AK:$AK)+SUMIF([1]Opciones!$AF:$AF,$A2&amp;"_"&amp;UX$11,[1]Opciones!$AO:$AO)</f>
        <v>#VALUE!</v>
      </c>
      <c r="UY2" t="e">
        <f>+SUMIF([1]Cartera!$R:$R,$A2&amp;"_"&amp;UY$11,[1]Cartera!$J:$J)+SUMIF([1]Futuros!$AD:$AD,$A2&amp;"_"&amp;UY$11,[1]Futuros!$AK:$AK)+SUMIF([1]Opciones!$AF:$AF,$A2&amp;"_"&amp;UY$11,[1]Opciones!$AO:$AO)</f>
        <v>#VALUE!</v>
      </c>
      <c r="UZ2" t="e">
        <f>+SUMIF([1]Cartera!$R:$R,$A2&amp;"_"&amp;UZ$11,[1]Cartera!$J:$J)+SUMIF([1]Futuros!$AD:$AD,$A2&amp;"_"&amp;UZ$11,[1]Futuros!$AK:$AK)+SUMIF([1]Opciones!$AF:$AF,$A2&amp;"_"&amp;UZ$11,[1]Opciones!$AO:$AO)</f>
        <v>#VALUE!</v>
      </c>
      <c r="VA2" t="e">
        <f>+SUMIF([1]Cartera!$R:$R,$A2&amp;"_"&amp;VA$11,[1]Cartera!$J:$J)+SUMIF([1]Futuros!$AD:$AD,$A2&amp;"_"&amp;VA$11,[1]Futuros!$AK:$AK)+SUMIF([1]Opciones!$AF:$AF,$A2&amp;"_"&amp;VA$11,[1]Opciones!$AO:$AO)</f>
        <v>#VALUE!</v>
      </c>
      <c r="VB2" t="e">
        <f>+SUMIF([1]Cartera!$R:$R,$A2&amp;"_"&amp;VB$11,[1]Cartera!$J:$J)+SUMIF([1]Futuros!$AD:$AD,$A2&amp;"_"&amp;VB$11,[1]Futuros!$AK:$AK)+SUMIF([1]Opciones!$AF:$AF,$A2&amp;"_"&amp;VB$11,[1]Opciones!$AO:$AO)</f>
        <v>#VALUE!</v>
      </c>
      <c r="VC2" t="e">
        <f>+SUMIF([1]Cartera!$R:$R,$A2&amp;"_"&amp;VC$11,[1]Cartera!$J:$J)+SUMIF([1]Futuros!$AD:$AD,$A2&amp;"_"&amp;VC$11,[1]Futuros!$AK:$AK)+SUMIF([1]Opciones!$AF:$AF,$A2&amp;"_"&amp;VC$11,[1]Opciones!$AO:$AO)</f>
        <v>#VALUE!</v>
      </c>
      <c r="VD2" t="e">
        <f>+SUMIF([1]Cartera!$R:$R,$A2&amp;"_"&amp;VD$11,[1]Cartera!$J:$J)+SUMIF([1]Futuros!$AD:$AD,$A2&amp;"_"&amp;VD$11,[1]Futuros!$AK:$AK)+SUMIF([1]Opciones!$AF:$AF,$A2&amp;"_"&amp;VD$11,[1]Opciones!$AO:$AO)</f>
        <v>#VALUE!</v>
      </c>
      <c r="VE2" t="e">
        <f>+SUMIF([1]Cartera!$R:$R,$A2&amp;"_"&amp;VE$11,[1]Cartera!$J:$J)+SUMIF([1]Futuros!$AD:$AD,$A2&amp;"_"&amp;VE$11,[1]Futuros!$AK:$AK)+SUMIF([1]Opciones!$AF:$AF,$A2&amp;"_"&amp;VE$11,[1]Opciones!$AO:$AO)</f>
        <v>#VALUE!</v>
      </c>
      <c r="VF2" t="e">
        <f>+SUMIF([1]Cartera!$R:$R,$A2&amp;"_"&amp;VF$11,[1]Cartera!$J:$J)+SUMIF([1]Futuros!$AD:$AD,$A2&amp;"_"&amp;VF$11,[1]Futuros!$AK:$AK)+SUMIF([1]Opciones!$AF:$AF,$A2&amp;"_"&amp;VF$11,[1]Opciones!$AO:$AO)</f>
        <v>#VALUE!</v>
      </c>
      <c r="VG2" t="e">
        <f>+SUMIF([1]Cartera!$R:$R,$A2&amp;"_"&amp;VG$11,[1]Cartera!$J:$J)+SUMIF([1]Futuros!$AD:$AD,$A2&amp;"_"&amp;VG$11,[1]Futuros!$AK:$AK)+SUMIF([1]Opciones!$AF:$AF,$A2&amp;"_"&amp;VG$11,[1]Opciones!$AO:$AO)</f>
        <v>#VALUE!</v>
      </c>
      <c r="VH2" t="e">
        <f>+SUMIF([1]Cartera!$R:$R,$A2&amp;"_"&amp;VH$11,[1]Cartera!$J:$J)+SUMIF([1]Futuros!$AD:$AD,$A2&amp;"_"&amp;VH$11,[1]Futuros!$AK:$AK)+SUMIF([1]Opciones!$AF:$AF,$A2&amp;"_"&amp;VH$11,[1]Opciones!$AO:$AO)</f>
        <v>#VALUE!</v>
      </c>
      <c r="VI2" t="e">
        <f>+SUMIF([1]Cartera!$R:$R,$A2&amp;"_"&amp;VI$11,[1]Cartera!$J:$J)+SUMIF([1]Futuros!$AD:$AD,$A2&amp;"_"&amp;VI$11,[1]Futuros!$AK:$AK)+SUMIF([1]Opciones!$AF:$AF,$A2&amp;"_"&amp;VI$11,[1]Opciones!$AO:$AO)</f>
        <v>#VALUE!</v>
      </c>
      <c r="VJ2" t="e">
        <f>+SUMIF([1]Cartera!$R:$R,$A2&amp;"_"&amp;VJ$11,[1]Cartera!$J:$J)+SUMIF([1]Futuros!$AD:$AD,$A2&amp;"_"&amp;VJ$11,[1]Futuros!$AK:$AK)+SUMIF([1]Opciones!$AF:$AF,$A2&amp;"_"&amp;VJ$11,[1]Opciones!$AO:$AO)</f>
        <v>#VALUE!</v>
      </c>
      <c r="VK2" t="e">
        <f>+SUMIF([1]Cartera!$R:$R,$A2&amp;"_"&amp;VK$11,[1]Cartera!$J:$J)+SUMIF([1]Futuros!$AD:$AD,$A2&amp;"_"&amp;VK$11,[1]Futuros!$AK:$AK)+SUMIF([1]Opciones!$AF:$AF,$A2&amp;"_"&amp;VK$11,[1]Opciones!$AO:$AO)</f>
        <v>#VALUE!</v>
      </c>
      <c r="VL2" t="e">
        <f>+SUMIF([1]Cartera!$R:$R,$A2&amp;"_"&amp;VL$11,[1]Cartera!$J:$J)+SUMIF([1]Futuros!$AD:$AD,$A2&amp;"_"&amp;VL$11,[1]Futuros!$AK:$AK)+SUMIF([1]Opciones!$AF:$AF,$A2&amp;"_"&amp;VL$11,[1]Opciones!$AO:$AO)</f>
        <v>#VALUE!</v>
      </c>
      <c r="VM2" t="e">
        <f>+SUMIF([1]Cartera!$R:$R,$A2&amp;"_"&amp;VM$11,[1]Cartera!$J:$J)+SUMIF([1]Futuros!$AD:$AD,$A2&amp;"_"&amp;VM$11,[1]Futuros!$AK:$AK)+SUMIF([1]Opciones!$AF:$AF,$A2&amp;"_"&amp;VM$11,[1]Opciones!$AO:$AO)</f>
        <v>#VALUE!</v>
      </c>
      <c r="VN2" t="e">
        <f>+SUMIF([1]Cartera!$R:$R,$A2&amp;"_"&amp;VN$11,[1]Cartera!$J:$J)+SUMIF([1]Futuros!$AD:$AD,$A2&amp;"_"&amp;VN$11,[1]Futuros!$AK:$AK)+SUMIF([1]Opciones!$AF:$AF,$A2&amp;"_"&amp;VN$11,[1]Opciones!$AO:$AO)</f>
        <v>#VALUE!</v>
      </c>
      <c r="VO2" t="e">
        <f>+SUMIF([1]Cartera!$R:$R,$A2&amp;"_"&amp;VO$11,[1]Cartera!$J:$J)+SUMIF([1]Futuros!$AD:$AD,$A2&amp;"_"&amp;VO$11,[1]Futuros!$AK:$AK)+SUMIF([1]Opciones!$AF:$AF,$A2&amp;"_"&amp;VO$11,[1]Opciones!$AO:$AO)</f>
        <v>#VALUE!</v>
      </c>
      <c r="VP2" t="e">
        <f>+SUMIF([1]Cartera!$R:$R,$A2&amp;"_"&amp;VP$11,[1]Cartera!$J:$J)+SUMIF([1]Futuros!$AD:$AD,$A2&amp;"_"&amp;VP$11,[1]Futuros!$AK:$AK)+SUMIF([1]Opciones!$AF:$AF,$A2&amp;"_"&amp;VP$11,[1]Opciones!$AO:$AO)</f>
        <v>#VALUE!</v>
      </c>
      <c r="VQ2" t="e">
        <f>+SUMIF([1]Cartera!$R:$R,$A2&amp;"_"&amp;VQ$11,[1]Cartera!$J:$J)+SUMIF([1]Futuros!$AD:$AD,$A2&amp;"_"&amp;VQ$11,[1]Futuros!$AK:$AK)+SUMIF([1]Opciones!$AF:$AF,$A2&amp;"_"&amp;VQ$11,[1]Opciones!$AO:$AO)</f>
        <v>#VALUE!</v>
      </c>
      <c r="VR2" t="e">
        <f>+SUMIF([1]Cartera!$R:$R,$A2&amp;"_"&amp;VR$11,[1]Cartera!$J:$J)+SUMIF([1]Futuros!$AD:$AD,$A2&amp;"_"&amp;VR$11,[1]Futuros!$AK:$AK)+SUMIF([1]Opciones!$AF:$AF,$A2&amp;"_"&amp;VR$11,[1]Opciones!$AO:$AO)</f>
        <v>#VALUE!</v>
      </c>
      <c r="VS2" t="e">
        <f>+SUMIF([1]Cartera!$R:$R,$A2&amp;"_"&amp;VS$11,[1]Cartera!$J:$J)+SUMIF([1]Futuros!$AD:$AD,$A2&amp;"_"&amp;VS$11,[1]Futuros!$AK:$AK)+SUMIF([1]Opciones!$AF:$AF,$A2&amp;"_"&amp;VS$11,[1]Opciones!$AO:$AO)</f>
        <v>#VALUE!</v>
      </c>
      <c r="VT2" t="e">
        <f>+SUMIF([1]Cartera!$R:$R,$A2&amp;"_"&amp;VT$11,[1]Cartera!$J:$J)+SUMIF([1]Futuros!$AD:$AD,$A2&amp;"_"&amp;VT$11,[1]Futuros!$AK:$AK)+SUMIF([1]Opciones!$AF:$AF,$A2&amp;"_"&amp;VT$11,[1]Opciones!$AO:$AO)</f>
        <v>#VALUE!</v>
      </c>
      <c r="VU2" t="e">
        <f>+SUMIF([1]Cartera!$R:$R,$A2&amp;"_"&amp;VU$11,[1]Cartera!$J:$J)+SUMIF([1]Futuros!$AD:$AD,$A2&amp;"_"&amp;VU$11,[1]Futuros!$AK:$AK)+SUMIF([1]Opciones!$AF:$AF,$A2&amp;"_"&amp;VU$11,[1]Opciones!$AO:$AO)</f>
        <v>#VALUE!</v>
      </c>
      <c r="VV2" t="e">
        <f>+SUMIF([1]Cartera!$R:$R,$A2&amp;"_"&amp;VV$11,[1]Cartera!$J:$J)+SUMIF([1]Futuros!$AD:$AD,$A2&amp;"_"&amp;VV$11,[1]Futuros!$AK:$AK)+SUMIF([1]Opciones!$AF:$AF,$A2&amp;"_"&amp;VV$11,[1]Opciones!$AO:$AO)</f>
        <v>#VALUE!</v>
      </c>
      <c r="VW2" t="e">
        <f>+SUMIF([1]Cartera!$R:$R,$A2&amp;"_"&amp;VW$11,[1]Cartera!$J:$J)+SUMIF([1]Futuros!$AD:$AD,$A2&amp;"_"&amp;VW$11,[1]Futuros!$AK:$AK)+SUMIF([1]Opciones!$AF:$AF,$A2&amp;"_"&amp;VW$11,[1]Opciones!$AO:$AO)</f>
        <v>#VALUE!</v>
      </c>
      <c r="VX2" t="e">
        <f>+SUMIF([1]Cartera!$R:$R,$A2&amp;"_"&amp;VX$11,[1]Cartera!$J:$J)+SUMIF([1]Futuros!$AD:$AD,$A2&amp;"_"&amp;VX$11,[1]Futuros!$AK:$AK)+SUMIF([1]Opciones!$AF:$AF,$A2&amp;"_"&amp;VX$11,[1]Opciones!$AO:$AO)</f>
        <v>#VALUE!</v>
      </c>
      <c r="VY2" t="e">
        <f>+SUMIF([1]Cartera!$R:$R,$A2&amp;"_"&amp;VY$11,[1]Cartera!$J:$J)+SUMIF([1]Futuros!$AD:$AD,$A2&amp;"_"&amp;VY$11,[1]Futuros!$AK:$AK)+SUMIF([1]Opciones!$AF:$AF,$A2&amp;"_"&amp;VY$11,[1]Opciones!$AO:$AO)</f>
        <v>#VALUE!</v>
      </c>
      <c r="VZ2" t="e">
        <f>+SUMIF([1]Cartera!$R:$R,$A2&amp;"_"&amp;VZ$11,[1]Cartera!$J:$J)+SUMIF([1]Futuros!$AD:$AD,$A2&amp;"_"&amp;VZ$11,[1]Futuros!$AK:$AK)+SUMIF([1]Opciones!$AF:$AF,$A2&amp;"_"&amp;VZ$11,[1]Opciones!$AO:$AO)</f>
        <v>#VALUE!</v>
      </c>
      <c r="WA2" t="e">
        <f>+SUMIF([1]Cartera!$R:$R,$A2&amp;"_"&amp;WA$11,[1]Cartera!$J:$J)+SUMIF([1]Futuros!$AD:$AD,$A2&amp;"_"&amp;WA$11,[1]Futuros!$AK:$AK)+SUMIF([1]Opciones!$AF:$AF,$A2&amp;"_"&amp;WA$11,[1]Opciones!$AO:$AO)</f>
        <v>#VALUE!</v>
      </c>
      <c r="WB2" t="e">
        <f>+SUMIF([1]Cartera!$R:$R,$A2&amp;"_"&amp;WB$11,[1]Cartera!$J:$J)+SUMIF([1]Futuros!$AD:$AD,$A2&amp;"_"&amp;WB$11,[1]Futuros!$AK:$AK)+SUMIF([1]Opciones!$AF:$AF,$A2&amp;"_"&amp;WB$11,[1]Opciones!$AO:$AO)</f>
        <v>#VALUE!</v>
      </c>
      <c r="WC2" t="e">
        <f>+SUMIF([1]Cartera!$R:$R,$A2&amp;"_"&amp;WC$11,[1]Cartera!$J:$J)+SUMIF([1]Futuros!$AD:$AD,$A2&amp;"_"&amp;WC$11,[1]Futuros!$AK:$AK)+SUMIF([1]Opciones!$AF:$AF,$A2&amp;"_"&amp;WC$11,[1]Opciones!$AO:$AO)</f>
        <v>#VALUE!</v>
      </c>
      <c r="WD2" t="e">
        <f>+SUMIF([1]Cartera!$R:$R,$A2&amp;"_"&amp;WD$11,[1]Cartera!$J:$J)+SUMIF([1]Futuros!$AD:$AD,$A2&amp;"_"&amp;WD$11,[1]Futuros!$AK:$AK)+SUMIF([1]Opciones!$AF:$AF,$A2&amp;"_"&amp;WD$11,[1]Opciones!$AO:$AO)</f>
        <v>#VALUE!</v>
      </c>
      <c r="WE2" t="e">
        <f>+SUMIF([1]Cartera!$R:$R,$A2&amp;"_"&amp;WE$11,[1]Cartera!$J:$J)+SUMIF([1]Futuros!$AD:$AD,$A2&amp;"_"&amp;WE$11,[1]Futuros!$AK:$AK)+SUMIF([1]Opciones!$AF:$AF,$A2&amp;"_"&amp;WE$11,[1]Opciones!$AO:$AO)</f>
        <v>#VALUE!</v>
      </c>
      <c r="WF2" t="e">
        <f>+SUMIF([1]Cartera!$R:$R,$A2&amp;"_"&amp;WF$11,[1]Cartera!$J:$J)+SUMIF([1]Futuros!$AD:$AD,$A2&amp;"_"&amp;WF$11,[1]Futuros!$AK:$AK)+SUMIF([1]Opciones!$AF:$AF,$A2&amp;"_"&amp;WF$11,[1]Opciones!$AO:$AO)</f>
        <v>#VALUE!</v>
      </c>
      <c r="WG2" t="e">
        <f>+SUMIF([1]Cartera!$R:$R,$A2&amp;"_"&amp;WG$11,[1]Cartera!$J:$J)+SUMIF([1]Futuros!$AD:$AD,$A2&amp;"_"&amp;WG$11,[1]Futuros!$AK:$AK)+SUMIF([1]Opciones!$AF:$AF,$A2&amp;"_"&amp;WG$11,[1]Opciones!$AO:$AO)</f>
        <v>#VALUE!</v>
      </c>
      <c r="WH2" t="e">
        <f>+SUMIF([1]Cartera!$R:$R,$A2&amp;"_"&amp;WH$11,[1]Cartera!$J:$J)+SUMIF([1]Futuros!$AD:$AD,$A2&amp;"_"&amp;WH$11,[1]Futuros!$AK:$AK)+SUMIF([1]Opciones!$AF:$AF,$A2&amp;"_"&amp;WH$11,[1]Opciones!$AO:$AO)</f>
        <v>#VALUE!</v>
      </c>
      <c r="WI2" t="e">
        <f>+SUMIF([1]Cartera!$R:$R,$A2&amp;"_"&amp;WI$11,[1]Cartera!$J:$J)+SUMIF([1]Futuros!$AD:$AD,$A2&amp;"_"&amp;WI$11,[1]Futuros!$AK:$AK)+SUMIF([1]Opciones!$AF:$AF,$A2&amp;"_"&amp;WI$11,[1]Opciones!$AO:$AO)</f>
        <v>#VALUE!</v>
      </c>
      <c r="WJ2" t="e">
        <f>+SUMIF([1]Cartera!$R:$R,$A2&amp;"_"&amp;WJ$11,[1]Cartera!$J:$J)+SUMIF([1]Futuros!$AD:$AD,$A2&amp;"_"&amp;WJ$11,[1]Futuros!$AK:$AK)+SUMIF([1]Opciones!$AF:$AF,$A2&amp;"_"&amp;WJ$11,[1]Opciones!$AO:$AO)</f>
        <v>#VALUE!</v>
      </c>
      <c r="WK2" t="e">
        <f>+SUMIF([1]Cartera!$R:$R,$A2&amp;"_"&amp;WK$11,[1]Cartera!$J:$J)+SUMIF([1]Futuros!$AD:$AD,$A2&amp;"_"&amp;WK$11,[1]Futuros!$AK:$AK)+SUMIF([1]Opciones!$AF:$AF,$A2&amp;"_"&amp;WK$11,[1]Opciones!$AO:$AO)</f>
        <v>#VALUE!</v>
      </c>
      <c r="WL2" t="e">
        <f>+SUMIF([1]Cartera!$R:$R,$A2&amp;"_"&amp;WL$11,[1]Cartera!$J:$J)+SUMIF([1]Futuros!$AD:$AD,$A2&amp;"_"&amp;WL$11,[1]Futuros!$AK:$AK)+SUMIF([1]Opciones!$AF:$AF,$A2&amp;"_"&amp;WL$11,[1]Opciones!$AO:$AO)</f>
        <v>#VALUE!</v>
      </c>
      <c r="WM2" t="e">
        <f>+SUMIF([1]Cartera!$R:$R,$A2&amp;"_"&amp;WM$11,[1]Cartera!$J:$J)+SUMIF([1]Futuros!$AD:$AD,$A2&amp;"_"&amp;WM$11,[1]Futuros!$AK:$AK)+SUMIF([1]Opciones!$AF:$AF,$A2&amp;"_"&amp;WM$11,[1]Opciones!$AO:$AO)</f>
        <v>#VALUE!</v>
      </c>
      <c r="WN2" t="e">
        <f>+SUMIF([1]Cartera!$R:$R,$A2&amp;"_"&amp;WN$11,[1]Cartera!$J:$J)+SUMIF([1]Futuros!$AD:$AD,$A2&amp;"_"&amp;WN$11,[1]Futuros!$AK:$AK)+SUMIF([1]Opciones!$AF:$AF,$A2&amp;"_"&amp;WN$11,[1]Opciones!$AO:$AO)</f>
        <v>#VALUE!</v>
      </c>
      <c r="WO2" t="e">
        <f>+SUMIF([1]Cartera!$R:$R,$A2&amp;"_"&amp;WO$11,[1]Cartera!$J:$J)+SUMIF([1]Futuros!$AD:$AD,$A2&amp;"_"&amp;WO$11,[1]Futuros!$AK:$AK)+SUMIF([1]Opciones!$AF:$AF,$A2&amp;"_"&amp;WO$11,[1]Opciones!$AO:$AO)</f>
        <v>#VALUE!</v>
      </c>
      <c r="WP2" t="e">
        <f>+SUMIF([1]Cartera!$R:$R,$A2&amp;"_"&amp;WP$11,[1]Cartera!$J:$J)+SUMIF([1]Futuros!$AD:$AD,$A2&amp;"_"&amp;WP$11,[1]Futuros!$AK:$AK)+SUMIF([1]Opciones!$AF:$AF,$A2&amp;"_"&amp;WP$11,[1]Opciones!$AO:$AO)</f>
        <v>#VALUE!</v>
      </c>
      <c r="WQ2" t="e">
        <f>+SUMIF([1]Cartera!$R:$R,$A2&amp;"_"&amp;WQ$11,[1]Cartera!$J:$J)+SUMIF([1]Futuros!$AD:$AD,$A2&amp;"_"&amp;WQ$11,[1]Futuros!$AK:$AK)+SUMIF([1]Opciones!$AF:$AF,$A2&amp;"_"&amp;WQ$11,[1]Opciones!$AO:$AO)</f>
        <v>#VALUE!</v>
      </c>
      <c r="WR2" t="e">
        <f>+SUMIF([1]Cartera!$R:$R,$A2&amp;"_"&amp;WR$11,[1]Cartera!$J:$J)+SUMIF([1]Futuros!$AD:$AD,$A2&amp;"_"&amp;WR$11,[1]Futuros!$AK:$AK)+SUMIF([1]Opciones!$AF:$AF,$A2&amp;"_"&amp;WR$11,[1]Opciones!$AO:$AO)</f>
        <v>#VALUE!</v>
      </c>
      <c r="WS2" t="e">
        <f>+SUMIF([1]Cartera!$R:$R,$A2&amp;"_"&amp;WS$11,[1]Cartera!$J:$J)+SUMIF([1]Futuros!$AD:$AD,$A2&amp;"_"&amp;WS$11,[1]Futuros!$AK:$AK)+SUMIF([1]Opciones!$AF:$AF,$A2&amp;"_"&amp;WS$11,[1]Opciones!$AO:$AO)</f>
        <v>#VALUE!</v>
      </c>
      <c r="WT2" t="e">
        <f>+SUMIF([1]Cartera!$R:$R,$A2&amp;"_"&amp;WT$11,[1]Cartera!$J:$J)+SUMIF([1]Futuros!$AD:$AD,$A2&amp;"_"&amp;WT$11,[1]Futuros!$AK:$AK)+SUMIF([1]Opciones!$AF:$AF,$A2&amp;"_"&amp;WT$11,[1]Opciones!$AO:$AO)</f>
        <v>#VALUE!</v>
      </c>
      <c r="WU2" t="e">
        <f>+SUMIF([1]Cartera!$R:$R,$A2&amp;"_"&amp;WU$11,[1]Cartera!$J:$J)+SUMIF([1]Futuros!$AD:$AD,$A2&amp;"_"&amp;WU$11,[1]Futuros!$AK:$AK)+SUMIF([1]Opciones!$AF:$AF,$A2&amp;"_"&amp;WU$11,[1]Opciones!$AO:$AO)</f>
        <v>#VALUE!</v>
      </c>
      <c r="WV2" t="e">
        <f>+SUMIF([1]Cartera!$R:$R,$A2&amp;"_"&amp;WV$11,[1]Cartera!$J:$J)+SUMIF([1]Futuros!$AD:$AD,$A2&amp;"_"&amp;WV$11,[1]Futuros!$AK:$AK)+SUMIF([1]Opciones!$AF:$AF,$A2&amp;"_"&amp;WV$11,[1]Opciones!$AO:$AO)</f>
        <v>#VALUE!</v>
      </c>
      <c r="WW2" t="e">
        <f>+SUMIF([1]Cartera!$R:$R,$A2&amp;"_"&amp;WW$11,[1]Cartera!$J:$J)+SUMIF([1]Futuros!$AD:$AD,$A2&amp;"_"&amp;WW$11,[1]Futuros!$AK:$AK)+SUMIF([1]Opciones!$AF:$AF,$A2&amp;"_"&amp;WW$11,[1]Opciones!$AO:$AO)</f>
        <v>#VALUE!</v>
      </c>
      <c r="WX2" t="e">
        <f>+SUMIF([1]Cartera!$R:$R,$A2&amp;"_"&amp;WX$11,[1]Cartera!$J:$J)+SUMIF([1]Futuros!$AD:$AD,$A2&amp;"_"&amp;WX$11,[1]Futuros!$AK:$AK)+SUMIF([1]Opciones!$AF:$AF,$A2&amp;"_"&amp;WX$11,[1]Opciones!$AO:$AO)</f>
        <v>#VALUE!</v>
      </c>
      <c r="WY2" t="e">
        <f>+SUMIF([1]Cartera!$R:$R,$A2&amp;"_"&amp;WY$11,[1]Cartera!$J:$J)+SUMIF([1]Futuros!$AD:$AD,$A2&amp;"_"&amp;WY$11,[1]Futuros!$AK:$AK)+SUMIF([1]Opciones!$AF:$AF,$A2&amp;"_"&amp;WY$11,[1]Opciones!$AO:$AO)</f>
        <v>#VALUE!</v>
      </c>
      <c r="WZ2" t="e">
        <f>+SUMIF([1]Cartera!$R:$R,$A2&amp;"_"&amp;WZ$11,[1]Cartera!$J:$J)+SUMIF([1]Futuros!$AD:$AD,$A2&amp;"_"&amp;WZ$11,[1]Futuros!$AK:$AK)+SUMIF([1]Opciones!$AF:$AF,$A2&amp;"_"&amp;WZ$11,[1]Opciones!$AO:$AO)</f>
        <v>#VALUE!</v>
      </c>
      <c r="XA2" t="e">
        <f>+SUMIF([1]Cartera!$R:$R,$A2&amp;"_"&amp;XA$11,[1]Cartera!$J:$J)+SUMIF([1]Futuros!$AD:$AD,$A2&amp;"_"&amp;XA$11,[1]Futuros!$AK:$AK)+SUMIF([1]Opciones!$AF:$AF,$A2&amp;"_"&amp;XA$11,[1]Opciones!$AO:$AO)</f>
        <v>#VALUE!</v>
      </c>
      <c r="XB2" t="e">
        <f>+SUMIF([1]Cartera!$R:$R,$A2&amp;"_"&amp;XB$11,[1]Cartera!$J:$J)+SUMIF([1]Futuros!$AD:$AD,$A2&amp;"_"&amp;XB$11,[1]Futuros!$AK:$AK)+SUMIF([1]Opciones!$AF:$AF,$A2&amp;"_"&amp;XB$11,[1]Opciones!$AO:$AO)</f>
        <v>#VALUE!</v>
      </c>
      <c r="XC2" t="e">
        <f>+SUMIF([1]Cartera!$R:$R,$A2&amp;"_"&amp;XC$11,[1]Cartera!$J:$J)+SUMIF([1]Futuros!$AD:$AD,$A2&amp;"_"&amp;XC$11,[1]Futuros!$AK:$AK)+SUMIF([1]Opciones!$AF:$AF,$A2&amp;"_"&amp;XC$11,[1]Opciones!$AO:$AO)</f>
        <v>#VALUE!</v>
      </c>
      <c r="XD2" t="e">
        <f>+SUMIF([1]Cartera!$R:$R,$A2&amp;"_"&amp;XD$11,[1]Cartera!$J:$J)+SUMIF([1]Futuros!$AD:$AD,$A2&amp;"_"&amp;XD$11,[1]Futuros!$AK:$AK)+SUMIF([1]Opciones!$AF:$AF,$A2&amp;"_"&amp;XD$11,[1]Opciones!$AO:$AO)</f>
        <v>#VALUE!</v>
      </c>
      <c r="XE2" t="e">
        <f>+SUMIF([1]Cartera!$R:$R,$A2&amp;"_"&amp;XE$11,[1]Cartera!$J:$J)+SUMIF([1]Futuros!$AD:$AD,$A2&amp;"_"&amp;XE$11,[1]Futuros!$AK:$AK)+SUMIF([1]Opciones!$AF:$AF,$A2&amp;"_"&amp;XE$11,[1]Opciones!$AO:$AO)</f>
        <v>#VALUE!</v>
      </c>
      <c r="XF2" t="e">
        <f>+SUMIF([1]Cartera!$R:$R,$A2&amp;"_"&amp;XF$11,[1]Cartera!$J:$J)+SUMIF([1]Futuros!$AD:$AD,$A2&amp;"_"&amp;XF$11,[1]Futuros!$AK:$AK)+SUMIF([1]Opciones!$AF:$AF,$A2&amp;"_"&amp;XF$11,[1]Opciones!$AO:$AO)</f>
        <v>#VALUE!</v>
      </c>
      <c r="XG2" t="e">
        <f>+SUMIF([1]Cartera!$R:$R,$A2&amp;"_"&amp;XG$11,[1]Cartera!$J:$J)+SUMIF([1]Futuros!$AD:$AD,$A2&amp;"_"&amp;XG$11,[1]Futuros!$AK:$AK)+SUMIF([1]Opciones!$AF:$AF,$A2&amp;"_"&amp;XG$11,[1]Opciones!$AO:$AO)</f>
        <v>#VALUE!</v>
      </c>
      <c r="XH2" t="e">
        <f>+SUMIF([1]Cartera!$R:$R,$A2&amp;"_"&amp;XH$11,[1]Cartera!$J:$J)+SUMIF([1]Futuros!$AD:$AD,$A2&amp;"_"&amp;XH$11,[1]Futuros!$AK:$AK)+SUMIF([1]Opciones!$AF:$AF,$A2&amp;"_"&amp;XH$11,[1]Opciones!$AO:$AO)</f>
        <v>#VALUE!</v>
      </c>
      <c r="XI2" t="e">
        <f>+SUMIF([1]Cartera!$R:$R,$A2&amp;"_"&amp;XI$11,[1]Cartera!$J:$J)+SUMIF([1]Futuros!$AD:$AD,$A2&amp;"_"&amp;XI$11,[1]Futuros!$AK:$AK)+SUMIF([1]Opciones!$AF:$AF,$A2&amp;"_"&amp;XI$11,[1]Opciones!$AO:$AO)</f>
        <v>#VALUE!</v>
      </c>
      <c r="XJ2" t="e">
        <f>+SUMIF([1]Cartera!$R:$R,$A2&amp;"_"&amp;XJ$11,[1]Cartera!$J:$J)+SUMIF([1]Futuros!$AD:$AD,$A2&amp;"_"&amp;XJ$11,[1]Futuros!$AK:$AK)+SUMIF([1]Opciones!$AF:$AF,$A2&amp;"_"&amp;XJ$11,[1]Opciones!$AO:$AO)</f>
        <v>#VALUE!</v>
      </c>
      <c r="XK2" t="e">
        <f>+SUMIF([1]Cartera!$R:$R,$A2&amp;"_"&amp;XK$11,[1]Cartera!$J:$J)+SUMIF([1]Futuros!$AD:$AD,$A2&amp;"_"&amp;XK$11,[1]Futuros!$AK:$AK)+SUMIF([1]Opciones!$AF:$AF,$A2&amp;"_"&amp;XK$11,[1]Opciones!$AO:$AO)</f>
        <v>#VALUE!</v>
      </c>
      <c r="XL2" t="e">
        <f>+SUMIF([1]Cartera!$R:$R,$A2&amp;"_"&amp;XL$11,[1]Cartera!$J:$J)+SUMIF([1]Futuros!$AD:$AD,$A2&amp;"_"&amp;XL$11,[1]Futuros!$AK:$AK)+SUMIF([1]Opciones!$AF:$AF,$A2&amp;"_"&amp;XL$11,[1]Opciones!$AO:$AO)</f>
        <v>#VALUE!</v>
      </c>
      <c r="XM2" t="e">
        <f>+SUMIF([1]Cartera!$R:$R,$A2&amp;"_"&amp;XM$11,[1]Cartera!$J:$J)+SUMIF([1]Futuros!$AD:$AD,$A2&amp;"_"&amp;XM$11,[1]Futuros!$AK:$AK)+SUMIF([1]Opciones!$AF:$AF,$A2&amp;"_"&amp;XM$11,[1]Opciones!$AO:$AO)</f>
        <v>#VALUE!</v>
      </c>
      <c r="XN2" t="e">
        <f>+SUMIF([1]Cartera!$R:$R,$A2&amp;"_"&amp;XN$11,[1]Cartera!$J:$J)+SUMIF([1]Futuros!$AD:$AD,$A2&amp;"_"&amp;XN$11,[1]Futuros!$AK:$AK)+SUMIF([1]Opciones!$AF:$AF,$A2&amp;"_"&amp;XN$11,[1]Opciones!$AO:$AO)</f>
        <v>#VALUE!</v>
      </c>
      <c r="XO2" t="e">
        <f>+SUMIF([1]Cartera!$R:$R,$A2&amp;"_"&amp;XO$11,[1]Cartera!$J:$J)+SUMIF([1]Futuros!$AD:$AD,$A2&amp;"_"&amp;XO$11,[1]Futuros!$AK:$AK)+SUMIF([1]Opciones!$AF:$AF,$A2&amp;"_"&amp;XO$11,[1]Opciones!$AO:$AO)</f>
        <v>#VALUE!</v>
      </c>
      <c r="XP2" t="e">
        <f>+SUMIF([1]Cartera!$R:$R,$A2&amp;"_"&amp;XP$11,[1]Cartera!$J:$J)+SUMIF([1]Futuros!$AD:$AD,$A2&amp;"_"&amp;XP$11,[1]Futuros!$AK:$AK)+SUMIF([1]Opciones!$AF:$AF,$A2&amp;"_"&amp;XP$11,[1]Opciones!$AO:$AO)</f>
        <v>#VALUE!</v>
      </c>
      <c r="XQ2" t="e">
        <f>+SUMIF([1]Cartera!$R:$R,$A2&amp;"_"&amp;XQ$11,[1]Cartera!$J:$J)+SUMIF([1]Futuros!$AD:$AD,$A2&amp;"_"&amp;XQ$11,[1]Futuros!$AK:$AK)+SUMIF([1]Opciones!$AF:$AF,$A2&amp;"_"&amp;XQ$11,[1]Opciones!$AO:$AO)</f>
        <v>#VALUE!</v>
      </c>
      <c r="XR2" t="e">
        <f>+SUMIF([1]Cartera!$R:$R,$A2&amp;"_"&amp;XR$11,[1]Cartera!$J:$J)+SUMIF([1]Futuros!$AD:$AD,$A2&amp;"_"&amp;XR$11,[1]Futuros!$AK:$AK)+SUMIF([1]Opciones!$AF:$AF,$A2&amp;"_"&amp;XR$11,[1]Opciones!$AO:$AO)</f>
        <v>#VALUE!</v>
      </c>
      <c r="XS2" t="e">
        <f>+SUMIF([1]Cartera!$R:$R,$A2&amp;"_"&amp;XS$11,[1]Cartera!$J:$J)+SUMIF([1]Futuros!$AD:$AD,$A2&amp;"_"&amp;XS$11,[1]Futuros!$AK:$AK)+SUMIF([1]Opciones!$AF:$AF,$A2&amp;"_"&amp;XS$11,[1]Opciones!$AO:$AO)</f>
        <v>#VALUE!</v>
      </c>
      <c r="XT2" t="e">
        <f>+SUMIF([1]Cartera!$R:$R,$A2&amp;"_"&amp;XT$11,[1]Cartera!$J:$J)+SUMIF([1]Futuros!$AD:$AD,$A2&amp;"_"&amp;XT$11,[1]Futuros!$AK:$AK)+SUMIF([1]Opciones!$AF:$AF,$A2&amp;"_"&amp;XT$11,[1]Opciones!$AO:$AO)</f>
        <v>#VALUE!</v>
      </c>
      <c r="XU2" t="e">
        <f>+SUMIF([1]Cartera!$R:$R,$A2&amp;"_"&amp;XU$11,[1]Cartera!$J:$J)+SUMIF([1]Futuros!$AD:$AD,$A2&amp;"_"&amp;XU$11,[1]Futuros!$AK:$AK)+SUMIF([1]Opciones!$AF:$AF,$A2&amp;"_"&amp;XU$11,[1]Opciones!$AO:$AO)</f>
        <v>#VALUE!</v>
      </c>
      <c r="XV2" t="e">
        <f>+SUMIF([1]Cartera!$R:$R,$A2&amp;"_"&amp;XV$11,[1]Cartera!$J:$J)+SUMIF([1]Futuros!$AD:$AD,$A2&amp;"_"&amp;XV$11,[1]Futuros!$AK:$AK)+SUMIF([1]Opciones!$AF:$AF,$A2&amp;"_"&amp;XV$11,[1]Opciones!$AO:$AO)</f>
        <v>#VALUE!</v>
      </c>
      <c r="XW2" t="e">
        <f>+SUMIF([1]Cartera!$R:$R,$A2&amp;"_"&amp;XW$11,[1]Cartera!$J:$J)+SUMIF([1]Futuros!$AD:$AD,$A2&amp;"_"&amp;XW$11,[1]Futuros!$AK:$AK)+SUMIF([1]Opciones!$AF:$AF,$A2&amp;"_"&amp;XW$11,[1]Opciones!$AO:$AO)</f>
        <v>#VALUE!</v>
      </c>
      <c r="XX2" t="e">
        <f>+SUMIF([1]Cartera!$R:$R,$A2&amp;"_"&amp;XX$11,[1]Cartera!$J:$J)+SUMIF([1]Futuros!$AD:$AD,$A2&amp;"_"&amp;XX$11,[1]Futuros!$AK:$AK)+SUMIF([1]Opciones!$AF:$AF,$A2&amp;"_"&amp;XX$11,[1]Opciones!$AO:$AO)</f>
        <v>#VALUE!</v>
      </c>
      <c r="XY2" t="e">
        <f>+SUMIF([1]Cartera!$R:$R,$A2&amp;"_"&amp;XY$11,[1]Cartera!$J:$J)+SUMIF([1]Futuros!$AD:$AD,$A2&amp;"_"&amp;XY$11,[1]Futuros!$AK:$AK)+SUMIF([1]Opciones!$AF:$AF,$A2&amp;"_"&amp;XY$11,[1]Opciones!$AO:$AO)</f>
        <v>#VALUE!</v>
      </c>
      <c r="XZ2" t="e">
        <f>+SUMIF([1]Cartera!$R:$R,$A2&amp;"_"&amp;XZ$11,[1]Cartera!$J:$J)+SUMIF([1]Futuros!$AD:$AD,$A2&amp;"_"&amp;XZ$11,[1]Futuros!$AK:$AK)+SUMIF([1]Opciones!$AF:$AF,$A2&amp;"_"&amp;XZ$11,[1]Opciones!$AO:$AO)</f>
        <v>#VALUE!</v>
      </c>
      <c r="YA2" t="e">
        <f>+SUMIF([1]Cartera!$R:$R,$A2&amp;"_"&amp;YA$11,[1]Cartera!$J:$J)+SUMIF([1]Futuros!$AD:$AD,$A2&amp;"_"&amp;YA$11,[1]Futuros!$AK:$AK)+SUMIF([1]Opciones!$AF:$AF,$A2&amp;"_"&amp;YA$11,[1]Opciones!$AO:$AO)</f>
        <v>#VALUE!</v>
      </c>
      <c r="YB2" t="e">
        <f>+SUMIF([1]Cartera!$R:$R,$A2&amp;"_"&amp;YB$11,[1]Cartera!$J:$J)+SUMIF([1]Futuros!$AD:$AD,$A2&amp;"_"&amp;YB$11,[1]Futuros!$AK:$AK)+SUMIF([1]Opciones!$AF:$AF,$A2&amp;"_"&amp;YB$11,[1]Opciones!$AO:$AO)</f>
        <v>#VALUE!</v>
      </c>
      <c r="YC2" t="e">
        <f>+SUMIF([1]Cartera!$R:$R,$A2&amp;"_"&amp;YC$11,[1]Cartera!$J:$J)+SUMIF([1]Futuros!$AD:$AD,$A2&amp;"_"&amp;YC$11,[1]Futuros!$AK:$AK)+SUMIF([1]Opciones!$AF:$AF,$A2&amp;"_"&amp;YC$11,[1]Opciones!$AO:$AO)</f>
        <v>#VALUE!</v>
      </c>
      <c r="YD2" t="e">
        <f>+SUMIF([1]Cartera!$R:$R,$A2&amp;"_"&amp;YD$11,[1]Cartera!$J:$J)+SUMIF([1]Futuros!$AD:$AD,$A2&amp;"_"&amp;YD$11,[1]Futuros!$AK:$AK)+SUMIF([1]Opciones!$AF:$AF,$A2&amp;"_"&amp;YD$11,[1]Opciones!$AO:$AO)</f>
        <v>#VALUE!</v>
      </c>
      <c r="YE2" t="e">
        <f>+SUMIF([1]Cartera!$R:$R,$A2&amp;"_"&amp;YE$11,[1]Cartera!$J:$J)+SUMIF([1]Futuros!$AD:$AD,$A2&amp;"_"&amp;YE$11,[1]Futuros!$AK:$AK)+SUMIF([1]Opciones!$AF:$AF,$A2&amp;"_"&amp;YE$11,[1]Opciones!$AO:$AO)</f>
        <v>#VALUE!</v>
      </c>
      <c r="YF2" t="e">
        <f>+SUMIF([1]Cartera!$R:$R,$A2&amp;"_"&amp;YF$11,[1]Cartera!$J:$J)+SUMIF([1]Futuros!$AD:$AD,$A2&amp;"_"&amp;YF$11,[1]Futuros!$AK:$AK)+SUMIF([1]Opciones!$AF:$AF,$A2&amp;"_"&amp;YF$11,[1]Opciones!$AO:$AO)</f>
        <v>#VALUE!</v>
      </c>
      <c r="YG2" t="e">
        <f>+SUMIF([1]Cartera!$R:$R,$A2&amp;"_"&amp;YG$11,[1]Cartera!$J:$J)+SUMIF([1]Futuros!$AD:$AD,$A2&amp;"_"&amp;YG$11,[1]Futuros!$AK:$AK)+SUMIF([1]Opciones!$AF:$AF,$A2&amp;"_"&amp;YG$11,[1]Opciones!$AO:$AO)</f>
        <v>#VALUE!</v>
      </c>
      <c r="YH2" t="e">
        <f>+SUMIF([1]Cartera!$R:$R,$A2&amp;"_"&amp;YH$11,[1]Cartera!$J:$J)+SUMIF([1]Futuros!$AD:$AD,$A2&amp;"_"&amp;YH$11,[1]Futuros!$AK:$AK)+SUMIF([1]Opciones!$AF:$AF,$A2&amp;"_"&amp;YH$11,[1]Opciones!$AO:$AO)</f>
        <v>#VALUE!</v>
      </c>
      <c r="YI2" t="e">
        <f>+SUMIF([1]Cartera!$R:$R,$A2&amp;"_"&amp;YI$11,[1]Cartera!$J:$J)+SUMIF([1]Futuros!$AD:$AD,$A2&amp;"_"&amp;YI$11,[1]Futuros!$AK:$AK)+SUMIF([1]Opciones!$AF:$AF,$A2&amp;"_"&amp;YI$11,[1]Opciones!$AO:$AO)</f>
        <v>#VALUE!</v>
      </c>
      <c r="YJ2" t="e">
        <f>+SUMIF([1]Cartera!$R:$R,$A2&amp;"_"&amp;YJ$11,[1]Cartera!$J:$J)+SUMIF([1]Futuros!$AD:$AD,$A2&amp;"_"&amp;YJ$11,[1]Futuros!$AK:$AK)+SUMIF([1]Opciones!$AF:$AF,$A2&amp;"_"&amp;YJ$11,[1]Opciones!$AO:$AO)</f>
        <v>#VALUE!</v>
      </c>
      <c r="YK2" t="e">
        <f>+SUMIF([1]Cartera!$R:$R,$A2&amp;"_"&amp;YK$11,[1]Cartera!$J:$J)+SUMIF([1]Futuros!$AD:$AD,$A2&amp;"_"&amp;YK$11,[1]Futuros!$AK:$AK)+SUMIF([1]Opciones!$AF:$AF,$A2&amp;"_"&amp;YK$11,[1]Opciones!$AO:$AO)</f>
        <v>#VALUE!</v>
      </c>
      <c r="YL2" t="e">
        <f>+SUMIF([1]Cartera!$R:$R,$A2&amp;"_"&amp;YL$11,[1]Cartera!$J:$J)+SUMIF([1]Futuros!$AD:$AD,$A2&amp;"_"&amp;YL$11,[1]Futuros!$AK:$AK)+SUMIF([1]Opciones!$AF:$AF,$A2&amp;"_"&amp;YL$11,[1]Opciones!$AO:$AO)</f>
        <v>#VALUE!</v>
      </c>
      <c r="YM2" t="e">
        <f>+SUMIF([1]Cartera!$R:$R,$A2&amp;"_"&amp;YM$11,[1]Cartera!$J:$J)+SUMIF([1]Futuros!$AD:$AD,$A2&amp;"_"&amp;YM$11,[1]Futuros!$AK:$AK)+SUMIF([1]Opciones!$AF:$AF,$A2&amp;"_"&amp;YM$11,[1]Opciones!$AO:$AO)</f>
        <v>#VALUE!</v>
      </c>
      <c r="YN2" t="e">
        <f>+SUMIF([1]Cartera!$R:$R,$A2&amp;"_"&amp;YN$11,[1]Cartera!$J:$J)+SUMIF([1]Futuros!$AD:$AD,$A2&amp;"_"&amp;YN$11,[1]Futuros!$AK:$AK)+SUMIF([1]Opciones!$AF:$AF,$A2&amp;"_"&amp;YN$11,[1]Opciones!$AO:$AO)</f>
        <v>#VALUE!</v>
      </c>
      <c r="YO2" t="e">
        <f>+SUMIF([1]Cartera!$R:$R,$A2&amp;"_"&amp;YO$11,[1]Cartera!$J:$J)+SUMIF([1]Futuros!$AD:$AD,$A2&amp;"_"&amp;YO$11,[1]Futuros!$AK:$AK)+SUMIF([1]Opciones!$AF:$AF,$A2&amp;"_"&amp;YO$11,[1]Opciones!$AO:$AO)</f>
        <v>#VALUE!</v>
      </c>
      <c r="YP2" t="e">
        <f>+SUMIF([1]Cartera!$R:$R,$A2&amp;"_"&amp;YP$11,[1]Cartera!$J:$J)+SUMIF([1]Futuros!$AD:$AD,$A2&amp;"_"&amp;YP$11,[1]Futuros!$AK:$AK)+SUMIF([1]Opciones!$AF:$AF,$A2&amp;"_"&amp;YP$11,[1]Opciones!$AO:$AO)</f>
        <v>#VALUE!</v>
      </c>
      <c r="YQ2" t="e">
        <f>+SUMIF([1]Cartera!$R:$R,$A2&amp;"_"&amp;YQ$11,[1]Cartera!$J:$J)+SUMIF([1]Futuros!$AD:$AD,$A2&amp;"_"&amp;YQ$11,[1]Futuros!$AK:$AK)+SUMIF([1]Opciones!$AF:$AF,$A2&amp;"_"&amp;YQ$11,[1]Opciones!$AO:$AO)</f>
        <v>#VALUE!</v>
      </c>
      <c r="YR2" t="e">
        <f>+SUMIF([1]Cartera!$R:$R,$A2&amp;"_"&amp;YR$11,[1]Cartera!$J:$J)+SUMIF([1]Futuros!$AD:$AD,$A2&amp;"_"&amp;YR$11,[1]Futuros!$AK:$AK)+SUMIF([1]Opciones!$AF:$AF,$A2&amp;"_"&amp;YR$11,[1]Opciones!$AO:$AO)</f>
        <v>#VALUE!</v>
      </c>
      <c r="YS2" t="e">
        <f>+SUMIF([1]Cartera!$R:$R,$A2&amp;"_"&amp;YS$11,[1]Cartera!$J:$J)+SUMIF([1]Futuros!$AD:$AD,$A2&amp;"_"&amp;YS$11,[1]Futuros!$AK:$AK)+SUMIF([1]Opciones!$AF:$AF,$A2&amp;"_"&amp;YS$11,[1]Opciones!$AO:$AO)</f>
        <v>#VALUE!</v>
      </c>
      <c r="YT2" t="e">
        <f>+SUMIF([1]Cartera!$R:$R,$A2&amp;"_"&amp;YT$11,[1]Cartera!$J:$J)+SUMIF([1]Futuros!$AD:$AD,$A2&amp;"_"&amp;YT$11,[1]Futuros!$AK:$AK)+SUMIF([1]Opciones!$AF:$AF,$A2&amp;"_"&amp;YT$11,[1]Opciones!$AO:$AO)</f>
        <v>#VALUE!</v>
      </c>
      <c r="YU2" t="e">
        <f>+SUMIF([1]Cartera!$R:$R,$A2&amp;"_"&amp;YU$11,[1]Cartera!$J:$J)+SUMIF([1]Futuros!$AD:$AD,$A2&amp;"_"&amp;YU$11,[1]Futuros!$AK:$AK)+SUMIF([1]Opciones!$AF:$AF,$A2&amp;"_"&amp;YU$11,[1]Opciones!$AO:$AO)</f>
        <v>#VALUE!</v>
      </c>
      <c r="YV2" t="e">
        <f>+SUMIF([1]Cartera!$R:$R,$A2&amp;"_"&amp;YV$11,[1]Cartera!$J:$J)+SUMIF([1]Futuros!$AD:$AD,$A2&amp;"_"&amp;YV$11,[1]Futuros!$AK:$AK)+SUMIF([1]Opciones!$AF:$AF,$A2&amp;"_"&amp;YV$11,[1]Opciones!$AO:$AO)</f>
        <v>#VALUE!</v>
      </c>
      <c r="YW2" t="e">
        <f>+SUMIF([1]Cartera!$R:$R,$A2&amp;"_"&amp;YW$11,[1]Cartera!$J:$J)+SUMIF([1]Futuros!$AD:$AD,$A2&amp;"_"&amp;YW$11,[1]Futuros!$AK:$AK)+SUMIF([1]Opciones!$AF:$AF,$A2&amp;"_"&amp;YW$11,[1]Opciones!$AO:$AO)</f>
        <v>#VALUE!</v>
      </c>
      <c r="YX2" t="e">
        <f>+SUMIF([1]Cartera!$R:$R,$A2&amp;"_"&amp;YX$11,[1]Cartera!$J:$J)+SUMIF([1]Futuros!$AD:$AD,$A2&amp;"_"&amp;YX$11,[1]Futuros!$AK:$AK)+SUMIF([1]Opciones!$AF:$AF,$A2&amp;"_"&amp;YX$11,[1]Opciones!$AO:$AO)</f>
        <v>#VALUE!</v>
      </c>
      <c r="YY2" t="e">
        <f>+SUMIF([1]Cartera!$R:$R,$A2&amp;"_"&amp;YY$11,[1]Cartera!$J:$J)+SUMIF([1]Futuros!$AD:$AD,$A2&amp;"_"&amp;YY$11,[1]Futuros!$AK:$AK)+SUMIF([1]Opciones!$AF:$AF,$A2&amp;"_"&amp;YY$11,[1]Opciones!$AO:$AO)</f>
        <v>#VALUE!</v>
      </c>
      <c r="YZ2" t="e">
        <f>+SUMIF([1]Cartera!$R:$R,$A2&amp;"_"&amp;YZ$11,[1]Cartera!$J:$J)+SUMIF([1]Futuros!$AD:$AD,$A2&amp;"_"&amp;YZ$11,[1]Futuros!$AK:$AK)+SUMIF([1]Opciones!$AF:$AF,$A2&amp;"_"&amp;YZ$11,[1]Opciones!$AO:$AO)</f>
        <v>#VALUE!</v>
      </c>
      <c r="ZA2" t="e">
        <f>+SUMIF([1]Cartera!$R:$R,$A2&amp;"_"&amp;ZA$11,[1]Cartera!$J:$J)+SUMIF([1]Futuros!$AD:$AD,$A2&amp;"_"&amp;ZA$11,[1]Futuros!$AK:$AK)+SUMIF([1]Opciones!$AF:$AF,$A2&amp;"_"&amp;ZA$11,[1]Opciones!$AO:$AO)</f>
        <v>#VALUE!</v>
      </c>
      <c r="ZB2" t="e">
        <f>+SUMIF([1]Cartera!$R:$R,$A2&amp;"_"&amp;ZB$11,[1]Cartera!$J:$J)+SUMIF([1]Futuros!$AD:$AD,$A2&amp;"_"&amp;ZB$11,[1]Futuros!$AK:$AK)+SUMIF([1]Opciones!$AF:$AF,$A2&amp;"_"&amp;ZB$11,[1]Opciones!$AO:$AO)</f>
        <v>#VALUE!</v>
      </c>
      <c r="ZC2" t="e">
        <f>+SUMIF([1]Cartera!$R:$R,$A2&amp;"_"&amp;ZC$11,[1]Cartera!$J:$J)+SUMIF([1]Futuros!$AD:$AD,$A2&amp;"_"&amp;ZC$11,[1]Futuros!$AK:$AK)+SUMIF([1]Opciones!$AF:$AF,$A2&amp;"_"&amp;ZC$11,[1]Opciones!$AO:$AO)</f>
        <v>#VALUE!</v>
      </c>
      <c r="ZD2" t="e">
        <f>+SUMIF([1]Cartera!$R:$R,$A2&amp;"_"&amp;ZD$11,[1]Cartera!$J:$J)+SUMIF([1]Futuros!$AD:$AD,$A2&amp;"_"&amp;ZD$11,[1]Futuros!$AK:$AK)+SUMIF([1]Opciones!$AF:$AF,$A2&amp;"_"&amp;ZD$11,[1]Opciones!$AO:$AO)</f>
        <v>#VALUE!</v>
      </c>
      <c r="ZE2" t="e">
        <f>+SUMIF([1]Cartera!$R:$R,$A2&amp;"_"&amp;ZE$11,[1]Cartera!$J:$J)+SUMIF([1]Futuros!$AD:$AD,$A2&amp;"_"&amp;ZE$11,[1]Futuros!$AK:$AK)+SUMIF([1]Opciones!$AF:$AF,$A2&amp;"_"&amp;ZE$11,[1]Opciones!$AO:$AO)</f>
        <v>#VALUE!</v>
      </c>
      <c r="ZF2" t="e">
        <f>+SUMIF([1]Cartera!$R:$R,$A2&amp;"_"&amp;ZF$11,[1]Cartera!$J:$J)+SUMIF([1]Futuros!$AD:$AD,$A2&amp;"_"&amp;ZF$11,[1]Futuros!$AK:$AK)+SUMIF([1]Opciones!$AF:$AF,$A2&amp;"_"&amp;ZF$11,[1]Opciones!$AO:$AO)</f>
        <v>#VALUE!</v>
      </c>
      <c r="ZG2" t="e">
        <f>+SUMIF([1]Cartera!$R:$R,$A2&amp;"_"&amp;ZG$11,[1]Cartera!$J:$J)+SUMIF([1]Futuros!$AD:$AD,$A2&amp;"_"&amp;ZG$11,[1]Futuros!$AK:$AK)+SUMIF([1]Opciones!$AF:$AF,$A2&amp;"_"&amp;ZG$11,[1]Opciones!$AO:$AO)</f>
        <v>#VALUE!</v>
      </c>
      <c r="ZH2" t="e">
        <f>+SUMIF([1]Cartera!$R:$R,$A2&amp;"_"&amp;ZH$11,[1]Cartera!$J:$J)+SUMIF([1]Futuros!$AD:$AD,$A2&amp;"_"&amp;ZH$11,[1]Futuros!$AK:$AK)+SUMIF([1]Opciones!$AF:$AF,$A2&amp;"_"&amp;ZH$11,[1]Opciones!$AO:$AO)</f>
        <v>#VALUE!</v>
      </c>
      <c r="ZI2" t="e">
        <f>+SUMIF([1]Cartera!$R:$R,$A2&amp;"_"&amp;ZI$11,[1]Cartera!$J:$J)+SUMIF([1]Futuros!$AD:$AD,$A2&amp;"_"&amp;ZI$11,[1]Futuros!$AK:$AK)+SUMIF([1]Opciones!$AF:$AF,$A2&amp;"_"&amp;ZI$11,[1]Opciones!$AO:$AO)</f>
        <v>#VALUE!</v>
      </c>
      <c r="ZJ2" t="e">
        <f>+SUMIF([1]Cartera!$R:$R,$A2&amp;"_"&amp;ZJ$11,[1]Cartera!$J:$J)+SUMIF([1]Futuros!$AD:$AD,$A2&amp;"_"&amp;ZJ$11,[1]Futuros!$AK:$AK)+SUMIF([1]Opciones!$AF:$AF,$A2&amp;"_"&amp;ZJ$11,[1]Opciones!$AO:$AO)</f>
        <v>#VALUE!</v>
      </c>
      <c r="ZK2" t="e">
        <f>+SUMIF([1]Cartera!$R:$R,$A2&amp;"_"&amp;ZK$11,[1]Cartera!$J:$J)+SUMIF([1]Futuros!$AD:$AD,$A2&amp;"_"&amp;ZK$11,[1]Futuros!$AK:$AK)+SUMIF([1]Opciones!$AF:$AF,$A2&amp;"_"&amp;ZK$11,[1]Opciones!$AO:$AO)</f>
        <v>#VALUE!</v>
      </c>
      <c r="ZL2" t="e">
        <f>+SUMIF([1]Cartera!$R:$R,$A2&amp;"_"&amp;ZL$11,[1]Cartera!$J:$J)+SUMIF([1]Futuros!$AD:$AD,$A2&amp;"_"&amp;ZL$11,[1]Futuros!$AK:$AK)+SUMIF([1]Opciones!$AF:$AF,$A2&amp;"_"&amp;ZL$11,[1]Opciones!$AO:$AO)</f>
        <v>#VALUE!</v>
      </c>
      <c r="ZM2" t="e">
        <f>+SUMIF([1]Cartera!$R:$R,$A2&amp;"_"&amp;ZM$11,[1]Cartera!$J:$J)+SUMIF([1]Futuros!$AD:$AD,$A2&amp;"_"&amp;ZM$11,[1]Futuros!$AK:$AK)+SUMIF([1]Opciones!$AF:$AF,$A2&amp;"_"&amp;ZM$11,[1]Opciones!$AO:$AO)</f>
        <v>#VALUE!</v>
      </c>
      <c r="ZN2" t="e">
        <f>+SUMIF([1]Cartera!$R:$R,$A2&amp;"_"&amp;ZN$11,[1]Cartera!$J:$J)+SUMIF([1]Futuros!$AD:$AD,$A2&amp;"_"&amp;ZN$11,[1]Futuros!$AK:$AK)+SUMIF([1]Opciones!$AF:$AF,$A2&amp;"_"&amp;ZN$11,[1]Opciones!$AO:$AO)</f>
        <v>#VALUE!</v>
      </c>
      <c r="ZO2" t="e">
        <f>+SUMIF([1]Cartera!$R:$R,$A2&amp;"_"&amp;ZO$11,[1]Cartera!$J:$J)+SUMIF([1]Futuros!$AD:$AD,$A2&amp;"_"&amp;ZO$11,[1]Futuros!$AK:$AK)+SUMIF([1]Opciones!$AF:$AF,$A2&amp;"_"&amp;ZO$11,[1]Opciones!$AO:$AO)</f>
        <v>#VALUE!</v>
      </c>
      <c r="ZP2" t="e">
        <f>+SUMIF([1]Cartera!$R:$R,$A2&amp;"_"&amp;ZP$11,[1]Cartera!$J:$J)+SUMIF([1]Futuros!$AD:$AD,$A2&amp;"_"&amp;ZP$11,[1]Futuros!$AK:$AK)+SUMIF([1]Opciones!$AF:$AF,$A2&amp;"_"&amp;ZP$11,[1]Opciones!$AO:$AO)</f>
        <v>#VALUE!</v>
      </c>
      <c r="ZQ2" t="e">
        <f>+SUMIF([1]Cartera!$R:$R,$A2&amp;"_"&amp;ZQ$11,[1]Cartera!$J:$J)+SUMIF([1]Futuros!$AD:$AD,$A2&amp;"_"&amp;ZQ$11,[1]Futuros!$AK:$AK)+SUMIF([1]Opciones!$AF:$AF,$A2&amp;"_"&amp;ZQ$11,[1]Opciones!$AO:$AO)</f>
        <v>#VALUE!</v>
      </c>
      <c r="ZR2" t="e">
        <f>+SUMIF([1]Cartera!$R:$R,$A2&amp;"_"&amp;ZR$11,[1]Cartera!$J:$J)+SUMIF([1]Futuros!$AD:$AD,$A2&amp;"_"&amp;ZR$11,[1]Futuros!$AK:$AK)+SUMIF([1]Opciones!$AF:$AF,$A2&amp;"_"&amp;ZR$11,[1]Opciones!$AO:$AO)</f>
        <v>#VALUE!</v>
      </c>
      <c r="ZS2" t="e">
        <f>+SUMIF([1]Cartera!$R:$R,$A2&amp;"_"&amp;ZS$11,[1]Cartera!$J:$J)+SUMIF([1]Futuros!$AD:$AD,$A2&amp;"_"&amp;ZS$11,[1]Futuros!$AK:$AK)+SUMIF([1]Opciones!$AF:$AF,$A2&amp;"_"&amp;ZS$11,[1]Opciones!$AO:$AO)</f>
        <v>#VALUE!</v>
      </c>
      <c r="ZT2" t="e">
        <f>+SUMIF([1]Cartera!$R:$R,$A2&amp;"_"&amp;ZT$11,[1]Cartera!$J:$J)+SUMIF([1]Futuros!$AD:$AD,$A2&amp;"_"&amp;ZT$11,[1]Futuros!$AK:$AK)+SUMIF([1]Opciones!$AF:$AF,$A2&amp;"_"&amp;ZT$11,[1]Opciones!$AO:$AO)</f>
        <v>#VALUE!</v>
      </c>
      <c r="ZU2" t="e">
        <f>+SUMIF([1]Cartera!$R:$R,$A2&amp;"_"&amp;ZU$11,[1]Cartera!$J:$J)+SUMIF([1]Futuros!$AD:$AD,$A2&amp;"_"&amp;ZU$11,[1]Futuros!$AK:$AK)+SUMIF([1]Opciones!$AF:$AF,$A2&amp;"_"&amp;ZU$11,[1]Opciones!$AO:$AO)</f>
        <v>#VALUE!</v>
      </c>
      <c r="ZV2" t="e">
        <f>+SUMIF([1]Cartera!$R:$R,$A2&amp;"_"&amp;ZV$11,[1]Cartera!$J:$J)+SUMIF([1]Futuros!$AD:$AD,$A2&amp;"_"&amp;ZV$11,[1]Futuros!$AK:$AK)+SUMIF([1]Opciones!$AF:$AF,$A2&amp;"_"&amp;ZV$11,[1]Opciones!$AO:$AO)</f>
        <v>#VALUE!</v>
      </c>
      <c r="ZW2" t="e">
        <f>+SUMIF([1]Cartera!$R:$R,$A2&amp;"_"&amp;ZW$11,[1]Cartera!$J:$J)+SUMIF([1]Futuros!$AD:$AD,$A2&amp;"_"&amp;ZW$11,[1]Futuros!$AK:$AK)+SUMIF([1]Opciones!$AF:$AF,$A2&amp;"_"&amp;ZW$11,[1]Opciones!$AO:$AO)</f>
        <v>#VALUE!</v>
      </c>
      <c r="ZX2" t="e">
        <f>+SUMIF([1]Cartera!$R:$R,$A2&amp;"_"&amp;ZX$11,[1]Cartera!$J:$J)+SUMIF([1]Futuros!$AD:$AD,$A2&amp;"_"&amp;ZX$11,[1]Futuros!$AK:$AK)+SUMIF([1]Opciones!$AF:$AF,$A2&amp;"_"&amp;ZX$11,[1]Opciones!$AO:$AO)</f>
        <v>#VALUE!</v>
      </c>
      <c r="ZY2" t="e">
        <f>+SUMIF([1]Cartera!$R:$R,$A2&amp;"_"&amp;ZY$11,[1]Cartera!$J:$J)+SUMIF([1]Futuros!$AD:$AD,$A2&amp;"_"&amp;ZY$11,[1]Futuros!$AK:$AK)+SUMIF([1]Opciones!$AF:$AF,$A2&amp;"_"&amp;ZY$11,[1]Opciones!$AO:$AO)</f>
        <v>#VALUE!</v>
      </c>
      <c r="ZZ2" t="e">
        <f>+SUMIF([1]Cartera!$R:$R,$A2&amp;"_"&amp;ZZ$11,[1]Cartera!$J:$J)+SUMIF([1]Futuros!$AD:$AD,$A2&amp;"_"&amp;ZZ$11,[1]Futuros!$AK:$AK)+SUMIF([1]Opciones!$AF:$AF,$A2&amp;"_"&amp;ZZ$11,[1]Opciones!$AO:$AO)</f>
        <v>#VALUE!</v>
      </c>
      <c r="AAA2" t="e">
        <f>+SUMIF([1]Cartera!$R:$R,$A2&amp;"_"&amp;AAA$11,[1]Cartera!$J:$J)+SUMIF([1]Futuros!$AD:$AD,$A2&amp;"_"&amp;AAA$11,[1]Futuros!$AK:$AK)+SUMIF([1]Opciones!$AF:$AF,$A2&amp;"_"&amp;AAA$11,[1]Opciones!$AO:$AO)</f>
        <v>#VALUE!</v>
      </c>
      <c r="AAB2" t="e">
        <f>+SUMIF([1]Cartera!$R:$R,$A2&amp;"_"&amp;AAB$11,[1]Cartera!$J:$J)+SUMIF([1]Futuros!$AD:$AD,$A2&amp;"_"&amp;AAB$11,[1]Futuros!$AK:$AK)+SUMIF([1]Opciones!$AF:$AF,$A2&amp;"_"&amp;AAB$11,[1]Opciones!$AO:$AO)</f>
        <v>#VALUE!</v>
      </c>
      <c r="AAC2" t="e">
        <f>+SUMIF([1]Cartera!$R:$R,$A2&amp;"_"&amp;AAC$11,[1]Cartera!$J:$J)+SUMIF([1]Futuros!$AD:$AD,$A2&amp;"_"&amp;AAC$11,[1]Futuros!$AK:$AK)+SUMIF([1]Opciones!$AF:$AF,$A2&amp;"_"&amp;AAC$11,[1]Opciones!$AO:$AO)</f>
        <v>#VALUE!</v>
      </c>
      <c r="AAD2" t="e">
        <f>+SUMIF([1]Cartera!$R:$R,$A2&amp;"_"&amp;AAD$11,[1]Cartera!$J:$J)+SUMIF([1]Futuros!$AD:$AD,$A2&amp;"_"&amp;AAD$11,[1]Futuros!$AK:$AK)+SUMIF([1]Opciones!$AF:$AF,$A2&amp;"_"&amp;AAD$11,[1]Opciones!$AO:$AO)</f>
        <v>#VALUE!</v>
      </c>
      <c r="AAE2" t="e">
        <f>+SUMIF([1]Cartera!$R:$R,$A2&amp;"_"&amp;AAE$11,[1]Cartera!$J:$J)+SUMIF([1]Futuros!$AD:$AD,$A2&amp;"_"&amp;AAE$11,[1]Futuros!$AK:$AK)+SUMIF([1]Opciones!$AF:$AF,$A2&amp;"_"&amp;AAE$11,[1]Opciones!$AO:$AO)</f>
        <v>#VALUE!</v>
      </c>
      <c r="AAF2" t="e">
        <f>+SUMIF([1]Cartera!$R:$R,$A2&amp;"_"&amp;AAF$11,[1]Cartera!$J:$J)+SUMIF([1]Futuros!$AD:$AD,$A2&amp;"_"&amp;AAF$11,[1]Futuros!$AK:$AK)+SUMIF([1]Opciones!$AF:$AF,$A2&amp;"_"&amp;AAF$11,[1]Opciones!$AO:$AO)</f>
        <v>#VALUE!</v>
      </c>
      <c r="AAG2" t="e">
        <f>+SUMIF([1]Cartera!$R:$R,$A2&amp;"_"&amp;AAG$11,[1]Cartera!$J:$J)+SUMIF([1]Futuros!$AD:$AD,$A2&amp;"_"&amp;AAG$11,[1]Futuros!$AK:$AK)+SUMIF([1]Opciones!$AF:$AF,$A2&amp;"_"&amp;AAG$11,[1]Opciones!$AO:$AO)</f>
        <v>#VALUE!</v>
      </c>
      <c r="AAH2" t="e">
        <f>+SUMIF([1]Cartera!$R:$R,$A2&amp;"_"&amp;AAH$11,[1]Cartera!$J:$J)+SUMIF([1]Futuros!$AD:$AD,$A2&amp;"_"&amp;AAH$11,[1]Futuros!$AK:$AK)+SUMIF([1]Opciones!$AF:$AF,$A2&amp;"_"&amp;AAH$11,[1]Opciones!$AO:$AO)</f>
        <v>#VALUE!</v>
      </c>
      <c r="AAI2" t="e">
        <f>+SUMIF([1]Cartera!$R:$R,$A2&amp;"_"&amp;AAI$11,[1]Cartera!$J:$J)+SUMIF([1]Futuros!$AD:$AD,$A2&amp;"_"&amp;AAI$11,[1]Futuros!$AK:$AK)+SUMIF([1]Opciones!$AF:$AF,$A2&amp;"_"&amp;AAI$11,[1]Opciones!$AO:$AO)</f>
        <v>#VALUE!</v>
      </c>
      <c r="AAJ2" t="e">
        <f>+SUMIF([1]Cartera!$R:$R,$A2&amp;"_"&amp;AAJ$11,[1]Cartera!$J:$J)+SUMIF([1]Futuros!$AD:$AD,$A2&amp;"_"&amp;AAJ$11,[1]Futuros!$AK:$AK)+SUMIF([1]Opciones!$AF:$AF,$A2&amp;"_"&amp;AAJ$11,[1]Opciones!$AO:$AO)</f>
        <v>#VALUE!</v>
      </c>
      <c r="AAK2" t="e">
        <f>+SUMIF([1]Cartera!$R:$R,$A2&amp;"_"&amp;AAK$11,[1]Cartera!$J:$J)+SUMIF([1]Futuros!$AD:$AD,$A2&amp;"_"&amp;AAK$11,[1]Futuros!$AK:$AK)+SUMIF([1]Opciones!$AF:$AF,$A2&amp;"_"&amp;AAK$11,[1]Opciones!$AO:$AO)</f>
        <v>#VALUE!</v>
      </c>
      <c r="AAL2" t="e">
        <f>+SUMIF([1]Cartera!$R:$R,$A2&amp;"_"&amp;AAL$11,[1]Cartera!$J:$J)+SUMIF([1]Futuros!$AD:$AD,$A2&amp;"_"&amp;AAL$11,[1]Futuros!$AK:$AK)+SUMIF([1]Opciones!$AF:$AF,$A2&amp;"_"&amp;AAL$11,[1]Opciones!$AO:$AO)</f>
        <v>#VALUE!</v>
      </c>
      <c r="AAM2" t="e">
        <f>+SUMIF([1]Cartera!$R:$R,$A2&amp;"_"&amp;AAM$11,[1]Cartera!$J:$J)+SUMIF([1]Futuros!$AD:$AD,$A2&amp;"_"&amp;AAM$11,[1]Futuros!$AK:$AK)+SUMIF([1]Opciones!$AF:$AF,$A2&amp;"_"&amp;AAM$11,[1]Opciones!$AO:$AO)</f>
        <v>#VALUE!</v>
      </c>
      <c r="AAN2" t="e">
        <f>+SUMIF([1]Cartera!$R:$R,$A2&amp;"_"&amp;AAN$11,[1]Cartera!$J:$J)+SUMIF([1]Futuros!$AD:$AD,$A2&amp;"_"&amp;AAN$11,[1]Futuros!$AK:$AK)+SUMIF([1]Opciones!$AF:$AF,$A2&amp;"_"&amp;AAN$11,[1]Opciones!$AO:$AO)</f>
        <v>#VALUE!</v>
      </c>
      <c r="AAO2" t="e">
        <f>+SUMIF([1]Cartera!$R:$R,$A2&amp;"_"&amp;AAO$11,[1]Cartera!$J:$J)+SUMIF([1]Futuros!$AD:$AD,$A2&amp;"_"&amp;AAO$11,[1]Futuros!$AK:$AK)+SUMIF([1]Opciones!$AF:$AF,$A2&amp;"_"&amp;AAO$11,[1]Opciones!$AO:$AO)</f>
        <v>#VALUE!</v>
      </c>
      <c r="AAP2" t="e">
        <f>+SUMIF([1]Cartera!$R:$R,$A2&amp;"_"&amp;AAP$11,[1]Cartera!$J:$J)+SUMIF([1]Futuros!$AD:$AD,$A2&amp;"_"&amp;AAP$11,[1]Futuros!$AK:$AK)+SUMIF([1]Opciones!$AF:$AF,$A2&amp;"_"&amp;AAP$11,[1]Opciones!$AO:$AO)</f>
        <v>#VALUE!</v>
      </c>
      <c r="AAQ2" t="e">
        <f>+SUMIF([1]Cartera!$R:$R,$A2&amp;"_"&amp;AAQ$11,[1]Cartera!$J:$J)+SUMIF([1]Futuros!$AD:$AD,$A2&amp;"_"&amp;AAQ$11,[1]Futuros!$AK:$AK)+SUMIF([1]Opciones!$AF:$AF,$A2&amp;"_"&amp;AAQ$11,[1]Opciones!$AO:$AO)</f>
        <v>#VALUE!</v>
      </c>
      <c r="AAR2" t="e">
        <f>+SUMIF([1]Cartera!$R:$R,$A2&amp;"_"&amp;AAR$11,[1]Cartera!$J:$J)+SUMIF([1]Futuros!$AD:$AD,$A2&amp;"_"&amp;AAR$11,[1]Futuros!$AK:$AK)+SUMIF([1]Opciones!$AF:$AF,$A2&amp;"_"&amp;AAR$11,[1]Opciones!$AO:$AO)</f>
        <v>#VALUE!</v>
      </c>
      <c r="AAS2" t="e">
        <f>+SUMIF([1]Cartera!$R:$R,$A2&amp;"_"&amp;AAS$11,[1]Cartera!$J:$J)+SUMIF([1]Futuros!$AD:$AD,$A2&amp;"_"&amp;AAS$11,[1]Futuros!$AK:$AK)+SUMIF([1]Opciones!$AF:$AF,$A2&amp;"_"&amp;AAS$11,[1]Opciones!$AO:$AO)</f>
        <v>#VALUE!</v>
      </c>
      <c r="AAT2" t="e">
        <f>+SUMIF([1]Cartera!$R:$R,$A2&amp;"_"&amp;AAT$11,[1]Cartera!$J:$J)+SUMIF([1]Futuros!$AD:$AD,$A2&amp;"_"&amp;AAT$11,[1]Futuros!$AK:$AK)+SUMIF([1]Opciones!$AF:$AF,$A2&amp;"_"&amp;AAT$11,[1]Opciones!$AO:$AO)</f>
        <v>#VALUE!</v>
      </c>
      <c r="AAU2" t="e">
        <f>+SUMIF([1]Cartera!$R:$R,$A2&amp;"_"&amp;AAU$11,[1]Cartera!$J:$J)+SUMIF([1]Futuros!$AD:$AD,$A2&amp;"_"&amp;AAU$11,[1]Futuros!$AK:$AK)+SUMIF([1]Opciones!$AF:$AF,$A2&amp;"_"&amp;AAU$11,[1]Opciones!$AO:$AO)</f>
        <v>#VALUE!</v>
      </c>
      <c r="AAV2" t="e">
        <f>+SUMIF([1]Cartera!$R:$R,$A2&amp;"_"&amp;AAV$11,[1]Cartera!$J:$J)+SUMIF([1]Futuros!$AD:$AD,$A2&amp;"_"&amp;AAV$11,[1]Futuros!$AK:$AK)+SUMIF([1]Opciones!$AF:$AF,$A2&amp;"_"&amp;AAV$11,[1]Opciones!$AO:$AO)</f>
        <v>#VALUE!</v>
      </c>
      <c r="AAW2" t="e">
        <f>+SUMIF([1]Cartera!$R:$R,$A2&amp;"_"&amp;AAW$11,[1]Cartera!$J:$J)+SUMIF([1]Futuros!$AD:$AD,$A2&amp;"_"&amp;AAW$11,[1]Futuros!$AK:$AK)+SUMIF([1]Opciones!$AF:$AF,$A2&amp;"_"&amp;AAW$11,[1]Opciones!$AO:$AO)</f>
        <v>#VALUE!</v>
      </c>
      <c r="AAX2" t="e">
        <f>+SUMIF([1]Cartera!$R:$R,$A2&amp;"_"&amp;AAX$11,[1]Cartera!$J:$J)+SUMIF([1]Futuros!$AD:$AD,$A2&amp;"_"&amp;AAX$11,[1]Futuros!$AK:$AK)+SUMIF([1]Opciones!$AF:$AF,$A2&amp;"_"&amp;AAX$11,[1]Opciones!$AO:$AO)</f>
        <v>#VALUE!</v>
      </c>
      <c r="AAY2" t="e">
        <f>+SUMIF([1]Cartera!$R:$R,$A2&amp;"_"&amp;AAY$11,[1]Cartera!$J:$J)+SUMIF([1]Futuros!$AD:$AD,$A2&amp;"_"&amp;AAY$11,[1]Futuros!$AK:$AK)+SUMIF([1]Opciones!$AF:$AF,$A2&amp;"_"&amp;AAY$11,[1]Opciones!$AO:$AO)</f>
        <v>#VALUE!</v>
      </c>
      <c r="AAZ2" t="e">
        <f>+SUMIF([1]Cartera!$R:$R,$A2&amp;"_"&amp;AAZ$11,[1]Cartera!$J:$J)+SUMIF([1]Futuros!$AD:$AD,$A2&amp;"_"&amp;AAZ$11,[1]Futuros!$AK:$AK)+SUMIF([1]Opciones!$AF:$AF,$A2&amp;"_"&amp;AAZ$11,[1]Opciones!$AO:$AO)</f>
        <v>#VALUE!</v>
      </c>
      <c r="ABA2" t="e">
        <f>+SUMIF([1]Cartera!$R:$R,$A2&amp;"_"&amp;ABA$11,[1]Cartera!$J:$J)+SUMIF([1]Futuros!$AD:$AD,$A2&amp;"_"&amp;ABA$11,[1]Futuros!$AK:$AK)+SUMIF([1]Opciones!$AF:$AF,$A2&amp;"_"&amp;ABA$11,[1]Opciones!$AO:$AO)</f>
        <v>#VALUE!</v>
      </c>
      <c r="ABB2" t="e">
        <f>+SUMIF([1]Cartera!$R:$R,$A2&amp;"_"&amp;ABB$11,[1]Cartera!$J:$J)+SUMIF([1]Futuros!$AD:$AD,$A2&amp;"_"&amp;ABB$11,[1]Futuros!$AK:$AK)+SUMIF([1]Opciones!$AF:$AF,$A2&amp;"_"&amp;ABB$11,[1]Opciones!$AO:$AO)</f>
        <v>#VALUE!</v>
      </c>
      <c r="ABC2" t="e">
        <f>+SUMIF([1]Cartera!$R:$R,$A2&amp;"_"&amp;ABC$11,[1]Cartera!$J:$J)+SUMIF([1]Futuros!$AD:$AD,$A2&amp;"_"&amp;ABC$11,[1]Futuros!$AK:$AK)+SUMIF([1]Opciones!$AF:$AF,$A2&amp;"_"&amp;ABC$11,[1]Opciones!$AO:$AO)</f>
        <v>#VALUE!</v>
      </c>
      <c r="ABD2" t="e">
        <f>+SUMIF([1]Cartera!$R:$R,$A2&amp;"_"&amp;ABD$11,[1]Cartera!$J:$J)+SUMIF([1]Futuros!$AD:$AD,$A2&amp;"_"&amp;ABD$11,[1]Futuros!$AK:$AK)+SUMIF([1]Opciones!$AF:$AF,$A2&amp;"_"&amp;ABD$11,[1]Opciones!$AO:$AO)</f>
        <v>#VALUE!</v>
      </c>
      <c r="ABE2" t="e">
        <f>+SUMIF([1]Cartera!$R:$R,$A2&amp;"_"&amp;ABE$11,[1]Cartera!$J:$J)+SUMIF([1]Futuros!$AD:$AD,$A2&amp;"_"&amp;ABE$11,[1]Futuros!$AK:$AK)+SUMIF([1]Opciones!$AF:$AF,$A2&amp;"_"&amp;ABE$11,[1]Opciones!$AO:$AO)</f>
        <v>#VALUE!</v>
      </c>
      <c r="ABF2" t="e">
        <f>+SUMIF([1]Cartera!$R:$R,$A2&amp;"_"&amp;ABF$11,[1]Cartera!$J:$J)+SUMIF([1]Futuros!$AD:$AD,$A2&amp;"_"&amp;ABF$11,[1]Futuros!$AK:$AK)+SUMIF([1]Opciones!$AF:$AF,$A2&amp;"_"&amp;ABF$11,[1]Opciones!$AO:$AO)</f>
        <v>#VALUE!</v>
      </c>
      <c r="ABG2" t="e">
        <f>+SUMIF([1]Cartera!$R:$R,$A2&amp;"_"&amp;ABG$11,[1]Cartera!$J:$J)+SUMIF([1]Futuros!$AD:$AD,$A2&amp;"_"&amp;ABG$11,[1]Futuros!$AK:$AK)+SUMIF([1]Opciones!$AF:$AF,$A2&amp;"_"&amp;ABG$11,[1]Opciones!$AO:$AO)</f>
        <v>#VALUE!</v>
      </c>
      <c r="ABH2" t="e">
        <f>+SUMIF([1]Cartera!$R:$R,$A2&amp;"_"&amp;ABH$11,[1]Cartera!$J:$J)+SUMIF([1]Futuros!$AD:$AD,$A2&amp;"_"&amp;ABH$11,[1]Futuros!$AK:$AK)+SUMIF([1]Opciones!$AF:$AF,$A2&amp;"_"&amp;ABH$11,[1]Opciones!$AO:$AO)</f>
        <v>#VALUE!</v>
      </c>
      <c r="ABI2" t="e">
        <f>+SUMIF([1]Cartera!$R:$R,$A2&amp;"_"&amp;ABI$11,[1]Cartera!$J:$J)+SUMIF([1]Futuros!$AD:$AD,$A2&amp;"_"&amp;ABI$11,[1]Futuros!$AK:$AK)+SUMIF([1]Opciones!$AF:$AF,$A2&amp;"_"&amp;ABI$11,[1]Opciones!$AO:$AO)</f>
        <v>#VALUE!</v>
      </c>
      <c r="ABJ2" t="e">
        <f>+SUMIF([1]Cartera!$R:$R,$A2&amp;"_"&amp;ABJ$11,[1]Cartera!$J:$J)+SUMIF([1]Futuros!$AD:$AD,$A2&amp;"_"&amp;ABJ$11,[1]Futuros!$AK:$AK)+SUMIF([1]Opciones!$AF:$AF,$A2&amp;"_"&amp;ABJ$11,[1]Opciones!$AO:$AO)</f>
        <v>#VALUE!</v>
      </c>
      <c r="ABK2" t="e">
        <f>+SUMIF([1]Cartera!$R:$R,$A2&amp;"_"&amp;ABK$11,[1]Cartera!$J:$J)+SUMIF([1]Futuros!$AD:$AD,$A2&amp;"_"&amp;ABK$11,[1]Futuros!$AK:$AK)+SUMIF([1]Opciones!$AF:$AF,$A2&amp;"_"&amp;ABK$11,[1]Opciones!$AO:$AO)</f>
        <v>#VALUE!</v>
      </c>
      <c r="ABL2" t="e">
        <f>+SUMIF([1]Cartera!$R:$R,$A2&amp;"_"&amp;ABL$11,[1]Cartera!$J:$J)+SUMIF([1]Futuros!$AD:$AD,$A2&amp;"_"&amp;ABL$11,[1]Futuros!$AK:$AK)+SUMIF([1]Opciones!$AF:$AF,$A2&amp;"_"&amp;ABL$11,[1]Opciones!$AO:$AO)</f>
        <v>#VALUE!</v>
      </c>
      <c r="ABM2" t="e">
        <f>+SUMIF([1]Cartera!$R:$R,$A2&amp;"_"&amp;ABM$11,[1]Cartera!$J:$J)+SUMIF([1]Futuros!$AD:$AD,$A2&amp;"_"&amp;ABM$11,[1]Futuros!$AK:$AK)+SUMIF([1]Opciones!$AF:$AF,$A2&amp;"_"&amp;ABM$11,[1]Opciones!$AO:$AO)</f>
        <v>#VALUE!</v>
      </c>
      <c r="ABN2" t="e">
        <f>+SUMIF([1]Cartera!$R:$R,$A2&amp;"_"&amp;ABN$11,[1]Cartera!$J:$J)+SUMIF([1]Futuros!$AD:$AD,$A2&amp;"_"&amp;ABN$11,[1]Futuros!$AK:$AK)+SUMIF([1]Opciones!$AF:$AF,$A2&amp;"_"&amp;ABN$11,[1]Opciones!$AO:$AO)</f>
        <v>#VALUE!</v>
      </c>
      <c r="ABO2" t="e">
        <f>+SUMIF([1]Cartera!$R:$R,$A2&amp;"_"&amp;ABO$11,[1]Cartera!$J:$J)+SUMIF([1]Futuros!$AD:$AD,$A2&amp;"_"&amp;ABO$11,[1]Futuros!$AK:$AK)+SUMIF([1]Opciones!$AF:$AF,$A2&amp;"_"&amp;ABO$11,[1]Opciones!$AO:$AO)</f>
        <v>#VALUE!</v>
      </c>
      <c r="ABP2" t="e">
        <f>+SUMIF([1]Cartera!$R:$R,$A2&amp;"_"&amp;ABP$11,[1]Cartera!$J:$J)+SUMIF([1]Futuros!$AD:$AD,$A2&amp;"_"&amp;ABP$11,[1]Futuros!$AK:$AK)+SUMIF([1]Opciones!$AF:$AF,$A2&amp;"_"&amp;ABP$11,[1]Opciones!$AO:$AO)</f>
        <v>#VALUE!</v>
      </c>
      <c r="ABQ2" t="e">
        <f>+SUMIF([1]Cartera!$R:$R,$A2&amp;"_"&amp;ABQ$11,[1]Cartera!$J:$J)+SUMIF([1]Futuros!$AD:$AD,$A2&amp;"_"&amp;ABQ$11,[1]Futuros!$AK:$AK)+SUMIF([1]Opciones!$AF:$AF,$A2&amp;"_"&amp;ABQ$11,[1]Opciones!$AO:$AO)</f>
        <v>#VALUE!</v>
      </c>
      <c r="ABR2" t="e">
        <f>+SUMIF([1]Cartera!$R:$R,$A2&amp;"_"&amp;ABR$11,[1]Cartera!$J:$J)+SUMIF([1]Futuros!$AD:$AD,$A2&amp;"_"&amp;ABR$11,[1]Futuros!$AK:$AK)+SUMIF([1]Opciones!$AF:$AF,$A2&amp;"_"&amp;ABR$11,[1]Opciones!$AO:$AO)</f>
        <v>#VALUE!</v>
      </c>
      <c r="ABS2" t="e">
        <f>+SUMIF([1]Cartera!$R:$R,$A2&amp;"_"&amp;ABS$11,[1]Cartera!$J:$J)+SUMIF([1]Futuros!$AD:$AD,$A2&amp;"_"&amp;ABS$11,[1]Futuros!$AK:$AK)+SUMIF([1]Opciones!$AF:$AF,$A2&amp;"_"&amp;ABS$11,[1]Opciones!$AO:$AO)</f>
        <v>#VALUE!</v>
      </c>
      <c r="ABT2" t="e">
        <f>+SUMIF([1]Cartera!$R:$R,$A2&amp;"_"&amp;ABT$11,[1]Cartera!$J:$J)+SUMIF([1]Futuros!$AD:$AD,$A2&amp;"_"&amp;ABT$11,[1]Futuros!$AK:$AK)+SUMIF([1]Opciones!$AF:$AF,$A2&amp;"_"&amp;ABT$11,[1]Opciones!$AO:$AO)</f>
        <v>#VALUE!</v>
      </c>
      <c r="ABU2" t="e">
        <f>+SUMIF([1]Cartera!$R:$R,$A2&amp;"_"&amp;ABU$11,[1]Cartera!$J:$J)+SUMIF([1]Futuros!$AD:$AD,$A2&amp;"_"&amp;ABU$11,[1]Futuros!$AK:$AK)+SUMIF([1]Opciones!$AF:$AF,$A2&amp;"_"&amp;ABU$11,[1]Opciones!$AO:$AO)</f>
        <v>#VALUE!</v>
      </c>
      <c r="ABV2" t="e">
        <f>+SUMIF([1]Cartera!$R:$R,$A2&amp;"_"&amp;ABV$11,[1]Cartera!$J:$J)+SUMIF([1]Futuros!$AD:$AD,$A2&amp;"_"&amp;ABV$11,[1]Futuros!$AK:$AK)+SUMIF([1]Opciones!$AF:$AF,$A2&amp;"_"&amp;ABV$11,[1]Opciones!$AO:$AO)</f>
        <v>#VALUE!</v>
      </c>
      <c r="ABW2" t="e">
        <f>+SUMIF([1]Cartera!$R:$R,$A2&amp;"_"&amp;ABW$11,[1]Cartera!$J:$J)+SUMIF([1]Futuros!$AD:$AD,$A2&amp;"_"&amp;ABW$11,[1]Futuros!$AK:$AK)+SUMIF([1]Opciones!$AF:$AF,$A2&amp;"_"&amp;ABW$11,[1]Opciones!$AO:$AO)</f>
        <v>#VALUE!</v>
      </c>
      <c r="ABX2" t="e">
        <f>+SUMIF([1]Cartera!$R:$R,$A2&amp;"_"&amp;ABX$11,[1]Cartera!$J:$J)+SUMIF([1]Futuros!$AD:$AD,$A2&amp;"_"&amp;ABX$11,[1]Futuros!$AK:$AK)+SUMIF([1]Opciones!$AF:$AF,$A2&amp;"_"&amp;ABX$11,[1]Opciones!$AO:$AO)</f>
        <v>#VALUE!</v>
      </c>
      <c r="ABY2" t="e">
        <f>+SUMIF([1]Cartera!$R:$R,$A2&amp;"_"&amp;ABY$11,[1]Cartera!$J:$J)+SUMIF([1]Futuros!$AD:$AD,$A2&amp;"_"&amp;ABY$11,[1]Futuros!$AK:$AK)+SUMIF([1]Opciones!$AF:$AF,$A2&amp;"_"&amp;ABY$11,[1]Opciones!$AO:$AO)</f>
        <v>#VALUE!</v>
      </c>
      <c r="ABZ2" t="e">
        <f>+SUMIF([1]Cartera!$R:$R,$A2&amp;"_"&amp;ABZ$11,[1]Cartera!$J:$J)+SUMIF([1]Futuros!$AD:$AD,$A2&amp;"_"&amp;ABZ$11,[1]Futuros!$AK:$AK)+SUMIF([1]Opciones!$AF:$AF,$A2&amp;"_"&amp;ABZ$11,[1]Opciones!$AO:$AO)</f>
        <v>#VALUE!</v>
      </c>
      <c r="ACA2" t="e">
        <f>+SUMIF([1]Cartera!$R:$R,$A2&amp;"_"&amp;ACA$11,[1]Cartera!$J:$J)+SUMIF([1]Futuros!$AD:$AD,$A2&amp;"_"&amp;ACA$11,[1]Futuros!$AK:$AK)+SUMIF([1]Opciones!$AF:$AF,$A2&amp;"_"&amp;ACA$11,[1]Opciones!$AO:$AO)</f>
        <v>#VALUE!</v>
      </c>
      <c r="ACB2" t="e">
        <f>+SUMIF([1]Cartera!$R:$R,$A2&amp;"_"&amp;ACB$11,[1]Cartera!$J:$J)+SUMIF([1]Futuros!$AD:$AD,$A2&amp;"_"&amp;ACB$11,[1]Futuros!$AK:$AK)+SUMIF([1]Opciones!$AF:$AF,$A2&amp;"_"&amp;ACB$11,[1]Opciones!$AO:$AO)</f>
        <v>#VALUE!</v>
      </c>
      <c r="ACC2" t="e">
        <f>+SUMIF([1]Cartera!$R:$R,$A2&amp;"_"&amp;ACC$11,[1]Cartera!$J:$J)+SUMIF([1]Futuros!$AD:$AD,$A2&amp;"_"&amp;ACC$11,[1]Futuros!$AK:$AK)+SUMIF([1]Opciones!$AF:$AF,$A2&amp;"_"&amp;ACC$11,[1]Opciones!$AO:$AO)</f>
        <v>#VALUE!</v>
      </c>
      <c r="ACD2" t="e">
        <f>+SUMIF([1]Cartera!$R:$R,$A2&amp;"_"&amp;ACD$11,[1]Cartera!$J:$J)+SUMIF([1]Futuros!$AD:$AD,$A2&amp;"_"&amp;ACD$11,[1]Futuros!$AK:$AK)+SUMIF([1]Opciones!$AF:$AF,$A2&amp;"_"&amp;ACD$11,[1]Opciones!$AO:$AO)</f>
        <v>#VALUE!</v>
      </c>
      <c r="ACE2" t="e">
        <f>+SUMIF([1]Cartera!$R:$R,$A2&amp;"_"&amp;ACE$11,[1]Cartera!$J:$J)+SUMIF([1]Futuros!$AD:$AD,$A2&amp;"_"&amp;ACE$11,[1]Futuros!$AK:$AK)+SUMIF([1]Opciones!$AF:$AF,$A2&amp;"_"&amp;ACE$11,[1]Opciones!$AO:$AO)</f>
        <v>#VALUE!</v>
      </c>
      <c r="ACF2" t="e">
        <f>+SUMIF([1]Cartera!$R:$R,$A2&amp;"_"&amp;ACF$11,[1]Cartera!$J:$J)+SUMIF([1]Futuros!$AD:$AD,$A2&amp;"_"&amp;ACF$11,[1]Futuros!$AK:$AK)+SUMIF([1]Opciones!$AF:$AF,$A2&amp;"_"&amp;ACF$11,[1]Opciones!$AO:$AO)</f>
        <v>#VALUE!</v>
      </c>
      <c r="ACG2" t="e">
        <f>+SUMIF([1]Cartera!$R:$R,$A2&amp;"_"&amp;ACG$11,[1]Cartera!$J:$J)+SUMIF([1]Futuros!$AD:$AD,$A2&amp;"_"&amp;ACG$11,[1]Futuros!$AK:$AK)+SUMIF([1]Opciones!$AF:$AF,$A2&amp;"_"&amp;ACG$11,[1]Opciones!$AO:$AO)</f>
        <v>#VALUE!</v>
      </c>
      <c r="ACH2" t="e">
        <f>+SUMIF([1]Cartera!$R:$R,$A2&amp;"_"&amp;ACH$11,[1]Cartera!$J:$J)+SUMIF([1]Futuros!$AD:$AD,$A2&amp;"_"&amp;ACH$11,[1]Futuros!$AK:$AK)+SUMIF([1]Opciones!$AF:$AF,$A2&amp;"_"&amp;ACH$11,[1]Opciones!$AO:$AO)</f>
        <v>#VALUE!</v>
      </c>
      <c r="ACI2" t="e">
        <f>+SUMIF([1]Cartera!$R:$R,$A2&amp;"_"&amp;ACI$11,[1]Cartera!$J:$J)+SUMIF([1]Futuros!$AD:$AD,$A2&amp;"_"&amp;ACI$11,[1]Futuros!$AK:$AK)+SUMIF([1]Opciones!$AF:$AF,$A2&amp;"_"&amp;ACI$11,[1]Opciones!$AO:$AO)</f>
        <v>#VALUE!</v>
      </c>
      <c r="ACJ2" t="e">
        <f>+SUMIF([1]Cartera!$R:$R,$A2&amp;"_"&amp;ACJ$11,[1]Cartera!$J:$J)+SUMIF([1]Futuros!$AD:$AD,$A2&amp;"_"&amp;ACJ$11,[1]Futuros!$AK:$AK)+SUMIF([1]Opciones!$AF:$AF,$A2&amp;"_"&amp;ACJ$11,[1]Opciones!$AO:$AO)</f>
        <v>#VALUE!</v>
      </c>
      <c r="ACK2" t="e">
        <f>+SUMIF([1]Cartera!$R:$R,$A2&amp;"_"&amp;ACK$11,[1]Cartera!$J:$J)+SUMIF([1]Futuros!$AD:$AD,$A2&amp;"_"&amp;ACK$11,[1]Futuros!$AK:$AK)+SUMIF([1]Opciones!$AF:$AF,$A2&amp;"_"&amp;ACK$11,[1]Opciones!$AO:$AO)</f>
        <v>#VALUE!</v>
      </c>
      <c r="ACL2" t="e">
        <f>+SUMIF([1]Cartera!$R:$R,$A2&amp;"_"&amp;ACL$11,[1]Cartera!$J:$J)+SUMIF([1]Futuros!$AD:$AD,$A2&amp;"_"&amp;ACL$11,[1]Futuros!$AK:$AK)+SUMIF([1]Opciones!$AF:$AF,$A2&amp;"_"&amp;ACL$11,[1]Opciones!$AO:$AO)</f>
        <v>#VALUE!</v>
      </c>
      <c r="ACM2" t="e">
        <f>+SUMIF([1]Cartera!$R:$R,$A2&amp;"_"&amp;ACM$11,[1]Cartera!$J:$J)+SUMIF([1]Futuros!$AD:$AD,$A2&amp;"_"&amp;ACM$11,[1]Futuros!$AK:$AK)+SUMIF([1]Opciones!$AF:$AF,$A2&amp;"_"&amp;ACM$11,[1]Opciones!$AO:$AO)</f>
        <v>#VALUE!</v>
      </c>
      <c r="ACN2" t="e">
        <f>+SUMIF([1]Cartera!$R:$R,$A2&amp;"_"&amp;ACN$11,[1]Cartera!$J:$J)+SUMIF([1]Futuros!$AD:$AD,$A2&amp;"_"&amp;ACN$11,[1]Futuros!$AK:$AK)+SUMIF([1]Opciones!$AF:$AF,$A2&amp;"_"&amp;ACN$11,[1]Opciones!$AO:$AO)</f>
        <v>#VALUE!</v>
      </c>
      <c r="ACO2" t="e">
        <f>+SUMIF([1]Cartera!$R:$R,$A2&amp;"_"&amp;ACO$11,[1]Cartera!$J:$J)+SUMIF([1]Futuros!$AD:$AD,$A2&amp;"_"&amp;ACO$11,[1]Futuros!$AK:$AK)+SUMIF([1]Opciones!$AF:$AF,$A2&amp;"_"&amp;ACO$11,[1]Opciones!$AO:$AO)</f>
        <v>#VALUE!</v>
      </c>
      <c r="ACP2" t="e">
        <f>+SUMIF([1]Cartera!$R:$R,$A2&amp;"_"&amp;ACP$11,[1]Cartera!$J:$J)+SUMIF([1]Futuros!$AD:$AD,$A2&amp;"_"&amp;ACP$11,[1]Futuros!$AK:$AK)+SUMIF([1]Opciones!$AF:$AF,$A2&amp;"_"&amp;ACP$11,[1]Opciones!$AO:$AO)</f>
        <v>#VALUE!</v>
      </c>
      <c r="ACQ2" t="e">
        <f>+SUMIF([1]Cartera!$R:$R,$A2&amp;"_"&amp;ACQ$11,[1]Cartera!$J:$J)+SUMIF([1]Futuros!$AD:$AD,$A2&amp;"_"&amp;ACQ$11,[1]Futuros!$AK:$AK)+SUMIF([1]Opciones!$AF:$AF,$A2&amp;"_"&amp;ACQ$11,[1]Opciones!$AO:$AO)</f>
        <v>#VALUE!</v>
      </c>
      <c r="ACR2" t="e">
        <f>+SUMIF([1]Cartera!$R:$R,$A2&amp;"_"&amp;ACR$11,[1]Cartera!$J:$J)+SUMIF([1]Futuros!$AD:$AD,$A2&amp;"_"&amp;ACR$11,[1]Futuros!$AK:$AK)+SUMIF([1]Opciones!$AF:$AF,$A2&amp;"_"&amp;ACR$11,[1]Opciones!$AO:$AO)</f>
        <v>#VALUE!</v>
      </c>
      <c r="ACS2" t="e">
        <f>+SUMIF([1]Cartera!$R:$R,$A2&amp;"_"&amp;ACS$11,[1]Cartera!$J:$J)+SUMIF([1]Futuros!$AD:$AD,$A2&amp;"_"&amp;ACS$11,[1]Futuros!$AK:$AK)+SUMIF([1]Opciones!$AF:$AF,$A2&amp;"_"&amp;ACS$11,[1]Opciones!$AO:$AO)</f>
        <v>#VALUE!</v>
      </c>
      <c r="ACT2" t="e">
        <f>+SUMIF([1]Cartera!$R:$R,$A2&amp;"_"&amp;ACT$11,[1]Cartera!$J:$J)+SUMIF([1]Futuros!$AD:$AD,$A2&amp;"_"&amp;ACT$11,[1]Futuros!$AK:$AK)+SUMIF([1]Opciones!$AF:$AF,$A2&amp;"_"&amp;ACT$11,[1]Opciones!$AO:$AO)</f>
        <v>#VALUE!</v>
      </c>
      <c r="ACU2" t="e">
        <f>+SUMIF([1]Cartera!$R:$R,$A2&amp;"_"&amp;ACU$11,[1]Cartera!$J:$J)+SUMIF([1]Futuros!$AD:$AD,$A2&amp;"_"&amp;ACU$11,[1]Futuros!$AK:$AK)+SUMIF([1]Opciones!$AF:$AF,$A2&amp;"_"&amp;ACU$11,[1]Opciones!$AO:$AO)</f>
        <v>#VALUE!</v>
      </c>
      <c r="ACV2" t="e">
        <f>+SUMIF([1]Cartera!$R:$R,$A2&amp;"_"&amp;ACV$11,[1]Cartera!$J:$J)+SUMIF([1]Futuros!$AD:$AD,$A2&amp;"_"&amp;ACV$11,[1]Futuros!$AK:$AK)+SUMIF([1]Opciones!$AF:$AF,$A2&amp;"_"&amp;ACV$11,[1]Opciones!$AO:$AO)</f>
        <v>#VALUE!</v>
      </c>
      <c r="ACW2" t="e">
        <f>+SUMIF([1]Cartera!$R:$R,$A2&amp;"_"&amp;ACW$11,[1]Cartera!$J:$J)+SUMIF([1]Futuros!$AD:$AD,$A2&amp;"_"&amp;ACW$11,[1]Futuros!$AK:$AK)+SUMIF([1]Opciones!$AF:$AF,$A2&amp;"_"&amp;ACW$11,[1]Opciones!$AO:$AO)</f>
        <v>#VALUE!</v>
      </c>
      <c r="ACX2" t="e">
        <f>+SUMIF([1]Cartera!$R:$R,$A2&amp;"_"&amp;ACX$11,[1]Cartera!$J:$J)+SUMIF([1]Futuros!$AD:$AD,$A2&amp;"_"&amp;ACX$11,[1]Futuros!$AK:$AK)+SUMIF([1]Opciones!$AF:$AF,$A2&amp;"_"&amp;ACX$11,[1]Opciones!$AO:$AO)</f>
        <v>#VALUE!</v>
      </c>
      <c r="ACY2" t="e">
        <f>+SUMIF([1]Cartera!$R:$R,$A2&amp;"_"&amp;ACY$11,[1]Cartera!$J:$J)+SUMIF([1]Futuros!$AD:$AD,$A2&amp;"_"&amp;ACY$11,[1]Futuros!$AK:$AK)+SUMIF([1]Opciones!$AF:$AF,$A2&amp;"_"&amp;ACY$11,[1]Opciones!$AO:$AO)</f>
        <v>#VALUE!</v>
      </c>
      <c r="ACZ2" t="e">
        <f>+SUMIF([1]Cartera!$R:$R,$A2&amp;"_"&amp;ACZ$11,[1]Cartera!$J:$J)+SUMIF([1]Futuros!$AD:$AD,$A2&amp;"_"&amp;ACZ$11,[1]Futuros!$AK:$AK)+SUMIF([1]Opciones!$AF:$AF,$A2&amp;"_"&amp;ACZ$11,[1]Opciones!$AO:$AO)</f>
        <v>#VALUE!</v>
      </c>
      <c r="ADA2" t="e">
        <f>+SUMIF([1]Cartera!$R:$R,$A2&amp;"_"&amp;ADA$11,[1]Cartera!$J:$J)+SUMIF([1]Futuros!$AD:$AD,$A2&amp;"_"&amp;ADA$11,[1]Futuros!$AK:$AK)+SUMIF([1]Opciones!$AF:$AF,$A2&amp;"_"&amp;ADA$11,[1]Opciones!$AO:$AO)</f>
        <v>#VALUE!</v>
      </c>
      <c r="ADB2" t="e">
        <f>+SUMIF([1]Cartera!$R:$R,$A2&amp;"_"&amp;ADB$11,[1]Cartera!$J:$J)+SUMIF([1]Futuros!$AD:$AD,$A2&amp;"_"&amp;ADB$11,[1]Futuros!$AK:$AK)+SUMIF([1]Opciones!$AF:$AF,$A2&amp;"_"&amp;ADB$11,[1]Opciones!$AO:$AO)</f>
        <v>#VALUE!</v>
      </c>
      <c r="ADC2" t="e">
        <f>+SUMIF([1]Cartera!$R:$R,$A2&amp;"_"&amp;ADC$11,[1]Cartera!$J:$J)+SUMIF([1]Futuros!$AD:$AD,$A2&amp;"_"&amp;ADC$11,[1]Futuros!$AK:$AK)+SUMIF([1]Opciones!$AF:$AF,$A2&amp;"_"&amp;ADC$11,[1]Opciones!$AO:$AO)</f>
        <v>#VALUE!</v>
      </c>
      <c r="ADD2" t="e">
        <f>+SUMIF([1]Cartera!$R:$R,$A2&amp;"_"&amp;ADD$11,[1]Cartera!$J:$J)+SUMIF([1]Futuros!$AD:$AD,$A2&amp;"_"&amp;ADD$11,[1]Futuros!$AK:$AK)+SUMIF([1]Opciones!$AF:$AF,$A2&amp;"_"&amp;ADD$11,[1]Opciones!$AO:$AO)</f>
        <v>#VALUE!</v>
      </c>
      <c r="ADE2" t="e">
        <f>+SUMIF([1]Cartera!$R:$R,$A2&amp;"_"&amp;ADE$11,[1]Cartera!$J:$J)+SUMIF([1]Futuros!$AD:$AD,$A2&amp;"_"&amp;ADE$11,[1]Futuros!$AK:$AK)+SUMIF([1]Opciones!$AF:$AF,$A2&amp;"_"&amp;ADE$11,[1]Opciones!$AO:$AO)</f>
        <v>#VALUE!</v>
      </c>
      <c r="ADF2" t="e">
        <f>+SUMIF([1]Cartera!$R:$R,$A2&amp;"_"&amp;ADF$11,[1]Cartera!$J:$J)+SUMIF([1]Futuros!$AD:$AD,$A2&amp;"_"&amp;ADF$11,[1]Futuros!$AK:$AK)+SUMIF([1]Opciones!$AF:$AF,$A2&amp;"_"&amp;ADF$11,[1]Opciones!$AO:$AO)</f>
        <v>#VALUE!</v>
      </c>
      <c r="ADG2" t="e">
        <f>+SUMIF([1]Cartera!$R:$R,$A2&amp;"_"&amp;ADG$11,[1]Cartera!$J:$J)+SUMIF([1]Futuros!$AD:$AD,$A2&amp;"_"&amp;ADG$11,[1]Futuros!$AK:$AK)+SUMIF([1]Opciones!$AF:$AF,$A2&amp;"_"&amp;ADG$11,[1]Opciones!$AO:$AO)</f>
        <v>#VALUE!</v>
      </c>
      <c r="ADH2" t="e">
        <f>+SUMIF([1]Cartera!$R:$R,$A2&amp;"_"&amp;ADH$11,[1]Cartera!$J:$J)+SUMIF([1]Futuros!$AD:$AD,$A2&amp;"_"&amp;ADH$11,[1]Futuros!$AK:$AK)+SUMIF([1]Opciones!$AF:$AF,$A2&amp;"_"&amp;ADH$11,[1]Opciones!$AO:$AO)</f>
        <v>#VALUE!</v>
      </c>
      <c r="ADI2" t="e">
        <f>+SUMIF([1]Cartera!$R:$R,$A2&amp;"_"&amp;ADI$11,[1]Cartera!$J:$J)+SUMIF([1]Futuros!$AD:$AD,$A2&amp;"_"&amp;ADI$11,[1]Futuros!$AK:$AK)+SUMIF([1]Opciones!$AF:$AF,$A2&amp;"_"&amp;ADI$11,[1]Opciones!$AO:$AO)</f>
        <v>#VALUE!</v>
      </c>
      <c r="ADJ2" t="e">
        <f>+SUMIF([1]Cartera!$R:$R,$A2&amp;"_"&amp;ADJ$11,[1]Cartera!$J:$J)+SUMIF([1]Futuros!$AD:$AD,$A2&amp;"_"&amp;ADJ$11,[1]Futuros!$AK:$AK)+SUMIF([1]Opciones!$AF:$AF,$A2&amp;"_"&amp;ADJ$11,[1]Opciones!$AO:$AO)</f>
        <v>#VALUE!</v>
      </c>
      <c r="ADK2" t="e">
        <f>+SUMIF([1]Cartera!$R:$R,$A2&amp;"_"&amp;ADK$11,[1]Cartera!$J:$J)+SUMIF([1]Futuros!$AD:$AD,$A2&amp;"_"&amp;ADK$11,[1]Futuros!$AK:$AK)+SUMIF([1]Opciones!$AF:$AF,$A2&amp;"_"&amp;ADK$11,[1]Opciones!$AO:$AO)</f>
        <v>#VALUE!</v>
      </c>
      <c r="ADL2" t="e">
        <f>+SUMIF([1]Cartera!$R:$R,$A2&amp;"_"&amp;ADL$11,[1]Cartera!$J:$J)+SUMIF([1]Futuros!$AD:$AD,$A2&amp;"_"&amp;ADL$11,[1]Futuros!$AK:$AK)+SUMIF([1]Opciones!$AF:$AF,$A2&amp;"_"&amp;ADL$11,[1]Opciones!$AO:$AO)</f>
        <v>#VALUE!</v>
      </c>
      <c r="ADM2" t="e">
        <f>+SUMIF([1]Cartera!$R:$R,$A2&amp;"_"&amp;ADM$11,[1]Cartera!$J:$J)+SUMIF([1]Futuros!$AD:$AD,$A2&amp;"_"&amp;ADM$11,[1]Futuros!$AK:$AK)+SUMIF([1]Opciones!$AF:$AF,$A2&amp;"_"&amp;ADM$11,[1]Opciones!$AO:$AO)</f>
        <v>#VALUE!</v>
      </c>
      <c r="ADN2" t="e">
        <f>+SUMIF([1]Cartera!$R:$R,$A2&amp;"_"&amp;ADN$11,[1]Cartera!$J:$J)+SUMIF([1]Futuros!$AD:$AD,$A2&amp;"_"&amp;ADN$11,[1]Futuros!$AK:$AK)+SUMIF([1]Opciones!$AF:$AF,$A2&amp;"_"&amp;ADN$11,[1]Opciones!$AO:$AO)</f>
        <v>#VALUE!</v>
      </c>
      <c r="ADO2" t="e">
        <f>+SUMIF([1]Cartera!$R:$R,$A2&amp;"_"&amp;ADO$11,[1]Cartera!$J:$J)+SUMIF([1]Futuros!$AD:$AD,$A2&amp;"_"&amp;ADO$11,[1]Futuros!$AK:$AK)+SUMIF([1]Opciones!$AF:$AF,$A2&amp;"_"&amp;ADO$11,[1]Opciones!$AO:$AO)</f>
        <v>#VALUE!</v>
      </c>
      <c r="ADP2" t="e">
        <f>+SUMIF([1]Cartera!$R:$R,$A2&amp;"_"&amp;ADP$11,[1]Cartera!$J:$J)+SUMIF([1]Futuros!$AD:$AD,$A2&amp;"_"&amp;ADP$11,[1]Futuros!$AK:$AK)+SUMIF([1]Opciones!$AF:$AF,$A2&amp;"_"&amp;ADP$11,[1]Opciones!$AO:$AO)</f>
        <v>#VALUE!</v>
      </c>
      <c r="ADQ2" t="e">
        <f>+SUMIF([1]Cartera!$R:$R,$A2&amp;"_"&amp;ADQ$11,[1]Cartera!$J:$J)+SUMIF([1]Futuros!$AD:$AD,$A2&amp;"_"&amp;ADQ$11,[1]Futuros!$AK:$AK)+SUMIF([1]Opciones!$AF:$AF,$A2&amp;"_"&amp;ADQ$11,[1]Opciones!$AO:$AO)</f>
        <v>#VALUE!</v>
      </c>
      <c r="ADR2" t="e">
        <f>+SUMIF([1]Cartera!$R:$R,$A2&amp;"_"&amp;ADR$11,[1]Cartera!$J:$J)+SUMIF([1]Futuros!$AD:$AD,$A2&amp;"_"&amp;ADR$11,[1]Futuros!$AK:$AK)+SUMIF([1]Opciones!$AF:$AF,$A2&amp;"_"&amp;ADR$11,[1]Opciones!$AO:$AO)</f>
        <v>#VALUE!</v>
      </c>
      <c r="ADS2" t="e">
        <f>+SUMIF([1]Cartera!$R:$R,$A2&amp;"_"&amp;ADS$11,[1]Cartera!$J:$J)+SUMIF([1]Futuros!$AD:$AD,$A2&amp;"_"&amp;ADS$11,[1]Futuros!$AK:$AK)+SUMIF([1]Opciones!$AF:$AF,$A2&amp;"_"&amp;ADS$11,[1]Opciones!$AO:$AO)</f>
        <v>#VALUE!</v>
      </c>
      <c r="ADT2" t="e">
        <f>+SUMIF([1]Cartera!$R:$R,$A2&amp;"_"&amp;ADT$11,[1]Cartera!$J:$J)+SUMIF([1]Futuros!$AD:$AD,$A2&amp;"_"&amp;ADT$11,[1]Futuros!$AK:$AK)+SUMIF([1]Opciones!$AF:$AF,$A2&amp;"_"&amp;ADT$11,[1]Opciones!$AO:$AO)</f>
        <v>#VALUE!</v>
      </c>
      <c r="ADU2" t="e">
        <f>+SUMIF([1]Cartera!$R:$R,$A2&amp;"_"&amp;ADU$11,[1]Cartera!$J:$J)+SUMIF([1]Futuros!$AD:$AD,$A2&amp;"_"&amp;ADU$11,[1]Futuros!$AK:$AK)+SUMIF([1]Opciones!$AF:$AF,$A2&amp;"_"&amp;ADU$11,[1]Opciones!$AO:$AO)</f>
        <v>#VALUE!</v>
      </c>
      <c r="ADV2" t="e">
        <f>+SUMIF([1]Cartera!$R:$R,$A2&amp;"_"&amp;ADV$11,[1]Cartera!$J:$J)+SUMIF([1]Futuros!$AD:$AD,$A2&amp;"_"&amp;ADV$11,[1]Futuros!$AK:$AK)+SUMIF([1]Opciones!$AF:$AF,$A2&amp;"_"&amp;ADV$11,[1]Opciones!$AO:$AO)</f>
        <v>#VALUE!</v>
      </c>
      <c r="ADW2" t="e">
        <f>+SUMIF([1]Cartera!$R:$R,$A2&amp;"_"&amp;ADW$11,[1]Cartera!$J:$J)+SUMIF([1]Futuros!$AD:$AD,$A2&amp;"_"&amp;ADW$11,[1]Futuros!$AK:$AK)+SUMIF([1]Opciones!$AF:$AF,$A2&amp;"_"&amp;ADW$11,[1]Opciones!$AO:$AO)</f>
        <v>#VALUE!</v>
      </c>
      <c r="ADX2" t="e">
        <f>+SUMIF([1]Cartera!$R:$R,$A2&amp;"_"&amp;ADX$11,[1]Cartera!$J:$J)+SUMIF([1]Futuros!$AD:$AD,$A2&amp;"_"&amp;ADX$11,[1]Futuros!$AK:$AK)+SUMIF([1]Opciones!$AF:$AF,$A2&amp;"_"&amp;ADX$11,[1]Opciones!$AO:$AO)</f>
        <v>#VALUE!</v>
      </c>
      <c r="ADY2" t="e">
        <f>+SUMIF([1]Cartera!$R:$R,$A2&amp;"_"&amp;ADY$11,[1]Cartera!$J:$J)+SUMIF([1]Futuros!$AD:$AD,$A2&amp;"_"&amp;ADY$11,[1]Futuros!$AK:$AK)+SUMIF([1]Opciones!$AF:$AF,$A2&amp;"_"&amp;ADY$11,[1]Opciones!$AO:$AO)</f>
        <v>#VALUE!</v>
      </c>
      <c r="ADZ2" t="e">
        <f>+SUMIF([1]Cartera!$R:$R,$A2&amp;"_"&amp;ADZ$11,[1]Cartera!$J:$J)+SUMIF([1]Futuros!$AD:$AD,$A2&amp;"_"&amp;ADZ$11,[1]Futuros!$AK:$AK)+SUMIF([1]Opciones!$AF:$AF,$A2&amp;"_"&amp;ADZ$11,[1]Opciones!$AO:$AO)</f>
        <v>#VALUE!</v>
      </c>
      <c r="AEA2" t="e">
        <f>+SUMIF([1]Cartera!$R:$R,$A2&amp;"_"&amp;AEA$11,[1]Cartera!$J:$J)+SUMIF([1]Futuros!$AD:$AD,$A2&amp;"_"&amp;AEA$11,[1]Futuros!$AK:$AK)+SUMIF([1]Opciones!$AF:$AF,$A2&amp;"_"&amp;AEA$11,[1]Opciones!$AO:$AO)</f>
        <v>#VALUE!</v>
      </c>
      <c r="AEB2" t="e">
        <f>+SUMIF([1]Cartera!$R:$R,$A2&amp;"_"&amp;AEB$11,[1]Cartera!$J:$J)+SUMIF([1]Futuros!$AD:$AD,$A2&amp;"_"&amp;AEB$11,[1]Futuros!$AK:$AK)+SUMIF([1]Opciones!$AF:$AF,$A2&amp;"_"&amp;AEB$11,[1]Opciones!$AO:$AO)</f>
        <v>#VALUE!</v>
      </c>
      <c r="AEC2" t="e">
        <f>+SUMIF([1]Cartera!$R:$R,$A2&amp;"_"&amp;AEC$11,[1]Cartera!$J:$J)+SUMIF([1]Futuros!$AD:$AD,$A2&amp;"_"&amp;AEC$11,[1]Futuros!$AK:$AK)+SUMIF([1]Opciones!$AF:$AF,$A2&amp;"_"&amp;AEC$11,[1]Opciones!$AO:$AO)</f>
        <v>#VALUE!</v>
      </c>
      <c r="AED2" t="e">
        <f>+SUMIF([1]Cartera!$R:$R,$A2&amp;"_"&amp;AED$11,[1]Cartera!$J:$J)+SUMIF([1]Futuros!$AD:$AD,$A2&amp;"_"&amp;AED$11,[1]Futuros!$AK:$AK)+SUMIF([1]Opciones!$AF:$AF,$A2&amp;"_"&amp;AED$11,[1]Opciones!$AO:$AO)</f>
        <v>#VALUE!</v>
      </c>
      <c r="AEE2" t="e">
        <f>+SUMIF([1]Cartera!$R:$R,$A2&amp;"_"&amp;AEE$11,[1]Cartera!$J:$J)+SUMIF([1]Futuros!$AD:$AD,$A2&amp;"_"&amp;AEE$11,[1]Futuros!$AK:$AK)+SUMIF([1]Opciones!$AF:$AF,$A2&amp;"_"&amp;AEE$11,[1]Opciones!$AO:$AO)</f>
        <v>#VALUE!</v>
      </c>
      <c r="AEF2" t="e">
        <f>+SUMIF([1]Cartera!$R:$R,$A2&amp;"_"&amp;AEF$11,[1]Cartera!$J:$J)+SUMIF([1]Futuros!$AD:$AD,$A2&amp;"_"&amp;AEF$11,[1]Futuros!$AK:$AK)+SUMIF([1]Opciones!$AF:$AF,$A2&amp;"_"&amp;AEF$11,[1]Opciones!$AO:$AO)</f>
        <v>#VALUE!</v>
      </c>
      <c r="AEG2" t="e">
        <f>+SUMIF([1]Cartera!$R:$R,$A2&amp;"_"&amp;AEG$11,[1]Cartera!$J:$J)+SUMIF([1]Futuros!$AD:$AD,$A2&amp;"_"&amp;AEG$11,[1]Futuros!$AK:$AK)+SUMIF([1]Opciones!$AF:$AF,$A2&amp;"_"&amp;AEG$11,[1]Opciones!$AO:$AO)</f>
        <v>#VALUE!</v>
      </c>
      <c r="AEH2" t="e">
        <f>+SUMIF([1]Cartera!$R:$R,$A2&amp;"_"&amp;AEH$11,[1]Cartera!$J:$J)+SUMIF([1]Futuros!$AD:$AD,$A2&amp;"_"&amp;AEH$11,[1]Futuros!$AK:$AK)+SUMIF([1]Opciones!$AF:$AF,$A2&amp;"_"&amp;AEH$11,[1]Opciones!$AO:$AO)</f>
        <v>#VALUE!</v>
      </c>
      <c r="AEI2" t="e">
        <f>+SUMIF([1]Cartera!$R:$R,$A2&amp;"_"&amp;AEI$11,[1]Cartera!$J:$J)+SUMIF([1]Futuros!$AD:$AD,$A2&amp;"_"&amp;AEI$11,[1]Futuros!$AK:$AK)+SUMIF([1]Opciones!$AF:$AF,$A2&amp;"_"&amp;AEI$11,[1]Opciones!$AO:$AO)</f>
        <v>#VALUE!</v>
      </c>
      <c r="AEJ2" t="e">
        <f>+SUMIF([1]Cartera!$R:$R,$A2&amp;"_"&amp;AEJ$11,[1]Cartera!$J:$J)+SUMIF([1]Futuros!$AD:$AD,$A2&amp;"_"&amp;AEJ$11,[1]Futuros!$AK:$AK)+SUMIF([1]Opciones!$AF:$AF,$A2&amp;"_"&amp;AEJ$11,[1]Opciones!$AO:$AO)</f>
        <v>#VALUE!</v>
      </c>
      <c r="AEK2" t="e">
        <f>+SUMIF([1]Cartera!$R:$R,$A2&amp;"_"&amp;AEK$11,[1]Cartera!$J:$J)+SUMIF([1]Futuros!$AD:$AD,$A2&amp;"_"&amp;AEK$11,[1]Futuros!$AK:$AK)+SUMIF([1]Opciones!$AF:$AF,$A2&amp;"_"&amp;AEK$11,[1]Opciones!$AO:$AO)</f>
        <v>#VALUE!</v>
      </c>
      <c r="AEL2" t="e">
        <f>+SUMIF([1]Cartera!$R:$R,$A2&amp;"_"&amp;AEL$11,[1]Cartera!$J:$J)+SUMIF([1]Futuros!$AD:$AD,$A2&amp;"_"&amp;AEL$11,[1]Futuros!$AK:$AK)+SUMIF([1]Opciones!$AF:$AF,$A2&amp;"_"&amp;AEL$11,[1]Opciones!$AO:$AO)</f>
        <v>#VALUE!</v>
      </c>
      <c r="AEM2" t="e">
        <f>+SUMIF([1]Cartera!$R:$R,$A2&amp;"_"&amp;AEM$11,[1]Cartera!$J:$J)+SUMIF([1]Futuros!$AD:$AD,$A2&amp;"_"&amp;AEM$11,[1]Futuros!$AK:$AK)+SUMIF([1]Opciones!$AF:$AF,$A2&amp;"_"&amp;AEM$11,[1]Opciones!$AO:$AO)</f>
        <v>#VALUE!</v>
      </c>
      <c r="AEN2" t="e">
        <f>+SUMIF([1]Cartera!$R:$R,$A2&amp;"_"&amp;AEN$11,[1]Cartera!$J:$J)+SUMIF([1]Futuros!$AD:$AD,$A2&amp;"_"&amp;AEN$11,[1]Futuros!$AK:$AK)+SUMIF([1]Opciones!$AF:$AF,$A2&amp;"_"&amp;AEN$11,[1]Opciones!$AO:$AO)</f>
        <v>#VALUE!</v>
      </c>
      <c r="AEO2" t="e">
        <f>+SUMIF([1]Cartera!$R:$R,$A2&amp;"_"&amp;AEO$11,[1]Cartera!$J:$J)+SUMIF([1]Futuros!$AD:$AD,$A2&amp;"_"&amp;AEO$11,[1]Futuros!$AK:$AK)+SUMIF([1]Opciones!$AF:$AF,$A2&amp;"_"&amp;AEO$11,[1]Opciones!$AO:$AO)</f>
        <v>#VALUE!</v>
      </c>
      <c r="AEP2" t="e">
        <f>+SUMIF([1]Cartera!$R:$R,$A2&amp;"_"&amp;AEP$11,[1]Cartera!$J:$J)+SUMIF([1]Futuros!$AD:$AD,$A2&amp;"_"&amp;AEP$11,[1]Futuros!$AK:$AK)+SUMIF([1]Opciones!$AF:$AF,$A2&amp;"_"&amp;AEP$11,[1]Opciones!$AO:$AO)</f>
        <v>#VALUE!</v>
      </c>
      <c r="AEQ2" t="e">
        <f>+SUMIF([1]Cartera!$R:$R,$A2&amp;"_"&amp;AEQ$11,[1]Cartera!$J:$J)+SUMIF([1]Futuros!$AD:$AD,$A2&amp;"_"&amp;AEQ$11,[1]Futuros!$AK:$AK)+SUMIF([1]Opciones!$AF:$AF,$A2&amp;"_"&amp;AEQ$11,[1]Opciones!$AO:$AO)</f>
        <v>#VALUE!</v>
      </c>
      <c r="AER2" t="e">
        <f>+SUMIF([1]Cartera!$R:$R,$A2&amp;"_"&amp;AER$11,[1]Cartera!$J:$J)+SUMIF([1]Futuros!$AD:$AD,$A2&amp;"_"&amp;AER$11,[1]Futuros!$AK:$AK)+SUMIF([1]Opciones!$AF:$AF,$A2&amp;"_"&amp;AER$11,[1]Opciones!$AO:$AO)</f>
        <v>#VALUE!</v>
      </c>
      <c r="AES2" t="e">
        <f>+SUMIF([1]Cartera!$R:$R,$A2&amp;"_"&amp;AES$11,[1]Cartera!$J:$J)+SUMIF([1]Futuros!$AD:$AD,$A2&amp;"_"&amp;AES$11,[1]Futuros!$AK:$AK)+SUMIF([1]Opciones!$AF:$AF,$A2&amp;"_"&amp;AES$11,[1]Opciones!$AO:$AO)</f>
        <v>#VALUE!</v>
      </c>
      <c r="AET2" t="e">
        <f>+SUMIF([1]Cartera!$R:$R,$A2&amp;"_"&amp;AET$11,[1]Cartera!$J:$J)+SUMIF([1]Futuros!$AD:$AD,$A2&amp;"_"&amp;AET$11,[1]Futuros!$AK:$AK)+SUMIF([1]Opciones!$AF:$AF,$A2&amp;"_"&amp;AET$11,[1]Opciones!$AO:$AO)</f>
        <v>#VALUE!</v>
      </c>
      <c r="AEU2" t="e">
        <f>+SUMIF([1]Cartera!$R:$R,$A2&amp;"_"&amp;AEU$11,[1]Cartera!$J:$J)+SUMIF([1]Futuros!$AD:$AD,$A2&amp;"_"&amp;AEU$11,[1]Futuros!$AK:$AK)+SUMIF([1]Opciones!$AF:$AF,$A2&amp;"_"&amp;AEU$11,[1]Opciones!$AO:$AO)</f>
        <v>#VALUE!</v>
      </c>
      <c r="AEV2" t="e">
        <f>+SUMIF([1]Cartera!$R:$R,$A2&amp;"_"&amp;AEV$11,[1]Cartera!$J:$J)+SUMIF([1]Futuros!$AD:$AD,$A2&amp;"_"&amp;AEV$11,[1]Futuros!$AK:$AK)+SUMIF([1]Opciones!$AF:$AF,$A2&amp;"_"&amp;AEV$11,[1]Opciones!$AO:$AO)</f>
        <v>#VALUE!</v>
      </c>
      <c r="AEW2" t="e">
        <f>+SUMIF([1]Cartera!$R:$R,$A2&amp;"_"&amp;AEW$11,[1]Cartera!$J:$J)+SUMIF([1]Futuros!$AD:$AD,$A2&amp;"_"&amp;AEW$11,[1]Futuros!$AK:$AK)+SUMIF([1]Opciones!$AF:$AF,$A2&amp;"_"&amp;AEW$11,[1]Opciones!$AO:$AO)</f>
        <v>#VALUE!</v>
      </c>
      <c r="AEX2" t="e">
        <f>+SUMIF([1]Cartera!$R:$R,$A2&amp;"_"&amp;AEX$11,[1]Cartera!$J:$J)+SUMIF([1]Futuros!$AD:$AD,$A2&amp;"_"&amp;AEX$11,[1]Futuros!$AK:$AK)+SUMIF([1]Opciones!$AF:$AF,$A2&amp;"_"&amp;AEX$11,[1]Opciones!$AO:$AO)</f>
        <v>#VALUE!</v>
      </c>
      <c r="AEY2" t="e">
        <f>+SUMIF([1]Cartera!$R:$R,$A2&amp;"_"&amp;AEY$11,[1]Cartera!$J:$J)+SUMIF([1]Futuros!$AD:$AD,$A2&amp;"_"&amp;AEY$11,[1]Futuros!$AK:$AK)+SUMIF([1]Opciones!$AF:$AF,$A2&amp;"_"&amp;AEY$11,[1]Opciones!$AO:$AO)</f>
        <v>#VALUE!</v>
      </c>
      <c r="AEZ2" t="e">
        <f>+SUMIF([1]Cartera!$R:$R,$A2&amp;"_"&amp;AEZ$11,[1]Cartera!$J:$J)+SUMIF([1]Futuros!$AD:$AD,$A2&amp;"_"&amp;AEZ$11,[1]Futuros!$AK:$AK)+SUMIF([1]Opciones!$AF:$AF,$A2&amp;"_"&amp;AEZ$11,[1]Opciones!$AO:$AO)</f>
        <v>#VALUE!</v>
      </c>
      <c r="AFA2" t="e">
        <f>+SUMIF([1]Cartera!$R:$R,$A2&amp;"_"&amp;AFA$11,[1]Cartera!$J:$J)+SUMIF([1]Futuros!$AD:$AD,$A2&amp;"_"&amp;AFA$11,[1]Futuros!$AK:$AK)+SUMIF([1]Opciones!$AF:$AF,$A2&amp;"_"&amp;AFA$11,[1]Opciones!$AO:$AO)</f>
        <v>#VALUE!</v>
      </c>
      <c r="AFB2" t="e">
        <f>+SUMIF([1]Cartera!$R:$R,$A2&amp;"_"&amp;AFB$11,[1]Cartera!$J:$J)+SUMIF([1]Futuros!$AD:$AD,$A2&amp;"_"&amp;AFB$11,[1]Futuros!$AK:$AK)+SUMIF([1]Opciones!$AF:$AF,$A2&amp;"_"&amp;AFB$11,[1]Opciones!$AO:$AO)</f>
        <v>#VALUE!</v>
      </c>
      <c r="AFC2" t="e">
        <f>+SUMIF([1]Cartera!$R:$R,$A2&amp;"_"&amp;AFC$11,[1]Cartera!$J:$J)+SUMIF([1]Futuros!$AD:$AD,$A2&amp;"_"&amp;AFC$11,[1]Futuros!$AK:$AK)+SUMIF([1]Opciones!$AF:$AF,$A2&amp;"_"&amp;AFC$11,[1]Opciones!$AO:$AO)</f>
        <v>#VALUE!</v>
      </c>
      <c r="AFD2" t="e">
        <f>+SUMIF([1]Cartera!$R:$R,$A2&amp;"_"&amp;AFD$11,[1]Cartera!$J:$J)+SUMIF([1]Futuros!$AD:$AD,$A2&amp;"_"&amp;AFD$11,[1]Futuros!$AK:$AK)+SUMIF([1]Opciones!$AF:$AF,$A2&amp;"_"&amp;AFD$11,[1]Opciones!$AO:$AO)</f>
        <v>#VALUE!</v>
      </c>
      <c r="AFE2" t="e">
        <f>+SUMIF([1]Cartera!$R:$R,$A2&amp;"_"&amp;AFE$11,[1]Cartera!$J:$J)+SUMIF([1]Futuros!$AD:$AD,$A2&amp;"_"&amp;AFE$11,[1]Futuros!$AK:$AK)+SUMIF([1]Opciones!$AF:$AF,$A2&amp;"_"&amp;AFE$11,[1]Opciones!$AO:$AO)</f>
        <v>#VALUE!</v>
      </c>
      <c r="AFF2" t="e">
        <f>+SUMIF([1]Cartera!$R:$R,$A2&amp;"_"&amp;AFF$11,[1]Cartera!$J:$J)+SUMIF([1]Futuros!$AD:$AD,$A2&amp;"_"&amp;AFF$11,[1]Futuros!$AK:$AK)+SUMIF([1]Opciones!$AF:$AF,$A2&amp;"_"&amp;AFF$11,[1]Opciones!$AO:$AO)</f>
        <v>#VALUE!</v>
      </c>
      <c r="AFG2" t="e">
        <f>+SUMIF([1]Cartera!$R:$R,$A2&amp;"_"&amp;AFG$11,[1]Cartera!$J:$J)+SUMIF([1]Futuros!$AD:$AD,$A2&amp;"_"&amp;AFG$11,[1]Futuros!$AK:$AK)+SUMIF([1]Opciones!$AF:$AF,$A2&amp;"_"&amp;AFG$11,[1]Opciones!$AO:$AO)</f>
        <v>#VALUE!</v>
      </c>
      <c r="AFH2" t="e">
        <f>+SUMIF([1]Cartera!$R:$R,$A2&amp;"_"&amp;AFH$11,[1]Cartera!$J:$J)+SUMIF([1]Futuros!$AD:$AD,$A2&amp;"_"&amp;AFH$11,[1]Futuros!$AK:$AK)+SUMIF([1]Opciones!$AF:$AF,$A2&amp;"_"&amp;AFH$11,[1]Opciones!$AO:$AO)</f>
        <v>#VALUE!</v>
      </c>
      <c r="AFI2" t="e">
        <f>+SUMIF([1]Cartera!$R:$R,$A2&amp;"_"&amp;AFI$11,[1]Cartera!$J:$J)+SUMIF([1]Futuros!$AD:$AD,$A2&amp;"_"&amp;AFI$11,[1]Futuros!$AK:$AK)+SUMIF([1]Opciones!$AF:$AF,$A2&amp;"_"&amp;AFI$11,[1]Opciones!$AO:$AO)</f>
        <v>#VALUE!</v>
      </c>
      <c r="AFJ2" t="e">
        <f>+SUMIF([1]Cartera!$R:$R,$A2&amp;"_"&amp;AFJ$11,[1]Cartera!$J:$J)+SUMIF([1]Futuros!$AD:$AD,$A2&amp;"_"&amp;AFJ$11,[1]Futuros!$AK:$AK)+SUMIF([1]Opciones!$AF:$AF,$A2&amp;"_"&amp;AFJ$11,[1]Opciones!$AO:$AO)</f>
        <v>#VALUE!</v>
      </c>
      <c r="AFK2" t="e">
        <f>+SUMIF([1]Cartera!$R:$R,$A2&amp;"_"&amp;AFK$11,[1]Cartera!$J:$J)+SUMIF([1]Futuros!$AD:$AD,$A2&amp;"_"&amp;AFK$11,[1]Futuros!$AK:$AK)+SUMIF([1]Opciones!$AF:$AF,$A2&amp;"_"&amp;AFK$11,[1]Opciones!$AO:$AO)</f>
        <v>#VALUE!</v>
      </c>
      <c r="AFL2" t="e">
        <f>+SUMIF([1]Cartera!$R:$R,$A2&amp;"_"&amp;AFL$11,[1]Cartera!$J:$J)+SUMIF([1]Futuros!$AD:$AD,$A2&amp;"_"&amp;AFL$11,[1]Futuros!$AK:$AK)+SUMIF([1]Opciones!$AF:$AF,$A2&amp;"_"&amp;AFL$11,[1]Opciones!$AO:$AO)</f>
        <v>#VALUE!</v>
      </c>
      <c r="AFM2" t="e">
        <f>+SUMIF([1]Cartera!$R:$R,$A2&amp;"_"&amp;AFM$11,[1]Cartera!$J:$J)+SUMIF([1]Futuros!$AD:$AD,$A2&amp;"_"&amp;AFM$11,[1]Futuros!$AK:$AK)+SUMIF([1]Opciones!$AF:$AF,$A2&amp;"_"&amp;AFM$11,[1]Opciones!$AO:$AO)</f>
        <v>#VALUE!</v>
      </c>
      <c r="AFN2" t="e">
        <f>+SUMIF([1]Cartera!$R:$R,$A2&amp;"_"&amp;AFN$11,[1]Cartera!$J:$J)+SUMIF([1]Futuros!$AD:$AD,$A2&amp;"_"&amp;AFN$11,[1]Futuros!$AK:$AK)+SUMIF([1]Opciones!$AF:$AF,$A2&amp;"_"&amp;AFN$11,[1]Opciones!$AO:$AO)</f>
        <v>#VALUE!</v>
      </c>
      <c r="AFO2" t="e">
        <f>+SUMIF([1]Cartera!$R:$R,$A2&amp;"_"&amp;AFO$11,[1]Cartera!$J:$J)+SUMIF([1]Futuros!$AD:$AD,$A2&amp;"_"&amp;AFO$11,[1]Futuros!$AK:$AK)+SUMIF([1]Opciones!$AF:$AF,$A2&amp;"_"&amp;AFO$11,[1]Opciones!$AO:$AO)</f>
        <v>#VALUE!</v>
      </c>
      <c r="AFP2" t="e">
        <f>+SUMIF([1]Cartera!$R:$R,$A2&amp;"_"&amp;AFP$11,[1]Cartera!$J:$J)+SUMIF([1]Futuros!$AD:$AD,$A2&amp;"_"&amp;AFP$11,[1]Futuros!$AK:$AK)+SUMIF([1]Opciones!$AF:$AF,$A2&amp;"_"&amp;AFP$11,[1]Opciones!$AO:$AO)</f>
        <v>#VALUE!</v>
      </c>
      <c r="AFQ2" t="e">
        <f>+SUMIF([1]Cartera!$R:$R,$A2&amp;"_"&amp;AFQ$11,[1]Cartera!$J:$J)+SUMIF([1]Futuros!$AD:$AD,$A2&amp;"_"&amp;AFQ$11,[1]Futuros!$AK:$AK)+SUMIF([1]Opciones!$AF:$AF,$A2&amp;"_"&amp;AFQ$11,[1]Opciones!$AO:$AO)</f>
        <v>#VALUE!</v>
      </c>
      <c r="AFR2" t="e">
        <f>+SUMIF([1]Cartera!$R:$R,$A2&amp;"_"&amp;AFR$11,[1]Cartera!$J:$J)+SUMIF([1]Futuros!$AD:$AD,$A2&amp;"_"&amp;AFR$11,[1]Futuros!$AK:$AK)+SUMIF([1]Opciones!$AF:$AF,$A2&amp;"_"&amp;AFR$11,[1]Opciones!$AO:$AO)</f>
        <v>#VALUE!</v>
      </c>
      <c r="AFS2" t="e">
        <f>+SUMIF([1]Cartera!$R:$R,$A2&amp;"_"&amp;AFS$11,[1]Cartera!$J:$J)+SUMIF([1]Futuros!$AD:$AD,$A2&amp;"_"&amp;AFS$11,[1]Futuros!$AK:$AK)+SUMIF([1]Opciones!$AF:$AF,$A2&amp;"_"&amp;AFS$11,[1]Opciones!$AO:$AO)</f>
        <v>#VALUE!</v>
      </c>
      <c r="AFT2" t="e">
        <f>+SUMIF([1]Cartera!$R:$R,$A2&amp;"_"&amp;AFT$11,[1]Cartera!$J:$J)+SUMIF([1]Futuros!$AD:$AD,$A2&amp;"_"&amp;AFT$11,[1]Futuros!$AK:$AK)+SUMIF([1]Opciones!$AF:$AF,$A2&amp;"_"&amp;AFT$11,[1]Opciones!$AO:$AO)</f>
        <v>#VALUE!</v>
      </c>
      <c r="AFU2" t="e">
        <f>+SUMIF([1]Cartera!$R:$R,$A2&amp;"_"&amp;AFU$11,[1]Cartera!$J:$J)+SUMIF([1]Futuros!$AD:$AD,$A2&amp;"_"&amp;AFU$11,[1]Futuros!$AK:$AK)+SUMIF([1]Opciones!$AF:$AF,$A2&amp;"_"&amp;AFU$11,[1]Opciones!$AO:$AO)</f>
        <v>#VALUE!</v>
      </c>
      <c r="AFV2" t="e">
        <f>+SUMIF([1]Cartera!$R:$R,$A2&amp;"_"&amp;AFV$11,[1]Cartera!$J:$J)+SUMIF([1]Futuros!$AD:$AD,$A2&amp;"_"&amp;AFV$11,[1]Futuros!$AK:$AK)+SUMIF([1]Opciones!$AF:$AF,$A2&amp;"_"&amp;AFV$11,[1]Opciones!$AO:$AO)</f>
        <v>#VALUE!</v>
      </c>
      <c r="AFW2" t="e">
        <f>+SUMIF([1]Cartera!$R:$R,$A2&amp;"_"&amp;AFW$11,[1]Cartera!$J:$J)+SUMIF([1]Futuros!$AD:$AD,$A2&amp;"_"&amp;AFW$11,[1]Futuros!$AK:$AK)+SUMIF([1]Opciones!$AF:$AF,$A2&amp;"_"&amp;AFW$11,[1]Opciones!$AO:$AO)</f>
        <v>#VALUE!</v>
      </c>
      <c r="AFX2" t="e">
        <f>+SUMIF([1]Cartera!$R:$R,$A2&amp;"_"&amp;AFX$11,[1]Cartera!$J:$J)+SUMIF([1]Futuros!$AD:$AD,$A2&amp;"_"&amp;AFX$11,[1]Futuros!$AK:$AK)+SUMIF([1]Opciones!$AF:$AF,$A2&amp;"_"&amp;AFX$11,[1]Opciones!$AO:$AO)</f>
        <v>#VALUE!</v>
      </c>
      <c r="AFY2" t="e">
        <f>+SUMIF([1]Cartera!$R:$R,$A2&amp;"_"&amp;AFY$11,[1]Cartera!$J:$J)+SUMIF([1]Futuros!$AD:$AD,$A2&amp;"_"&amp;AFY$11,[1]Futuros!$AK:$AK)+SUMIF([1]Opciones!$AF:$AF,$A2&amp;"_"&amp;AFY$11,[1]Opciones!$AO:$AO)</f>
        <v>#VALUE!</v>
      </c>
      <c r="AFZ2" t="e">
        <f>+SUMIF([1]Cartera!$R:$R,$A2&amp;"_"&amp;AFZ$11,[1]Cartera!$J:$J)+SUMIF([1]Futuros!$AD:$AD,$A2&amp;"_"&amp;AFZ$11,[1]Futuros!$AK:$AK)+SUMIF([1]Opciones!$AF:$AF,$A2&amp;"_"&amp;AFZ$11,[1]Opciones!$AO:$AO)</f>
        <v>#VALUE!</v>
      </c>
      <c r="AGA2" t="e">
        <f>+SUMIF([1]Cartera!$R:$R,$A2&amp;"_"&amp;AGA$11,[1]Cartera!$J:$J)+SUMIF([1]Futuros!$AD:$AD,$A2&amp;"_"&amp;AGA$11,[1]Futuros!$AK:$AK)+SUMIF([1]Opciones!$AF:$AF,$A2&amp;"_"&amp;AGA$11,[1]Opciones!$AO:$AO)</f>
        <v>#VALUE!</v>
      </c>
      <c r="AGB2" t="e">
        <f>+SUMIF([1]Cartera!$R:$R,$A2&amp;"_"&amp;AGB$11,[1]Cartera!$J:$J)+SUMIF([1]Futuros!$AD:$AD,$A2&amp;"_"&amp;AGB$11,[1]Futuros!$AK:$AK)+SUMIF([1]Opciones!$AF:$AF,$A2&amp;"_"&amp;AGB$11,[1]Opciones!$AO:$AO)</f>
        <v>#VALUE!</v>
      </c>
      <c r="AGC2" t="e">
        <f>+SUMIF([1]Cartera!$R:$R,$A2&amp;"_"&amp;AGC$11,[1]Cartera!$J:$J)+SUMIF([1]Futuros!$AD:$AD,$A2&amp;"_"&amp;AGC$11,[1]Futuros!$AK:$AK)+SUMIF([1]Opciones!$AF:$AF,$A2&amp;"_"&amp;AGC$11,[1]Opciones!$AO:$AO)</f>
        <v>#VALUE!</v>
      </c>
      <c r="AGD2" t="e">
        <f>+SUMIF([1]Cartera!$R:$R,$A2&amp;"_"&amp;AGD$11,[1]Cartera!$J:$J)+SUMIF([1]Futuros!$AD:$AD,$A2&amp;"_"&amp;AGD$11,[1]Futuros!$AK:$AK)+SUMIF([1]Opciones!$AF:$AF,$A2&amp;"_"&amp;AGD$11,[1]Opciones!$AO:$AO)</f>
        <v>#VALUE!</v>
      </c>
      <c r="AGE2" t="e">
        <f>+SUMIF([1]Cartera!$R:$R,$A2&amp;"_"&amp;AGE$11,[1]Cartera!$J:$J)+SUMIF([1]Futuros!$AD:$AD,$A2&amp;"_"&amp;AGE$11,[1]Futuros!$AK:$AK)+SUMIF([1]Opciones!$AF:$AF,$A2&amp;"_"&amp;AGE$11,[1]Opciones!$AO:$AO)</f>
        <v>#VALUE!</v>
      </c>
      <c r="AGF2" t="e">
        <f>+SUMIF([1]Cartera!$R:$R,$A2&amp;"_"&amp;AGF$11,[1]Cartera!$J:$J)+SUMIF([1]Futuros!$AD:$AD,$A2&amp;"_"&amp;AGF$11,[1]Futuros!$AK:$AK)+SUMIF([1]Opciones!$AF:$AF,$A2&amp;"_"&amp;AGF$11,[1]Opciones!$AO:$AO)</f>
        <v>#VALUE!</v>
      </c>
      <c r="AGG2" t="e">
        <f>+SUMIF([1]Cartera!$R:$R,$A2&amp;"_"&amp;AGG$11,[1]Cartera!$J:$J)+SUMIF([1]Futuros!$AD:$AD,$A2&amp;"_"&amp;AGG$11,[1]Futuros!$AK:$AK)+SUMIF([1]Opciones!$AF:$AF,$A2&amp;"_"&amp;AGG$11,[1]Opciones!$AO:$AO)</f>
        <v>#VALUE!</v>
      </c>
      <c r="AGH2" t="e">
        <f>+SUMIF([1]Cartera!$R:$R,$A2&amp;"_"&amp;AGH$11,[1]Cartera!$J:$J)+SUMIF([1]Futuros!$AD:$AD,$A2&amp;"_"&amp;AGH$11,[1]Futuros!$AK:$AK)+SUMIF([1]Opciones!$AF:$AF,$A2&amp;"_"&amp;AGH$11,[1]Opciones!$AO:$AO)</f>
        <v>#VALUE!</v>
      </c>
      <c r="AGI2" t="e">
        <f>+SUMIF([1]Cartera!$R:$R,$A2&amp;"_"&amp;AGI$11,[1]Cartera!$J:$J)+SUMIF([1]Futuros!$AD:$AD,$A2&amp;"_"&amp;AGI$11,[1]Futuros!$AK:$AK)+SUMIF([1]Opciones!$AF:$AF,$A2&amp;"_"&amp;AGI$11,[1]Opciones!$AO:$AO)</f>
        <v>#VALUE!</v>
      </c>
      <c r="AGJ2" t="e">
        <f>+SUMIF([1]Cartera!$R:$R,$A2&amp;"_"&amp;AGJ$11,[1]Cartera!$J:$J)+SUMIF([1]Futuros!$AD:$AD,$A2&amp;"_"&amp;AGJ$11,[1]Futuros!$AK:$AK)+SUMIF([1]Opciones!$AF:$AF,$A2&amp;"_"&amp;AGJ$11,[1]Opciones!$AO:$AO)</f>
        <v>#VALUE!</v>
      </c>
      <c r="AGK2" t="e">
        <f>+SUMIF([1]Cartera!$R:$R,$A2&amp;"_"&amp;AGK$11,[1]Cartera!$J:$J)+SUMIF([1]Futuros!$AD:$AD,$A2&amp;"_"&amp;AGK$11,[1]Futuros!$AK:$AK)+SUMIF([1]Opciones!$AF:$AF,$A2&amp;"_"&amp;AGK$11,[1]Opciones!$AO:$AO)</f>
        <v>#VALUE!</v>
      </c>
      <c r="AGL2" t="e">
        <f>+SUMIF([1]Cartera!$R:$R,$A2&amp;"_"&amp;AGL$11,[1]Cartera!$J:$J)+SUMIF([1]Futuros!$AD:$AD,$A2&amp;"_"&amp;AGL$11,[1]Futuros!$AK:$AK)+SUMIF([1]Opciones!$AF:$AF,$A2&amp;"_"&amp;AGL$11,[1]Opciones!$AO:$AO)</f>
        <v>#VALUE!</v>
      </c>
      <c r="AGM2" t="e">
        <f>+SUMIF([1]Cartera!$R:$R,$A2&amp;"_"&amp;AGM$11,[1]Cartera!$J:$J)+SUMIF([1]Futuros!$AD:$AD,$A2&amp;"_"&amp;AGM$11,[1]Futuros!$AK:$AK)+SUMIF([1]Opciones!$AF:$AF,$A2&amp;"_"&amp;AGM$11,[1]Opciones!$AO:$AO)</f>
        <v>#VALUE!</v>
      </c>
      <c r="AGN2" t="e">
        <f>+SUMIF([1]Cartera!$R:$R,$A2&amp;"_"&amp;AGN$11,[1]Cartera!$J:$J)+SUMIF([1]Futuros!$AD:$AD,$A2&amp;"_"&amp;AGN$11,[1]Futuros!$AK:$AK)+SUMIF([1]Opciones!$AF:$AF,$A2&amp;"_"&amp;AGN$11,[1]Opciones!$AO:$AO)</f>
        <v>#VALUE!</v>
      </c>
      <c r="AGO2" t="e">
        <f>+SUMIF([1]Cartera!$R:$R,$A2&amp;"_"&amp;AGO$11,[1]Cartera!$J:$J)+SUMIF([1]Futuros!$AD:$AD,$A2&amp;"_"&amp;AGO$11,[1]Futuros!$AK:$AK)+SUMIF([1]Opciones!$AF:$AF,$A2&amp;"_"&amp;AGO$11,[1]Opciones!$AO:$AO)</f>
        <v>#VALUE!</v>
      </c>
      <c r="AGP2" t="e">
        <f>+SUMIF([1]Cartera!$R:$R,$A2&amp;"_"&amp;AGP$11,[1]Cartera!$J:$J)+SUMIF([1]Futuros!$AD:$AD,$A2&amp;"_"&amp;AGP$11,[1]Futuros!$AK:$AK)+SUMIF([1]Opciones!$AF:$AF,$A2&amp;"_"&amp;AGP$11,[1]Opciones!$AO:$AO)</f>
        <v>#VALUE!</v>
      </c>
      <c r="AGQ2" t="e">
        <f>+SUMIF([1]Cartera!$R:$R,$A2&amp;"_"&amp;AGQ$11,[1]Cartera!$J:$J)+SUMIF([1]Futuros!$AD:$AD,$A2&amp;"_"&amp;AGQ$11,[1]Futuros!$AK:$AK)+SUMIF([1]Opciones!$AF:$AF,$A2&amp;"_"&amp;AGQ$11,[1]Opciones!$AO:$AO)</f>
        <v>#VALUE!</v>
      </c>
      <c r="AGR2" t="e">
        <f>+SUMIF([1]Cartera!$R:$R,$A2&amp;"_"&amp;AGR$11,[1]Cartera!$J:$J)+SUMIF([1]Futuros!$AD:$AD,$A2&amp;"_"&amp;AGR$11,[1]Futuros!$AK:$AK)+SUMIF([1]Opciones!$AF:$AF,$A2&amp;"_"&amp;AGR$11,[1]Opciones!$AO:$AO)</f>
        <v>#VALUE!</v>
      </c>
      <c r="AGS2" t="e">
        <f>+SUMIF([1]Cartera!$R:$R,$A2&amp;"_"&amp;AGS$11,[1]Cartera!$J:$J)+SUMIF([1]Futuros!$AD:$AD,$A2&amp;"_"&amp;AGS$11,[1]Futuros!$AK:$AK)+SUMIF([1]Opciones!$AF:$AF,$A2&amp;"_"&amp;AGS$11,[1]Opciones!$AO:$AO)</f>
        <v>#VALUE!</v>
      </c>
      <c r="AGT2" t="e">
        <f>+SUMIF([1]Cartera!$R:$R,$A2&amp;"_"&amp;AGT$11,[1]Cartera!$J:$J)+SUMIF([1]Futuros!$AD:$AD,$A2&amp;"_"&amp;AGT$11,[1]Futuros!$AK:$AK)+SUMIF([1]Opciones!$AF:$AF,$A2&amp;"_"&amp;AGT$11,[1]Opciones!$AO:$AO)</f>
        <v>#VALUE!</v>
      </c>
      <c r="AGU2" t="e">
        <f>+SUMIF([1]Cartera!$R:$R,$A2&amp;"_"&amp;AGU$11,[1]Cartera!$J:$J)+SUMIF([1]Futuros!$AD:$AD,$A2&amp;"_"&amp;AGU$11,[1]Futuros!$AK:$AK)+SUMIF([1]Opciones!$AF:$AF,$A2&amp;"_"&amp;AGU$11,[1]Opciones!$AO:$AO)</f>
        <v>#VALUE!</v>
      </c>
      <c r="AGV2" t="e">
        <f>+SUMIF([1]Cartera!$R:$R,$A2&amp;"_"&amp;AGV$11,[1]Cartera!$J:$J)+SUMIF([1]Futuros!$AD:$AD,$A2&amp;"_"&amp;AGV$11,[1]Futuros!$AK:$AK)+SUMIF([1]Opciones!$AF:$AF,$A2&amp;"_"&amp;AGV$11,[1]Opciones!$AO:$AO)</f>
        <v>#VALUE!</v>
      </c>
      <c r="AGW2" t="e">
        <f>+SUMIF([1]Cartera!$R:$R,$A2&amp;"_"&amp;AGW$11,[1]Cartera!$J:$J)+SUMIF([1]Futuros!$AD:$AD,$A2&amp;"_"&amp;AGW$11,[1]Futuros!$AK:$AK)+SUMIF([1]Opciones!$AF:$AF,$A2&amp;"_"&amp;AGW$11,[1]Opciones!$AO:$AO)</f>
        <v>#VALUE!</v>
      </c>
      <c r="AGX2" t="e">
        <f>+SUMIF([1]Cartera!$R:$R,$A2&amp;"_"&amp;AGX$11,[1]Cartera!$J:$J)+SUMIF([1]Futuros!$AD:$AD,$A2&amp;"_"&amp;AGX$11,[1]Futuros!$AK:$AK)+SUMIF([1]Opciones!$AF:$AF,$A2&amp;"_"&amp;AGX$11,[1]Opciones!$AO:$AO)</f>
        <v>#VALUE!</v>
      </c>
      <c r="AGY2" t="e">
        <f>+SUMIF([1]Cartera!$R:$R,$A2&amp;"_"&amp;AGY$11,[1]Cartera!$J:$J)+SUMIF([1]Futuros!$AD:$AD,$A2&amp;"_"&amp;AGY$11,[1]Futuros!$AK:$AK)+SUMIF([1]Opciones!$AF:$AF,$A2&amp;"_"&amp;AGY$11,[1]Opciones!$AO:$AO)</f>
        <v>#VALUE!</v>
      </c>
      <c r="AGZ2" t="e">
        <f>+SUMIF([1]Cartera!$R:$R,$A2&amp;"_"&amp;AGZ$11,[1]Cartera!$J:$J)+SUMIF([1]Futuros!$AD:$AD,$A2&amp;"_"&amp;AGZ$11,[1]Futuros!$AK:$AK)+SUMIF([1]Opciones!$AF:$AF,$A2&amp;"_"&amp;AGZ$11,[1]Opciones!$AO:$AO)</f>
        <v>#VALUE!</v>
      </c>
      <c r="AHA2" t="e">
        <f>+SUMIF([1]Cartera!$R:$R,$A2&amp;"_"&amp;AHA$11,[1]Cartera!$J:$J)+SUMIF([1]Futuros!$AD:$AD,$A2&amp;"_"&amp;AHA$11,[1]Futuros!$AK:$AK)+SUMIF([1]Opciones!$AF:$AF,$A2&amp;"_"&amp;AHA$11,[1]Opciones!$AO:$AO)</f>
        <v>#VALUE!</v>
      </c>
      <c r="AHB2" t="e">
        <f>+SUMIF([1]Cartera!$R:$R,$A2&amp;"_"&amp;AHB$11,[1]Cartera!$J:$J)+SUMIF([1]Futuros!$AD:$AD,$A2&amp;"_"&amp;AHB$11,[1]Futuros!$AK:$AK)+SUMIF([1]Opciones!$AF:$AF,$A2&amp;"_"&amp;AHB$11,[1]Opciones!$AO:$AO)</f>
        <v>#VALUE!</v>
      </c>
      <c r="AHC2" t="e">
        <f>+SUMIF([1]Cartera!$R:$R,$A2&amp;"_"&amp;AHC$11,[1]Cartera!$J:$J)+SUMIF([1]Futuros!$AD:$AD,$A2&amp;"_"&amp;AHC$11,[1]Futuros!$AK:$AK)+SUMIF([1]Opciones!$AF:$AF,$A2&amp;"_"&amp;AHC$11,[1]Opciones!$AO:$AO)</f>
        <v>#VALUE!</v>
      </c>
      <c r="AHD2" t="e">
        <f>+SUMIF([1]Cartera!$R:$R,$A2&amp;"_"&amp;AHD$11,[1]Cartera!$J:$J)+SUMIF([1]Futuros!$AD:$AD,$A2&amp;"_"&amp;AHD$11,[1]Futuros!$AK:$AK)+SUMIF([1]Opciones!$AF:$AF,$A2&amp;"_"&amp;AHD$11,[1]Opciones!$AO:$AO)</f>
        <v>#VALUE!</v>
      </c>
      <c r="AHE2" t="e">
        <f>+SUMIF([1]Cartera!$R:$R,$A2&amp;"_"&amp;AHE$11,[1]Cartera!$J:$J)+SUMIF([1]Futuros!$AD:$AD,$A2&amp;"_"&amp;AHE$11,[1]Futuros!$AK:$AK)+SUMIF([1]Opciones!$AF:$AF,$A2&amp;"_"&amp;AHE$11,[1]Opciones!$AO:$AO)</f>
        <v>#VALUE!</v>
      </c>
      <c r="AHF2" t="e">
        <f>+SUMIF([1]Cartera!$R:$R,$A2&amp;"_"&amp;AHF$11,[1]Cartera!$J:$J)+SUMIF([1]Futuros!$AD:$AD,$A2&amp;"_"&amp;AHF$11,[1]Futuros!$AK:$AK)+SUMIF([1]Opciones!$AF:$AF,$A2&amp;"_"&amp;AHF$11,[1]Opciones!$AO:$AO)</f>
        <v>#VALUE!</v>
      </c>
      <c r="AHG2" t="e">
        <f>+SUMIF([1]Cartera!$R:$R,$A2&amp;"_"&amp;AHG$11,[1]Cartera!$J:$J)+SUMIF([1]Futuros!$AD:$AD,$A2&amp;"_"&amp;AHG$11,[1]Futuros!$AK:$AK)+SUMIF([1]Opciones!$AF:$AF,$A2&amp;"_"&amp;AHG$11,[1]Opciones!$AO:$AO)</f>
        <v>#VALUE!</v>
      </c>
      <c r="AHH2" t="e">
        <f>+SUMIF([1]Cartera!$R:$R,$A2&amp;"_"&amp;AHH$11,[1]Cartera!$J:$J)+SUMIF([1]Futuros!$AD:$AD,$A2&amp;"_"&amp;AHH$11,[1]Futuros!$AK:$AK)+SUMIF([1]Opciones!$AF:$AF,$A2&amp;"_"&amp;AHH$11,[1]Opciones!$AO:$AO)</f>
        <v>#VALUE!</v>
      </c>
      <c r="AHI2" t="e">
        <f>+SUMIF([1]Cartera!$R:$R,$A2&amp;"_"&amp;AHI$11,[1]Cartera!$J:$J)+SUMIF([1]Futuros!$AD:$AD,$A2&amp;"_"&amp;AHI$11,[1]Futuros!$AK:$AK)+SUMIF([1]Opciones!$AF:$AF,$A2&amp;"_"&amp;AHI$11,[1]Opciones!$AO:$AO)</f>
        <v>#VALUE!</v>
      </c>
      <c r="AHJ2" t="e">
        <f>+SUMIF([1]Cartera!$R:$R,$A2&amp;"_"&amp;AHJ$11,[1]Cartera!$J:$J)+SUMIF([1]Futuros!$AD:$AD,$A2&amp;"_"&amp;AHJ$11,[1]Futuros!$AK:$AK)+SUMIF([1]Opciones!$AF:$AF,$A2&amp;"_"&amp;AHJ$11,[1]Opciones!$AO:$AO)</f>
        <v>#VALUE!</v>
      </c>
      <c r="AHK2" t="e">
        <f>+SUMIF([1]Cartera!$R:$R,$A2&amp;"_"&amp;AHK$11,[1]Cartera!$J:$J)+SUMIF([1]Futuros!$AD:$AD,$A2&amp;"_"&amp;AHK$11,[1]Futuros!$AK:$AK)+SUMIF([1]Opciones!$AF:$AF,$A2&amp;"_"&amp;AHK$11,[1]Opciones!$AO:$AO)</f>
        <v>#VALUE!</v>
      </c>
      <c r="AHL2" t="e">
        <f>+SUMIF([1]Cartera!$R:$R,$A2&amp;"_"&amp;AHL$11,[1]Cartera!$J:$J)+SUMIF([1]Futuros!$AD:$AD,$A2&amp;"_"&amp;AHL$11,[1]Futuros!$AK:$AK)+SUMIF([1]Opciones!$AF:$AF,$A2&amp;"_"&amp;AHL$11,[1]Opciones!$AO:$AO)</f>
        <v>#VALUE!</v>
      </c>
      <c r="AHM2" t="e">
        <f>+SUMIF([1]Cartera!$R:$R,$A2&amp;"_"&amp;AHM$11,[1]Cartera!$J:$J)+SUMIF([1]Futuros!$AD:$AD,$A2&amp;"_"&amp;AHM$11,[1]Futuros!$AK:$AK)+SUMIF([1]Opciones!$AF:$AF,$A2&amp;"_"&amp;AHM$11,[1]Opciones!$AO:$AO)</f>
        <v>#VALUE!</v>
      </c>
      <c r="AHN2" t="e">
        <f>+SUMIF([1]Cartera!$R:$R,$A2&amp;"_"&amp;AHN$11,[1]Cartera!$J:$J)+SUMIF([1]Futuros!$AD:$AD,$A2&amp;"_"&amp;AHN$11,[1]Futuros!$AK:$AK)+SUMIF([1]Opciones!$AF:$AF,$A2&amp;"_"&amp;AHN$11,[1]Opciones!$AO:$AO)</f>
        <v>#VALUE!</v>
      </c>
      <c r="AHO2" t="e">
        <f>+SUMIF([1]Cartera!$R:$R,$A2&amp;"_"&amp;AHO$11,[1]Cartera!$J:$J)+SUMIF([1]Futuros!$AD:$AD,$A2&amp;"_"&amp;AHO$11,[1]Futuros!$AK:$AK)+SUMIF([1]Opciones!$AF:$AF,$A2&amp;"_"&amp;AHO$11,[1]Opciones!$AO:$AO)</f>
        <v>#VALUE!</v>
      </c>
      <c r="AHP2" t="e">
        <f>+SUMIF([1]Cartera!$R:$R,$A2&amp;"_"&amp;AHP$11,[1]Cartera!$J:$J)+SUMIF([1]Futuros!$AD:$AD,$A2&amp;"_"&amp;AHP$11,[1]Futuros!$AK:$AK)+SUMIF([1]Opciones!$AF:$AF,$A2&amp;"_"&amp;AHP$11,[1]Opciones!$AO:$AO)</f>
        <v>#VALUE!</v>
      </c>
      <c r="AHQ2" t="e">
        <f>+SUMIF([1]Cartera!$R:$R,$A2&amp;"_"&amp;AHQ$11,[1]Cartera!$J:$J)+SUMIF([1]Futuros!$AD:$AD,$A2&amp;"_"&amp;AHQ$11,[1]Futuros!$AK:$AK)+SUMIF([1]Opciones!$AF:$AF,$A2&amp;"_"&amp;AHQ$11,[1]Opciones!$AO:$AO)</f>
        <v>#VALUE!</v>
      </c>
      <c r="AHR2" t="e">
        <f>+SUMIF([1]Cartera!$R:$R,$A2&amp;"_"&amp;AHR$11,[1]Cartera!$J:$J)+SUMIF([1]Futuros!$AD:$AD,$A2&amp;"_"&amp;AHR$11,[1]Futuros!$AK:$AK)+SUMIF([1]Opciones!$AF:$AF,$A2&amp;"_"&amp;AHR$11,[1]Opciones!$AO:$AO)</f>
        <v>#VALUE!</v>
      </c>
      <c r="AHS2" t="e">
        <f>+SUMIF([1]Cartera!$R:$R,$A2&amp;"_"&amp;AHS$11,[1]Cartera!$J:$J)+SUMIF([1]Futuros!$AD:$AD,$A2&amp;"_"&amp;AHS$11,[1]Futuros!$AK:$AK)+SUMIF([1]Opciones!$AF:$AF,$A2&amp;"_"&amp;AHS$11,[1]Opciones!$AO:$AO)</f>
        <v>#VALUE!</v>
      </c>
      <c r="AHT2" t="e">
        <f>+SUMIF([1]Cartera!$R:$R,$A2&amp;"_"&amp;AHT$11,[1]Cartera!$J:$J)+SUMIF([1]Futuros!$AD:$AD,$A2&amp;"_"&amp;AHT$11,[1]Futuros!$AK:$AK)+SUMIF([1]Opciones!$AF:$AF,$A2&amp;"_"&amp;AHT$11,[1]Opciones!$AO:$AO)</f>
        <v>#VALUE!</v>
      </c>
      <c r="AHU2" t="e">
        <f>+SUMIF([1]Cartera!$R:$R,$A2&amp;"_"&amp;AHU$11,[1]Cartera!$J:$J)+SUMIF([1]Futuros!$AD:$AD,$A2&amp;"_"&amp;AHU$11,[1]Futuros!$AK:$AK)+SUMIF([1]Opciones!$AF:$AF,$A2&amp;"_"&amp;AHU$11,[1]Opciones!$AO:$AO)</f>
        <v>#VALUE!</v>
      </c>
      <c r="AHV2" t="e">
        <f>+SUMIF([1]Cartera!$R:$R,$A2&amp;"_"&amp;AHV$11,[1]Cartera!$J:$J)+SUMIF([1]Futuros!$AD:$AD,$A2&amp;"_"&amp;AHV$11,[1]Futuros!$AK:$AK)+SUMIF([1]Opciones!$AF:$AF,$A2&amp;"_"&amp;AHV$11,[1]Opciones!$AO:$AO)</f>
        <v>#VALUE!</v>
      </c>
      <c r="AHW2" t="e">
        <f>+SUMIF([1]Cartera!$R:$R,$A2&amp;"_"&amp;AHW$11,[1]Cartera!$J:$J)+SUMIF([1]Futuros!$AD:$AD,$A2&amp;"_"&amp;AHW$11,[1]Futuros!$AK:$AK)+SUMIF([1]Opciones!$AF:$AF,$A2&amp;"_"&amp;AHW$11,[1]Opciones!$AO:$AO)</f>
        <v>#VALUE!</v>
      </c>
      <c r="AHX2" t="e">
        <f>+SUMIF([1]Cartera!$R:$R,$A2&amp;"_"&amp;AHX$11,[1]Cartera!$J:$J)+SUMIF([1]Futuros!$AD:$AD,$A2&amp;"_"&amp;AHX$11,[1]Futuros!$AK:$AK)+SUMIF([1]Opciones!$AF:$AF,$A2&amp;"_"&amp;AHX$11,[1]Opciones!$AO:$AO)</f>
        <v>#VALUE!</v>
      </c>
      <c r="AHY2" t="e">
        <f>+SUMIF([1]Cartera!$R:$R,$A2&amp;"_"&amp;AHY$11,[1]Cartera!$J:$J)+SUMIF([1]Futuros!$AD:$AD,$A2&amp;"_"&amp;AHY$11,[1]Futuros!$AK:$AK)+SUMIF([1]Opciones!$AF:$AF,$A2&amp;"_"&amp;AHY$11,[1]Opciones!$AO:$AO)</f>
        <v>#VALUE!</v>
      </c>
      <c r="AHZ2" t="e">
        <f>+SUMIF([1]Cartera!$R:$R,$A2&amp;"_"&amp;AHZ$11,[1]Cartera!$J:$J)+SUMIF([1]Futuros!$AD:$AD,$A2&amp;"_"&amp;AHZ$11,[1]Futuros!$AK:$AK)+SUMIF([1]Opciones!$AF:$AF,$A2&amp;"_"&amp;AHZ$11,[1]Opciones!$AO:$AO)</f>
        <v>#VALUE!</v>
      </c>
      <c r="AIA2" t="e">
        <f>+SUMIF([1]Cartera!$R:$R,$A2&amp;"_"&amp;AIA$11,[1]Cartera!$J:$J)+SUMIF([1]Futuros!$AD:$AD,$A2&amp;"_"&amp;AIA$11,[1]Futuros!$AK:$AK)+SUMIF([1]Opciones!$AF:$AF,$A2&amp;"_"&amp;AIA$11,[1]Opciones!$AO:$AO)</f>
        <v>#VALUE!</v>
      </c>
      <c r="AIB2" t="e">
        <f>+SUMIF([1]Cartera!$R:$R,$A2&amp;"_"&amp;AIB$11,[1]Cartera!$J:$J)+SUMIF([1]Futuros!$AD:$AD,$A2&amp;"_"&amp;AIB$11,[1]Futuros!$AK:$AK)+SUMIF([1]Opciones!$AF:$AF,$A2&amp;"_"&amp;AIB$11,[1]Opciones!$AO:$AO)</f>
        <v>#VALUE!</v>
      </c>
      <c r="AIC2" t="e">
        <f>+SUMIF([1]Cartera!$R:$R,$A2&amp;"_"&amp;AIC$11,[1]Cartera!$J:$J)+SUMIF([1]Futuros!$AD:$AD,$A2&amp;"_"&amp;AIC$11,[1]Futuros!$AK:$AK)+SUMIF([1]Opciones!$AF:$AF,$A2&amp;"_"&amp;AIC$11,[1]Opciones!$AO:$AO)</f>
        <v>#VALUE!</v>
      </c>
      <c r="AID2" t="e">
        <f>+SUMIF([1]Cartera!$R:$R,$A2&amp;"_"&amp;AID$11,[1]Cartera!$J:$J)+SUMIF([1]Futuros!$AD:$AD,$A2&amp;"_"&amp;AID$11,[1]Futuros!$AK:$AK)+SUMIF([1]Opciones!$AF:$AF,$A2&amp;"_"&amp;AID$11,[1]Opciones!$AO:$AO)</f>
        <v>#VALUE!</v>
      </c>
      <c r="AIE2" t="e">
        <f>+SUMIF([1]Cartera!$R:$R,$A2&amp;"_"&amp;AIE$11,[1]Cartera!$J:$J)+SUMIF([1]Futuros!$AD:$AD,$A2&amp;"_"&amp;AIE$11,[1]Futuros!$AK:$AK)+SUMIF([1]Opciones!$AF:$AF,$A2&amp;"_"&amp;AIE$11,[1]Opciones!$AO:$AO)</f>
        <v>#VALUE!</v>
      </c>
      <c r="AIF2" t="e">
        <f>+SUMIF([1]Cartera!$R:$R,$A2&amp;"_"&amp;AIF$11,[1]Cartera!$J:$J)+SUMIF([1]Futuros!$AD:$AD,$A2&amp;"_"&amp;AIF$11,[1]Futuros!$AK:$AK)+SUMIF([1]Opciones!$AF:$AF,$A2&amp;"_"&amp;AIF$11,[1]Opciones!$AO:$AO)</f>
        <v>#VALUE!</v>
      </c>
      <c r="AIG2" t="e">
        <f>+SUMIF([1]Cartera!$R:$R,$A2&amp;"_"&amp;AIG$11,[1]Cartera!$J:$J)+SUMIF([1]Futuros!$AD:$AD,$A2&amp;"_"&amp;AIG$11,[1]Futuros!$AK:$AK)+SUMIF([1]Opciones!$AF:$AF,$A2&amp;"_"&amp;AIG$11,[1]Opciones!$AO:$AO)</f>
        <v>#VALUE!</v>
      </c>
      <c r="AIH2" t="e">
        <f>+SUMIF([1]Cartera!$R:$R,$A2&amp;"_"&amp;AIH$11,[1]Cartera!$J:$J)+SUMIF([1]Futuros!$AD:$AD,$A2&amp;"_"&amp;AIH$11,[1]Futuros!$AK:$AK)+SUMIF([1]Opciones!$AF:$AF,$A2&amp;"_"&amp;AIH$11,[1]Opciones!$AO:$AO)</f>
        <v>#VALUE!</v>
      </c>
      <c r="AII2" t="e">
        <f>+SUMIF([1]Cartera!$R:$R,$A2&amp;"_"&amp;AII$11,[1]Cartera!$J:$J)+SUMIF([1]Futuros!$AD:$AD,$A2&amp;"_"&amp;AII$11,[1]Futuros!$AK:$AK)+SUMIF([1]Opciones!$AF:$AF,$A2&amp;"_"&amp;AII$11,[1]Opciones!$AO:$AO)</f>
        <v>#VALUE!</v>
      </c>
      <c r="AIJ2" t="e">
        <f>+SUMIF([1]Cartera!$R:$R,$A2&amp;"_"&amp;AIJ$11,[1]Cartera!$J:$J)+SUMIF([1]Futuros!$AD:$AD,$A2&amp;"_"&amp;AIJ$11,[1]Futuros!$AK:$AK)+SUMIF([1]Opciones!$AF:$AF,$A2&amp;"_"&amp;AIJ$11,[1]Opciones!$AO:$AO)</f>
        <v>#VALUE!</v>
      </c>
      <c r="AIK2" t="e">
        <f>+SUMIF([1]Cartera!$R:$R,$A2&amp;"_"&amp;AIK$11,[1]Cartera!$J:$J)+SUMIF([1]Futuros!$AD:$AD,$A2&amp;"_"&amp;AIK$11,[1]Futuros!$AK:$AK)+SUMIF([1]Opciones!$AF:$AF,$A2&amp;"_"&amp;AIK$11,[1]Opciones!$AO:$AO)</f>
        <v>#VALUE!</v>
      </c>
      <c r="AIL2" t="e">
        <f>+SUMIF([1]Cartera!$R:$R,$A2&amp;"_"&amp;AIL$11,[1]Cartera!$J:$J)+SUMIF([1]Futuros!$AD:$AD,$A2&amp;"_"&amp;AIL$11,[1]Futuros!$AK:$AK)+SUMIF([1]Opciones!$AF:$AF,$A2&amp;"_"&amp;AIL$11,[1]Opciones!$AO:$AO)</f>
        <v>#VALUE!</v>
      </c>
      <c r="AIM2" t="e">
        <f>+SUMIF([1]Cartera!$R:$R,$A2&amp;"_"&amp;AIM$11,[1]Cartera!$J:$J)+SUMIF([1]Futuros!$AD:$AD,$A2&amp;"_"&amp;AIM$11,[1]Futuros!$AK:$AK)+SUMIF([1]Opciones!$AF:$AF,$A2&amp;"_"&amp;AIM$11,[1]Opciones!$AO:$AO)</f>
        <v>#VALUE!</v>
      </c>
      <c r="AIN2" t="e">
        <f>+SUMIF([1]Cartera!$R:$R,$A2&amp;"_"&amp;AIN$11,[1]Cartera!$J:$J)+SUMIF([1]Futuros!$AD:$AD,$A2&amp;"_"&amp;AIN$11,[1]Futuros!$AK:$AK)+SUMIF([1]Opciones!$AF:$AF,$A2&amp;"_"&amp;AIN$11,[1]Opciones!$AO:$AO)</f>
        <v>#VALUE!</v>
      </c>
      <c r="AIO2" t="e">
        <f>+SUMIF([1]Cartera!$R:$R,$A2&amp;"_"&amp;AIO$11,[1]Cartera!$J:$J)+SUMIF([1]Futuros!$AD:$AD,$A2&amp;"_"&amp;AIO$11,[1]Futuros!$AK:$AK)+SUMIF([1]Opciones!$AF:$AF,$A2&amp;"_"&amp;AIO$11,[1]Opciones!$AO:$AO)</f>
        <v>#VALUE!</v>
      </c>
      <c r="AIP2" t="e">
        <f>+SUMIF([1]Cartera!$R:$R,$A2&amp;"_"&amp;AIP$11,[1]Cartera!$J:$J)+SUMIF([1]Futuros!$AD:$AD,$A2&amp;"_"&amp;AIP$11,[1]Futuros!$AK:$AK)+SUMIF([1]Opciones!$AF:$AF,$A2&amp;"_"&amp;AIP$11,[1]Opciones!$AO:$AO)</f>
        <v>#VALUE!</v>
      </c>
      <c r="AIQ2" t="e">
        <f>+SUMIF([1]Cartera!$R:$R,$A2&amp;"_"&amp;AIQ$11,[1]Cartera!$J:$J)+SUMIF([1]Futuros!$AD:$AD,$A2&amp;"_"&amp;AIQ$11,[1]Futuros!$AK:$AK)+SUMIF([1]Opciones!$AF:$AF,$A2&amp;"_"&amp;AIQ$11,[1]Opciones!$AO:$AO)</f>
        <v>#VALUE!</v>
      </c>
      <c r="AIR2" s="2" t="e">
        <f>+SUMIF([1]Cartera!$R:$R,$A2&amp;"_"&amp;AIR$11,[1]Cartera!$J:$J)+SUMIF([1]Futuros!$AD:$AD,$A2&amp;"_"&amp;AIR$11,[1]Futuros!$AK:$AK)+SUMIF([1]Opciones!$AF:$AF,$A2&amp;"_"&amp;AIR$11,[1]Opciones!$AO:$AO)</f>
        <v>#VALUE!</v>
      </c>
      <c r="AIS2" t="e">
        <f>+SUMIF([1]Cartera!$R:$R,$A2&amp;"_"&amp;AIS$11,[1]Cartera!$J:$J)+SUMIF([1]Futuros!$AD:$AD,$A2&amp;"_"&amp;AIS$11,[1]Futuros!$AK:$AK)+SUMIF([1]Opciones!$AF:$AF,$A2&amp;"_"&amp;AIS$11,[1]Opciones!$AO:$AO)</f>
        <v>#VALUE!</v>
      </c>
      <c r="AIT2" t="e">
        <f>+SUMIF([1]Cartera!$R:$R,$A2&amp;"_"&amp;AIT$11,[1]Cartera!$J:$J)+SUMIF([1]Futuros!$AD:$AD,$A2&amp;"_"&amp;AIT$11,[1]Futuros!$AK:$AK)+SUMIF([1]Opciones!$AF:$AF,$A2&amp;"_"&amp;AIT$11,[1]Opciones!$AO:$AO)</f>
        <v>#VALUE!</v>
      </c>
      <c r="AIU2" t="e">
        <f>+SUMIF([1]Cartera!$R:$R,$A2&amp;"_"&amp;AIU$11,[1]Cartera!$J:$J)+SUMIF([1]Futuros!$AD:$AD,$A2&amp;"_"&amp;AIU$11,[1]Futuros!$AK:$AK)+SUMIF([1]Opciones!$AF:$AF,$A2&amp;"_"&amp;AIU$11,[1]Opciones!$AO:$AO)</f>
        <v>#VALUE!</v>
      </c>
      <c r="AIV2" t="e">
        <f>+SUMIF([1]Cartera!$R:$R,$A2&amp;"_"&amp;AIV$11,[1]Cartera!$J:$J)+SUMIF([1]Futuros!$AD:$AD,$A2&amp;"_"&amp;AIV$11,[1]Futuros!$AK:$AK)+SUMIF([1]Opciones!$AF:$AF,$A2&amp;"_"&amp;AIV$11,[1]Opciones!$AO:$AO)</f>
        <v>#VALUE!</v>
      </c>
      <c r="AIW2" t="e">
        <f>+SUMIF([1]Cartera!$R:$R,$A2&amp;"_"&amp;AIW$11,[1]Cartera!$J:$J)+SUMIF([1]Futuros!$AD:$AD,$A2&amp;"_"&amp;AIW$11,[1]Futuros!$AK:$AK)+SUMIF([1]Opciones!$AF:$AF,$A2&amp;"_"&amp;AIW$11,[1]Opciones!$AO:$AO)</f>
        <v>#VALUE!</v>
      </c>
      <c r="AIX2" t="e">
        <f>+SUMIF([1]Cartera!$R:$R,$A2&amp;"_"&amp;AIX$11,[1]Cartera!$J:$J)+SUMIF([1]Futuros!$AD:$AD,$A2&amp;"_"&amp;AIX$11,[1]Futuros!$AK:$AK)+SUMIF([1]Opciones!$AF:$AF,$A2&amp;"_"&amp;AIX$11,[1]Opciones!$AO:$AO)</f>
        <v>#VALUE!</v>
      </c>
      <c r="AIY2" t="e">
        <f>+SUMIF([1]Cartera!$R:$R,$A2&amp;"_"&amp;AIY$11,[1]Cartera!$J:$J)+SUMIF([1]Futuros!$AD:$AD,$A2&amp;"_"&amp;AIY$11,[1]Futuros!$AK:$AK)+SUMIF([1]Opciones!$AF:$AF,$A2&amp;"_"&amp;AIY$11,[1]Opciones!$AO:$AO)</f>
        <v>#VALUE!</v>
      </c>
      <c r="AIZ2" t="e">
        <f>+SUMIF([1]Cartera!$R:$R,$A2&amp;"_"&amp;AIZ$11,[1]Cartera!$J:$J)+SUMIF([1]Futuros!$AD:$AD,$A2&amp;"_"&amp;AIZ$11,[1]Futuros!$AK:$AK)+SUMIF([1]Opciones!$AF:$AF,$A2&amp;"_"&amp;AIZ$11,[1]Opciones!$AO:$AO)</f>
        <v>#VALUE!</v>
      </c>
      <c r="AJA2" t="e">
        <f>+SUMIF([1]Cartera!$R:$R,$A2&amp;"_"&amp;AJA$11,[1]Cartera!$J:$J)+SUMIF([1]Futuros!$AD:$AD,$A2&amp;"_"&amp;AJA$11,[1]Futuros!$AK:$AK)+SUMIF([1]Opciones!$AF:$AF,$A2&amp;"_"&amp;AJA$11,[1]Opciones!$AO:$AO)</f>
        <v>#VALUE!</v>
      </c>
      <c r="AJB2" t="e">
        <f>+SUMIF([1]Cartera!$R:$R,$A2&amp;"_"&amp;AJB$11,[1]Cartera!$J:$J)+SUMIF([1]Futuros!$AD:$AD,$A2&amp;"_"&amp;AJB$11,[1]Futuros!$AK:$AK)+SUMIF([1]Opciones!$AF:$AF,$A2&amp;"_"&amp;AJB$11,[1]Opciones!$AO:$AO)</f>
        <v>#VALUE!</v>
      </c>
      <c r="AJC2" t="e">
        <f>+SUMIF([1]Cartera!$R:$R,$A2&amp;"_"&amp;AJC$11,[1]Cartera!$J:$J)+SUMIF([1]Futuros!$AD:$AD,$A2&amp;"_"&amp;AJC$11,[1]Futuros!$AK:$AK)+SUMIF([1]Opciones!$AF:$AF,$A2&amp;"_"&amp;AJC$11,[1]Opciones!$AO:$AO)</f>
        <v>#VALUE!</v>
      </c>
      <c r="AJD2" t="e">
        <f>+SUMIF([1]Cartera!$R:$R,$A2&amp;"_"&amp;AJD$11,[1]Cartera!$J:$J)+SUMIF([1]Futuros!$AD:$AD,$A2&amp;"_"&amp;AJD$11,[1]Futuros!$AK:$AK)+SUMIF([1]Opciones!$AF:$AF,$A2&amp;"_"&amp;AJD$11,[1]Opciones!$AO:$AO)</f>
        <v>#VALUE!</v>
      </c>
      <c r="AJE2" t="e">
        <f>+SUMIF([1]Cartera!$R:$R,$A2&amp;"_"&amp;AJE$11,[1]Cartera!$J:$J)+SUMIF([1]Futuros!$AD:$AD,$A2&amp;"_"&amp;AJE$11,[1]Futuros!$AK:$AK)+SUMIF([1]Opciones!$AF:$AF,$A2&amp;"_"&amp;AJE$11,[1]Opciones!$AO:$AO)</f>
        <v>#VALUE!</v>
      </c>
      <c r="AJF2" t="e">
        <f>+SUMIF([1]Cartera!$R:$R,$A2&amp;"_"&amp;AJF$11,[1]Cartera!$J:$J)+SUMIF([1]Futuros!$AD:$AD,$A2&amp;"_"&amp;AJF$11,[1]Futuros!$AK:$AK)+SUMIF([1]Opciones!$AF:$AF,$A2&amp;"_"&amp;AJF$11,[1]Opciones!$AO:$AO)</f>
        <v>#VALUE!</v>
      </c>
      <c r="AJG2" t="e">
        <f>+SUMIF([1]Cartera!$R:$R,$A2&amp;"_"&amp;AJG$11,[1]Cartera!$J:$J)+SUMIF([1]Futuros!$AD:$AD,$A2&amp;"_"&amp;AJG$11,[1]Futuros!$AK:$AK)+SUMIF([1]Opciones!$AF:$AF,$A2&amp;"_"&amp;AJG$11,[1]Opciones!$AO:$AO)</f>
        <v>#VALUE!</v>
      </c>
      <c r="AJH2" t="e">
        <f>+SUMIF([1]Cartera!$R:$R,$A2&amp;"_"&amp;AJH$11,[1]Cartera!$J:$J)+SUMIF([1]Futuros!$AD:$AD,$A2&amp;"_"&amp;AJH$11,[1]Futuros!$AK:$AK)+SUMIF([1]Opciones!$AF:$AF,$A2&amp;"_"&amp;AJH$11,[1]Opciones!$AO:$AO)</f>
        <v>#VALUE!</v>
      </c>
      <c r="AJI2" t="e">
        <f>+SUMIF([1]Cartera!$R:$R,$A2&amp;"_"&amp;AJI$11,[1]Cartera!$J:$J)+SUMIF([1]Futuros!$AD:$AD,$A2&amp;"_"&amp;AJI$11,[1]Futuros!$AK:$AK)+SUMIF([1]Opciones!$AF:$AF,$A2&amp;"_"&amp;AJI$11,[1]Opciones!$AO:$AO)</f>
        <v>#VALUE!</v>
      </c>
      <c r="AJJ2" t="e">
        <f>+SUMIF([1]Cartera!$R:$R,$A2&amp;"_"&amp;AJJ$11,[1]Cartera!$J:$J)+SUMIF([1]Futuros!$AD:$AD,$A2&amp;"_"&amp;AJJ$11,[1]Futuros!$AK:$AK)+SUMIF([1]Opciones!$AF:$AF,$A2&amp;"_"&amp;AJJ$11,[1]Opciones!$AO:$AO)</f>
        <v>#VALUE!</v>
      </c>
      <c r="AJK2" t="e">
        <f>+SUMIF([1]Cartera!$R:$R,$A2&amp;"_"&amp;AJK$11,[1]Cartera!$J:$J)+SUMIF([1]Futuros!$AD:$AD,$A2&amp;"_"&amp;AJK$11,[1]Futuros!$AK:$AK)+SUMIF([1]Opciones!$AF:$AF,$A2&amp;"_"&amp;AJK$11,[1]Opciones!$AO:$AO)</f>
        <v>#VALUE!</v>
      </c>
      <c r="AJL2" t="e">
        <f>+SUMIF([1]Cartera!$R:$R,$A2&amp;"_"&amp;AJL$11,[1]Cartera!$J:$J)+SUMIF([1]Futuros!$AD:$AD,$A2&amp;"_"&amp;AJL$11,[1]Futuros!$AK:$AK)+SUMIF([1]Opciones!$AF:$AF,$A2&amp;"_"&amp;AJL$11,[1]Opciones!$AO:$AO)</f>
        <v>#VALUE!</v>
      </c>
      <c r="AJM2" t="e">
        <f>+SUMIF([1]Cartera!$R:$R,$A2&amp;"_"&amp;AJM$11,[1]Cartera!$J:$J)+SUMIF([1]Futuros!$AD:$AD,$A2&amp;"_"&amp;AJM$11,[1]Futuros!$AK:$AK)+SUMIF([1]Opciones!$AF:$AF,$A2&amp;"_"&amp;AJM$11,[1]Opciones!$AO:$AO)</f>
        <v>#VALUE!</v>
      </c>
      <c r="AJN2" t="e">
        <f>+SUMIF([1]Cartera!$R:$R,$A2&amp;"_"&amp;AJN$11,[1]Cartera!$J:$J)+SUMIF([1]Futuros!$AD:$AD,$A2&amp;"_"&amp;AJN$11,[1]Futuros!$AK:$AK)+SUMIF([1]Opciones!$AF:$AF,$A2&amp;"_"&amp;AJN$11,[1]Opciones!$AO:$AO)</f>
        <v>#VALUE!</v>
      </c>
      <c r="AJO2" t="e">
        <f>+SUMIF([1]Cartera!$R:$R,$A2&amp;"_"&amp;AJO$11,[1]Cartera!$J:$J)+SUMIF([1]Futuros!$AD:$AD,$A2&amp;"_"&amp;AJO$11,[1]Futuros!$AK:$AK)+SUMIF([1]Opciones!$AF:$AF,$A2&amp;"_"&amp;AJO$11,[1]Opciones!$AO:$AO)</f>
        <v>#VALUE!</v>
      </c>
      <c r="AJP2" t="e">
        <f>+SUMIF([1]Cartera!$R:$R,$A2&amp;"_"&amp;AJP$11,[1]Cartera!$J:$J)+SUMIF([1]Futuros!$AD:$AD,$A2&amp;"_"&amp;AJP$11,[1]Futuros!$AK:$AK)+SUMIF([1]Opciones!$AF:$AF,$A2&amp;"_"&amp;AJP$11,[1]Opciones!$AO:$AO)</f>
        <v>#VALUE!</v>
      </c>
      <c r="AJQ2" t="e">
        <f>+SUMIF([1]Cartera!$R:$R,$A2&amp;"_"&amp;AJQ$11,[1]Cartera!$J:$J)+SUMIF([1]Futuros!$AD:$AD,$A2&amp;"_"&amp;AJQ$11,[1]Futuros!$AK:$AK)+SUMIF([1]Opciones!$AF:$AF,$A2&amp;"_"&amp;AJQ$11,[1]Opciones!$AO:$AO)</f>
        <v>#VALUE!</v>
      </c>
      <c r="AJR2" t="e">
        <f>+SUMIF([1]Cartera!$R:$R,$A2&amp;"_"&amp;AJR$11,[1]Cartera!$J:$J)+SUMIF([1]Futuros!$AD:$AD,$A2&amp;"_"&amp;AJR$11,[1]Futuros!$AK:$AK)+SUMIF([1]Opciones!$AF:$AF,$A2&amp;"_"&amp;AJR$11,[1]Opciones!$AO:$AO)</f>
        <v>#VALUE!</v>
      </c>
      <c r="AJS2" t="e">
        <f>+SUMIF([1]Cartera!$R:$R,$A2&amp;"_"&amp;AJS$11,[1]Cartera!$J:$J)+SUMIF([1]Futuros!$AD:$AD,$A2&amp;"_"&amp;AJS$11,[1]Futuros!$AK:$AK)+SUMIF([1]Opciones!$AF:$AF,$A2&amp;"_"&amp;AJS$11,[1]Opciones!$AO:$AO)</f>
        <v>#VALUE!</v>
      </c>
      <c r="AJT2" t="e">
        <f>+SUMIF([1]Cartera!$R:$R,$A2&amp;"_"&amp;AJT$11,[1]Cartera!$J:$J)+SUMIF([1]Futuros!$AD:$AD,$A2&amp;"_"&amp;AJT$11,[1]Futuros!$AK:$AK)+SUMIF([1]Opciones!$AF:$AF,$A2&amp;"_"&amp;AJT$11,[1]Opciones!$AO:$AO)</f>
        <v>#VALUE!</v>
      </c>
      <c r="AJU2" t="e">
        <f>+SUMIF([1]Cartera!$R:$R,$A2&amp;"_"&amp;AJU$11,[1]Cartera!$J:$J)+SUMIF([1]Futuros!$AD:$AD,$A2&amp;"_"&amp;AJU$11,[1]Futuros!$AK:$AK)+SUMIF([1]Opciones!$AF:$AF,$A2&amp;"_"&amp;AJU$11,[1]Opciones!$AO:$AO)</f>
        <v>#VALUE!</v>
      </c>
      <c r="AJV2" t="e">
        <f>+SUMIF([1]Cartera!$R:$R,$A2&amp;"_"&amp;AJV$11,[1]Cartera!$J:$J)+SUMIF([1]Futuros!$AD:$AD,$A2&amp;"_"&amp;AJV$11,[1]Futuros!$AK:$AK)+SUMIF([1]Opciones!$AF:$AF,$A2&amp;"_"&amp;AJV$11,[1]Opciones!$AO:$AO)</f>
        <v>#VALUE!</v>
      </c>
      <c r="AJW2" t="e">
        <f>+SUMIF([1]Cartera!$R:$R,$A2&amp;"_"&amp;AJW$11,[1]Cartera!$J:$J)+SUMIF([1]Futuros!$AD:$AD,$A2&amp;"_"&amp;AJW$11,[1]Futuros!$AK:$AK)+SUMIF([1]Opciones!$AF:$AF,$A2&amp;"_"&amp;AJW$11,[1]Opciones!$AO:$AO)</f>
        <v>#VALUE!</v>
      </c>
      <c r="AJX2" t="e">
        <f>+SUMIF([1]Cartera!$R:$R,$A2&amp;"_"&amp;AJX$11,[1]Cartera!$J:$J)+SUMIF([1]Futuros!$AD:$AD,$A2&amp;"_"&amp;AJX$11,[1]Futuros!$AK:$AK)+SUMIF([1]Opciones!$AF:$AF,$A2&amp;"_"&amp;AJX$11,[1]Opciones!$AO:$AO)</f>
        <v>#VALUE!</v>
      </c>
      <c r="AJY2" t="e">
        <f>+SUMIF([1]Cartera!$R:$R,$A2&amp;"_"&amp;AJY$11,[1]Cartera!$J:$J)+SUMIF([1]Futuros!$AD:$AD,$A2&amp;"_"&amp;AJY$11,[1]Futuros!$AK:$AK)+SUMIF([1]Opciones!$AF:$AF,$A2&amp;"_"&amp;AJY$11,[1]Opciones!$AO:$AO)</f>
        <v>#VALUE!</v>
      </c>
      <c r="AJZ2" t="e">
        <f>+SUMIF([1]Cartera!$R:$R,$A2&amp;"_"&amp;AJZ$11,[1]Cartera!$J:$J)+SUMIF([1]Futuros!$AD:$AD,$A2&amp;"_"&amp;AJZ$11,[1]Futuros!$AK:$AK)+SUMIF([1]Opciones!$AF:$AF,$A2&amp;"_"&amp;AJZ$11,[1]Opciones!$AO:$AO)</f>
        <v>#VALUE!</v>
      </c>
      <c r="AKA2" t="e">
        <f>+SUMIF([1]Cartera!$R:$R,$A2&amp;"_"&amp;AKA$11,[1]Cartera!$J:$J)+SUMIF([1]Futuros!$AD:$AD,$A2&amp;"_"&amp;AKA$11,[1]Futuros!$AK:$AK)+SUMIF([1]Opciones!$AF:$AF,$A2&amp;"_"&amp;AKA$11,[1]Opciones!$AO:$AO)</f>
        <v>#VALUE!</v>
      </c>
      <c r="AKB2" t="e">
        <f>+SUMIF([1]Cartera!$R:$R,$A2&amp;"_"&amp;AKB$11,[1]Cartera!$J:$J)+SUMIF([1]Futuros!$AD:$AD,$A2&amp;"_"&amp;AKB$11,[1]Futuros!$AK:$AK)+SUMIF([1]Opciones!$AF:$AF,$A2&amp;"_"&amp;AKB$11,[1]Opciones!$AO:$AO)</f>
        <v>#VALUE!</v>
      </c>
      <c r="AKC2" t="e">
        <f>+SUMIF([1]Cartera!$R:$R,$A2&amp;"_"&amp;AKC$11,[1]Cartera!$J:$J)+SUMIF([1]Futuros!$AD:$AD,$A2&amp;"_"&amp;AKC$11,[1]Futuros!$AK:$AK)+SUMIF([1]Opciones!$AF:$AF,$A2&amp;"_"&amp;AKC$11,[1]Opciones!$AO:$AO)</f>
        <v>#VALUE!</v>
      </c>
      <c r="AKD2" t="e">
        <f>+SUMIF([1]Cartera!$R:$R,$A2&amp;"_"&amp;AKD$11,[1]Cartera!$J:$J)+SUMIF([1]Futuros!$AD:$AD,$A2&amp;"_"&amp;AKD$11,[1]Futuros!$AK:$AK)+SUMIF([1]Opciones!$AF:$AF,$A2&amp;"_"&amp;AKD$11,[1]Opciones!$AO:$AO)</f>
        <v>#VALUE!</v>
      </c>
      <c r="AKE2" t="e">
        <f>+SUMIF([1]Cartera!$R:$R,$A2&amp;"_"&amp;AKE$11,[1]Cartera!$J:$J)+SUMIF([1]Futuros!$AD:$AD,$A2&amp;"_"&amp;AKE$11,[1]Futuros!$AK:$AK)+SUMIF([1]Opciones!$AF:$AF,$A2&amp;"_"&amp;AKE$11,[1]Opciones!$AO:$AO)</f>
        <v>#VALUE!</v>
      </c>
      <c r="AKF2" t="e">
        <f>+SUMIF([1]Cartera!$R:$R,$A2&amp;"_"&amp;AKF$11,[1]Cartera!$J:$J)+SUMIF([1]Futuros!$AD:$AD,$A2&amp;"_"&amp;AKF$11,[1]Futuros!$AK:$AK)+SUMIF([1]Opciones!$AF:$AF,$A2&amp;"_"&amp;AKF$11,[1]Opciones!$AO:$AO)</f>
        <v>#VALUE!</v>
      </c>
      <c r="AKG2" t="e">
        <f>+SUMIF([1]Cartera!$R:$R,$A2&amp;"_"&amp;AKG$11,[1]Cartera!$J:$J)+SUMIF([1]Futuros!$AD:$AD,$A2&amp;"_"&amp;AKG$11,[1]Futuros!$AK:$AK)+SUMIF([1]Opciones!$AF:$AF,$A2&amp;"_"&amp;AKG$11,[1]Opciones!$AO:$AO)</f>
        <v>#VALUE!</v>
      </c>
      <c r="AKH2" t="e">
        <f>+SUMIF([1]Cartera!$R:$R,$A2&amp;"_"&amp;AKH$11,[1]Cartera!$J:$J)+SUMIF([1]Futuros!$AD:$AD,$A2&amp;"_"&amp;AKH$11,[1]Futuros!$AK:$AK)+SUMIF([1]Opciones!$AF:$AF,$A2&amp;"_"&amp;AKH$11,[1]Opciones!$AO:$AO)</f>
        <v>#VALUE!</v>
      </c>
      <c r="AKI2" t="e">
        <f>+SUMIF([1]Cartera!$R:$R,$A2&amp;"_"&amp;AKI$11,[1]Cartera!$J:$J)+SUMIF([1]Futuros!$AD:$AD,$A2&amp;"_"&amp;AKI$11,[1]Futuros!$AK:$AK)+SUMIF([1]Opciones!$AF:$AF,$A2&amp;"_"&amp;AKI$11,[1]Opciones!$AO:$AO)</f>
        <v>#VALUE!</v>
      </c>
      <c r="AKJ2" t="e">
        <f>+SUMIF([1]Cartera!$R:$R,$A2&amp;"_"&amp;AKJ$11,[1]Cartera!$J:$J)+SUMIF([1]Futuros!$AD:$AD,$A2&amp;"_"&amp;AKJ$11,[1]Futuros!$AK:$AK)+SUMIF([1]Opciones!$AF:$AF,$A2&amp;"_"&amp;AKJ$11,[1]Opciones!$AO:$AO)</f>
        <v>#VALUE!</v>
      </c>
      <c r="AKK2" t="e">
        <f>+SUMIF([1]Cartera!$R:$R,$A2&amp;"_"&amp;AKK$11,[1]Cartera!$J:$J)+SUMIF([1]Futuros!$AD:$AD,$A2&amp;"_"&amp;AKK$11,[1]Futuros!$AK:$AK)+SUMIF([1]Opciones!$AF:$AF,$A2&amp;"_"&amp;AKK$11,[1]Opciones!$AO:$AO)</f>
        <v>#VALUE!</v>
      </c>
      <c r="AKL2" t="e">
        <f>+SUMIF([1]Cartera!$R:$R,$A2&amp;"_"&amp;AKL$11,[1]Cartera!$J:$J)+SUMIF([1]Futuros!$AD:$AD,$A2&amp;"_"&amp;AKL$11,[1]Futuros!$AK:$AK)+SUMIF([1]Opciones!$AF:$AF,$A2&amp;"_"&amp;AKL$11,[1]Opciones!$AO:$AO)</f>
        <v>#VALUE!</v>
      </c>
      <c r="AKM2" t="e">
        <f>+SUMIF([1]Cartera!$R:$R,$A2&amp;"_"&amp;AKM$11,[1]Cartera!$J:$J)+SUMIF([1]Futuros!$AD:$AD,$A2&amp;"_"&amp;AKM$11,[1]Futuros!$AK:$AK)+SUMIF([1]Opciones!$AF:$AF,$A2&amp;"_"&amp;AKM$11,[1]Opciones!$AO:$AO)</f>
        <v>#VALUE!</v>
      </c>
      <c r="AKN2" t="e">
        <f>+SUMIF([1]Cartera!$R:$R,$A2&amp;"_"&amp;AKN$11,[1]Cartera!$J:$J)+SUMIF([1]Futuros!$AD:$AD,$A2&amp;"_"&amp;AKN$11,[1]Futuros!$AK:$AK)+SUMIF([1]Opciones!$AF:$AF,$A2&amp;"_"&amp;AKN$11,[1]Opciones!$AO:$AO)</f>
        <v>#VALUE!</v>
      </c>
      <c r="AKO2" t="e">
        <f>+SUMIF([1]Cartera!$R:$R,$A2&amp;"_"&amp;AKO$11,[1]Cartera!$J:$J)+SUMIF([1]Futuros!$AD:$AD,$A2&amp;"_"&amp;AKO$11,[1]Futuros!$AK:$AK)+SUMIF([1]Opciones!$AF:$AF,$A2&amp;"_"&amp;AKO$11,[1]Opciones!$AO:$AO)</f>
        <v>#VALUE!</v>
      </c>
      <c r="AKP2" t="e">
        <f>+SUMIF([1]Cartera!$R:$R,$A2&amp;"_"&amp;AKP$11,[1]Cartera!$J:$J)+SUMIF([1]Futuros!$AD:$AD,$A2&amp;"_"&amp;AKP$11,[1]Futuros!$AK:$AK)+SUMIF([1]Opciones!$AF:$AF,$A2&amp;"_"&amp;AKP$11,[1]Opciones!$AO:$AO)</f>
        <v>#VALUE!</v>
      </c>
      <c r="AKQ2" t="e">
        <f>+SUMIF([1]Cartera!$R:$R,$A2&amp;"_"&amp;AKQ$11,[1]Cartera!$J:$J)+SUMIF([1]Futuros!$AD:$AD,$A2&amp;"_"&amp;AKQ$11,[1]Futuros!$AK:$AK)+SUMIF([1]Opciones!$AF:$AF,$A2&amp;"_"&amp;AKQ$11,[1]Opciones!$AO:$AO)</f>
        <v>#VALUE!</v>
      </c>
      <c r="AKR2" t="e">
        <f>+SUMIF([1]Cartera!$R:$R,$A2&amp;"_"&amp;AKR$11,[1]Cartera!$J:$J)+SUMIF([1]Futuros!$AD:$AD,$A2&amp;"_"&amp;AKR$11,[1]Futuros!$AK:$AK)+SUMIF([1]Opciones!$AF:$AF,$A2&amp;"_"&amp;AKR$11,[1]Opciones!$AO:$AO)</f>
        <v>#VALUE!</v>
      </c>
      <c r="AKS2" t="e">
        <f>+SUMIF([1]Cartera!$R:$R,$A2&amp;"_"&amp;AKS$11,[1]Cartera!$J:$J)+SUMIF([1]Futuros!$AD:$AD,$A2&amp;"_"&amp;AKS$11,[1]Futuros!$AK:$AK)+SUMIF([1]Opciones!$AF:$AF,$A2&amp;"_"&amp;AKS$11,[1]Opciones!$AO:$AO)</f>
        <v>#VALUE!</v>
      </c>
      <c r="AKT2" t="e">
        <f>+SUMIF([1]Cartera!$R:$R,$A2&amp;"_"&amp;AKT$11,[1]Cartera!$J:$J)+SUMIF([1]Futuros!$AD:$AD,$A2&amp;"_"&amp;AKT$11,[1]Futuros!$AK:$AK)+SUMIF([1]Opciones!$AF:$AF,$A2&amp;"_"&amp;AKT$11,[1]Opciones!$AO:$AO)</f>
        <v>#VALUE!</v>
      </c>
      <c r="AKU2" t="e">
        <f>+SUMIF([1]Cartera!$R:$R,$A2&amp;"_"&amp;AKU$11,[1]Cartera!$J:$J)+SUMIF([1]Futuros!$AD:$AD,$A2&amp;"_"&amp;AKU$11,[1]Futuros!$AK:$AK)+SUMIF([1]Opciones!$AF:$AF,$A2&amp;"_"&amp;AKU$11,[1]Opciones!$AO:$AO)</f>
        <v>#VALUE!</v>
      </c>
      <c r="AKV2" t="e">
        <f>+SUMIF([1]Cartera!$R:$R,$A2&amp;"_"&amp;AKV$11,[1]Cartera!$J:$J)+SUMIF([1]Futuros!$AD:$AD,$A2&amp;"_"&amp;AKV$11,[1]Futuros!$AK:$AK)+SUMIF([1]Opciones!$AF:$AF,$A2&amp;"_"&amp;AKV$11,[1]Opciones!$AO:$AO)</f>
        <v>#VALUE!</v>
      </c>
      <c r="AKW2" t="e">
        <f>+SUMIF([1]Cartera!$R:$R,$A2&amp;"_"&amp;AKW$11,[1]Cartera!$J:$J)+SUMIF([1]Futuros!$AD:$AD,$A2&amp;"_"&amp;AKW$11,[1]Futuros!$AK:$AK)+SUMIF([1]Opciones!$AF:$AF,$A2&amp;"_"&amp;AKW$11,[1]Opciones!$AO:$AO)</f>
        <v>#VALUE!</v>
      </c>
      <c r="AKX2" t="e">
        <f>+SUMIF([1]Cartera!$R:$R,$A2&amp;"_"&amp;AKX$11,[1]Cartera!$J:$J)+SUMIF([1]Futuros!$AD:$AD,$A2&amp;"_"&amp;AKX$11,[1]Futuros!$AK:$AK)+SUMIF([1]Opciones!$AF:$AF,$A2&amp;"_"&amp;AKX$11,[1]Opciones!$AO:$AO)</f>
        <v>#VALUE!</v>
      </c>
      <c r="AKY2" t="e">
        <f>+SUMIF([1]Cartera!$R:$R,$A2&amp;"_"&amp;AKY$11,[1]Cartera!$J:$J)+SUMIF([1]Futuros!$AD:$AD,$A2&amp;"_"&amp;AKY$11,[1]Futuros!$AK:$AK)+SUMIF([1]Opciones!$AF:$AF,$A2&amp;"_"&amp;AKY$11,[1]Opciones!$AO:$AO)</f>
        <v>#VALUE!</v>
      </c>
      <c r="AKZ2" t="e">
        <f>+SUMIF([1]Cartera!$R:$R,$A2&amp;"_"&amp;AKZ$11,[1]Cartera!$J:$J)+SUMIF([1]Futuros!$AD:$AD,$A2&amp;"_"&amp;AKZ$11,[1]Futuros!$AK:$AK)+SUMIF([1]Opciones!$AF:$AF,$A2&amp;"_"&amp;AKZ$11,[1]Opciones!$AO:$AO)</f>
        <v>#VALUE!</v>
      </c>
      <c r="ALA2" t="e">
        <f>+SUMIF([1]Cartera!$R:$R,$A2&amp;"_"&amp;ALA$11,[1]Cartera!$J:$J)+SUMIF([1]Futuros!$AD:$AD,$A2&amp;"_"&amp;ALA$11,[1]Futuros!$AK:$AK)+SUMIF([1]Opciones!$AF:$AF,$A2&amp;"_"&amp;ALA$11,[1]Opciones!$AO:$AO)</f>
        <v>#VALUE!</v>
      </c>
      <c r="ALB2" t="e">
        <f>+SUMIF([1]Cartera!$R:$R,$A2&amp;"_"&amp;ALB$11,[1]Cartera!$J:$J)+SUMIF([1]Futuros!$AD:$AD,$A2&amp;"_"&amp;ALB$11,[1]Futuros!$AK:$AK)+SUMIF([1]Opciones!$AF:$AF,$A2&amp;"_"&amp;ALB$11,[1]Opciones!$AO:$AO)</f>
        <v>#VALUE!</v>
      </c>
      <c r="ALC2" t="e">
        <f>+SUMIF([1]Cartera!$R:$R,$A2&amp;"_"&amp;ALC$11,[1]Cartera!$J:$J)+SUMIF([1]Futuros!$AD:$AD,$A2&amp;"_"&amp;ALC$11,[1]Futuros!$AK:$AK)+SUMIF([1]Opciones!$AF:$AF,$A2&amp;"_"&amp;ALC$11,[1]Opciones!$AO:$AO)</f>
        <v>#VALUE!</v>
      </c>
      <c r="ALD2" t="e">
        <f>+SUMIF([1]Cartera!$R:$R,$A2&amp;"_"&amp;ALD$11,[1]Cartera!$J:$J)+SUMIF([1]Futuros!$AD:$AD,$A2&amp;"_"&amp;ALD$11,[1]Futuros!$AK:$AK)+SUMIF([1]Opciones!$AF:$AF,$A2&amp;"_"&amp;ALD$11,[1]Opciones!$AO:$AO)</f>
        <v>#VALUE!</v>
      </c>
      <c r="ALE2" t="e">
        <f>+SUMIF([1]Cartera!$R:$R,$A2&amp;"_"&amp;ALE$11,[1]Cartera!$J:$J)+SUMIF([1]Futuros!$AD:$AD,$A2&amp;"_"&amp;ALE$11,[1]Futuros!$AK:$AK)+SUMIF([1]Opciones!$AF:$AF,$A2&amp;"_"&amp;ALE$11,[1]Opciones!$AO:$AO)</f>
        <v>#VALUE!</v>
      </c>
      <c r="ALF2" t="e">
        <f>+SUMIF([1]Cartera!$R:$R,$A2&amp;"_"&amp;ALF$11,[1]Cartera!$J:$J)+SUMIF([1]Futuros!$AD:$AD,$A2&amp;"_"&amp;ALF$11,[1]Futuros!$AK:$AK)+SUMIF([1]Opciones!$AF:$AF,$A2&amp;"_"&amp;ALF$11,[1]Opciones!$AO:$AO)</f>
        <v>#VALUE!</v>
      </c>
      <c r="ALG2" t="e">
        <f>+SUMIF([1]Cartera!$R:$R,$A2&amp;"_"&amp;ALG$11,[1]Cartera!$J:$J)+SUMIF([1]Futuros!$AD:$AD,$A2&amp;"_"&amp;ALG$11,[1]Futuros!$AK:$AK)+SUMIF([1]Opciones!$AF:$AF,$A2&amp;"_"&amp;ALG$11,[1]Opciones!$AO:$AO)</f>
        <v>#VALUE!</v>
      </c>
      <c r="ALH2" t="e">
        <f>+SUMIF([1]Cartera!$R:$R,$A2&amp;"_"&amp;ALH$11,[1]Cartera!$J:$J)+SUMIF([1]Futuros!$AD:$AD,$A2&amp;"_"&amp;ALH$11,[1]Futuros!$AK:$AK)+SUMIF([1]Opciones!$AF:$AF,$A2&amp;"_"&amp;ALH$11,[1]Opciones!$AO:$AO)</f>
        <v>#VALUE!</v>
      </c>
      <c r="ALI2" t="e">
        <f>+SUMIF([1]Cartera!$R:$R,$A2&amp;"_"&amp;ALI$11,[1]Cartera!$J:$J)+SUMIF([1]Futuros!$AD:$AD,$A2&amp;"_"&amp;ALI$11,[1]Futuros!$AK:$AK)+SUMIF([1]Opciones!$AF:$AF,$A2&amp;"_"&amp;ALI$11,[1]Opciones!$AO:$AO)</f>
        <v>#VALUE!</v>
      </c>
      <c r="ALJ2" t="e">
        <f>+SUMIF([1]Cartera!$R:$R,$A2&amp;"_"&amp;ALJ$11,[1]Cartera!$J:$J)+SUMIF([1]Futuros!$AD:$AD,$A2&amp;"_"&amp;ALJ$11,[1]Futuros!$AK:$AK)+SUMIF([1]Opciones!$AF:$AF,$A2&amp;"_"&amp;ALJ$11,[1]Opciones!$AO:$AO)</f>
        <v>#VALUE!</v>
      </c>
      <c r="ALK2" t="e">
        <f>+SUMIF([1]Cartera!$R:$R,$A2&amp;"_"&amp;ALK$11,[1]Cartera!$J:$J)+SUMIF([1]Futuros!$AD:$AD,$A2&amp;"_"&amp;ALK$11,[1]Futuros!$AK:$AK)+SUMIF([1]Opciones!$AF:$AF,$A2&amp;"_"&amp;ALK$11,[1]Opciones!$AO:$AO)</f>
        <v>#VALUE!</v>
      </c>
      <c r="ALL2" t="e">
        <f>+SUMIF([1]Cartera!$R:$R,$A2&amp;"_"&amp;ALL$11,[1]Cartera!$J:$J)+SUMIF([1]Futuros!$AD:$AD,$A2&amp;"_"&amp;ALL$11,[1]Futuros!$AK:$AK)+SUMIF([1]Opciones!$AF:$AF,$A2&amp;"_"&amp;ALL$11,[1]Opciones!$AO:$AO)</f>
        <v>#VALUE!</v>
      </c>
      <c r="ALM2" t="e">
        <f>+SUMIF([1]Cartera!$R:$R,$A2&amp;"_"&amp;ALM$11,[1]Cartera!$J:$J)+SUMIF([1]Futuros!$AD:$AD,$A2&amp;"_"&amp;ALM$11,[1]Futuros!$AK:$AK)+SUMIF([1]Opciones!$AF:$AF,$A2&amp;"_"&amp;ALM$11,[1]Opciones!$AO:$AO)</f>
        <v>#VALUE!</v>
      </c>
      <c r="ALN2" t="e">
        <f>+SUMIF([1]Cartera!$R:$R,$A2&amp;"_"&amp;ALN$11,[1]Cartera!$J:$J)+SUMIF([1]Futuros!$AD:$AD,$A2&amp;"_"&amp;ALN$11,[1]Futuros!$AK:$AK)+SUMIF([1]Opciones!$AF:$AF,$A2&amp;"_"&amp;ALN$11,[1]Opciones!$AO:$AO)</f>
        <v>#VALUE!</v>
      </c>
      <c r="ALO2" t="e">
        <f>+SUMIF([1]Cartera!$R:$R,$A2&amp;"_"&amp;ALO$11,[1]Cartera!$J:$J)+SUMIF([1]Futuros!$AD:$AD,$A2&amp;"_"&amp;ALO$11,[1]Futuros!$AK:$AK)+SUMIF([1]Opciones!$AF:$AF,$A2&amp;"_"&amp;ALO$11,[1]Opciones!$AO:$AO)</f>
        <v>#VALUE!</v>
      </c>
      <c r="ALP2" t="e">
        <f>+SUMIF([1]Cartera!$R:$R,$A2&amp;"_"&amp;ALP$11,[1]Cartera!$J:$J)+SUMIF([1]Futuros!$AD:$AD,$A2&amp;"_"&amp;ALP$11,[1]Futuros!$AK:$AK)+SUMIF([1]Opciones!$AF:$AF,$A2&amp;"_"&amp;ALP$11,[1]Opciones!$AO:$AO)</f>
        <v>#VALUE!</v>
      </c>
      <c r="ALQ2" t="e">
        <f>+SUMIF([1]Cartera!$R:$R,$A2&amp;"_"&amp;ALQ$11,[1]Cartera!$J:$J)+SUMIF([1]Futuros!$AD:$AD,$A2&amp;"_"&amp;ALQ$11,[1]Futuros!$AK:$AK)+SUMIF([1]Opciones!$AF:$AF,$A2&amp;"_"&amp;ALQ$11,[1]Opciones!$AO:$AO)</f>
        <v>#VALUE!</v>
      </c>
      <c r="ALR2" t="e">
        <f>+SUMIF([1]Cartera!$R:$R,$A2&amp;"_"&amp;ALR$11,[1]Cartera!$J:$J)+SUMIF([1]Futuros!$AD:$AD,$A2&amp;"_"&amp;ALR$11,[1]Futuros!$AK:$AK)+SUMIF([1]Opciones!$AF:$AF,$A2&amp;"_"&amp;ALR$11,[1]Opciones!$AO:$AO)</f>
        <v>#VALUE!</v>
      </c>
      <c r="ALS2" t="e">
        <f>+SUMIF([1]Cartera!$R:$R,$A2&amp;"_"&amp;ALS$11,[1]Cartera!$J:$J)+SUMIF([1]Futuros!$AD:$AD,$A2&amp;"_"&amp;ALS$11,[1]Futuros!$AK:$AK)+SUMIF([1]Opciones!$AF:$AF,$A2&amp;"_"&amp;ALS$11,[1]Opciones!$AO:$AO)</f>
        <v>#VALUE!</v>
      </c>
      <c r="ALT2" t="e">
        <f>+SUMIF([1]Cartera!$R:$R,$A2&amp;"_"&amp;ALT$11,[1]Cartera!$J:$J)+SUMIF([1]Futuros!$AD:$AD,$A2&amp;"_"&amp;ALT$11,[1]Futuros!$AK:$AK)+SUMIF([1]Opciones!$AF:$AF,$A2&amp;"_"&amp;ALT$11,[1]Opciones!$AO:$AO)</f>
        <v>#VALUE!</v>
      </c>
      <c r="ALU2" t="e">
        <f>+SUMIF([1]Cartera!$R:$R,$A2&amp;"_"&amp;ALU$11,[1]Cartera!$J:$J)+SUMIF([1]Futuros!$AD:$AD,$A2&amp;"_"&amp;ALU$11,[1]Futuros!$AK:$AK)+SUMIF([1]Opciones!$AF:$AF,$A2&amp;"_"&amp;ALU$11,[1]Opciones!$AO:$AO)</f>
        <v>#VALUE!</v>
      </c>
      <c r="ALV2" t="e">
        <f>+SUMIF([1]Cartera!$R:$R,$A2&amp;"_"&amp;ALV$11,[1]Cartera!$J:$J)+SUMIF([1]Futuros!$AD:$AD,$A2&amp;"_"&amp;ALV$11,[1]Futuros!$AK:$AK)+SUMIF([1]Opciones!$AF:$AF,$A2&amp;"_"&amp;ALV$11,[1]Opciones!$AO:$AO)</f>
        <v>#VALUE!</v>
      </c>
      <c r="ALW2" t="e">
        <f>+SUMIF([1]Cartera!$R:$R,$A2&amp;"_"&amp;ALW$11,[1]Cartera!$J:$J)+SUMIF([1]Futuros!$AD:$AD,$A2&amp;"_"&amp;ALW$11,[1]Futuros!$AK:$AK)+SUMIF([1]Opciones!$AF:$AF,$A2&amp;"_"&amp;ALW$11,[1]Opciones!$AO:$AO)</f>
        <v>#VALUE!</v>
      </c>
      <c r="ALX2" t="e">
        <f>+SUMIF([1]Cartera!$R:$R,$A2&amp;"_"&amp;ALX$11,[1]Cartera!$J:$J)+SUMIF([1]Futuros!$AD:$AD,$A2&amp;"_"&amp;ALX$11,[1]Futuros!$AK:$AK)+SUMIF([1]Opciones!$AF:$AF,$A2&amp;"_"&amp;ALX$11,[1]Opciones!$AO:$AO)</f>
        <v>#VALUE!</v>
      </c>
      <c r="ALY2" t="e">
        <f>+SUMIF([1]Cartera!$R:$R,$A2&amp;"_"&amp;ALY$11,[1]Cartera!$J:$J)+SUMIF([1]Futuros!$AD:$AD,$A2&amp;"_"&amp;ALY$11,[1]Futuros!$AK:$AK)+SUMIF([1]Opciones!$AF:$AF,$A2&amp;"_"&amp;ALY$11,[1]Opciones!$AO:$AO)</f>
        <v>#VALUE!</v>
      </c>
      <c r="ALZ2" t="e">
        <f>+SUMIF([1]Cartera!$R:$R,$A2&amp;"_"&amp;ALZ$11,[1]Cartera!$J:$J)+SUMIF([1]Futuros!$AD:$AD,$A2&amp;"_"&amp;ALZ$11,[1]Futuros!$AK:$AK)+SUMIF([1]Opciones!$AF:$AF,$A2&amp;"_"&amp;ALZ$11,[1]Opciones!$AO:$AO)</f>
        <v>#VALUE!</v>
      </c>
      <c r="AMA2" t="e">
        <f>+SUMIF([1]Cartera!$R:$R,$A2&amp;"_"&amp;AMA$11,[1]Cartera!$J:$J)+SUMIF([1]Futuros!$AD:$AD,$A2&amp;"_"&amp;AMA$11,[1]Futuros!$AK:$AK)+SUMIF([1]Opciones!$AF:$AF,$A2&amp;"_"&amp;AMA$11,[1]Opciones!$AO:$AO)</f>
        <v>#VALUE!</v>
      </c>
      <c r="AMB2" t="e">
        <f>+SUMIF([1]Cartera!$R:$R,$A2&amp;"_"&amp;AMB$11,[1]Cartera!$J:$J)+SUMIF([1]Futuros!$AD:$AD,$A2&amp;"_"&amp;AMB$11,[1]Futuros!$AK:$AK)+SUMIF([1]Opciones!$AF:$AF,$A2&amp;"_"&amp;AMB$11,[1]Opciones!$AO:$AO)</f>
        <v>#VALUE!</v>
      </c>
      <c r="AMC2" t="e">
        <f>+SUMIF([1]Cartera!$R:$R,$A2&amp;"_"&amp;AMC$11,[1]Cartera!$J:$J)+SUMIF([1]Futuros!$AD:$AD,$A2&amp;"_"&amp;AMC$11,[1]Futuros!$AK:$AK)+SUMIF([1]Opciones!$AF:$AF,$A2&amp;"_"&amp;AMC$11,[1]Opciones!$AO:$AO)</f>
        <v>#VALUE!</v>
      </c>
      <c r="AMD2" t="e">
        <f>+SUMIF([1]Cartera!$R:$R,$A2&amp;"_"&amp;AMD$11,[1]Cartera!$J:$J)+SUMIF([1]Futuros!$AD:$AD,$A2&amp;"_"&amp;AMD$11,[1]Futuros!$AK:$AK)+SUMIF([1]Opciones!$AF:$AF,$A2&amp;"_"&amp;AMD$11,[1]Opciones!$AO:$AO)</f>
        <v>#VALUE!</v>
      </c>
      <c r="AME2" t="e">
        <f>+SUMIF([1]Cartera!$R:$R,$A2&amp;"_"&amp;AME$11,[1]Cartera!$J:$J)+SUMIF([1]Futuros!$AD:$AD,$A2&amp;"_"&amp;AME$11,[1]Futuros!$AK:$AK)+SUMIF([1]Opciones!$AF:$AF,$A2&amp;"_"&amp;AME$11,[1]Opciones!$AO:$AO)</f>
        <v>#VALUE!</v>
      </c>
      <c r="AMF2" t="e">
        <f>+SUMIF([1]Cartera!$R:$R,$A2&amp;"_"&amp;AMF$11,[1]Cartera!$J:$J)+SUMIF([1]Futuros!$AD:$AD,$A2&amp;"_"&amp;AMF$11,[1]Futuros!$AK:$AK)+SUMIF([1]Opciones!$AF:$AF,$A2&amp;"_"&amp;AMF$11,[1]Opciones!$AO:$AO)</f>
        <v>#VALUE!</v>
      </c>
      <c r="AMG2" t="e">
        <f>+SUMIF([1]Cartera!$R:$R,$A2&amp;"_"&amp;AMG$11,[1]Cartera!$J:$J)+SUMIF([1]Futuros!$AD:$AD,$A2&amp;"_"&amp;AMG$11,[1]Futuros!$AK:$AK)+SUMIF([1]Opciones!$AF:$AF,$A2&amp;"_"&amp;AMG$11,[1]Opciones!$AO:$AO)</f>
        <v>#VALUE!</v>
      </c>
      <c r="AMH2" t="e">
        <f>+SUMIF([1]Cartera!$R:$R,$A2&amp;"_"&amp;AMH$11,[1]Cartera!$J:$J)+SUMIF([1]Futuros!$AD:$AD,$A2&amp;"_"&amp;AMH$11,[1]Futuros!$AK:$AK)+SUMIF([1]Opciones!$AF:$AF,$A2&amp;"_"&amp;AMH$11,[1]Opciones!$AO:$AO)</f>
        <v>#VALUE!</v>
      </c>
      <c r="AMI2" t="e">
        <f>+SUMIF([1]Cartera!$R:$R,$A2&amp;"_"&amp;AMI$11,[1]Cartera!$J:$J)+SUMIF([1]Futuros!$AD:$AD,$A2&amp;"_"&amp;AMI$11,[1]Futuros!$AK:$AK)+SUMIF([1]Opciones!$AF:$AF,$A2&amp;"_"&amp;AMI$11,[1]Opciones!$AO:$AO)</f>
        <v>#VALUE!</v>
      </c>
      <c r="AMJ2" t="e">
        <f>+SUMIF([1]Cartera!$R:$R,$A2&amp;"_"&amp;AMJ$11,[1]Cartera!$J:$J)+SUMIF([1]Futuros!$AD:$AD,$A2&amp;"_"&amp;AMJ$11,[1]Futuros!$AK:$AK)+SUMIF([1]Opciones!$AF:$AF,$A2&amp;"_"&amp;AMJ$11,[1]Opciones!$AO:$AO)</f>
        <v>#VALUE!</v>
      </c>
      <c r="AMK2" t="e">
        <f>+SUMIF([1]Cartera!$R:$R,$A2&amp;"_"&amp;AMK$11,[1]Cartera!$J:$J)+SUMIF([1]Futuros!$AD:$AD,$A2&amp;"_"&amp;AMK$11,[1]Futuros!$AK:$AK)+SUMIF([1]Opciones!$AF:$AF,$A2&amp;"_"&amp;AMK$11,[1]Opciones!$AO:$AO)</f>
        <v>#VALUE!</v>
      </c>
      <c r="AML2" t="e">
        <f>+SUMIF([1]Cartera!$R:$R,$A2&amp;"_"&amp;AML$11,[1]Cartera!$J:$J)+SUMIF([1]Futuros!$AD:$AD,$A2&amp;"_"&amp;AML$11,[1]Futuros!$AK:$AK)+SUMIF([1]Opciones!$AF:$AF,$A2&amp;"_"&amp;AML$11,[1]Opciones!$AO:$AO)</f>
        <v>#VALUE!</v>
      </c>
      <c r="AMM2" t="e">
        <f>+SUMIF([1]Cartera!$R:$R,$A2&amp;"_"&amp;AMM$11,[1]Cartera!$J:$J)+SUMIF([1]Futuros!$AD:$AD,$A2&amp;"_"&amp;AMM$11,[1]Futuros!$AK:$AK)+SUMIF([1]Opciones!$AF:$AF,$A2&amp;"_"&amp;AMM$11,[1]Opciones!$AO:$AO)</f>
        <v>#VALUE!</v>
      </c>
      <c r="AMN2" t="e">
        <f>+SUMIF([1]Cartera!$R:$R,$A2&amp;"_"&amp;AMN$11,[1]Cartera!$J:$J)+SUMIF([1]Futuros!$AD:$AD,$A2&amp;"_"&amp;AMN$11,[1]Futuros!$AK:$AK)+SUMIF([1]Opciones!$AF:$AF,$A2&amp;"_"&amp;AMN$11,[1]Opciones!$AO:$AO)</f>
        <v>#VALUE!</v>
      </c>
      <c r="AMO2" t="e">
        <f>+SUMIF([1]Cartera!$R:$R,$A2&amp;"_"&amp;AMO$11,[1]Cartera!$J:$J)+SUMIF([1]Futuros!$AD:$AD,$A2&amp;"_"&amp;AMO$11,[1]Futuros!$AK:$AK)+SUMIF([1]Opciones!$AF:$AF,$A2&amp;"_"&amp;AMO$11,[1]Opciones!$AO:$AO)</f>
        <v>#VALUE!</v>
      </c>
      <c r="AMP2" t="e">
        <f>+SUMIF([1]Cartera!$R:$R,$A2&amp;"_"&amp;AMP$11,[1]Cartera!$J:$J)+SUMIF([1]Futuros!$AD:$AD,$A2&amp;"_"&amp;AMP$11,[1]Futuros!$AK:$AK)+SUMIF([1]Opciones!$AF:$AF,$A2&amp;"_"&amp;AMP$11,[1]Opciones!$AO:$AO)</f>
        <v>#VALUE!</v>
      </c>
      <c r="AMQ2" t="e">
        <f>+SUMIF([1]Cartera!$R:$R,$A2&amp;"_"&amp;AMQ$11,[1]Cartera!$J:$J)+SUMIF([1]Futuros!$AD:$AD,$A2&amp;"_"&amp;AMQ$11,[1]Futuros!$AK:$AK)+SUMIF([1]Opciones!$AF:$AF,$A2&amp;"_"&amp;AMQ$11,[1]Opciones!$AO:$AO)</f>
        <v>#VALUE!</v>
      </c>
      <c r="AMR2" t="e">
        <f>+SUMIF([1]Cartera!$R:$R,$A2&amp;"_"&amp;AMR$11,[1]Cartera!$J:$J)+SUMIF([1]Futuros!$AD:$AD,$A2&amp;"_"&amp;AMR$11,[1]Futuros!$AK:$AK)+SUMIF([1]Opciones!$AF:$AF,$A2&amp;"_"&amp;AMR$11,[1]Opciones!$AO:$AO)</f>
        <v>#VALUE!</v>
      </c>
      <c r="AMS2" t="e">
        <f>+SUMIF([1]Cartera!$R:$R,$A2&amp;"_"&amp;AMS$11,[1]Cartera!$J:$J)+SUMIF([1]Futuros!$AD:$AD,$A2&amp;"_"&amp;AMS$11,[1]Futuros!$AK:$AK)+SUMIF([1]Opciones!$AF:$AF,$A2&amp;"_"&amp;AMS$11,[1]Opciones!$AO:$AO)</f>
        <v>#VALUE!</v>
      </c>
      <c r="AMT2" t="e">
        <f>+SUMIF([1]Cartera!$R:$R,$A2&amp;"_"&amp;AMT$11,[1]Cartera!$J:$J)+SUMIF([1]Futuros!$AD:$AD,$A2&amp;"_"&amp;AMT$11,[1]Futuros!$AK:$AK)+SUMIF([1]Opciones!$AF:$AF,$A2&amp;"_"&amp;AMT$11,[1]Opciones!$AO:$AO)</f>
        <v>#VALUE!</v>
      </c>
      <c r="AMU2" t="e">
        <f>+SUMIF([1]Cartera!$R:$R,$A2&amp;"_"&amp;AMU$11,[1]Cartera!$J:$J)+SUMIF([1]Futuros!$AD:$AD,$A2&amp;"_"&amp;AMU$11,[1]Futuros!$AK:$AK)+SUMIF([1]Opciones!$AF:$AF,$A2&amp;"_"&amp;AMU$11,[1]Opciones!$AO:$AO)</f>
        <v>#VALUE!</v>
      </c>
      <c r="AMV2" t="e">
        <f>+SUMIF([1]Cartera!$R:$R,$A2&amp;"_"&amp;AMV$11,[1]Cartera!$J:$J)+SUMIF([1]Futuros!$AD:$AD,$A2&amp;"_"&amp;AMV$11,[1]Futuros!$AK:$AK)+SUMIF([1]Opciones!$AF:$AF,$A2&amp;"_"&amp;AMV$11,[1]Opciones!$AO:$AO)</f>
        <v>#VALUE!</v>
      </c>
      <c r="AMW2" t="e">
        <f>+SUMIF([1]Cartera!$R:$R,$A2&amp;"_"&amp;AMW$11,[1]Cartera!$J:$J)+SUMIF([1]Futuros!$AD:$AD,$A2&amp;"_"&amp;AMW$11,[1]Futuros!$AK:$AK)+SUMIF([1]Opciones!$AF:$AF,$A2&amp;"_"&amp;AMW$11,[1]Opciones!$AO:$AO)</f>
        <v>#VALUE!</v>
      </c>
      <c r="AMX2" t="e">
        <f>+SUMIF([1]Cartera!$R:$R,$A2&amp;"_"&amp;AMX$11,[1]Cartera!$J:$J)+SUMIF([1]Futuros!$AD:$AD,$A2&amp;"_"&amp;AMX$11,[1]Futuros!$AK:$AK)+SUMIF([1]Opciones!$AF:$AF,$A2&amp;"_"&amp;AMX$11,[1]Opciones!$AO:$AO)</f>
        <v>#VALUE!</v>
      </c>
      <c r="AMY2" t="e">
        <f>+SUMIF([1]Cartera!$R:$R,$A2&amp;"_"&amp;AMY$11,[1]Cartera!$J:$J)+SUMIF([1]Futuros!$AD:$AD,$A2&amp;"_"&amp;AMY$11,[1]Futuros!$AK:$AK)+SUMIF([1]Opciones!$AF:$AF,$A2&amp;"_"&amp;AMY$11,[1]Opciones!$AO:$AO)</f>
        <v>#VALUE!</v>
      </c>
      <c r="AMZ2" t="e">
        <f>+SUMIF([1]Cartera!$R:$R,$A2&amp;"_"&amp;AMZ$11,[1]Cartera!$J:$J)+SUMIF([1]Futuros!$AD:$AD,$A2&amp;"_"&amp;AMZ$11,[1]Futuros!$AK:$AK)+SUMIF([1]Opciones!$AF:$AF,$A2&amp;"_"&amp;AMZ$11,[1]Opciones!$AO:$AO)</f>
        <v>#VALUE!</v>
      </c>
      <c r="ANA2" t="e">
        <f>+SUMIF([1]Cartera!$R:$R,$A2&amp;"_"&amp;ANA$11,[1]Cartera!$J:$J)+SUMIF([1]Futuros!$AD:$AD,$A2&amp;"_"&amp;ANA$11,[1]Futuros!$AK:$AK)+SUMIF([1]Opciones!$AF:$AF,$A2&amp;"_"&amp;ANA$11,[1]Opciones!$AO:$AO)</f>
        <v>#VALUE!</v>
      </c>
      <c r="ANB2" t="e">
        <f>+SUMIF([1]Cartera!$R:$R,$A2&amp;"_"&amp;ANB$11,[1]Cartera!$J:$J)+SUMIF([1]Futuros!$AD:$AD,$A2&amp;"_"&amp;ANB$11,[1]Futuros!$AK:$AK)+SUMIF([1]Opciones!$AF:$AF,$A2&amp;"_"&amp;ANB$11,[1]Opciones!$AO:$AO)</f>
        <v>#VALUE!</v>
      </c>
      <c r="ANC2" t="e">
        <f>+SUMIF([1]Cartera!$R:$R,$A2&amp;"_"&amp;ANC$11,[1]Cartera!$J:$J)+SUMIF([1]Futuros!$AD:$AD,$A2&amp;"_"&amp;ANC$11,[1]Futuros!$AK:$AK)+SUMIF([1]Opciones!$AF:$AF,$A2&amp;"_"&amp;ANC$11,[1]Opciones!$AO:$AO)</f>
        <v>#VALUE!</v>
      </c>
      <c r="AND2" t="e">
        <f>+SUMIF([1]Cartera!$R:$R,$A2&amp;"_"&amp;AND$11,[1]Cartera!$J:$J)+SUMIF([1]Futuros!$AD:$AD,$A2&amp;"_"&amp;AND$11,[1]Futuros!$AK:$AK)+SUMIF([1]Opciones!$AF:$AF,$A2&amp;"_"&amp;AND$11,[1]Opciones!$AO:$AO)</f>
        <v>#VALUE!</v>
      </c>
      <c r="ANE2" t="e">
        <f>+SUMIF([1]Cartera!$R:$R,$A2&amp;"_"&amp;ANE$11,[1]Cartera!$J:$J)+SUMIF([1]Futuros!$AD:$AD,$A2&amp;"_"&amp;ANE$11,[1]Futuros!$AK:$AK)+SUMIF([1]Opciones!$AF:$AF,$A2&amp;"_"&amp;ANE$11,[1]Opciones!$AO:$AO)</f>
        <v>#VALUE!</v>
      </c>
      <c r="ANF2" t="e">
        <f>+SUMIF([1]Cartera!$R:$R,$A2&amp;"_"&amp;ANF$11,[1]Cartera!$J:$J)+SUMIF([1]Futuros!$AD:$AD,$A2&amp;"_"&amp;ANF$11,[1]Futuros!$AK:$AK)+SUMIF([1]Opciones!$AF:$AF,$A2&amp;"_"&amp;ANF$11,[1]Opciones!$AO:$AO)</f>
        <v>#VALUE!</v>
      </c>
      <c r="ANG2" t="e">
        <f>+SUMIF([1]Cartera!$R:$R,$A2&amp;"_"&amp;ANG$11,[1]Cartera!$J:$J)+SUMIF([1]Futuros!$AD:$AD,$A2&amp;"_"&amp;ANG$11,[1]Futuros!$AK:$AK)+SUMIF([1]Opciones!$AF:$AF,$A2&amp;"_"&amp;ANG$11,[1]Opciones!$AO:$AO)</f>
        <v>#VALUE!</v>
      </c>
      <c r="ANH2" t="e">
        <f>+SUMIF([1]Cartera!$R:$R,$A2&amp;"_"&amp;ANH$11,[1]Cartera!$J:$J)+SUMIF([1]Futuros!$AD:$AD,$A2&amp;"_"&amp;ANH$11,[1]Futuros!$AK:$AK)+SUMIF([1]Opciones!$AF:$AF,$A2&amp;"_"&amp;ANH$11,[1]Opciones!$AO:$AO)</f>
        <v>#VALUE!</v>
      </c>
      <c r="ANI2" t="e">
        <f>+SUMIF([1]Cartera!$R:$R,$A2&amp;"_"&amp;ANI$11,[1]Cartera!$J:$J)+SUMIF([1]Futuros!$AD:$AD,$A2&amp;"_"&amp;ANI$11,[1]Futuros!$AK:$AK)+SUMIF([1]Opciones!$AF:$AF,$A2&amp;"_"&amp;ANI$11,[1]Opciones!$AO:$AO)</f>
        <v>#VALUE!</v>
      </c>
      <c r="ANJ2" t="e">
        <f>+SUMIF([1]Cartera!$R:$R,$A2&amp;"_"&amp;ANJ$11,[1]Cartera!$J:$J)+SUMIF([1]Futuros!$AD:$AD,$A2&amp;"_"&amp;ANJ$11,[1]Futuros!$AK:$AK)+SUMIF([1]Opciones!$AF:$AF,$A2&amp;"_"&amp;ANJ$11,[1]Opciones!$AO:$AO)</f>
        <v>#VALUE!</v>
      </c>
      <c r="ANK2" t="e">
        <f>+SUMIF([1]Cartera!$R:$R,$A2&amp;"_"&amp;ANK$11,[1]Cartera!$J:$J)+SUMIF([1]Futuros!$AD:$AD,$A2&amp;"_"&amp;ANK$11,[1]Futuros!$AK:$AK)+SUMIF([1]Opciones!$AF:$AF,$A2&amp;"_"&amp;ANK$11,[1]Opciones!$AO:$AO)</f>
        <v>#VALUE!</v>
      </c>
      <c r="ANL2" t="e">
        <f>+SUMIF([1]Cartera!$R:$R,$A2&amp;"_"&amp;ANL$11,[1]Cartera!$J:$J)+SUMIF([1]Futuros!$AD:$AD,$A2&amp;"_"&amp;ANL$11,[1]Futuros!$AK:$AK)+SUMIF([1]Opciones!$AF:$AF,$A2&amp;"_"&amp;ANL$11,[1]Opciones!$AO:$AO)</f>
        <v>#VALUE!</v>
      </c>
      <c r="ANM2" t="e">
        <f>+SUMIF([1]Cartera!$R:$R,$A2&amp;"_"&amp;ANM$11,[1]Cartera!$J:$J)+SUMIF([1]Futuros!$AD:$AD,$A2&amp;"_"&amp;ANM$11,[1]Futuros!$AK:$AK)+SUMIF([1]Opciones!$AF:$AF,$A2&amp;"_"&amp;ANM$11,[1]Opciones!$AO:$AO)</f>
        <v>#VALUE!</v>
      </c>
      <c r="ANN2" t="e">
        <f>+SUMIF([1]Cartera!$R:$R,$A2&amp;"_"&amp;ANN$11,[1]Cartera!$J:$J)+SUMIF([1]Futuros!$AD:$AD,$A2&amp;"_"&amp;ANN$11,[1]Futuros!$AK:$AK)+SUMIF([1]Opciones!$AF:$AF,$A2&amp;"_"&amp;ANN$11,[1]Opciones!$AO:$AO)</f>
        <v>#VALUE!</v>
      </c>
      <c r="ANO2" t="e">
        <f>+SUMIF([1]Cartera!$R:$R,$A2&amp;"_"&amp;ANO$11,[1]Cartera!$J:$J)+SUMIF([1]Futuros!$AD:$AD,$A2&amp;"_"&amp;ANO$11,[1]Futuros!$AK:$AK)+SUMIF([1]Opciones!$AF:$AF,$A2&amp;"_"&amp;ANO$11,[1]Opciones!$AO:$AO)</f>
        <v>#VALUE!</v>
      </c>
      <c r="ANP2" t="e">
        <f>+SUMIF([1]Cartera!$R:$R,$A2&amp;"_"&amp;ANP$11,[1]Cartera!$J:$J)+SUMIF([1]Futuros!$AD:$AD,$A2&amp;"_"&amp;ANP$11,[1]Futuros!$AK:$AK)+SUMIF([1]Opciones!$AF:$AF,$A2&amp;"_"&amp;ANP$11,[1]Opciones!$AO:$AO)</f>
        <v>#VALUE!</v>
      </c>
      <c r="ANQ2" t="e">
        <f>+SUMIF([1]Cartera!$R:$R,$A2&amp;"_"&amp;ANQ$11,[1]Cartera!$J:$J)+SUMIF([1]Futuros!$AD:$AD,$A2&amp;"_"&amp;ANQ$11,[1]Futuros!$AK:$AK)+SUMIF([1]Opciones!$AF:$AF,$A2&amp;"_"&amp;ANQ$11,[1]Opciones!$AO:$AO)</f>
        <v>#VALUE!</v>
      </c>
      <c r="ANR2" t="e">
        <f>+SUMIF([1]Cartera!$R:$R,$A2&amp;"_"&amp;ANR$11,[1]Cartera!$J:$J)+SUMIF([1]Futuros!$AD:$AD,$A2&amp;"_"&amp;ANR$11,[1]Futuros!$AK:$AK)+SUMIF([1]Opciones!$AF:$AF,$A2&amp;"_"&amp;ANR$11,[1]Opciones!$AO:$AO)</f>
        <v>#VALUE!</v>
      </c>
      <c r="ANS2" t="e">
        <f>+SUMIF([1]Cartera!$R:$R,$A2&amp;"_"&amp;ANS$11,[1]Cartera!$J:$J)+SUMIF([1]Futuros!$AD:$AD,$A2&amp;"_"&amp;ANS$11,[1]Futuros!$AK:$AK)+SUMIF([1]Opciones!$AF:$AF,$A2&amp;"_"&amp;ANS$11,[1]Opciones!$AO:$AO)</f>
        <v>#VALUE!</v>
      </c>
      <c r="ANT2" t="e">
        <f>+SUMIF([1]Cartera!$R:$R,$A2&amp;"_"&amp;ANT$11,[1]Cartera!$J:$J)+SUMIF([1]Futuros!$AD:$AD,$A2&amp;"_"&amp;ANT$11,[1]Futuros!$AK:$AK)+SUMIF([1]Opciones!$AF:$AF,$A2&amp;"_"&amp;ANT$11,[1]Opciones!$AO:$AO)</f>
        <v>#VALUE!</v>
      </c>
      <c r="ANU2" t="e">
        <f>+SUMIF([1]Cartera!$R:$R,$A2&amp;"_"&amp;ANU$11,[1]Cartera!$J:$J)+SUMIF([1]Futuros!$AD:$AD,$A2&amp;"_"&amp;ANU$11,[1]Futuros!$AK:$AK)+SUMIF([1]Opciones!$AF:$AF,$A2&amp;"_"&amp;ANU$11,[1]Opciones!$AO:$AO)</f>
        <v>#VALUE!</v>
      </c>
      <c r="ANV2" t="e">
        <f>+SUMIF([1]Cartera!$R:$R,$A2&amp;"_"&amp;ANV$11,[1]Cartera!$J:$J)+SUMIF([1]Futuros!$AD:$AD,$A2&amp;"_"&amp;ANV$11,[1]Futuros!$AK:$AK)+SUMIF([1]Opciones!$AF:$AF,$A2&amp;"_"&amp;ANV$11,[1]Opciones!$AO:$AO)</f>
        <v>#VALUE!</v>
      </c>
      <c r="ANW2" t="e">
        <f>+SUMIF([1]Cartera!$R:$R,$A2&amp;"_"&amp;ANW$11,[1]Cartera!$J:$J)+SUMIF([1]Futuros!$AD:$AD,$A2&amp;"_"&amp;ANW$11,[1]Futuros!$AK:$AK)+SUMIF([1]Opciones!$AF:$AF,$A2&amp;"_"&amp;ANW$11,[1]Opciones!$AO:$AO)</f>
        <v>#VALUE!</v>
      </c>
      <c r="ANX2" t="e">
        <f>+SUMIF([1]Cartera!$R:$R,$A2&amp;"_"&amp;ANX$11,[1]Cartera!$J:$J)+SUMIF([1]Futuros!$AD:$AD,$A2&amp;"_"&amp;ANX$11,[1]Futuros!$AK:$AK)+SUMIF([1]Opciones!$AF:$AF,$A2&amp;"_"&amp;ANX$11,[1]Opciones!$AO:$AO)</f>
        <v>#VALUE!</v>
      </c>
      <c r="ANY2" t="e">
        <f>+SUMIF([1]Cartera!$R:$R,$A2&amp;"_"&amp;ANY$11,[1]Cartera!$J:$J)+SUMIF([1]Futuros!$AD:$AD,$A2&amp;"_"&amp;ANY$11,[1]Futuros!$AK:$AK)+SUMIF([1]Opciones!$AF:$AF,$A2&amp;"_"&amp;ANY$11,[1]Opciones!$AO:$AO)</f>
        <v>#VALUE!</v>
      </c>
      <c r="ANZ2" t="e">
        <f>+SUMIF([1]Cartera!$R:$R,$A2&amp;"_"&amp;ANZ$11,[1]Cartera!$J:$J)+SUMIF([1]Futuros!$AD:$AD,$A2&amp;"_"&amp;ANZ$11,[1]Futuros!$AK:$AK)+SUMIF([1]Opciones!$AF:$AF,$A2&amp;"_"&amp;ANZ$11,[1]Opciones!$AO:$AO)</f>
        <v>#VALUE!</v>
      </c>
      <c r="AOA2" t="e">
        <f>+SUMIF([1]Cartera!$R:$R,$A2&amp;"_"&amp;AOA$11,[1]Cartera!$J:$J)+SUMIF([1]Futuros!$AD:$AD,$A2&amp;"_"&amp;AOA$11,[1]Futuros!$AK:$AK)+SUMIF([1]Opciones!$AF:$AF,$A2&amp;"_"&amp;AOA$11,[1]Opciones!$AO:$AO)</f>
        <v>#VALUE!</v>
      </c>
      <c r="AOB2" t="e">
        <f>+SUMIF([1]Cartera!$R:$R,$A2&amp;"_"&amp;AOB$11,[1]Cartera!$J:$J)+SUMIF([1]Futuros!$AD:$AD,$A2&amp;"_"&amp;AOB$11,[1]Futuros!$AK:$AK)+SUMIF([1]Opciones!$AF:$AF,$A2&amp;"_"&amp;AOB$11,[1]Opciones!$AO:$AO)</f>
        <v>#VALUE!</v>
      </c>
      <c r="AOC2" t="e">
        <f>+SUMIF([1]Cartera!$R:$R,$A2&amp;"_"&amp;AOC$11,[1]Cartera!$J:$J)+SUMIF([1]Futuros!$AD:$AD,$A2&amp;"_"&amp;AOC$11,[1]Futuros!$AK:$AK)+SUMIF([1]Opciones!$AF:$AF,$A2&amp;"_"&amp;AOC$11,[1]Opciones!$AO:$AO)</f>
        <v>#VALUE!</v>
      </c>
      <c r="AOD2" t="e">
        <f>+SUMIF([1]Cartera!$R:$R,$A2&amp;"_"&amp;AOD$11,[1]Cartera!$J:$J)+SUMIF([1]Futuros!$AD:$AD,$A2&amp;"_"&amp;AOD$11,[1]Futuros!$AK:$AK)+SUMIF([1]Opciones!$AF:$AF,$A2&amp;"_"&amp;AOD$11,[1]Opciones!$AO:$AO)</f>
        <v>#VALUE!</v>
      </c>
      <c r="AOE2" t="e">
        <f>+SUMIF([1]Cartera!$R:$R,$A2&amp;"_"&amp;AOE$11,[1]Cartera!$J:$J)+SUMIF([1]Futuros!$AD:$AD,$A2&amp;"_"&amp;AOE$11,[1]Futuros!$AK:$AK)+SUMIF([1]Opciones!$AF:$AF,$A2&amp;"_"&amp;AOE$11,[1]Opciones!$AO:$AO)</f>
        <v>#VALUE!</v>
      </c>
      <c r="AOF2" t="e">
        <f>+SUMIF([1]Cartera!$R:$R,$A2&amp;"_"&amp;AOF$11,[1]Cartera!$J:$J)+SUMIF([1]Futuros!$AD:$AD,$A2&amp;"_"&amp;AOF$11,[1]Futuros!$AK:$AK)+SUMIF([1]Opciones!$AF:$AF,$A2&amp;"_"&amp;AOF$11,[1]Opciones!$AO:$AO)</f>
        <v>#VALUE!</v>
      </c>
      <c r="AOG2" t="e">
        <f>+SUMIF([1]Cartera!$R:$R,$A2&amp;"_"&amp;AOG$11,[1]Cartera!$J:$J)+SUMIF([1]Futuros!$AD:$AD,$A2&amp;"_"&amp;AOG$11,[1]Futuros!$AK:$AK)+SUMIF([1]Opciones!$AF:$AF,$A2&amp;"_"&amp;AOG$11,[1]Opciones!$AO:$AO)</f>
        <v>#VALUE!</v>
      </c>
      <c r="AOH2" t="e">
        <f>+SUMIF([1]Cartera!$R:$R,$A2&amp;"_"&amp;AOH$11,[1]Cartera!$J:$J)+SUMIF([1]Futuros!$AD:$AD,$A2&amp;"_"&amp;AOH$11,[1]Futuros!$AK:$AK)+SUMIF([1]Opciones!$AF:$AF,$A2&amp;"_"&amp;AOH$11,[1]Opciones!$AO:$AO)</f>
        <v>#VALUE!</v>
      </c>
      <c r="AOI2" t="e">
        <f>+SUMIF([1]Cartera!$R:$R,$A2&amp;"_"&amp;AOI$11,[1]Cartera!$J:$J)+SUMIF([1]Futuros!$AD:$AD,$A2&amp;"_"&amp;AOI$11,[1]Futuros!$AK:$AK)+SUMIF([1]Opciones!$AF:$AF,$A2&amp;"_"&amp;AOI$11,[1]Opciones!$AO:$AO)</f>
        <v>#VALUE!</v>
      </c>
      <c r="AOJ2" t="e">
        <f>+SUMIF([1]Cartera!$R:$R,$A2&amp;"_"&amp;AOJ$11,[1]Cartera!$J:$J)+SUMIF([1]Futuros!$AD:$AD,$A2&amp;"_"&amp;AOJ$11,[1]Futuros!$AK:$AK)+SUMIF([1]Opciones!$AF:$AF,$A2&amp;"_"&amp;AOJ$11,[1]Opciones!$AO:$AO)</f>
        <v>#VALUE!</v>
      </c>
      <c r="AOK2" t="e">
        <f>+SUMIF([1]Cartera!$R:$R,$A2&amp;"_"&amp;AOK$11,[1]Cartera!$J:$J)+SUMIF([1]Futuros!$AD:$AD,$A2&amp;"_"&amp;AOK$11,[1]Futuros!$AK:$AK)+SUMIF([1]Opciones!$AF:$AF,$A2&amp;"_"&amp;AOK$11,[1]Opciones!$AO:$AO)</f>
        <v>#VALUE!</v>
      </c>
      <c r="AOL2" t="e">
        <f>+SUMIF([1]Cartera!$R:$R,$A2&amp;"_"&amp;AOL$11,[1]Cartera!$J:$J)+SUMIF([1]Futuros!$AD:$AD,$A2&amp;"_"&amp;AOL$11,[1]Futuros!$AK:$AK)+SUMIF([1]Opciones!$AF:$AF,$A2&amp;"_"&amp;AOL$11,[1]Opciones!$AO:$AO)</f>
        <v>#VALUE!</v>
      </c>
      <c r="AOM2" t="e">
        <f>+SUMIF([1]Cartera!$R:$R,$A2&amp;"_"&amp;AOM$11,[1]Cartera!$J:$J)+SUMIF([1]Futuros!$AD:$AD,$A2&amp;"_"&amp;AOM$11,[1]Futuros!$AK:$AK)+SUMIF([1]Opciones!$AF:$AF,$A2&amp;"_"&amp;AOM$11,[1]Opciones!$AO:$AO)</f>
        <v>#VALUE!</v>
      </c>
      <c r="AON2" t="e">
        <f>+SUMIF([1]Cartera!$R:$R,$A2&amp;"_"&amp;AON$11,[1]Cartera!$J:$J)+SUMIF([1]Futuros!$AD:$AD,$A2&amp;"_"&amp;AON$11,[1]Futuros!$AK:$AK)+SUMIF([1]Opciones!$AF:$AF,$A2&amp;"_"&amp;AON$11,[1]Opciones!$AO:$AO)</f>
        <v>#VALUE!</v>
      </c>
      <c r="AOO2" t="e">
        <f>+SUMIF([1]Cartera!$R:$R,$A2&amp;"_"&amp;AOO$11,[1]Cartera!$J:$J)+SUMIF([1]Futuros!$AD:$AD,$A2&amp;"_"&amp;AOO$11,[1]Futuros!$AK:$AK)+SUMIF([1]Opciones!$AF:$AF,$A2&amp;"_"&amp;AOO$11,[1]Opciones!$AO:$AO)</f>
        <v>#VALUE!</v>
      </c>
      <c r="AOP2" t="e">
        <f>+SUMIF([1]Cartera!$R:$R,$A2&amp;"_"&amp;AOP$11,[1]Cartera!$J:$J)+SUMIF([1]Futuros!$AD:$AD,$A2&amp;"_"&amp;AOP$11,[1]Futuros!$AK:$AK)+SUMIF([1]Opciones!$AF:$AF,$A2&amp;"_"&amp;AOP$11,[1]Opciones!$AO:$AO)</f>
        <v>#VALUE!</v>
      </c>
      <c r="AOQ2" t="e">
        <f>+SUMIF([1]Cartera!$R:$R,$A2&amp;"_"&amp;AOQ$11,[1]Cartera!$J:$J)+SUMIF([1]Futuros!$AD:$AD,$A2&amp;"_"&amp;AOQ$11,[1]Futuros!$AK:$AK)+SUMIF([1]Opciones!$AF:$AF,$A2&amp;"_"&amp;AOQ$11,[1]Opciones!$AO:$AO)</f>
        <v>#VALUE!</v>
      </c>
      <c r="AOR2" t="e">
        <f>+SUMIF([1]Cartera!$R:$R,$A2&amp;"_"&amp;AOR$11,[1]Cartera!$J:$J)+SUMIF([1]Futuros!$AD:$AD,$A2&amp;"_"&amp;AOR$11,[1]Futuros!$AK:$AK)+SUMIF([1]Opciones!$AF:$AF,$A2&amp;"_"&amp;AOR$11,[1]Opciones!$AO:$AO)</f>
        <v>#VALUE!</v>
      </c>
      <c r="AOS2" t="e">
        <f>+SUMIF([1]Cartera!$R:$R,$A2&amp;"_"&amp;AOS$11,[1]Cartera!$J:$J)+SUMIF([1]Futuros!$AD:$AD,$A2&amp;"_"&amp;AOS$11,[1]Futuros!$AK:$AK)+SUMIF([1]Opciones!$AF:$AF,$A2&amp;"_"&amp;AOS$11,[1]Opciones!$AO:$AO)</f>
        <v>#VALUE!</v>
      </c>
      <c r="AOT2" t="e">
        <f>+SUMIF([1]Cartera!$R:$R,$A2&amp;"_"&amp;AOT$11,[1]Cartera!$J:$J)+SUMIF([1]Futuros!$AD:$AD,$A2&amp;"_"&amp;AOT$11,[1]Futuros!$AK:$AK)+SUMIF([1]Opciones!$AF:$AF,$A2&amp;"_"&amp;AOT$11,[1]Opciones!$AO:$AO)</f>
        <v>#VALUE!</v>
      </c>
      <c r="AOU2" t="e">
        <f>+SUMIF([1]Cartera!$R:$R,$A2&amp;"_"&amp;AOU$11,[1]Cartera!$J:$J)+SUMIF([1]Futuros!$AD:$AD,$A2&amp;"_"&amp;AOU$11,[1]Futuros!$AK:$AK)+SUMIF([1]Opciones!$AF:$AF,$A2&amp;"_"&amp;AOU$11,[1]Opciones!$AO:$AO)</f>
        <v>#VALUE!</v>
      </c>
      <c r="AOV2" t="e">
        <f>+SUMIF([1]Cartera!$R:$R,$A2&amp;"_"&amp;AOV$11,[1]Cartera!$J:$J)+SUMIF([1]Futuros!$AD:$AD,$A2&amp;"_"&amp;AOV$11,[1]Futuros!$AK:$AK)+SUMIF([1]Opciones!$AF:$AF,$A2&amp;"_"&amp;AOV$11,[1]Opciones!$AO:$AO)</f>
        <v>#VALUE!</v>
      </c>
      <c r="AOW2" t="e">
        <f>+SUMIF([1]Cartera!$R:$R,$A2&amp;"_"&amp;AOW$11,[1]Cartera!$J:$J)+SUMIF([1]Futuros!$AD:$AD,$A2&amp;"_"&amp;AOW$11,[1]Futuros!$AK:$AK)+SUMIF([1]Opciones!$AF:$AF,$A2&amp;"_"&amp;AOW$11,[1]Opciones!$AO:$AO)</f>
        <v>#VALUE!</v>
      </c>
      <c r="AOX2" t="e">
        <f>+SUMIF([1]Cartera!$R:$R,$A2&amp;"_"&amp;AOX$11,[1]Cartera!$J:$J)+SUMIF([1]Futuros!$AD:$AD,$A2&amp;"_"&amp;AOX$11,[1]Futuros!$AK:$AK)+SUMIF([1]Opciones!$AF:$AF,$A2&amp;"_"&amp;AOX$11,[1]Opciones!$AO:$AO)</f>
        <v>#VALUE!</v>
      </c>
      <c r="AOY2" t="e">
        <f>+SUMIF([1]Cartera!$R:$R,$A2&amp;"_"&amp;AOY$11,[1]Cartera!$J:$J)+SUMIF([1]Futuros!$AD:$AD,$A2&amp;"_"&amp;AOY$11,[1]Futuros!$AK:$AK)+SUMIF([1]Opciones!$AF:$AF,$A2&amp;"_"&amp;AOY$11,[1]Opciones!$AO:$AO)</f>
        <v>#VALUE!</v>
      </c>
      <c r="AOZ2" t="e">
        <f>+SUMIF([1]Cartera!$R:$R,$A2&amp;"_"&amp;AOZ$11,[1]Cartera!$J:$J)+SUMIF([1]Futuros!$AD:$AD,$A2&amp;"_"&amp;AOZ$11,[1]Futuros!$AK:$AK)+SUMIF([1]Opciones!$AF:$AF,$A2&amp;"_"&amp;AOZ$11,[1]Opciones!$AO:$AO)</f>
        <v>#VALUE!</v>
      </c>
      <c r="APA2" t="e">
        <f>+SUMIF([1]Cartera!$R:$R,$A2&amp;"_"&amp;APA$11,[1]Cartera!$J:$J)+SUMIF([1]Futuros!$AD:$AD,$A2&amp;"_"&amp;APA$11,[1]Futuros!$AK:$AK)+SUMIF([1]Opciones!$AF:$AF,$A2&amp;"_"&amp;APA$11,[1]Opciones!$AO:$AO)</f>
        <v>#VALUE!</v>
      </c>
      <c r="APB2" t="e">
        <f>+SUMIF([1]Cartera!$R:$R,$A2&amp;"_"&amp;APB$11,[1]Cartera!$J:$J)+SUMIF([1]Futuros!$AD:$AD,$A2&amp;"_"&amp;APB$11,[1]Futuros!$AK:$AK)+SUMIF([1]Opciones!$AF:$AF,$A2&amp;"_"&amp;APB$11,[1]Opciones!$AO:$AO)</f>
        <v>#VALUE!</v>
      </c>
      <c r="APC2" t="e">
        <f>+SUMIF([1]Cartera!$R:$R,$A2&amp;"_"&amp;APC$11,[1]Cartera!$J:$J)+SUMIF([1]Futuros!$AD:$AD,$A2&amp;"_"&amp;APC$11,[1]Futuros!$AK:$AK)+SUMIF([1]Opciones!$AF:$AF,$A2&amp;"_"&amp;APC$11,[1]Opciones!$AO:$AO)</f>
        <v>#VALUE!</v>
      </c>
      <c r="APD2" t="e">
        <f>+SUMIF([1]Cartera!$R:$R,$A2&amp;"_"&amp;APD$11,[1]Cartera!$J:$J)+SUMIF([1]Futuros!$AD:$AD,$A2&amp;"_"&amp;APD$11,[1]Futuros!$AK:$AK)+SUMIF([1]Opciones!$AF:$AF,$A2&amp;"_"&amp;APD$11,[1]Opciones!$AO:$AO)</f>
        <v>#VALUE!</v>
      </c>
      <c r="APE2" t="e">
        <f>+SUMIF([1]Cartera!$R:$R,$A2&amp;"_"&amp;APE$11,[1]Cartera!$J:$J)+SUMIF([1]Futuros!$AD:$AD,$A2&amp;"_"&amp;APE$11,[1]Futuros!$AK:$AK)+SUMIF([1]Opciones!$AF:$AF,$A2&amp;"_"&amp;APE$11,[1]Opciones!$AO:$AO)</f>
        <v>#VALUE!</v>
      </c>
      <c r="APF2" t="e">
        <f>+SUMIF([1]Cartera!$R:$R,$A2&amp;"_"&amp;APF$11,[1]Cartera!$J:$J)+SUMIF([1]Futuros!$AD:$AD,$A2&amp;"_"&amp;APF$11,[1]Futuros!$AK:$AK)+SUMIF([1]Opciones!$AF:$AF,$A2&amp;"_"&amp;APF$11,[1]Opciones!$AO:$AO)</f>
        <v>#VALUE!</v>
      </c>
      <c r="APG2" t="e">
        <f>+SUMIF([1]Cartera!$R:$R,$A2&amp;"_"&amp;APG$11,[1]Cartera!$J:$J)+SUMIF([1]Futuros!$AD:$AD,$A2&amp;"_"&amp;APG$11,[1]Futuros!$AK:$AK)+SUMIF([1]Opciones!$AF:$AF,$A2&amp;"_"&amp;APG$11,[1]Opciones!$AO:$AO)</f>
        <v>#VALUE!</v>
      </c>
      <c r="APH2" t="e">
        <f>+SUMIF([1]Cartera!$R:$R,$A2&amp;"_"&amp;APH$11,[1]Cartera!$J:$J)+SUMIF([1]Futuros!$AD:$AD,$A2&amp;"_"&amp;APH$11,[1]Futuros!$AK:$AK)+SUMIF([1]Opciones!$AF:$AF,$A2&amp;"_"&amp;APH$11,[1]Opciones!$AO:$AO)</f>
        <v>#VALUE!</v>
      </c>
      <c r="API2" t="e">
        <f>+SUMIF([1]Cartera!$R:$R,$A2&amp;"_"&amp;API$11,[1]Cartera!$J:$J)+SUMIF([1]Futuros!$AD:$AD,$A2&amp;"_"&amp;API$11,[1]Futuros!$AK:$AK)+SUMIF([1]Opciones!$AF:$AF,$A2&amp;"_"&amp;API$11,[1]Opciones!$AO:$AO)</f>
        <v>#VALUE!</v>
      </c>
      <c r="APJ2" t="e">
        <f>+SUMIF([1]Cartera!$R:$R,$A2&amp;"_"&amp;APJ$11,[1]Cartera!$J:$J)+SUMIF([1]Futuros!$AD:$AD,$A2&amp;"_"&amp;APJ$11,[1]Futuros!$AK:$AK)+SUMIF([1]Opciones!$AF:$AF,$A2&amp;"_"&amp;APJ$11,[1]Opciones!$AO:$AO)</f>
        <v>#VALUE!</v>
      </c>
      <c r="APK2" t="e">
        <f>+SUMIF([1]Cartera!$R:$R,$A2&amp;"_"&amp;APK$11,[1]Cartera!$J:$J)+SUMIF([1]Futuros!$AD:$AD,$A2&amp;"_"&amp;APK$11,[1]Futuros!$AK:$AK)+SUMIF([1]Opciones!$AF:$AF,$A2&amp;"_"&amp;APK$11,[1]Opciones!$AO:$AO)</f>
        <v>#VALUE!</v>
      </c>
      <c r="APL2" t="e">
        <f>+SUMIF([1]Cartera!$R:$R,$A2&amp;"_"&amp;APL$11,[1]Cartera!$J:$J)+SUMIF([1]Futuros!$AD:$AD,$A2&amp;"_"&amp;APL$11,[1]Futuros!$AK:$AK)+SUMIF([1]Opciones!$AF:$AF,$A2&amp;"_"&amp;APL$11,[1]Opciones!$AO:$AO)</f>
        <v>#VALUE!</v>
      </c>
      <c r="APM2" t="e">
        <f>+SUMIF([1]Cartera!$R:$R,$A2&amp;"_"&amp;APM$11,[1]Cartera!$J:$J)+SUMIF([1]Futuros!$AD:$AD,$A2&amp;"_"&amp;APM$11,[1]Futuros!$AK:$AK)+SUMIF([1]Opciones!$AF:$AF,$A2&amp;"_"&amp;APM$11,[1]Opciones!$AO:$AO)</f>
        <v>#VALUE!</v>
      </c>
      <c r="APN2" t="e">
        <f>+SUMIF([1]Cartera!$R:$R,$A2&amp;"_"&amp;APN$11,[1]Cartera!$J:$J)+SUMIF([1]Futuros!$AD:$AD,$A2&amp;"_"&amp;APN$11,[1]Futuros!$AK:$AK)+SUMIF([1]Opciones!$AF:$AF,$A2&amp;"_"&amp;APN$11,[1]Opciones!$AO:$AO)</f>
        <v>#VALUE!</v>
      </c>
      <c r="APO2" t="e">
        <f>+SUMIF([1]Cartera!$R:$R,$A2&amp;"_"&amp;APO$11,[1]Cartera!$J:$J)+SUMIF([1]Futuros!$AD:$AD,$A2&amp;"_"&amp;APO$11,[1]Futuros!$AK:$AK)+SUMIF([1]Opciones!$AF:$AF,$A2&amp;"_"&amp;APO$11,[1]Opciones!$AO:$AO)</f>
        <v>#VALUE!</v>
      </c>
      <c r="APP2" t="e">
        <f>+SUMIF([1]Cartera!$R:$R,$A2&amp;"_"&amp;APP$11,[1]Cartera!$J:$J)+SUMIF([1]Futuros!$AD:$AD,$A2&amp;"_"&amp;APP$11,[1]Futuros!$AK:$AK)+SUMIF([1]Opciones!$AF:$AF,$A2&amp;"_"&amp;APP$11,[1]Opciones!$AO:$AO)</f>
        <v>#VALUE!</v>
      </c>
      <c r="APQ2" t="e">
        <f>+SUMIF([1]Cartera!$R:$R,$A2&amp;"_"&amp;APQ$11,[1]Cartera!$J:$J)+SUMIF([1]Futuros!$AD:$AD,$A2&amp;"_"&amp;APQ$11,[1]Futuros!$AK:$AK)+SUMIF([1]Opciones!$AF:$AF,$A2&amp;"_"&amp;APQ$11,[1]Opciones!$AO:$AO)</f>
        <v>#VALUE!</v>
      </c>
      <c r="APR2" t="e">
        <f>+SUMIF([1]Cartera!$R:$R,$A2&amp;"_"&amp;APR$11,[1]Cartera!$J:$J)+SUMIF([1]Futuros!$AD:$AD,$A2&amp;"_"&amp;APR$11,[1]Futuros!$AK:$AK)+SUMIF([1]Opciones!$AF:$AF,$A2&amp;"_"&amp;APR$11,[1]Opciones!$AO:$AO)</f>
        <v>#VALUE!</v>
      </c>
      <c r="APS2" t="e">
        <f>+SUMIF([1]Cartera!$R:$R,$A2&amp;"_"&amp;APS$11,[1]Cartera!$J:$J)+SUMIF([1]Futuros!$AD:$AD,$A2&amp;"_"&amp;APS$11,[1]Futuros!$AK:$AK)+SUMIF([1]Opciones!$AF:$AF,$A2&amp;"_"&amp;APS$11,[1]Opciones!$AO:$AO)</f>
        <v>#VALUE!</v>
      </c>
      <c r="APT2" t="e">
        <f>+SUMIF([1]Cartera!$R:$R,$A2&amp;"_"&amp;APT$11,[1]Cartera!$J:$J)+SUMIF([1]Futuros!$AD:$AD,$A2&amp;"_"&amp;APT$11,[1]Futuros!$AK:$AK)+SUMIF([1]Opciones!$AF:$AF,$A2&amp;"_"&amp;APT$11,[1]Opciones!$AO:$AO)</f>
        <v>#VALUE!</v>
      </c>
      <c r="APU2" t="e">
        <f>+SUMIF([1]Cartera!$R:$R,$A2&amp;"_"&amp;APU$11,[1]Cartera!$J:$J)+SUMIF([1]Futuros!$AD:$AD,$A2&amp;"_"&amp;APU$11,[1]Futuros!$AK:$AK)+SUMIF([1]Opciones!$AF:$AF,$A2&amp;"_"&amp;APU$11,[1]Opciones!$AO:$AO)</f>
        <v>#VALUE!</v>
      </c>
      <c r="APV2" t="e">
        <f>+SUMIF([1]Cartera!$R:$R,$A2&amp;"_"&amp;APV$11,[1]Cartera!$J:$J)+SUMIF([1]Futuros!$AD:$AD,$A2&amp;"_"&amp;APV$11,[1]Futuros!$AK:$AK)+SUMIF([1]Opciones!$AF:$AF,$A2&amp;"_"&amp;APV$11,[1]Opciones!$AO:$AO)</f>
        <v>#VALUE!</v>
      </c>
      <c r="APW2" t="e">
        <f>+SUMIF([1]Cartera!$R:$R,$A2&amp;"_"&amp;APW$11,[1]Cartera!$J:$J)+SUMIF([1]Futuros!$AD:$AD,$A2&amp;"_"&amp;APW$11,[1]Futuros!$AK:$AK)+SUMIF([1]Opciones!$AF:$AF,$A2&amp;"_"&amp;APW$11,[1]Opciones!$AO:$AO)</f>
        <v>#VALUE!</v>
      </c>
      <c r="APX2" t="e">
        <f>+SUMIF([1]Cartera!$R:$R,$A2&amp;"_"&amp;APX$11,[1]Cartera!$J:$J)+SUMIF([1]Futuros!$AD:$AD,$A2&amp;"_"&amp;APX$11,[1]Futuros!$AK:$AK)+SUMIF([1]Opciones!$AF:$AF,$A2&amp;"_"&amp;APX$11,[1]Opciones!$AO:$AO)</f>
        <v>#VALUE!</v>
      </c>
      <c r="APY2" t="e">
        <f>+SUMIF([1]Cartera!$R:$R,$A2&amp;"_"&amp;APY$11,[1]Cartera!$J:$J)+SUMIF([1]Futuros!$AD:$AD,$A2&amp;"_"&amp;APY$11,[1]Futuros!$AK:$AK)+SUMIF([1]Opciones!$AF:$AF,$A2&amp;"_"&amp;APY$11,[1]Opciones!$AO:$AO)</f>
        <v>#VALUE!</v>
      </c>
      <c r="APZ2" t="e">
        <f>+SUMIF([1]Cartera!$R:$R,$A2&amp;"_"&amp;APZ$11,[1]Cartera!$J:$J)+SUMIF([1]Futuros!$AD:$AD,$A2&amp;"_"&amp;APZ$11,[1]Futuros!$AK:$AK)+SUMIF([1]Opciones!$AF:$AF,$A2&amp;"_"&amp;APZ$11,[1]Opciones!$AO:$AO)</f>
        <v>#VALUE!</v>
      </c>
      <c r="AQA2" t="e">
        <f>+SUMIF([1]Cartera!$R:$R,$A2&amp;"_"&amp;AQA$11,[1]Cartera!$J:$J)+SUMIF([1]Futuros!$AD:$AD,$A2&amp;"_"&amp;AQA$11,[1]Futuros!$AK:$AK)+SUMIF([1]Opciones!$AF:$AF,$A2&amp;"_"&amp;AQA$11,[1]Opciones!$AO:$AO)</f>
        <v>#VALUE!</v>
      </c>
      <c r="AQB2" t="e">
        <f>+SUMIF([1]Cartera!$R:$R,$A2&amp;"_"&amp;AQB$11,[1]Cartera!$J:$J)+SUMIF([1]Futuros!$AD:$AD,$A2&amp;"_"&amp;AQB$11,[1]Futuros!$AK:$AK)+SUMIF([1]Opciones!$AF:$AF,$A2&amp;"_"&amp;AQB$11,[1]Opciones!$AO:$AO)</f>
        <v>#VALUE!</v>
      </c>
      <c r="AQC2" t="e">
        <f>+SUMIF([1]Cartera!$R:$R,$A2&amp;"_"&amp;AQC$11,[1]Cartera!$J:$J)+SUMIF([1]Futuros!$AD:$AD,$A2&amp;"_"&amp;AQC$11,[1]Futuros!$AK:$AK)+SUMIF([1]Opciones!$AF:$AF,$A2&amp;"_"&amp;AQC$11,[1]Opciones!$AO:$AO)</f>
        <v>#VALUE!</v>
      </c>
      <c r="AQD2" t="e">
        <f>+SUMIF([1]Cartera!$R:$R,$A2&amp;"_"&amp;AQD$11,[1]Cartera!$J:$J)+SUMIF([1]Futuros!$AD:$AD,$A2&amp;"_"&amp;AQD$11,[1]Futuros!$AK:$AK)+SUMIF([1]Opciones!$AF:$AF,$A2&amp;"_"&amp;AQD$11,[1]Opciones!$AO:$AO)</f>
        <v>#VALUE!</v>
      </c>
      <c r="AQE2" t="e">
        <f>+SUMIF([1]Cartera!$R:$R,$A2&amp;"_"&amp;AQE$11,[1]Cartera!$J:$J)+SUMIF([1]Futuros!$AD:$AD,$A2&amp;"_"&amp;AQE$11,[1]Futuros!$AK:$AK)+SUMIF([1]Opciones!$AF:$AF,$A2&amp;"_"&amp;AQE$11,[1]Opciones!$AO:$AO)</f>
        <v>#VALUE!</v>
      </c>
      <c r="AQF2" t="e">
        <f>+SUMIF([1]Cartera!$R:$R,$A2&amp;"_"&amp;AQF$11,[1]Cartera!$J:$J)+SUMIF([1]Futuros!$AD:$AD,$A2&amp;"_"&amp;AQF$11,[1]Futuros!$AK:$AK)+SUMIF([1]Opciones!$AF:$AF,$A2&amp;"_"&amp;AQF$11,[1]Opciones!$AO:$AO)</f>
        <v>#VALUE!</v>
      </c>
      <c r="AQG2" t="e">
        <f>+SUMIF([1]Cartera!$R:$R,$A2&amp;"_"&amp;AQG$11,[1]Cartera!$J:$J)+SUMIF([1]Futuros!$AD:$AD,$A2&amp;"_"&amp;AQG$11,[1]Futuros!$AK:$AK)+SUMIF([1]Opciones!$AF:$AF,$A2&amp;"_"&amp;AQG$11,[1]Opciones!$AO:$AO)</f>
        <v>#VALUE!</v>
      </c>
      <c r="AQH2" t="e">
        <f>+SUMIF([1]Cartera!$R:$R,$A2&amp;"_"&amp;AQH$11,[1]Cartera!$J:$J)+SUMIF([1]Futuros!$AD:$AD,$A2&amp;"_"&amp;AQH$11,[1]Futuros!$AK:$AK)+SUMIF([1]Opciones!$AF:$AF,$A2&amp;"_"&amp;AQH$11,[1]Opciones!$AO:$AO)</f>
        <v>#VALUE!</v>
      </c>
      <c r="AQI2" t="e">
        <f>+SUMIF([1]Cartera!$R:$R,$A2&amp;"_"&amp;AQI$11,[1]Cartera!$J:$J)+SUMIF([1]Futuros!$AD:$AD,$A2&amp;"_"&amp;AQI$11,[1]Futuros!$AK:$AK)+SUMIF([1]Opciones!$AF:$AF,$A2&amp;"_"&amp;AQI$11,[1]Opciones!$AO:$AO)</f>
        <v>#VALUE!</v>
      </c>
      <c r="AQJ2" t="e">
        <f>+SUMIF([1]Cartera!$R:$R,$A2&amp;"_"&amp;AQJ$11,[1]Cartera!$J:$J)+SUMIF([1]Futuros!$AD:$AD,$A2&amp;"_"&amp;AQJ$11,[1]Futuros!$AK:$AK)+SUMIF([1]Opciones!$AF:$AF,$A2&amp;"_"&amp;AQJ$11,[1]Opciones!$AO:$AO)</f>
        <v>#VALUE!</v>
      </c>
      <c r="AQK2" t="e">
        <f>+SUMIF([1]Cartera!$R:$R,$A2&amp;"_"&amp;AQK$11,[1]Cartera!$J:$J)+SUMIF([1]Futuros!$AD:$AD,$A2&amp;"_"&amp;AQK$11,[1]Futuros!$AK:$AK)+SUMIF([1]Opciones!$AF:$AF,$A2&amp;"_"&amp;AQK$11,[1]Opciones!$AO:$AO)</f>
        <v>#VALUE!</v>
      </c>
      <c r="AQL2" t="e">
        <f>+SUMIF([1]Cartera!$R:$R,$A2&amp;"_"&amp;AQL$11,[1]Cartera!$J:$J)+SUMIF([1]Futuros!$AD:$AD,$A2&amp;"_"&amp;AQL$11,[1]Futuros!$AK:$AK)+SUMIF([1]Opciones!$AF:$AF,$A2&amp;"_"&amp;AQL$11,[1]Opciones!$AO:$AO)</f>
        <v>#VALUE!</v>
      </c>
      <c r="AQM2" t="e">
        <f>+SUMIF([1]Cartera!$R:$R,$A2&amp;"_"&amp;AQM$11,[1]Cartera!$J:$J)+SUMIF([1]Futuros!$AD:$AD,$A2&amp;"_"&amp;AQM$11,[1]Futuros!$AK:$AK)+SUMIF([1]Opciones!$AF:$AF,$A2&amp;"_"&amp;AQM$11,[1]Opciones!$AO:$AO)</f>
        <v>#VALUE!</v>
      </c>
      <c r="AQN2" t="e">
        <f>+SUMIF([1]Cartera!$R:$R,$A2&amp;"_"&amp;AQN$11,[1]Cartera!$J:$J)+SUMIF([1]Futuros!$AD:$AD,$A2&amp;"_"&amp;AQN$11,[1]Futuros!$AK:$AK)+SUMIF([1]Opciones!$AF:$AF,$A2&amp;"_"&amp;AQN$11,[1]Opciones!$AO:$AO)</f>
        <v>#VALUE!</v>
      </c>
      <c r="AQO2" t="e">
        <f>+SUMIF([1]Cartera!$R:$R,$A2&amp;"_"&amp;AQO$11,[1]Cartera!$J:$J)+SUMIF([1]Futuros!$AD:$AD,$A2&amp;"_"&amp;AQO$11,[1]Futuros!$AK:$AK)+SUMIF([1]Opciones!$AF:$AF,$A2&amp;"_"&amp;AQO$11,[1]Opciones!$AO:$AO)</f>
        <v>#VALUE!</v>
      </c>
      <c r="AQP2" t="e">
        <f>+SUMIF([1]Cartera!$R:$R,$A2&amp;"_"&amp;AQP$11,[1]Cartera!$J:$J)+SUMIF([1]Futuros!$AD:$AD,$A2&amp;"_"&amp;AQP$11,[1]Futuros!$AK:$AK)+SUMIF([1]Opciones!$AF:$AF,$A2&amp;"_"&amp;AQP$11,[1]Opciones!$AO:$AO)</f>
        <v>#VALUE!</v>
      </c>
      <c r="AQQ2" t="e">
        <f>+SUMIF([1]Cartera!$R:$R,$A2&amp;"_"&amp;AQQ$11,[1]Cartera!$J:$J)+SUMIF([1]Futuros!$AD:$AD,$A2&amp;"_"&amp;AQQ$11,[1]Futuros!$AK:$AK)+SUMIF([1]Opciones!$AF:$AF,$A2&amp;"_"&amp;AQQ$11,[1]Opciones!$AO:$AO)</f>
        <v>#VALUE!</v>
      </c>
      <c r="AQR2" t="e">
        <f>+SUMIF([1]Cartera!$R:$R,$A2&amp;"_"&amp;AQR$11,[1]Cartera!$J:$J)+SUMIF([1]Futuros!$AD:$AD,$A2&amp;"_"&amp;AQR$11,[1]Futuros!$AK:$AK)+SUMIF([1]Opciones!$AF:$AF,$A2&amp;"_"&amp;AQR$11,[1]Opciones!$AO:$AO)</f>
        <v>#VALUE!</v>
      </c>
      <c r="AQS2" t="e">
        <f>+SUMIF([1]Cartera!$R:$R,$A2&amp;"_"&amp;AQS$11,[1]Cartera!$J:$J)+SUMIF([1]Futuros!$AD:$AD,$A2&amp;"_"&amp;AQS$11,[1]Futuros!$AK:$AK)+SUMIF([1]Opciones!$AF:$AF,$A2&amp;"_"&amp;AQS$11,[1]Opciones!$AO:$AO)</f>
        <v>#VALUE!</v>
      </c>
      <c r="AQT2" t="e">
        <f>+SUMIF([1]Cartera!$R:$R,$A2&amp;"_"&amp;AQT$11,[1]Cartera!$J:$J)+SUMIF([1]Futuros!$AD:$AD,$A2&amp;"_"&amp;AQT$11,[1]Futuros!$AK:$AK)+SUMIF([1]Opciones!$AF:$AF,$A2&amp;"_"&amp;AQT$11,[1]Opciones!$AO:$AO)</f>
        <v>#VALUE!</v>
      </c>
      <c r="AQU2" t="e">
        <f>+SUMIF([1]Cartera!$R:$R,$A2&amp;"_"&amp;AQU$11,[1]Cartera!$J:$J)+SUMIF([1]Futuros!$AD:$AD,$A2&amp;"_"&amp;AQU$11,[1]Futuros!$AK:$AK)+SUMIF([1]Opciones!$AF:$AF,$A2&amp;"_"&amp;AQU$11,[1]Opciones!$AO:$AO)</f>
        <v>#VALUE!</v>
      </c>
      <c r="AQV2" t="e">
        <f>+SUMIF([1]Cartera!$R:$R,$A2&amp;"_"&amp;AQV$11,[1]Cartera!$J:$J)+SUMIF([1]Futuros!$AD:$AD,$A2&amp;"_"&amp;AQV$11,[1]Futuros!$AK:$AK)+SUMIF([1]Opciones!$AF:$AF,$A2&amp;"_"&amp;AQV$11,[1]Opciones!$AO:$AO)</f>
        <v>#VALUE!</v>
      </c>
      <c r="AQW2" t="e">
        <f>+SUMIF([1]Cartera!$R:$R,$A2&amp;"_"&amp;AQW$11,[1]Cartera!$J:$J)+SUMIF([1]Futuros!$AD:$AD,$A2&amp;"_"&amp;AQW$11,[1]Futuros!$AK:$AK)+SUMIF([1]Opciones!$AF:$AF,$A2&amp;"_"&amp;AQW$11,[1]Opciones!$AO:$AO)</f>
        <v>#VALUE!</v>
      </c>
      <c r="AQX2" t="e">
        <f>+SUMIF([1]Cartera!$R:$R,$A2&amp;"_"&amp;AQX$11,[1]Cartera!$J:$J)+SUMIF([1]Futuros!$AD:$AD,$A2&amp;"_"&amp;AQX$11,[1]Futuros!$AK:$AK)+SUMIF([1]Opciones!$AF:$AF,$A2&amp;"_"&amp;AQX$11,[1]Opciones!$AO:$AO)</f>
        <v>#VALUE!</v>
      </c>
      <c r="AQY2" t="e">
        <f>+SUMIF([1]Cartera!$R:$R,$A2&amp;"_"&amp;AQY$11,[1]Cartera!$J:$J)+SUMIF([1]Futuros!$AD:$AD,$A2&amp;"_"&amp;AQY$11,[1]Futuros!$AK:$AK)+SUMIF([1]Opciones!$AF:$AF,$A2&amp;"_"&amp;AQY$11,[1]Opciones!$AO:$AO)</f>
        <v>#VALUE!</v>
      </c>
      <c r="AQZ2" t="e">
        <f>+SUMIF([1]Cartera!$R:$R,$A2&amp;"_"&amp;AQZ$11,[1]Cartera!$J:$J)+SUMIF([1]Futuros!$AD:$AD,$A2&amp;"_"&amp;AQZ$11,[1]Futuros!$AK:$AK)+SUMIF([1]Opciones!$AF:$AF,$A2&amp;"_"&amp;AQZ$11,[1]Opciones!$AO:$AO)</f>
        <v>#VALUE!</v>
      </c>
      <c r="ARA2" t="e">
        <f>+SUMIF([1]Cartera!$R:$R,$A2&amp;"_"&amp;ARA$11,[1]Cartera!$J:$J)+SUMIF([1]Futuros!$AD:$AD,$A2&amp;"_"&amp;ARA$11,[1]Futuros!$AK:$AK)+SUMIF([1]Opciones!$AF:$AF,$A2&amp;"_"&amp;ARA$11,[1]Opciones!$AO:$AO)</f>
        <v>#VALUE!</v>
      </c>
      <c r="ARB2" t="e">
        <f>+SUMIF([1]Cartera!$R:$R,$A2&amp;"_"&amp;ARB$11,[1]Cartera!$J:$J)+SUMIF([1]Futuros!$AD:$AD,$A2&amp;"_"&amp;ARB$11,[1]Futuros!$AK:$AK)+SUMIF([1]Opciones!$AF:$AF,$A2&amp;"_"&amp;ARB$11,[1]Opciones!$AO:$AO)</f>
        <v>#VALUE!</v>
      </c>
      <c r="ARC2" t="e">
        <f>+SUMIF([1]Cartera!$R:$R,$A2&amp;"_"&amp;ARC$11,[1]Cartera!$J:$J)+SUMIF([1]Futuros!$AD:$AD,$A2&amp;"_"&amp;ARC$11,[1]Futuros!$AK:$AK)+SUMIF([1]Opciones!$AF:$AF,$A2&amp;"_"&amp;ARC$11,[1]Opciones!$AO:$AO)</f>
        <v>#VALUE!</v>
      </c>
      <c r="ARD2" t="e">
        <f>+SUMIF([1]Cartera!$R:$R,$A2&amp;"_"&amp;ARD$11,[1]Cartera!$J:$J)+SUMIF([1]Futuros!$AD:$AD,$A2&amp;"_"&amp;ARD$11,[1]Futuros!$AK:$AK)+SUMIF([1]Opciones!$AF:$AF,$A2&amp;"_"&amp;ARD$11,[1]Opciones!$AO:$AO)</f>
        <v>#VALUE!</v>
      </c>
      <c r="ARE2" t="e">
        <f>+SUMIF([1]Cartera!$R:$R,$A2&amp;"_"&amp;ARE$11,[1]Cartera!$J:$J)+SUMIF([1]Futuros!$AD:$AD,$A2&amp;"_"&amp;ARE$11,[1]Futuros!$AK:$AK)+SUMIF([1]Opciones!$AF:$AF,$A2&amp;"_"&amp;ARE$11,[1]Opciones!$AO:$AO)</f>
        <v>#VALUE!</v>
      </c>
      <c r="ARF2" t="e">
        <f>+SUMIF([1]Cartera!$R:$R,$A2&amp;"_"&amp;ARF$11,[1]Cartera!$J:$J)+SUMIF([1]Futuros!$AD:$AD,$A2&amp;"_"&amp;ARF$11,[1]Futuros!$AK:$AK)+SUMIF([1]Opciones!$AF:$AF,$A2&amp;"_"&amp;ARF$11,[1]Opciones!$AO:$AO)</f>
        <v>#VALUE!</v>
      </c>
      <c r="ARG2" t="e">
        <f>+SUMIF([1]Cartera!$R:$R,$A2&amp;"_"&amp;ARG$11,[1]Cartera!$J:$J)+SUMIF([1]Futuros!$AD:$AD,$A2&amp;"_"&amp;ARG$11,[1]Futuros!$AK:$AK)+SUMIF([1]Opciones!$AF:$AF,$A2&amp;"_"&amp;ARG$11,[1]Opciones!$AO:$AO)</f>
        <v>#VALUE!</v>
      </c>
      <c r="ARH2" t="e">
        <f>+SUMIF([1]Cartera!$R:$R,$A2&amp;"_"&amp;ARH$11,[1]Cartera!$J:$J)+SUMIF([1]Futuros!$AD:$AD,$A2&amp;"_"&amp;ARH$11,[1]Futuros!$AK:$AK)+SUMIF([1]Opciones!$AF:$AF,$A2&amp;"_"&amp;ARH$11,[1]Opciones!$AO:$AO)</f>
        <v>#VALUE!</v>
      </c>
      <c r="ARI2" t="e">
        <f>+SUMIF([1]Cartera!$R:$R,$A2&amp;"_"&amp;ARI$11,[1]Cartera!$J:$J)+SUMIF([1]Futuros!$AD:$AD,$A2&amp;"_"&amp;ARI$11,[1]Futuros!$AK:$AK)+SUMIF([1]Opciones!$AF:$AF,$A2&amp;"_"&amp;ARI$11,[1]Opciones!$AO:$AO)</f>
        <v>#VALUE!</v>
      </c>
      <c r="ARJ2" t="e">
        <f>+SUMIF([1]Cartera!$R:$R,$A2&amp;"_"&amp;ARJ$11,[1]Cartera!$J:$J)+SUMIF([1]Futuros!$AD:$AD,$A2&amp;"_"&amp;ARJ$11,[1]Futuros!$AK:$AK)+SUMIF([1]Opciones!$AF:$AF,$A2&amp;"_"&amp;ARJ$11,[1]Opciones!$AO:$AO)</f>
        <v>#VALUE!</v>
      </c>
      <c r="ARK2" t="e">
        <f>+SUMIF([1]Cartera!$R:$R,$A2&amp;"_"&amp;ARK$11,[1]Cartera!$J:$J)+SUMIF([1]Futuros!$AD:$AD,$A2&amp;"_"&amp;ARK$11,[1]Futuros!$AK:$AK)+SUMIF([1]Opciones!$AF:$AF,$A2&amp;"_"&amp;ARK$11,[1]Opciones!$AO:$AO)</f>
        <v>#VALUE!</v>
      </c>
      <c r="ARL2" t="e">
        <f>+SUMIF([1]Cartera!$R:$R,$A2&amp;"_"&amp;ARL$11,[1]Cartera!$J:$J)+SUMIF([1]Futuros!$AD:$AD,$A2&amp;"_"&amp;ARL$11,[1]Futuros!$AK:$AK)+SUMIF([1]Opciones!$AF:$AF,$A2&amp;"_"&amp;ARL$11,[1]Opciones!$AO:$AO)</f>
        <v>#VALUE!</v>
      </c>
      <c r="ARM2" t="e">
        <f>+SUMIF([1]Cartera!$R:$R,$A2&amp;"_"&amp;ARM$11,[1]Cartera!$J:$J)+SUMIF([1]Futuros!$AD:$AD,$A2&amp;"_"&amp;ARM$11,[1]Futuros!$AK:$AK)+SUMIF([1]Opciones!$AF:$AF,$A2&amp;"_"&amp;ARM$11,[1]Opciones!$AO:$AO)</f>
        <v>#VALUE!</v>
      </c>
      <c r="ARN2" t="e">
        <f>+SUMIF([1]Cartera!$R:$R,$A2&amp;"_"&amp;ARN$11,[1]Cartera!$J:$J)+SUMIF([1]Futuros!$AD:$AD,$A2&amp;"_"&amp;ARN$11,[1]Futuros!$AK:$AK)+SUMIF([1]Opciones!$AF:$AF,$A2&amp;"_"&amp;ARN$11,[1]Opciones!$AO:$AO)</f>
        <v>#VALUE!</v>
      </c>
      <c r="ARO2" t="e">
        <f>+SUMIF([1]Cartera!$R:$R,$A2&amp;"_"&amp;ARO$11,[1]Cartera!$J:$J)+SUMIF([1]Futuros!$AD:$AD,$A2&amp;"_"&amp;ARO$11,[1]Futuros!$AK:$AK)+SUMIF([1]Opciones!$AF:$AF,$A2&amp;"_"&amp;ARO$11,[1]Opciones!$AO:$AO)</f>
        <v>#VALUE!</v>
      </c>
      <c r="ARP2" t="e">
        <f>+SUMIF([1]Cartera!$R:$R,$A2&amp;"_"&amp;ARP$11,[1]Cartera!$J:$J)+SUMIF([1]Futuros!$AD:$AD,$A2&amp;"_"&amp;ARP$11,[1]Futuros!$AK:$AK)+SUMIF([1]Opciones!$AF:$AF,$A2&amp;"_"&amp;ARP$11,[1]Opciones!$AO:$AO)</f>
        <v>#VALUE!</v>
      </c>
      <c r="ARQ2" t="e">
        <f>+SUMIF([1]Cartera!$R:$R,$A2&amp;"_"&amp;ARQ$11,[1]Cartera!$J:$J)+SUMIF([1]Futuros!$AD:$AD,$A2&amp;"_"&amp;ARQ$11,[1]Futuros!$AK:$AK)+SUMIF([1]Opciones!$AF:$AF,$A2&amp;"_"&amp;ARQ$11,[1]Opciones!$AO:$AO)</f>
        <v>#VALUE!</v>
      </c>
      <c r="ARR2" t="e">
        <f>+SUMIF([1]Cartera!$R:$R,$A2&amp;"_"&amp;ARR$11,[1]Cartera!$J:$J)+SUMIF([1]Futuros!$AD:$AD,$A2&amp;"_"&amp;ARR$11,[1]Futuros!$AK:$AK)+SUMIF([1]Opciones!$AF:$AF,$A2&amp;"_"&amp;ARR$11,[1]Opciones!$AO:$AO)</f>
        <v>#VALUE!</v>
      </c>
      <c r="ARS2" t="e">
        <f>+SUMIF([1]Cartera!$R:$R,$A2&amp;"_"&amp;ARS$11,[1]Cartera!$J:$J)+SUMIF([1]Futuros!$AD:$AD,$A2&amp;"_"&amp;ARS$11,[1]Futuros!$AK:$AK)+SUMIF([1]Opciones!$AF:$AF,$A2&amp;"_"&amp;ARS$11,[1]Opciones!$AO:$AO)</f>
        <v>#VALUE!</v>
      </c>
      <c r="ART2" t="e">
        <f>+SUMIF([1]Cartera!$R:$R,$A2&amp;"_"&amp;ART$11,[1]Cartera!$J:$J)+SUMIF([1]Futuros!$AD:$AD,$A2&amp;"_"&amp;ART$11,[1]Futuros!$AK:$AK)+SUMIF([1]Opciones!$AF:$AF,$A2&amp;"_"&amp;ART$11,[1]Opciones!$AO:$AO)</f>
        <v>#VALUE!</v>
      </c>
      <c r="ARU2" t="e">
        <f>+SUMIF([1]Cartera!$R:$R,$A2&amp;"_"&amp;ARU$11,[1]Cartera!$J:$J)+SUMIF([1]Futuros!$AD:$AD,$A2&amp;"_"&amp;ARU$11,[1]Futuros!$AK:$AK)+SUMIF([1]Opciones!$AF:$AF,$A2&amp;"_"&amp;ARU$11,[1]Opciones!$AO:$AO)</f>
        <v>#VALUE!</v>
      </c>
      <c r="ARV2" t="e">
        <f>+SUMIF([1]Cartera!$R:$R,$A2&amp;"_"&amp;ARV$11,[1]Cartera!$J:$J)+SUMIF([1]Futuros!$AD:$AD,$A2&amp;"_"&amp;ARV$11,[1]Futuros!$AK:$AK)+SUMIF([1]Opciones!$AF:$AF,$A2&amp;"_"&amp;ARV$11,[1]Opciones!$AO:$AO)</f>
        <v>#VALUE!</v>
      </c>
      <c r="ARW2" t="e">
        <f>+SUMIF([1]Cartera!$R:$R,$A2&amp;"_"&amp;ARW$11,[1]Cartera!$J:$J)+SUMIF([1]Futuros!$AD:$AD,$A2&amp;"_"&amp;ARW$11,[1]Futuros!$AK:$AK)+SUMIF([1]Opciones!$AF:$AF,$A2&amp;"_"&amp;ARW$11,[1]Opciones!$AO:$AO)</f>
        <v>#VALUE!</v>
      </c>
      <c r="ARX2" t="e">
        <f>+SUMIF([1]Cartera!$R:$R,$A2&amp;"_"&amp;ARX$11,[1]Cartera!$J:$J)+SUMIF([1]Futuros!$AD:$AD,$A2&amp;"_"&amp;ARX$11,[1]Futuros!$AK:$AK)+SUMIF([1]Opciones!$AF:$AF,$A2&amp;"_"&amp;ARX$11,[1]Opciones!$AO:$AO)</f>
        <v>#VALUE!</v>
      </c>
      <c r="ARY2" t="e">
        <f>+SUMIF([1]Cartera!$R:$R,$A2&amp;"_"&amp;ARY$11,[1]Cartera!$J:$J)+SUMIF([1]Futuros!$AD:$AD,$A2&amp;"_"&amp;ARY$11,[1]Futuros!$AK:$AK)+SUMIF([1]Opciones!$AF:$AF,$A2&amp;"_"&amp;ARY$11,[1]Opciones!$AO:$AO)</f>
        <v>#VALUE!</v>
      </c>
      <c r="ARZ2" t="e">
        <f>+SUMIF([1]Cartera!$R:$R,$A2&amp;"_"&amp;ARZ$11,[1]Cartera!$J:$J)+SUMIF([1]Futuros!$AD:$AD,$A2&amp;"_"&amp;ARZ$11,[1]Futuros!$AK:$AK)+SUMIF([1]Opciones!$AF:$AF,$A2&amp;"_"&amp;ARZ$11,[1]Opciones!$AO:$AO)</f>
        <v>#VALUE!</v>
      </c>
      <c r="ASA2" t="e">
        <f>+SUMIF([1]Cartera!$R:$R,$A2&amp;"_"&amp;ASA$11,[1]Cartera!$J:$J)+SUMIF([1]Futuros!$AD:$AD,$A2&amp;"_"&amp;ASA$11,[1]Futuros!$AK:$AK)+SUMIF([1]Opciones!$AF:$AF,$A2&amp;"_"&amp;ASA$11,[1]Opciones!$AO:$AO)</f>
        <v>#VALUE!</v>
      </c>
      <c r="ASB2" t="e">
        <f>+SUMIF([1]Cartera!$R:$R,$A2&amp;"_"&amp;ASB$11,[1]Cartera!$J:$J)+SUMIF([1]Futuros!$AD:$AD,$A2&amp;"_"&amp;ASB$11,[1]Futuros!$AK:$AK)+SUMIF([1]Opciones!$AF:$AF,$A2&amp;"_"&amp;ASB$11,[1]Opciones!$AO:$AO)</f>
        <v>#VALUE!</v>
      </c>
      <c r="ASC2" t="e">
        <f>+SUMIF([1]Cartera!$R:$R,$A2&amp;"_"&amp;ASC$11,[1]Cartera!$J:$J)+SUMIF([1]Futuros!$AD:$AD,$A2&amp;"_"&amp;ASC$11,[1]Futuros!$AK:$AK)+SUMIF([1]Opciones!$AF:$AF,$A2&amp;"_"&amp;ASC$11,[1]Opciones!$AO:$AO)</f>
        <v>#VALUE!</v>
      </c>
      <c r="ASD2" t="e">
        <f>+SUMIF([1]Cartera!$R:$R,$A2&amp;"_"&amp;ASD$11,[1]Cartera!$J:$J)+SUMIF([1]Futuros!$AD:$AD,$A2&amp;"_"&amp;ASD$11,[1]Futuros!$AK:$AK)+SUMIF([1]Opciones!$AF:$AF,$A2&amp;"_"&amp;ASD$11,[1]Opciones!$AO:$AO)</f>
        <v>#VALUE!</v>
      </c>
      <c r="ASE2" t="e">
        <f>+SUMIF([1]Cartera!$R:$R,$A2&amp;"_"&amp;ASE$11,[1]Cartera!$J:$J)+SUMIF([1]Futuros!$AD:$AD,$A2&amp;"_"&amp;ASE$11,[1]Futuros!$AK:$AK)+SUMIF([1]Opciones!$AF:$AF,$A2&amp;"_"&amp;ASE$11,[1]Opciones!$AO:$AO)</f>
        <v>#VALUE!</v>
      </c>
      <c r="ASF2" t="e">
        <f>+SUMIF([1]Cartera!$R:$R,$A2&amp;"_"&amp;ASF$11,[1]Cartera!$J:$J)+SUMIF([1]Futuros!$AD:$AD,$A2&amp;"_"&amp;ASF$11,[1]Futuros!$AK:$AK)+SUMIF([1]Opciones!$AF:$AF,$A2&amp;"_"&amp;ASF$11,[1]Opciones!$AO:$AO)</f>
        <v>#VALUE!</v>
      </c>
      <c r="ASG2" t="e">
        <f>+SUMIF([1]Cartera!$R:$R,$A2&amp;"_"&amp;ASG$11,[1]Cartera!$J:$J)+SUMIF([1]Futuros!$AD:$AD,$A2&amp;"_"&amp;ASG$11,[1]Futuros!$AK:$AK)+SUMIF([1]Opciones!$AF:$AF,$A2&amp;"_"&amp;ASG$11,[1]Opciones!$AO:$AO)</f>
        <v>#VALUE!</v>
      </c>
      <c r="ASH2" t="e">
        <f>+SUMIF([1]Cartera!$R:$R,$A2&amp;"_"&amp;ASH$11,[1]Cartera!$J:$J)+SUMIF([1]Futuros!$AD:$AD,$A2&amp;"_"&amp;ASH$11,[1]Futuros!$AK:$AK)+SUMIF([1]Opciones!$AF:$AF,$A2&amp;"_"&amp;ASH$11,[1]Opciones!$AO:$AO)</f>
        <v>#VALUE!</v>
      </c>
      <c r="ASI2" t="e">
        <f>+SUMIF([1]Cartera!$R:$R,$A2&amp;"_"&amp;ASI$11,[1]Cartera!$J:$J)+SUMIF([1]Futuros!$AD:$AD,$A2&amp;"_"&amp;ASI$11,[1]Futuros!$AK:$AK)+SUMIF([1]Opciones!$AF:$AF,$A2&amp;"_"&amp;ASI$11,[1]Opciones!$AO:$AO)</f>
        <v>#VALUE!</v>
      </c>
      <c r="ASJ2" t="e">
        <f>+SUMIF([1]Cartera!$R:$R,$A2&amp;"_"&amp;ASJ$11,[1]Cartera!$J:$J)+SUMIF([1]Futuros!$AD:$AD,$A2&amp;"_"&amp;ASJ$11,[1]Futuros!$AK:$AK)+SUMIF([1]Opciones!$AF:$AF,$A2&amp;"_"&amp;ASJ$11,[1]Opciones!$AO:$AO)</f>
        <v>#VALUE!</v>
      </c>
      <c r="ASK2" t="e">
        <f>+SUMIF([1]Cartera!$R:$R,$A2&amp;"_"&amp;ASK$11,[1]Cartera!$J:$J)+SUMIF([1]Futuros!$AD:$AD,$A2&amp;"_"&amp;ASK$11,[1]Futuros!$AK:$AK)+SUMIF([1]Opciones!$AF:$AF,$A2&amp;"_"&amp;ASK$11,[1]Opciones!$AO:$AO)</f>
        <v>#VALUE!</v>
      </c>
      <c r="ASL2" t="e">
        <f>+SUMIF([1]Cartera!$R:$R,$A2&amp;"_"&amp;ASL$11,[1]Cartera!$J:$J)+SUMIF([1]Futuros!$AD:$AD,$A2&amp;"_"&amp;ASL$11,[1]Futuros!$AK:$AK)+SUMIF([1]Opciones!$AF:$AF,$A2&amp;"_"&amp;ASL$11,[1]Opciones!$AO:$AO)</f>
        <v>#VALUE!</v>
      </c>
      <c r="ASM2" t="e">
        <f>+SUMIF([1]Cartera!$R:$R,$A2&amp;"_"&amp;ASM$11,[1]Cartera!$J:$J)+SUMIF([1]Futuros!$AD:$AD,$A2&amp;"_"&amp;ASM$11,[1]Futuros!$AK:$AK)+SUMIF([1]Opciones!$AF:$AF,$A2&amp;"_"&amp;ASM$11,[1]Opciones!$AO:$AO)</f>
        <v>#VALUE!</v>
      </c>
      <c r="ASN2" t="e">
        <f>+SUMIF([1]Cartera!$R:$R,$A2&amp;"_"&amp;ASN$11,[1]Cartera!$J:$J)+SUMIF([1]Futuros!$AD:$AD,$A2&amp;"_"&amp;ASN$11,[1]Futuros!$AK:$AK)+SUMIF([1]Opciones!$AF:$AF,$A2&amp;"_"&amp;ASN$11,[1]Opciones!$AO:$AO)</f>
        <v>#VALUE!</v>
      </c>
      <c r="ASO2" t="e">
        <f>+SUMIF([1]Cartera!$R:$R,$A2&amp;"_"&amp;ASO$11,[1]Cartera!$J:$J)+SUMIF([1]Futuros!$AD:$AD,$A2&amp;"_"&amp;ASO$11,[1]Futuros!$AK:$AK)+SUMIF([1]Opciones!$AF:$AF,$A2&amp;"_"&amp;ASO$11,[1]Opciones!$AO:$AO)</f>
        <v>#VALUE!</v>
      </c>
      <c r="ASP2" t="e">
        <f>+SUMIF([1]Cartera!$R:$R,$A2&amp;"_"&amp;ASP$11,[1]Cartera!$J:$J)+SUMIF([1]Futuros!$AD:$AD,$A2&amp;"_"&amp;ASP$11,[1]Futuros!$AK:$AK)+SUMIF([1]Opciones!$AF:$AF,$A2&amp;"_"&amp;ASP$11,[1]Opciones!$AO:$AO)</f>
        <v>#VALUE!</v>
      </c>
      <c r="ASQ2" t="e">
        <f>+SUMIF([1]Cartera!$R:$R,$A2&amp;"_"&amp;ASQ$11,[1]Cartera!$J:$J)+SUMIF([1]Futuros!$AD:$AD,$A2&amp;"_"&amp;ASQ$11,[1]Futuros!$AK:$AK)+SUMIF([1]Opciones!$AF:$AF,$A2&amp;"_"&amp;ASQ$11,[1]Opciones!$AO:$AO)</f>
        <v>#VALUE!</v>
      </c>
      <c r="ASR2" t="e">
        <f>+SUMIF([1]Cartera!$R:$R,$A2&amp;"_"&amp;ASR$11,[1]Cartera!$J:$J)+SUMIF([1]Futuros!$AD:$AD,$A2&amp;"_"&amp;ASR$11,[1]Futuros!$AK:$AK)+SUMIF([1]Opciones!$AF:$AF,$A2&amp;"_"&amp;ASR$11,[1]Opciones!$AO:$AO)</f>
        <v>#VALUE!</v>
      </c>
      <c r="ASS2" t="e">
        <f>+SUMIF([1]Cartera!$R:$R,$A2&amp;"_"&amp;ASS$11,[1]Cartera!$J:$J)+SUMIF([1]Futuros!$AD:$AD,$A2&amp;"_"&amp;ASS$11,[1]Futuros!$AK:$AK)+SUMIF([1]Opciones!$AF:$AF,$A2&amp;"_"&amp;ASS$11,[1]Opciones!$AO:$AO)</f>
        <v>#VALUE!</v>
      </c>
      <c r="AST2" t="e">
        <f>+SUMIF([1]Cartera!$R:$R,$A2&amp;"_"&amp;AST$11,[1]Cartera!$J:$J)+SUMIF([1]Futuros!$AD:$AD,$A2&amp;"_"&amp;AST$11,[1]Futuros!$AK:$AK)+SUMIF([1]Opciones!$AF:$AF,$A2&amp;"_"&amp;AST$11,[1]Opciones!$AO:$AO)</f>
        <v>#VALUE!</v>
      </c>
      <c r="ASU2" t="e">
        <f>+SUMIF([1]Cartera!$R:$R,$A2&amp;"_"&amp;ASU$11,[1]Cartera!$J:$J)+SUMIF([1]Futuros!$AD:$AD,$A2&amp;"_"&amp;ASU$11,[1]Futuros!$AK:$AK)+SUMIF([1]Opciones!$AF:$AF,$A2&amp;"_"&amp;ASU$11,[1]Opciones!$AO:$AO)</f>
        <v>#VALUE!</v>
      </c>
      <c r="ASV2" t="e">
        <f>+SUMIF([1]Cartera!$R:$R,$A2&amp;"_"&amp;ASV$11,[1]Cartera!$J:$J)+SUMIF([1]Futuros!$AD:$AD,$A2&amp;"_"&amp;ASV$11,[1]Futuros!$AK:$AK)+SUMIF([1]Opciones!$AF:$AF,$A2&amp;"_"&amp;ASV$11,[1]Opciones!$AO:$AO)</f>
        <v>#VALUE!</v>
      </c>
      <c r="ASW2" t="e">
        <f>+SUMIF([1]Cartera!$R:$R,$A2&amp;"_"&amp;ASW$11,[1]Cartera!$J:$J)+SUMIF([1]Futuros!$AD:$AD,$A2&amp;"_"&amp;ASW$11,[1]Futuros!$AK:$AK)+SUMIF([1]Opciones!$AF:$AF,$A2&amp;"_"&amp;ASW$11,[1]Opciones!$AO:$AO)</f>
        <v>#VALUE!</v>
      </c>
      <c r="ASX2" t="e">
        <f>+SUMIF([1]Cartera!$R:$R,$A2&amp;"_"&amp;ASX$11,[1]Cartera!$J:$J)+SUMIF([1]Futuros!$AD:$AD,$A2&amp;"_"&amp;ASX$11,[1]Futuros!$AK:$AK)+SUMIF([1]Opciones!$AF:$AF,$A2&amp;"_"&amp;ASX$11,[1]Opciones!$AO:$AO)</f>
        <v>#VALUE!</v>
      </c>
      <c r="ASY2" t="e">
        <f>+SUMIF([1]Cartera!$R:$R,$A2&amp;"_"&amp;ASY$11,[1]Cartera!$J:$J)+SUMIF([1]Futuros!$AD:$AD,$A2&amp;"_"&amp;ASY$11,[1]Futuros!$AK:$AK)+SUMIF([1]Opciones!$AF:$AF,$A2&amp;"_"&amp;ASY$11,[1]Opciones!$AO:$AO)</f>
        <v>#VALUE!</v>
      </c>
      <c r="ASZ2" t="e">
        <f>+SUMIF([1]Cartera!$R:$R,$A2&amp;"_"&amp;ASZ$11,[1]Cartera!$J:$J)+SUMIF([1]Futuros!$AD:$AD,$A2&amp;"_"&amp;ASZ$11,[1]Futuros!$AK:$AK)+SUMIF([1]Opciones!$AF:$AF,$A2&amp;"_"&amp;ASZ$11,[1]Opciones!$AO:$AO)</f>
        <v>#VALUE!</v>
      </c>
      <c r="ATA2" t="e">
        <f>+SUMIF([1]Cartera!$R:$R,$A2&amp;"_"&amp;ATA$11,[1]Cartera!$J:$J)+SUMIF([1]Futuros!$AD:$AD,$A2&amp;"_"&amp;ATA$11,[1]Futuros!$AK:$AK)+SUMIF([1]Opciones!$AF:$AF,$A2&amp;"_"&amp;ATA$11,[1]Opciones!$AO:$AO)</f>
        <v>#VALUE!</v>
      </c>
      <c r="ATB2" t="e">
        <f>+SUMIF([1]Cartera!$R:$R,$A2&amp;"_"&amp;ATB$11,[1]Cartera!$J:$J)+SUMIF([1]Futuros!$AD:$AD,$A2&amp;"_"&amp;ATB$11,[1]Futuros!$AK:$AK)+SUMIF([1]Opciones!$AF:$AF,$A2&amp;"_"&amp;ATB$11,[1]Opciones!$AO:$AO)</f>
        <v>#VALUE!</v>
      </c>
      <c r="ATC2" t="e">
        <f>+SUMIF([1]Cartera!$R:$R,$A2&amp;"_"&amp;ATC$11,[1]Cartera!$J:$J)+SUMIF([1]Futuros!$AD:$AD,$A2&amp;"_"&amp;ATC$11,[1]Futuros!$AK:$AK)+SUMIF([1]Opciones!$AF:$AF,$A2&amp;"_"&amp;ATC$11,[1]Opciones!$AO:$AO)</f>
        <v>#VALUE!</v>
      </c>
      <c r="ATD2" t="e">
        <f>+SUMIF([1]Cartera!$R:$R,$A2&amp;"_"&amp;ATD$11,[1]Cartera!$J:$J)+SUMIF([1]Futuros!$AD:$AD,$A2&amp;"_"&amp;ATD$11,[1]Futuros!$AK:$AK)+SUMIF([1]Opciones!$AF:$AF,$A2&amp;"_"&amp;ATD$11,[1]Opciones!$AO:$AO)</f>
        <v>#VALUE!</v>
      </c>
      <c r="ATE2" t="e">
        <f>+SUMIF([1]Cartera!$R:$R,$A2&amp;"_"&amp;ATE$11,[1]Cartera!$J:$J)+SUMIF([1]Futuros!$AD:$AD,$A2&amp;"_"&amp;ATE$11,[1]Futuros!$AK:$AK)+SUMIF([1]Opciones!$AF:$AF,$A2&amp;"_"&amp;ATE$11,[1]Opciones!$AO:$AO)</f>
        <v>#VALUE!</v>
      </c>
      <c r="ATF2" t="e">
        <f>+SUMIF([1]Cartera!$R:$R,$A2&amp;"_"&amp;ATF$11,[1]Cartera!$J:$J)+SUMIF([1]Futuros!$AD:$AD,$A2&amp;"_"&amp;ATF$11,[1]Futuros!$AK:$AK)+SUMIF([1]Opciones!$AF:$AF,$A2&amp;"_"&amp;ATF$11,[1]Opciones!$AO:$AO)</f>
        <v>#VALUE!</v>
      </c>
      <c r="ATG2" t="e">
        <f>+SUMIF([1]Cartera!$R:$R,$A2&amp;"_"&amp;ATG$11,[1]Cartera!$J:$J)+SUMIF([1]Futuros!$AD:$AD,$A2&amp;"_"&amp;ATG$11,[1]Futuros!$AK:$AK)+SUMIF([1]Opciones!$AF:$AF,$A2&amp;"_"&amp;ATG$11,[1]Opciones!$AO:$AO)</f>
        <v>#VALUE!</v>
      </c>
      <c r="ATH2" t="e">
        <f>+SUMIF([1]Cartera!$R:$R,$A2&amp;"_"&amp;ATH$11,[1]Cartera!$J:$J)+SUMIF([1]Futuros!$AD:$AD,$A2&amp;"_"&amp;ATH$11,[1]Futuros!$AK:$AK)+SUMIF([1]Opciones!$AF:$AF,$A2&amp;"_"&amp;ATH$11,[1]Opciones!$AO:$AO)</f>
        <v>#VALUE!</v>
      </c>
      <c r="ATI2" t="e">
        <f>+SUMIF([1]Cartera!$R:$R,$A2&amp;"_"&amp;ATI$11,[1]Cartera!$J:$J)+SUMIF([1]Futuros!$AD:$AD,$A2&amp;"_"&amp;ATI$11,[1]Futuros!$AK:$AK)+SUMIF([1]Opciones!$AF:$AF,$A2&amp;"_"&amp;ATI$11,[1]Opciones!$AO:$AO)</f>
        <v>#VALUE!</v>
      </c>
      <c r="ATJ2" t="e">
        <f>+SUMIF([1]Cartera!$R:$R,$A2&amp;"_"&amp;ATJ$11,[1]Cartera!$J:$J)+SUMIF([1]Futuros!$AD:$AD,$A2&amp;"_"&amp;ATJ$11,[1]Futuros!$AK:$AK)+SUMIF([1]Opciones!$AF:$AF,$A2&amp;"_"&amp;ATJ$11,[1]Opciones!$AO:$AO)</f>
        <v>#VALUE!</v>
      </c>
      <c r="ATK2" t="e">
        <f>+SUMIF([1]Cartera!$R:$R,$A2&amp;"_"&amp;ATK$11,[1]Cartera!$J:$J)+SUMIF([1]Futuros!$AD:$AD,$A2&amp;"_"&amp;ATK$11,[1]Futuros!$AK:$AK)+SUMIF([1]Opciones!$AF:$AF,$A2&amp;"_"&amp;ATK$11,[1]Opciones!$AO:$AO)</f>
        <v>#VALUE!</v>
      </c>
      <c r="ATL2" t="e">
        <f>+SUMIF([1]Cartera!$R:$R,$A2&amp;"_"&amp;ATL$11,[1]Cartera!$J:$J)+SUMIF([1]Futuros!$AD:$AD,$A2&amp;"_"&amp;ATL$11,[1]Futuros!$AK:$AK)+SUMIF([1]Opciones!$AF:$AF,$A2&amp;"_"&amp;ATL$11,[1]Opciones!$AO:$AO)</f>
        <v>#VALUE!</v>
      </c>
      <c r="ATM2" t="e">
        <f>+SUMIF([1]Cartera!$R:$R,$A2&amp;"_"&amp;ATM$11,[1]Cartera!$J:$J)+SUMIF([1]Futuros!$AD:$AD,$A2&amp;"_"&amp;ATM$11,[1]Futuros!$AK:$AK)+SUMIF([1]Opciones!$AF:$AF,$A2&amp;"_"&amp;ATM$11,[1]Opciones!$AO:$AO)</f>
        <v>#VALUE!</v>
      </c>
      <c r="ATN2" t="e">
        <f>+SUMIF([1]Cartera!$R:$R,$A2&amp;"_"&amp;ATN$11,[1]Cartera!$J:$J)+SUMIF([1]Futuros!$AD:$AD,$A2&amp;"_"&amp;ATN$11,[1]Futuros!$AK:$AK)+SUMIF([1]Opciones!$AF:$AF,$A2&amp;"_"&amp;ATN$11,[1]Opciones!$AO:$AO)</f>
        <v>#VALUE!</v>
      </c>
      <c r="ATO2" t="e">
        <f>+SUMIF([1]Cartera!$R:$R,$A2&amp;"_"&amp;ATO$11,[1]Cartera!$J:$J)+SUMIF([1]Futuros!$AD:$AD,$A2&amp;"_"&amp;ATO$11,[1]Futuros!$AK:$AK)+SUMIF([1]Opciones!$AF:$AF,$A2&amp;"_"&amp;ATO$11,[1]Opciones!$AO:$AO)</f>
        <v>#VALUE!</v>
      </c>
      <c r="ATP2" t="e">
        <f>+SUMIF([1]Cartera!$R:$R,$A2&amp;"_"&amp;ATP$11,[1]Cartera!$J:$J)+SUMIF([1]Futuros!$AD:$AD,$A2&amp;"_"&amp;ATP$11,[1]Futuros!$AK:$AK)+SUMIF([1]Opciones!$AF:$AF,$A2&amp;"_"&amp;ATP$11,[1]Opciones!$AO:$AO)</f>
        <v>#VALUE!</v>
      </c>
      <c r="ATQ2" t="e">
        <f>+SUMIF([1]Cartera!$R:$R,$A2&amp;"_"&amp;ATQ$11,[1]Cartera!$J:$J)+SUMIF([1]Futuros!$AD:$AD,$A2&amp;"_"&amp;ATQ$11,[1]Futuros!$AK:$AK)+SUMIF([1]Opciones!$AF:$AF,$A2&amp;"_"&amp;ATQ$11,[1]Opciones!$AO:$AO)</f>
        <v>#VALUE!</v>
      </c>
    </row>
    <row r="3" spans="1:1213" x14ac:dyDescent="0.25">
      <c r="A3" s="8" t="s">
        <v>5</v>
      </c>
      <c r="B3" s="38" t="s">
        <v>1</v>
      </c>
      <c r="C3" s="1">
        <f t="shared" ref="C3:C9" si="1">C2</f>
        <v>46241</v>
      </c>
      <c r="D3" s="8" t="str">
        <f t="shared" si="0"/>
        <v>IN-FONDO3_Q_07/08/2026</v>
      </c>
      <c r="E3">
        <f>+INDEX([1]Pat_Int!$G:$G,MATCH($A3,[1]Pat_Int!$B:$B,0))</f>
        <v>3478860982.2242041</v>
      </c>
      <c r="F3">
        <f>+INDEX([1]Pat_Int!$D:$D,MATCH($A3,[1]Pat_Int!$B:$B,0))</f>
        <v>16482357.837110801</v>
      </c>
      <c r="G3">
        <f>+INDEX([1]IN_Mon!$AQ$7:$AS$52,MATCH(G$11,[1]IN_Mon!$AP$7:$AP$52,0),MATCH($A3,[1]IN_Mon!$AQ$6:$ASV$6,0))</f>
        <v>1000.0000000000001</v>
      </c>
      <c r="H3">
        <f>+INDEX([1]IN_Mon!$AQ$7:$AS$52,MATCH(H$11,[1]IN_Mon!$AP$7:$AP$52,0),MATCH($A3,[1]IN_Mon!$AQ$6:$ASV$6,0))</f>
        <v>0</v>
      </c>
      <c r="I3">
        <f>+INDEX([1]IN_Mon!$AQ$7:$AS$52,MATCH(I$11,[1]IN_Mon!$AP$7:$AP$52,0),MATCH($A3,[1]IN_Mon!$AQ$6:$ASV$6,0))</f>
        <v>0</v>
      </c>
      <c r="J3">
        <f>+INDEX([1]IN_Mon!$AQ$7:$AS$52,MATCH(J$11,[1]IN_Mon!$AP$7:$AP$52,0),MATCH($A3,[1]IN_Mon!$AQ$6:$ASV$6,0))</f>
        <v>0</v>
      </c>
      <c r="K3">
        <f>+INDEX([1]IN_Mon!$AQ$7:$AS$52,MATCH(K$11,[1]IN_Mon!$AP$7:$AP$52,0),MATCH($A3,[1]IN_Mon!$AQ$6:$ASV$6,0))</f>
        <v>0</v>
      </c>
      <c r="L3">
        <f>+INDEX([1]IN_Mon!$AQ$7:$AS$52,MATCH(L$11,[1]IN_Mon!$AP$7:$AP$52,0),MATCH($A3,[1]IN_Mon!$AQ$6:$ASV$6,0))</f>
        <v>4095897.77</v>
      </c>
      <c r="M3">
        <f>+INDEX([1]IN_Mon!$AQ$7:$AS$52,MATCH(M$11,[1]IN_Mon!$AP$7:$AP$52,0),MATCH($A3,[1]IN_Mon!$AQ$6:$ASV$6,0))</f>
        <v>1482.1399999278212</v>
      </c>
      <c r="N3">
        <f>+INDEX([1]IN_Mon!$AQ$7:$AS$52,MATCH(N$11,[1]IN_Mon!$AP$7:$AP$52,0),MATCH($A3,[1]IN_Mon!$AQ$6:$ASV$6,0))</f>
        <v>3511.7099999989036</v>
      </c>
      <c r="O3">
        <f>+INDEX([1]IN_Mon!$AQ$7:$AS$52,MATCH(O$11,[1]IN_Mon!$AP$7:$AP$52,0),MATCH($A3,[1]IN_Mon!$AQ$6:$ASV$6,0))</f>
        <v>1100</v>
      </c>
      <c r="P3">
        <f>+INDEX([1]IN_Mon!$AQ$7:$AS$52,MATCH(P$11,[1]IN_Mon!$AP$7:$AP$52,0),MATCH($A3,[1]IN_Mon!$AQ$6:$ASV$6,0))</f>
        <v>200</v>
      </c>
      <c r="Q3">
        <f>+INDEX([1]IN_Mon!$AQ$7:$AS$52,MATCH(Q$11,[1]IN_Mon!$AP$7:$AP$52,0),MATCH($A3,[1]IN_Mon!$AQ$6:$ASV$6,0))</f>
        <v>0</v>
      </c>
      <c r="R3">
        <f>+INDEX([1]IN_Mon!$AQ$7:$AS$52,MATCH(R$11,[1]IN_Mon!$AP$7:$AP$52,0),MATCH($A3,[1]IN_Mon!$AQ$6:$ASV$6,0))</f>
        <v>199.99999999999997</v>
      </c>
      <c r="S3">
        <f>+INDEX([1]IN_Mon!$AQ$7:$AS$52,MATCH(S$11,[1]IN_Mon!$AP$7:$AP$52,0),MATCH($A3,[1]IN_Mon!$AQ$6:$ASV$6,0))</f>
        <v>0</v>
      </c>
      <c r="T3">
        <f>+INDEX([1]IN_Mon!$AQ$7:$AS$52,MATCH(T$11,[1]IN_Mon!$AP$7:$AP$52,0),MATCH($A3,[1]IN_Mon!$AQ$6:$ASV$6,0))</f>
        <v>300</v>
      </c>
      <c r="U3">
        <f>+INDEX([1]IN_Mon!$AQ$7:$AS$52,MATCH(U$11,[1]IN_Mon!$AP$7:$AP$52,0),MATCH($A3,[1]IN_Mon!$AQ$6:$ASV$6,0))</f>
        <v>300</v>
      </c>
      <c r="V3">
        <f>+INDEX([1]IN_Mon!$AQ$7:$AS$52,MATCH(V$11,[1]IN_Mon!$AP$7:$AP$52,0),MATCH($A3,[1]IN_Mon!$AQ$6:$ASV$6,0))</f>
        <v>1.0000000955883217</v>
      </c>
      <c r="W3">
        <f>+INDEX([1]IN_Mon!$AQ$7:$AS$52,MATCH(W$11,[1]IN_Mon!$AP$7:$AP$52,0),MATCH($A3,[1]IN_Mon!$AQ$6:$ASV$6,0))</f>
        <v>1000</v>
      </c>
      <c r="X3">
        <f>+INDEX([1]Pat_Int!$E:$E,MATCH($A3,[1]Pat_Int!$B:$B,0))</f>
        <v>588217796.67319405</v>
      </c>
      <c r="Y3">
        <f>+INDEX([1]Pat_Int!$F:$F,MATCH($A3,[1]Pat_Int!$B:$B,0))</f>
        <v>593675933.80177402</v>
      </c>
      <c r="Z3">
        <f>+F3-SUM(G6:W6)</f>
        <v>2623701.9499997962</v>
      </c>
      <c r="AA3" t="e">
        <f>+SUMIF([1]Cartera!$R:$R,$A3&amp;"_"&amp;AA$11,[1]Cartera!$J:$J)</f>
        <v>#VALUE!</v>
      </c>
      <c r="AB3" t="e">
        <f>+SUMIF([1]Cartera!$R:$R,$A3&amp;"_"&amp;AB$11,[1]Cartera!$J:$J)</f>
        <v>#VALUE!</v>
      </c>
      <c r="AC3" t="e">
        <f>+SUMIF([1]Cartera!$R:$R,$A3&amp;"_"&amp;AC$11,[1]Cartera!$J:$J)</f>
        <v>#VALUE!</v>
      </c>
      <c r="AD3" t="e">
        <f>+SUMIF([1]Cartera!$R:$R,$A3&amp;"_"&amp;AD$11,[1]Cartera!$J:$J)</f>
        <v>#VALUE!</v>
      </c>
      <c r="AE3" t="e">
        <f>+SUMIF([1]Cartera!$R:$R,$A3&amp;"_"&amp;AE$11,[1]Cartera!$J:$J)</f>
        <v>#VALUE!</v>
      </c>
      <c r="AF3" t="e">
        <f>+SUMIF([1]Cartera!$R:$R,$A3&amp;"_"&amp;AF$11,[1]Cartera!$J:$J)</f>
        <v>#VALUE!</v>
      </c>
      <c r="AG3" t="e">
        <f>+SUMIF([1]Cartera!$R:$R,$A3&amp;"_"&amp;AG$11,[1]Cartera!$J:$J)</f>
        <v>#VALUE!</v>
      </c>
      <c r="AH3" t="e">
        <f>+SUMIF([1]Cartera!$R:$R,$A3&amp;"_"&amp;AH$11,[1]Cartera!$J:$J)</f>
        <v>#VALUE!</v>
      </c>
      <c r="AI3" t="e">
        <f>+SUMIF([1]Cartera!$R:$R,$A3&amp;"_"&amp;AI$11,[1]Cartera!$J:$J)+SUMIF([1]Futuros!$AD:$AD,$A3&amp;"_"&amp;AI$11,[1]Futuros!$AK:$AK)+SUMIF([1]Opciones!$AF:$AF,$A3&amp;"_"&amp;AI$11,[1]Opciones!$AO:$AO)</f>
        <v>#VALUE!</v>
      </c>
      <c r="AJ3" t="e">
        <f>+SUMIF([1]Cartera!$R:$R,$A3&amp;"_"&amp;AJ$11,[1]Cartera!$J:$J)+SUMIF([1]Futuros!$AD:$AD,$A3&amp;"_"&amp;AJ$11,[1]Futuros!$AK:$AK)+SUMIF([1]Opciones!$AF:$AF,$A3&amp;"_"&amp;AJ$11,[1]Opciones!$AO:$AO)</f>
        <v>#VALUE!</v>
      </c>
      <c r="AK3" t="e">
        <f>+SUMIF([1]Cartera!$R:$R,$A3&amp;"_"&amp;AK$11,[1]Cartera!$J:$J)+SUMIF([1]Futuros!$AD:$AD,$A3&amp;"_"&amp;AK$11,[1]Futuros!$AK:$AK)+SUMIF([1]Opciones!$AF:$AF,$A3&amp;"_"&amp;AK$11,[1]Opciones!$AO:$AO)</f>
        <v>#VALUE!</v>
      </c>
      <c r="AL3" t="e">
        <f>+SUMIF([1]Cartera!$R:$R,$A3&amp;"_"&amp;AL$11,[1]Cartera!$J:$J)+SUMIF([1]Futuros!$AD:$AD,$A3&amp;"_"&amp;AL$11,[1]Futuros!$AK:$AK)+SUMIF([1]Opciones!$AF:$AF,$A3&amp;"_"&amp;AL$11,[1]Opciones!$AO:$AO)</f>
        <v>#VALUE!</v>
      </c>
      <c r="AM3" t="e">
        <f>+SUMIF([1]Cartera!$R:$R,$A3&amp;"_"&amp;AM$11,[1]Cartera!$J:$J)+SUMIF([1]Futuros!$AD:$AD,$A3&amp;"_"&amp;AM$11,[1]Futuros!$AK:$AK)+SUMIF([1]Opciones!$AF:$AF,$A3&amp;"_"&amp;AM$11,[1]Opciones!$AO:$AO)</f>
        <v>#VALUE!</v>
      </c>
      <c r="AN3" t="e">
        <f>+SUMIF([1]Cartera!$R:$R,$A3&amp;"_"&amp;AN$11,[1]Cartera!$J:$J)+SUMIF([1]Futuros!$AD:$AD,$A3&amp;"_"&amp;AN$11,[1]Futuros!$AK:$AK)+SUMIF([1]Opciones!$AF:$AF,$A3&amp;"_"&amp;AN$11,[1]Opciones!$AO:$AO)</f>
        <v>#VALUE!</v>
      </c>
      <c r="AO3" t="e">
        <f>+SUMIF([1]Cartera!$R:$R,$A3&amp;"_"&amp;AO$11,[1]Cartera!$J:$J)+SUMIF([1]Futuros!$AD:$AD,$A3&amp;"_"&amp;AO$11,[1]Futuros!$AK:$AK)+SUMIF([1]Opciones!$AF:$AF,$A3&amp;"_"&amp;AO$11,[1]Opciones!$AO:$AO)</f>
        <v>#VALUE!</v>
      </c>
      <c r="AP3" t="e">
        <f>+SUMIF([1]Cartera!$R:$R,$A3&amp;"_"&amp;AP$11,[1]Cartera!$J:$J)+SUMIF([1]Futuros!$AD:$AD,$A3&amp;"_"&amp;AP$11,[1]Futuros!$AK:$AK)+SUMIF([1]Opciones!$AF:$AF,$A3&amp;"_"&amp;AP$11,[1]Opciones!$AO:$AO)</f>
        <v>#VALUE!</v>
      </c>
      <c r="AQ3" t="e">
        <f>+SUMIF([1]Cartera!$R:$R,$A3&amp;"_"&amp;AQ$11,[1]Cartera!$J:$J)+SUMIF([1]Futuros!$AD:$AD,$A3&amp;"_"&amp;AQ$11,[1]Futuros!$AK:$AK)+SUMIF([1]Opciones!$AF:$AF,$A3&amp;"_"&amp;AQ$11,[1]Opciones!$AO:$AO)</f>
        <v>#VALUE!</v>
      </c>
      <c r="AR3" t="e">
        <f>+SUMIF([1]Cartera!$R:$R,$A3&amp;"_"&amp;AR$11,[1]Cartera!$J:$J)+SUMIF([1]Futuros!$AD:$AD,$A3&amp;"_"&amp;AR$11,[1]Futuros!$AK:$AK)+SUMIF([1]Opciones!$AF:$AF,$A3&amp;"_"&amp;AR$11,[1]Opciones!$AO:$AO)</f>
        <v>#VALUE!</v>
      </c>
      <c r="AS3" t="e">
        <f>+SUMIF([1]Cartera!$R:$R,$A3&amp;"_"&amp;AS$11,[1]Cartera!$J:$J)+SUMIF([1]Futuros!$AD:$AD,$A3&amp;"_"&amp;AS$11,[1]Futuros!$AK:$AK)+SUMIF([1]Opciones!$AF:$AF,$A3&amp;"_"&amp;AS$11,[1]Opciones!$AO:$AO)</f>
        <v>#VALUE!</v>
      </c>
      <c r="AT3" t="e">
        <f>+SUMIF([1]Cartera!$R:$R,$A3&amp;"_"&amp;AT$11,[1]Cartera!$J:$J)+SUMIF([1]Futuros!$AD:$AD,$A3&amp;"_"&amp;AT$11,[1]Futuros!$AK:$AK)+SUMIF([1]Opciones!$AF:$AF,$A3&amp;"_"&amp;AT$11,[1]Opciones!$AO:$AO)</f>
        <v>#VALUE!</v>
      </c>
      <c r="AU3" t="e">
        <f>+SUMIF([1]Cartera!$R:$R,$A3&amp;"_"&amp;AU$11,[1]Cartera!$J:$J)+SUMIF([1]Futuros!$AD:$AD,$A3&amp;"_"&amp;AU$11,[1]Futuros!$AK:$AK)+SUMIF([1]Opciones!$AF:$AF,$A3&amp;"_"&amp;AU$11,[1]Opciones!$AO:$AO)</f>
        <v>#VALUE!</v>
      </c>
      <c r="AV3" t="e">
        <f>+SUMIF([1]Cartera!$R:$R,$A3&amp;"_"&amp;AV$11,[1]Cartera!$J:$J)+SUMIF([1]Futuros!$AD:$AD,$A3&amp;"_"&amp;AV$11,[1]Futuros!$AK:$AK)+SUMIF([1]Opciones!$AF:$AF,$A3&amp;"_"&amp;AV$11,[1]Opciones!$AO:$AO)</f>
        <v>#VALUE!</v>
      </c>
      <c r="AW3" t="e">
        <f>+SUMIF([1]Cartera!$R:$R,$A3&amp;"_"&amp;AW$11,[1]Cartera!$J:$J)+SUMIF([1]Futuros!$AD:$AD,$A3&amp;"_"&amp;AW$11,[1]Futuros!$AK:$AK)+SUMIF([1]Opciones!$AF:$AF,$A3&amp;"_"&amp;AW$11,[1]Opciones!$AO:$AO)</f>
        <v>#VALUE!</v>
      </c>
      <c r="AX3" t="e">
        <f>+SUMIF([1]Cartera!$R:$R,$A3&amp;"_"&amp;AX$11,[1]Cartera!$J:$J)+SUMIF([1]Futuros!$AD:$AD,$A3&amp;"_"&amp;AX$11,[1]Futuros!$AK:$AK)+SUMIF([1]Opciones!$AF:$AF,$A3&amp;"_"&amp;AX$11,[1]Opciones!$AO:$AO)</f>
        <v>#VALUE!</v>
      </c>
      <c r="AY3" t="e">
        <f>+SUMIF([1]Cartera!$R:$R,$A3&amp;"_"&amp;AY$11,[1]Cartera!$J:$J)+SUMIF([1]Futuros!$AD:$AD,$A3&amp;"_"&amp;AY$11,[1]Futuros!$AK:$AK)+SUMIF([1]Opciones!$AF:$AF,$A3&amp;"_"&amp;AY$11,[1]Opciones!$AO:$AO)</f>
        <v>#VALUE!</v>
      </c>
      <c r="AZ3" t="e">
        <f>+SUMIF([1]Cartera!$R:$R,$A3&amp;"_"&amp;AZ$11,[1]Cartera!$J:$J)+SUMIF([1]Futuros!$AD:$AD,$A3&amp;"_"&amp;AZ$11,[1]Futuros!$AK:$AK)+SUMIF([1]Opciones!$AF:$AF,$A3&amp;"_"&amp;AZ$11,[1]Opciones!$AO:$AO)</f>
        <v>#VALUE!</v>
      </c>
      <c r="BA3" t="e">
        <f>+SUMIF([1]Cartera!$R:$R,$A3&amp;"_"&amp;BA$11,[1]Cartera!$J:$J)+SUMIF([1]Futuros!$AD:$AD,$A3&amp;"_"&amp;BA$11,[1]Futuros!$AK:$AK)+SUMIF([1]Opciones!$AF:$AF,$A3&amp;"_"&amp;BA$11,[1]Opciones!$AO:$AO)</f>
        <v>#VALUE!</v>
      </c>
      <c r="BB3" t="e">
        <f>+SUMIF([1]Cartera!$R:$R,$A3&amp;"_"&amp;BB$11,[1]Cartera!$J:$J)+SUMIF([1]Futuros!$AD:$AD,$A3&amp;"_"&amp;BB$11,[1]Futuros!$AK:$AK)+SUMIF([1]Opciones!$AF:$AF,$A3&amp;"_"&amp;BB$11,[1]Opciones!$AO:$AO)</f>
        <v>#VALUE!</v>
      </c>
      <c r="BC3" t="e">
        <f>+SUMIF([1]Cartera!$R:$R,$A3&amp;"_"&amp;BC$11,[1]Cartera!$J:$J)+SUMIF([1]Futuros!$AD:$AD,$A3&amp;"_"&amp;BC$11,[1]Futuros!$AK:$AK)+SUMIF([1]Opciones!$AF:$AF,$A3&amp;"_"&amp;BC$11,[1]Opciones!$AO:$AO)</f>
        <v>#VALUE!</v>
      </c>
      <c r="BD3" t="e">
        <f>+SUMIF([1]Cartera!$R:$R,$A3&amp;"_"&amp;BD$11,[1]Cartera!$J:$J)+SUMIF([1]Futuros!$AD:$AD,$A3&amp;"_"&amp;BD$11,[1]Futuros!$AK:$AK)+SUMIF([1]Opciones!$AF:$AF,$A3&amp;"_"&amp;BD$11,[1]Opciones!$AO:$AO)</f>
        <v>#VALUE!</v>
      </c>
      <c r="BE3" t="e">
        <f>+SUMIF([1]Cartera!$R:$R,$A3&amp;"_"&amp;BE$11,[1]Cartera!$J:$J)+SUMIF([1]Futuros!$AD:$AD,$A3&amp;"_"&amp;BE$11,[1]Futuros!$AK:$AK)+SUMIF([1]Opciones!$AF:$AF,$A3&amp;"_"&amp;BE$11,[1]Opciones!$AO:$AO)</f>
        <v>#VALUE!</v>
      </c>
      <c r="BF3" t="e">
        <f>+SUMIF([1]Cartera!$R:$R,$A3&amp;"_"&amp;BF$11,[1]Cartera!$J:$J)+SUMIF([1]Futuros!$AD:$AD,$A3&amp;"_"&amp;BF$11,[1]Futuros!$AK:$AK)+SUMIF([1]Opciones!$AF:$AF,$A3&amp;"_"&amp;BF$11,[1]Opciones!$AO:$AO)</f>
        <v>#VALUE!</v>
      </c>
      <c r="BG3" t="e">
        <f>+SUMIF([1]Cartera!$R:$R,$A3&amp;"_"&amp;BG$11,[1]Cartera!$J:$J)+SUMIF([1]Futuros!$AD:$AD,$A3&amp;"_"&amp;BG$11,[1]Futuros!$AK:$AK)+SUMIF([1]Opciones!$AF:$AF,$A3&amp;"_"&amp;BG$11,[1]Opciones!$AO:$AO)</f>
        <v>#VALUE!</v>
      </c>
      <c r="BH3" t="e">
        <f>+SUMIF([1]Cartera!$R:$R,$A3&amp;"_"&amp;BH$11,[1]Cartera!$J:$J)+SUMIF([1]Futuros!$AD:$AD,$A3&amp;"_"&amp;BH$11,[1]Futuros!$AK:$AK)+SUMIF([1]Opciones!$AF:$AF,$A3&amp;"_"&amp;BH$11,[1]Opciones!$AO:$AO)</f>
        <v>#VALUE!</v>
      </c>
      <c r="BI3" t="e">
        <f>+SUMIF([1]Cartera!$R:$R,$A3&amp;"_"&amp;BI$11,[1]Cartera!$J:$J)+SUMIF([1]Futuros!$AD:$AD,$A3&amp;"_"&amp;BI$11,[1]Futuros!$AK:$AK)+SUMIF([1]Opciones!$AF:$AF,$A3&amp;"_"&amp;BI$11,[1]Opciones!$AO:$AO)</f>
        <v>#VALUE!</v>
      </c>
      <c r="BJ3" t="e">
        <f>+SUMIF([1]Cartera!$R:$R,$A3&amp;"_"&amp;BJ$11,[1]Cartera!$J:$J)+SUMIF([1]Futuros!$AD:$AD,$A3&amp;"_"&amp;BJ$11,[1]Futuros!$AK:$AK)+SUMIF([1]Opciones!$AF:$AF,$A3&amp;"_"&amp;BJ$11,[1]Opciones!$AO:$AO)</f>
        <v>#VALUE!</v>
      </c>
      <c r="BK3" t="e">
        <f>+SUMIF([1]Cartera!$R:$R,$A3&amp;"_"&amp;BK$11,[1]Cartera!$J:$J)+SUMIF([1]Futuros!$AD:$AD,$A3&amp;"_"&amp;BK$11,[1]Futuros!$AK:$AK)+SUMIF([1]Opciones!$AF:$AF,$A3&amp;"_"&amp;BK$11,[1]Opciones!$AO:$AO)</f>
        <v>#VALUE!</v>
      </c>
      <c r="BL3" t="e">
        <f>+SUMIF([1]Cartera!$R:$R,$A3&amp;"_"&amp;BL$11,[1]Cartera!$J:$J)+SUMIF([1]Futuros!$AD:$AD,$A3&amp;"_"&amp;BL$11,[1]Futuros!$AK:$AK)+SUMIF([1]Opciones!$AF:$AF,$A3&amp;"_"&amp;BL$11,[1]Opciones!$AO:$AO)</f>
        <v>#VALUE!</v>
      </c>
      <c r="BM3" t="e">
        <f>+SUMIF([1]Cartera!$R:$R,$A3&amp;"_"&amp;BM$11,[1]Cartera!$J:$J)+SUMIF([1]Futuros!$AD:$AD,$A3&amp;"_"&amp;BM$11,[1]Futuros!$AK:$AK)+SUMIF([1]Opciones!$AF:$AF,$A3&amp;"_"&amp;BM$11,[1]Opciones!$AO:$AO)</f>
        <v>#VALUE!</v>
      </c>
      <c r="BN3" t="e">
        <f>+SUMIF([1]Cartera!$R:$R,$A3&amp;"_"&amp;BN$11,[1]Cartera!$J:$J)+SUMIF([1]Futuros!$AD:$AD,$A3&amp;"_"&amp;BN$11,[1]Futuros!$AK:$AK)+SUMIF([1]Opciones!$AF:$AF,$A3&amp;"_"&amp;BN$11,[1]Opciones!$AO:$AO)</f>
        <v>#VALUE!</v>
      </c>
      <c r="BO3" t="e">
        <f>+SUMIF([1]Cartera!$R:$R,$A3&amp;"_"&amp;BO$11,[1]Cartera!$J:$J)+SUMIF([1]Futuros!$AD:$AD,$A3&amp;"_"&amp;BO$11,[1]Futuros!$AK:$AK)+SUMIF([1]Opciones!$AF:$AF,$A3&amp;"_"&amp;BO$11,[1]Opciones!$AO:$AO)</f>
        <v>#VALUE!</v>
      </c>
      <c r="BP3" t="e">
        <f>+SUMIF([1]Cartera!$R:$R,$A3&amp;"_"&amp;BP$11,[1]Cartera!$J:$J)+SUMIF([1]Futuros!$AD:$AD,$A3&amp;"_"&amp;BP$11,[1]Futuros!$AK:$AK)+SUMIF([1]Opciones!$AF:$AF,$A3&amp;"_"&amp;BP$11,[1]Opciones!$AO:$AO)</f>
        <v>#VALUE!</v>
      </c>
      <c r="BQ3" t="e">
        <f>+SUMIF([1]Cartera!$R:$R,$A3&amp;"_"&amp;BQ$11,[1]Cartera!$J:$J)+SUMIF([1]Futuros!$AD:$AD,$A3&amp;"_"&amp;BQ$11,[1]Futuros!$AK:$AK)+SUMIF([1]Opciones!$AF:$AF,$A3&amp;"_"&amp;BQ$11,[1]Opciones!$AO:$AO)</f>
        <v>#VALUE!</v>
      </c>
      <c r="BR3" t="e">
        <f>+SUMIF([1]Cartera!$R:$R,$A3&amp;"_"&amp;BR$11,[1]Cartera!$J:$J)+SUMIF([1]Futuros!$AD:$AD,$A3&amp;"_"&amp;BR$11,[1]Futuros!$AK:$AK)+SUMIF([1]Opciones!$AF:$AF,$A3&amp;"_"&amp;BR$11,[1]Opciones!$AO:$AO)</f>
        <v>#VALUE!</v>
      </c>
      <c r="BS3" t="e">
        <f>+SUMIF([1]Cartera!$R:$R,$A3&amp;"_"&amp;BS$11,[1]Cartera!$J:$J)+SUMIF([1]Futuros!$AD:$AD,$A3&amp;"_"&amp;BS$11,[1]Futuros!$AK:$AK)+SUMIF([1]Opciones!$AF:$AF,$A3&amp;"_"&amp;BS$11,[1]Opciones!$AO:$AO)</f>
        <v>#VALUE!</v>
      </c>
      <c r="BT3" t="e">
        <f>+SUMIF([1]Cartera!$R:$R,$A3&amp;"_"&amp;BT$11,[1]Cartera!$J:$J)+SUMIF([1]Futuros!$AD:$AD,$A3&amp;"_"&amp;BT$11,[1]Futuros!$AK:$AK)+SUMIF([1]Opciones!$AF:$AF,$A3&amp;"_"&amp;BT$11,[1]Opciones!$AO:$AO)</f>
        <v>#VALUE!</v>
      </c>
      <c r="BU3" t="e">
        <f>+SUMIF([1]Cartera!$R:$R,$A3&amp;"_"&amp;BU$11,[1]Cartera!$J:$J)+SUMIF([1]Futuros!$AD:$AD,$A3&amp;"_"&amp;BU$11,[1]Futuros!$AK:$AK)+SUMIF([1]Opciones!$AF:$AF,$A3&amp;"_"&amp;BU$11,[1]Opciones!$AO:$AO)</f>
        <v>#VALUE!</v>
      </c>
      <c r="BV3" t="e">
        <f>+SUMIF([1]Cartera!$R:$R,$A3&amp;"_"&amp;BV$11,[1]Cartera!$J:$J)+SUMIF([1]Futuros!$AD:$AD,$A3&amp;"_"&amp;BV$11,[1]Futuros!$AK:$AK)+SUMIF([1]Opciones!$AF:$AF,$A3&amp;"_"&amp;BV$11,[1]Opciones!$AO:$AO)</f>
        <v>#VALUE!</v>
      </c>
      <c r="BW3" t="e">
        <f>+SUMIF([1]Cartera!$R:$R,$A3&amp;"_"&amp;BW$11,[1]Cartera!$J:$J)+SUMIF([1]Futuros!$AD:$AD,$A3&amp;"_"&amp;BW$11,[1]Futuros!$AK:$AK)+SUMIF([1]Opciones!$AF:$AF,$A3&amp;"_"&amp;BW$11,[1]Opciones!$AO:$AO)</f>
        <v>#VALUE!</v>
      </c>
      <c r="BX3" t="e">
        <f>+SUMIF([1]Cartera!$R:$R,$A3&amp;"_"&amp;BX$11,[1]Cartera!$J:$J)+SUMIF([1]Futuros!$AD:$AD,$A3&amp;"_"&amp;BX$11,[1]Futuros!$AK:$AK)+SUMIF([1]Opciones!$AF:$AF,$A3&amp;"_"&amp;BX$11,[1]Opciones!$AO:$AO)</f>
        <v>#VALUE!</v>
      </c>
      <c r="BY3" t="e">
        <f>+SUMIF([1]Cartera!$R:$R,$A3&amp;"_"&amp;BY$11,[1]Cartera!$J:$J)+SUMIF([1]Futuros!$AD:$AD,$A3&amp;"_"&amp;BY$11,[1]Futuros!$AK:$AK)+SUMIF([1]Opciones!$AF:$AF,$A3&amp;"_"&amp;BY$11,[1]Opciones!$AO:$AO)</f>
        <v>#VALUE!</v>
      </c>
      <c r="BZ3" t="e">
        <f>+SUMIF([1]Cartera!$R:$R,$A3&amp;"_"&amp;BZ$11,[1]Cartera!$J:$J)+SUMIF([1]Futuros!$AD:$AD,$A3&amp;"_"&amp;BZ$11,[1]Futuros!$AK:$AK)+SUMIF([1]Opciones!$AF:$AF,$A3&amp;"_"&amp;BZ$11,[1]Opciones!$AO:$AO)</f>
        <v>#VALUE!</v>
      </c>
      <c r="CA3" t="e">
        <f>+SUMIF([1]Cartera!$R:$R,$A3&amp;"_"&amp;CA$11,[1]Cartera!$J:$J)+SUMIF([1]Futuros!$AD:$AD,$A3&amp;"_"&amp;CA$11,[1]Futuros!$AK:$AK)+SUMIF([1]Opciones!$AF:$AF,$A3&amp;"_"&amp;CA$11,[1]Opciones!$AO:$AO)</f>
        <v>#VALUE!</v>
      </c>
      <c r="CB3" t="e">
        <f>+SUMIF([1]Cartera!$R:$R,$A3&amp;"_"&amp;CB$11,[1]Cartera!$J:$J)+SUMIF([1]Futuros!$AD:$AD,$A3&amp;"_"&amp;CB$11,[1]Futuros!$AK:$AK)+SUMIF([1]Opciones!$AF:$AF,$A3&amp;"_"&amp;CB$11,[1]Opciones!$AO:$AO)</f>
        <v>#VALUE!</v>
      </c>
      <c r="CC3" t="e">
        <f>+SUMIF([1]Cartera!$R:$R,$A3&amp;"_"&amp;CC$11,[1]Cartera!$J:$J)+SUMIF([1]Futuros!$AD:$AD,$A3&amp;"_"&amp;CC$11,[1]Futuros!$AK:$AK)+SUMIF([1]Opciones!$AF:$AF,$A3&amp;"_"&amp;CC$11,[1]Opciones!$AO:$AO)</f>
        <v>#VALUE!</v>
      </c>
      <c r="CD3" t="e">
        <f>+SUMIF([1]Cartera!$R:$R,$A3&amp;"_"&amp;CD$11,[1]Cartera!$J:$J)+SUMIF([1]Futuros!$AD:$AD,$A3&amp;"_"&amp;CD$11,[1]Futuros!$AK:$AK)+SUMIF([1]Opciones!$AF:$AF,$A3&amp;"_"&amp;CD$11,[1]Opciones!$AO:$AO)</f>
        <v>#VALUE!</v>
      </c>
      <c r="CE3" t="e">
        <f>+SUMIF([1]Cartera!$R:$R,$A3&amp;"_"&amp;CE$11,[1]Cartera!$J:$J)+SUMIF([1]Futuros!$AD:$AD,$A3&amp;"_"&amp;CE$11,[1]Futuros!$AK:$AK)+SUMIF([1]Opciones!$AF:$AF,$A3&amp;"_"&amp;CE$11,[1]Opciones!$AO:$AO)</f>
        <v>#VALUE!</v>
      </c>
      <c r="CF3" t="e">
        <f>+SUMIF([1]Cartera!$R:$R,$A3&amp;"_"&amp;CF$11,[1]Cartera!$J:$J)+SUMIF([1]Futuros!$AD:$AD,$A3&amp;"_"&amp;CF$11,[1]Futuros!$AK:$AK)+SUMIF([1]Opciones!$AF:$AF,$A3&amp;"_"&amp;CF$11,[1]Opciones!$AO:$AO)</f>
        <v>#VALUE!</v>
      </c>
      <c r="CG3" t="e">
        <f>+SUMIF([1]Cartera!$R:$R,$A3&amp;"_"&amp;CG$11,[1]Cartera!$J:$J)+SUMIF([1]Futuros!$AD:$AD,$A3&amp;"_"&amp;CG$11,[1]Futuros!$AK:$AK)+SUMIF([1]Opciones!$AF:$AF,$A3&amp;"_"&amp;CG$11,[1]Opciones!$AO:$AO)</f>
        <v>#VALUE!</v>
      </c>
      <c r="CH3" t="e">
        <f>+SUMIF([1]Cartera!$R:$R,$A3&amp;"_"&amp;CH$11,[1]Cartera!$J:$J)+SUMIF([1]Futuros!$AD:$AD,$A3&amp;"_"&amp;CH$11,[1]Futuros!$AK:$AK)+SUMIF([1]Opciones!$AF:$AF,$A3&amp;"_"&amp;CH$11,[1]Opciones!$AO:$AO)</f>
        <v>#VALUE!</v>
      </c>
      <c r="CI3" t="e">
        <f>+SUMIF([1]Cartera!$R:$R,$A3&amp;"_"&amp;CI$11,[1]Cartera!$J:$J)+SUMIF([1]Futuros!$AD:$AD,$A3&amp;"_"&amp;CI$11,[1]Futuros!$AK:$AK)+SUMIF([1]Opciones!$AF:$AF,$A3&amp;"_"&amp;CI$11,[1]Opciones!$AO:$AO)</f>
        <v>#VALUE!</v>
      </c>
      <c r="CJ3" t="e">
        <f>+SUMIF([1]Cartera!$R:$R,$A3&amp;"_"&amp;CJ$11,[1]Cartera!$J:$J)+SUMIF([1]Futuros!$AD:$AD,$A3&amp;"_"&amp;CJ$11,[1]Futuros!$AK:$AK)+SUMIF([1]Opciones!$AF:$AF,$A3&amp;"_"&amp;CJ$11,[1]Opciones!$AO:$AO)</f>
        <v>#VALUE!</v>
      </c>
      <c r="CK3" t="e">
        <f>+SUMIF([1]Cartera!$R:$R,$A3&amp;"_"&amp;CK$11,[1]Cartera!$J:$J)+SUMIF([1]Futuros!$AD:$AD,$A3&amp;"_"&amp;CK$11,[1]Futuros!$AK:$AK)+SUMIF([1]Opciones!$AF:$AF,$A3&amp;"_"&amp;CK$11,[1]Opciones!$AO:$AO)</f>
        <v>#VALUE!</v>
      </c>
      <c r="CL3" t="e">
        <f>+SUMIF([1]Cartera!$R:$R,$A3&amp;"_"&amp;CL$11,[1]Cartera!$J:$J)+SUMIF([1]Futuros!$AD:$AD,$A3&amp;"_"&amp;CL$11,[1]Futuros!$AK:$AK)+SUMIF([1]Opciones!$AF:$AF,$A3&amp;"_"&amp;CL$11,[1]Opciones!$AO:$AO)</f>
        <v>#VALUE!</v>
      </c>
      <c r="CM3" t="e">
        <f>+SUMIF([1]Cartera!$R:$R,$A3&amp;"_"&amp;CM$11,[1]Cartera!$J:$J)+SUMIF([1]Futuros!$AD:$AD,$A3&amp;"_"&amp;CM$11,[1]Futuros!$AK:$AK)+SUMIF([1]Opciones!$AF:$AF,$A3&amp;"_"&amp;CM$11,[1]Opciones!$AO:$AO)</f>
        <v>#VALUE!</v>
      </c>
      <c r="CN3" t="e">
        <f>+SUMIF([1]Cartera!$R:$R,$A3&amp;"_"&amp;CN$11,[1]Cartera!$J:$J)+SUMIF([1]Futuros!$AD:$AD,$A3&amp;"_"&amp;CN$11,[1]Futuros!$AK:$AK)+SUMIF([1]Opciones!$AF:$AF,$A3&amp;"_"&amp;CN$11,[1]Opciones!$AO:$AO)</f>
        <v>#VALUE!</v>
      </c>
      <c r="CO3" t="e">
        <f>+SUMIF([1]Cartera!$R:$R,$A3&amp;"_"&amp;CO$11,[1]Cartera!$J:$J)+SUMIF([1]Futuros!$AD:$AD,$A3&amp;"_"&amp;CO$11,[1]Futuros!$AK:$AK)+SUMIF([1]Opciones!$AF:$AF,$A3&amp;"_"&amp;CO$11,[1]Opciones!$AO:$AO)</f>
        <v>#VALUE!</v>
      </c>
      <c r="CP3" t="e">
        <f>+SUMIF([1]Cartera!$R:$R,$A3&amp;"_"&amp;CP$11,[1]Cartera!$J:$J)+SUMIF([1]Futuros!$AD:$AD,$A3&amp;"_"&amp;CP$11,[1]Futuros!$AK:$AK)+SUMIF([1]Opciones!$AF:$AF,$A3&amp;"_"&amp;CP$11,[1]Opciones!$AO:$AO)</f>
        <v>#VALUE!</v>
      </c>
      <c r="CQ3" t="e">
        <f>+SUMIF([1]Cartera!$R:$R,$A3&amp;"_"&amp;CQ$11,[1]Cartera!$J:$J)+SUMIF([1]Futuros!$AD:$AD,$A3&amp;"_"&amp;CQ$11,[1]Futuros!$AK:$AK)+SUMIF([1]Opciones!$AF:$AF,$A3&amp;"_"&amp;CQ$11,[1]Opciones!$AO:$AO)</f>
        <v>#VALUE!</v>
      </c>
      <c r="CR3" t="e">
        <f>+SUMIF([1]Cartera!$R:$R,$A3&amp;"_"&amp;CR$11,[1]Cartera!$J:$J)+SUMIF([1]Futuros!$AD:$AD,$A3&amp;"_"&amp;CR$11,[1]Futuros!$AK:$AK)+SUMIF([1]Opciones!$AF:$AF,$A3&amp;"_"&amp;CR$11,[1]Opciones!$AO:$AO)</f>
        <v>#VALUE!</v>
      </c>
      <c r="CS3" t="e">
        <f>+SUMIF([1]Cartera!$R:$R,$A3&amp;"_"&amp;CS$11,[1]Cartera!$J:$J)+SUMIF([1]Futuros!$AD:$AD,$A3&amp;"_"&amp;CS$11,[1]Futuros!$AK:$AK)+SUMIF([1]Opciones!$AF:$AF,$A3&amp;"_"&amp;CS$11,[1]Opciones!$AO:$AO)</f>
        <v>#VALUE!</v>
      </c>
      <c r="CT3" t="e">
        <f>+SUMIF([1]Cartera!$R:$R,$A3&amp;"_"&amp;CT$11,[1]Cartera!$J:$J)+SUMIF([1]Futuros!$AD:$AD,$A3&amp;"_"&amp;CT$11,[1]Futuros!$AK:$AK)+SUMIF([1]Opciones!$AF:$AF,$A3&amp;"_"&amp;CT$11,[1]Opciones!$AO:$AO)</f>
        <v>#VALUE!</v>
      </c>
      <c r="CU3" t="e">
        <f>+SUMIF([1]Cartera!$R:$R,$A3&amp;"_"&amp;CU$11,[1]Cartera!$J:$J)+SUMIF([1]Futuros!$AD:$AD,$A3&amp;"_"&amp;CU$11,[1]Futuros!$AK:$AK)+SUMIF([1]Opciones!$AF:$AF,$A3&amp;"_"&amp;CU$11,[1]Opciones!$AO:$AO)</f>
        <v>#VALUE!</v>
      </c>
      <c r="CV3" t="e">
        <f>+SUMIF([1]Cartera!$R:$R,$A3&amp;"_"&amp;CV$11,[1]Cartera!$J:$J)+SUMIF([1]Futuros!$AD:$AD,$A3&amp;"_"&amp;CV$11,[1]Futuros!$AK:$AK)+SUMIF([1]Opciones!$AF:$AF,$A3&amp;"_"&amp;CV$11,[1]Opciones!$AO:$AO)</f>
        <v>#VALUE!</v>
      </c>
      <c r="CW3" t="e">
        <f>+SUMIF([1]Cartera!$R:$R,$A3&amp;"_"&amp;CW$11,[1]Cartera!$J:$J)+SUMIF([1]Futuros!$AD:$AD,$A3&amp;"_"&amp;CW$11,[1]Futuros!$AK:$AK)+SUMIF([1]Opciones!$AF:$AF,$A3&amp;"_"&amp;CW$11,[1]Opciones!$AO:$AO)</f>
        <v>#VALUE!</v>
      </c>
      <c r="CX3" t="e">
        <f>+SUMIF([1]Cartera!$R:$R,$A3&amp;"_"&amp;CX$11,[1]Cartera!$J:$J)+SUMIF([1]Futuros!$AD:$AD,$A3&amp;"_"&amp;CX$11,[1]Futuros!$AK:$AK)+SUMIF([1]Opciones!$AF:$AF,$A3&amp;"_"&amp;CX$11,[1]Opciones!$AO:$AO)</f>
        <v>#VALUE!</v>
      </c>
      <c r="CY3" t="e">
        <f>+SUMIF([1]Cartera!$R:$R,$A3&amp;"_"&amp;CY$11,[1]Cartera!$J:$J)+SUMIF([1]Futuros!$AD:$AD,$A3&amp;"_"&amp;CY$11,[1]Futuros!$AK:$AK)+SUMIF([1]Opciones!$AF:$AF,$A3&amp;"_"&amp;CY$11,[1]Opciones!$AO:$AO)</f>
        <v>#VALUE!</v>
      </c>
      <c r="CZ3" t="e">
        <f>+SUMIF([1]Cartera!$R:$R,$A3&amp;"_"&amp;CZ$11,[1]Cartera!$J:$J)+SUMIF([1]Futuros!$AD:$AD,$A3&amp;"_"&amp;CZ$11,[1]Futuros!$AK:$AK)+SUMIF([1]Opciones!$AF:$AF,$A3&amp;"_"&amp;CZ$11,[1]Opciones!$AO:$AO)</f>
        <v>#VALUE!</v>
      </c>
      <c r="DA3" t="e">
        <f>+SUMIF([1]Cartera!$R:$R,$A3&amp;"_"&amp;DA$11,[1]Cartera!$J:$J)+SUMIF([1]Futuros!$AD:$AD,$A3&amp;"_"&amp;DA$11,[1]Futuros!$AK:$AK)+SUMIF([1]Opciones!$AF:$AF,$A3&amp;"_"&amp;DA$11,[1]Opciones!$AO:$AO)</f>
        <v>#VALUE!</v>
      </c>
      <c r="DB3" t="e">
        <f>+SUMIF([1]Cartera!$R:$R,$A3&amp;"_"&amp;DB$11,[1]Cartera!$J:$J)+SUMIF([1]Futuros!$AD:$AD,$A3&amp;"_"&amp;DB$11,[1]Futuros!$AK:$AK)+SUMIF([1]Opciones!$AF:$AF,$A3&amp;"_"&amp;DB$11,[1]Opciones!$AO:$AO)</f>
        <v>#VALUE!</v>
      </c>
      <c r="DC3" t="e">
        <f>+SUMIF([1]Cartera!$R:$R,$A3&amp;"_"&amp;DC$11,[1]Cartera!$J:$J)+SUMIF([1]Futuros!$AD:$AD,$A3&amp;"_"&amp;DC$11,[1]Futuros!$AK:$AK)+SUMIF([1]Opciones!$AF:$AF,$A3&amp;"_"&amp;DC$11,[1]Opciones!$AO:$AO)</f>
        <v>#VALUE!</v>
      </c>
      <c r="DD3" t="e">
        <f>+SUMIF([1]Cartera!$R:$R,$A3&amp;"_"&amp;DD$11,[1]Cartera!$J:$J)+SUMIF([1]Futuros!$AD:$AD,$A3&amp;"_"&amp;DD$11,[1]Futuros!$AK:$AK)+SUMIF([1]Opciones!$AF:$AF,$A3&amp;"_"&amp;DD$11,[1]Opciones!$AO:$AO)</f>
        <v>#VALUE!</v>
      </c>
      <c r="DE3" t="e">
        <f>+SUMIF([1]Cartera!$R:$R,$A3&amp;"_"&amp;DE$11,[1]Cartera!$J:$J)+SUMIF([1]Futuros!$AD:$AD,$A3&amp;"_"&amp;DE$11,[1]Futuros!$AK:$AK)+SUMIF([1]Opciones!$AF:$AF,$A3&amp;"_"&amp;DE$11,[1]Opciones!$AO:$AO)</f>
        <v>#VALUE!</v>
      </c>
      <c r="DF3" t="e">
        <f>+SUMIF([1]Cartera!$R:$R,$A3&amp;"_"&amp;DF$11,[1]Cartera!$J:$J)+SUMIF([1]Futuros!$AD:$AD,$A3&amp;"_"&amp;DF$11,[1]Futuros!$AK:$AK)+SUMIF([1]Opciones!$AF:$AF,$A3&amp;"_"&amp;DF$11,[1]Opciones!$AO:$AO)</f>
        <v>#VALUE!</v>
      </c>
      <c r="DG3" t="e">
        <f>+SUMIF([1]Cartera!$R:$R,$A3&amp;"_"&amp;DG$11,[1]Cartera!$J:$J)+SUMIF([1]Futuros!$AD:$AD,$A3&amp;"_"&amp;DG$11,[1]Futuros!$AK:$AK)+SUMIF([1]Opciones!$AF:$AF,$A3&amp;"_"&amp;DG$11,[1]Opciones!$AO:$AO)</f>
        <v>#VALUE!</v>
      </c>
      <c r="DH3" t="e">
        <f>+SUMIF([1]Cartera!$R:$R,$A3&amp;"_"&amp;DH$11,[1]Cartera!$J:$J)+SUMIF([1]Futuros!$AD:$AD,$A3&amp;"_"&amp;DH$11,[1]Futuros!$AK:$AK)+SUMIF([1]Opciones!$AF:$AF,$A3&amp;"_"&amp;DH$11,[1]Opciones!$AO:$AO)</f>
        <v>#VALUE!</v>
      </c>
      <c r="DI3" t="e">
        <f>+SUMIF([1]Cartera!$R:$R,$A3&amp;"_"&amp;DI$11,[1]Cartera!$J:$J)+SUMIF([1]Futuros!$AD:$AD,$A3&amp;"_"&amp;DI$11,[1]Futuros!$AK:$AK)+SUMIF([1]Opciones!$AF:$AF,$A3&amp;"_"&amp;DI$11,[1]Opciones!$AO:$AO)</f>
        <v>#VALUE!</v>
      </c>
      <c r="DJ3" t="e">
        <f>+SUMIF([1]Cartera!$R:$R,$A3&amp;"_"&amp;DJ$11,[1]Cartera!$J:$J)+SUMIF([1]Futuros!$AD:$AD,$A3&amp;"_"&amp;DJ$11,[1]Futuros!$AK:$AK)+SUMIF([1]Opciones!$AF:$AF,$A3&amp;"_"&amp;DJ$11,[1]Opciones!$AO:$AO)</f>
        <v>#VALUE!</v>
      </c>
      <c r="DK3" t="e">
        <f>+SUMIF([1]Cartera!$R:$R,$A3&amp;"_"&amp;DK$11,[1]Cartera!$J:$J)+SUMIF([1]Futuros!$AD:$AD,$A3&amp;"_"&amp;DK$11,[1]Futuros!$AK:$AK)+SUMIF([1]Opciones!$AF:$AF,$A3&amp;"_"&amp;DK$11,[1]Opciones!$AO:$AO)</f>
        <v>#VALUE!</v>
      </c>
      <c r="DL3" t="e">
        <f>+SUMIF([1]Cartera!$R:$R,$A3&amp;"_"&amp;DL$11,[1]Cartera!$J:$J)+SUMIF([1]Futuros!$AD:$AD,$A3&amp;"_"&amp;DL$11,[1]Futuros!$AK:$AK)+SUMIF([1]Opciones!$AF:$AF,$A3&amp;"_"&amp;DL$11,[1]Opciones!$AO:$AO)</f>
        <v>#VALUE!</v>
      </c>
      <c r="DM3" t="e">
        <f>+SUMIF([1]Cartera!$R:$R,$A3&amp;"_"&amp;DM$11,[1]Cartera!$J:$J)+SUMIF([1]Futuros!$AD:$AD,$A3&amp;"_"&amp;DM$11,[1]Futuros!$AK:$AK)+SUMIF([1]Opciones!$AF:$AF,$A3&amp;"_"&amp;DM$11,[1]Opciones!$AO:$AO)</f>
        <v>#VALUE!</v>
      </c>
      <c r="DN3" t="e">
        <f>+SUMIF([1]Cartera!$R:$R,$A3&amp;"_"&amp;DN$11,[1]Cartera!$J:$J)+SUMIF([1]Futuros!$AD:$AD,$A3&amp;"_"&amp;DN$11,[1]Futuros!$AK:$AK)+SUMIF([1]Opciones!$AF:$AF,$A3&amp;"_"&amp;DN$11,[1]Opciones!$AO:$AO)</f>
        <v>#VALUE!</v>
      </c>
      <c r="DO3" t="e">
        <f>+SUMIF([1]Cartera!$R:$R,$A3&amp;"_"&amp;DO$11,[1]Cartera!$J:$J)+SUMIF([1]Futuros!$AD:$AD,$A3&amp;"_"&amp;DO$11,[1]Futuros!$AK:$AK)+SUMIF([1]Opciones!$AF:$AF,$A3&amp;"_"&amp;DO$11,[1]Opciones!$AO:$AO)</f>
        <v>#VALUE!</v>
      </c>
      <c r="DP3" t="e">
        <f>+SUMIF([1]Cartera!$R:$R,$A3&amp;"_"&amp;DP$11,[1]Cartera!$J:$J)+SUMIF([1]Futuros!$AD:$AD,$A3&amp;"_"&amp;DP$11,[1]Futuros!$AK:$AK)+SUMIF([1]Opciones!$AF:$AF,$A3&amp;"_"&amp;DP$11,[1]Opciones!$AO:$AO)</f>
        <v>#VALUE!</v>
      </c>
      <c r="DQ3" t="e">
        <f>+SUMIF([1]Cartera!$R:$R,$A3&amp;"_"&amp;DQ$11,[1]Cartera!$J:$J)+SUMIF([1]Futuros!$AD:$AD,$A3&amp;"_"&amp;DQ$11,[1]Futuros!$AK:$AK)+SUMIF([1]Opciones!$AF:$AF,$A3&amp;"_"&amp;DQ$11,[1]Opciones!$AO:$AO)</f>
        <v>#VALUE!</v>
      </c>
      <c r="DR3" t="e">
        <f>+SUMIF([1]Cartera!$R:$R,$A3&amp;"_"&amp;DR$11,[1]Cartera!$J:$J)+SUMIF([1]Futuros!$AD:$AD,$A3&amp;"_"&amp;DR$11,[1]Futuros!$AK:$AK)+SUMIF([1]Opciones!$AF:$AF,$A3&amp;"_"&amp;DR$11,[1]Opciones!$AO:$AO)</f>
        <v>#VALUE!</v>
      </c>
      <c r="DS3" t="e">
        <f>+SUMIF([1]Cartera!$R:$R,$A3&amp;"_"&amp;DS$11,[1]Cartera!$J:$J)+SUMIF([1]Futuros!$AD:$AD,$A3&amp;"_"&amp;DS$11,[1]Futuros!$AK:$AK)+SUMIF([1]Opciones!$AF:$AF,$A3&amp;"_"&amp;DS$11,[1]Opciones!$AO:$AO)</f>
        <v>#VALUE!</v>
      </c>
      <c r="DT3" t="e">
        <f>+SUMIF([1]Cartera!$R:$R,$A3&amp;"_"&amp;DT$11,[1]Cartera!$J:$J)+SUMIF([1]Futuros!$AD:$AD,$A3&amp;"_"&amp;DT$11,[1]Futuros!$AK:$AK)+SUMIF([1]Opciones!$AF:$AF,$A3&amp;"_"&amp;DT$11,[1]Opciones!$AO:$AO)</f>
        <v>#VALUE!</v>
      </c>
      <c r="DU3" t="e">
        <f>+SUMIF([1]Cartera!$R:$R,$A3&amp;"_"&amp;DU$11,[1]Cartera!$J:$J)+SUMIF([1]Futuros!$AD:$AD,$A3&amp;"_"&amp;DU$11,[1]Futuros!$AK:$AK)+SUMIF([1]Opciones!$AF:$AF,$A3&amp;"_"&amp;DU$11,[1]Opciones!$AO:$AO)</f>
        <v>#VALUE!</v>
      </c>
      <c r="DV3" t="e">
        <f>+SUMIF([1]Cartera!$R:$R,$A3&amp;"_"&amp;DV$11,[1]Cartera!$J:$J)+SUMIF([1]Futuros!$AD:$AD,$A3&amp;"_"&amp;DV$11,[1]Futuros!$AK:$AK)+SUMIF([1]Opciones!$AF:$AF,$A3&amp;"_"&amp;DV$11,[1]Opciones!$AO:$AO)</f>
        <v>#VALUE!</v>
      </c>
      <c r="DW3" t="e">
        <f>+SUMIF([1]Cartera!$R:$R,$A3&amp;"_"&amp;DW$11,[1]Cartera!$J:$J)+SUMIF([1]Futuros!$AD:$AD,$A3&amp;"_"&amp;DW$11,[1]Futuros!$AK:$AK)+SUMIF([1]Opciones!$AF:$AF,$A3&amp;"_"&amp;DW$11,[1]Opciones!$AO:$AO)</f>
        <v>#VALUE!</v>
      </c>
      <c r="DX3" t="e">
        <f>+SUMIF([1]Cartera!$R:$R,$A3&amp;"_"&amp;DX$11,[1]Cartera!$J:$J)+SUMIF([1]Futuros!$AD:$AD,$A3&amp;"_"&amp;DX$11,[1]Futuros!$AK:$AK)+SUMIF([1]Opciones!$AF:$AF,$A3&amp;"_"&amp;DX$11,[1]Opciones!$AO:$AO)</f>
        <v>#VALUE!</v>
      </c>
      <c r="DY3" t="e">
        <f>+SUMIF([1]Cartera!$R:$R,$A3&amp;"_"&amp;DY$11,[1]Cartera!$J:$J)+SUMIF([1]Futuros!$AD:$AD,$A3&amp;"_"&amp;DY$11,[1]Futuros!$AK:$AK)+SUMIF([1]Opciones!$AF:$AF,$A3&amp;"_"&amp;DY$11,[1]Opciones!$AO:$AO)</f>
        <v>#VALUE!</v>
      </c>
      <c r="DZ3" t="e">
        <f>+SUMIF([1]Cartera!$R:$R,$A3&amp;"_"&amp;DZ$11,[1]Cartera!$J:$J)+SUMIF([1]Futuros!$AD:$AD,$A3&amp;"_"&amp;DZ$11,[1]Futuros!$AK:$AK)+SUMIF([1]Opciones!$AF:$AF,$A3&amp;"_"&amp;DZ$11,[1]Opciones!$AO:$AO)</f>
        <v>#VALUE!</v>
      </c>
      <c r="EA3" t="e">
        <f>+SUMIF([1]Cartera!$R:$R,$A3&amp;"_"&amp;EA$11,[1]Cartera!$J:$J)+SUMIF([1]Futuros!$AD:$AD,$A3&amp;"_"&amp;EA$11,[1]Futuros!$AK:$AK)+SUMIF([1]Opciones!$AF:$AF,$A3&amp;"_"&amp;EA$11,[1]Opciones!$AO:$AO)</f>
        <v>#VALUE!</v>
      </c>
      <c r="EB3" t="e">
        <f>+SUMIF([1]Cartera!$R:$R,$A3&amp;"_"&amp;EB$11,[1]Cartera!$J:$J)+SUMIF([1]Futuros!$AD:$AD,$A3&amp;"_"&amp;EB$11,[1]Futuros!$AK:$AK)+SUMIF([1]Opciones!$AF:$AF,$A3&amp;"_"&amp;EB$11,[1]Opciones!$AO:$AO)</f>
        <v>#VALUE!</v>
      </c>
      <c r="EC3" t="e">
        <f>+SUMIF([1]Cartera!$R:$R,$A3&amp;"_"&amp;EC$11,[1]Cartera!$J:$J)+SUMIF([1]Futuros!$AD:$AD,$A3&amp;"_"&amp;EC$11,[1]Futuros!$AK:$AK)+SUMIF([1]Opciones!$AF:$AF,$A3&amp;"_"&amp;EC$11,[1]Opciones!$AO:$AO)</f>
        <v>#VALUE!</v>
      </c>
      <c r="ED3" t="e">
        <f>+SUMIF([1]Cartera!$R:$R,$A3&amp;"_"&amp;ED$11,[1]Cartera!$J:$J)+SUMIF([1]Futuros!$AD:$AD,$A3&amp;"_"&amp;ED$11,[1]Futuros!$AK:$AK)+SUMIF([1]Opciones!$AF:$AF,$A3&amp;"_"&amp;ED$11,[1]Opciones!$AO:$AO)</f>
        <v>#VALUE!</v>
      </c>
      <c r="EE3" t="e">
        <f>+SUMIF([1]Cartera!$R:$R,$A3&amp;"_"&amp;EE$11,[1]Cartera!$J:$J)+SUMIF([1]Futuros!$AD:$AD,$A3&amp;"_"&amp;EE$11,[1]Futuros!$AK:$AK)+SUMIF([1]Opciones!$AF:$AF,$A3&amp;"_"&amp;EE$11,[1]Opciones!$AO:$AO)</f>
        <v>#VALUE!</v>
      </c>
      <c r="EF3" t="e">
        <f>+SUMIF([1]Cartera!$R:$R,$A3&amp;"_"&amp;EF$11,[1]Cartera!$J:$J)+SUMIF([1]Futuros!$AD:$AD,$A3&amp;"_"&amp;EF$11,[1]Futuros!$AK:$AK)+SUMIF([1]Opciones!$AF:$AF,$A3&amp;"_"&amp;EF$11,[1]Opciones!$AO:$AO)</f>
        <v>#VALUE!</v>
      </c>
      <c r="EG3" t="e">
        <f>+SUMIF([1]Cartera!$R:$R,$A3&amp;"_"&amp;EG$11,[1]Cartera!$J:$J)+SUMIF([1]Futuros!$AD:$AD,$A3&amp;"_"&amp;EG$11,[1]Futuros!$AK:$AK)+SUMIF([1]Opciones!$AF:$AF,$A3&amp;"_"&amp;EG$11,[1]Opciones!$AO:$AO)</f>
        <v>#VALUE!</v>
      </c>
      <c r="EH3" t="e">
        <f>+SUMIF([1]Cartera!$R:$R,$A3&amp;"_"&amp;EH$11,[1]Cartera!$J:$J)+SUMIF([1]Futuros!$AD:$AD,$A3&amp;"_"&amp;EH$11,[1]Futuros!$AK:$AK)+SUMIF([1]Opciones!$AF:$AF,$A3&amp;"_"&amp;EH$11,[1]Opciones!$AO:$AO)</f>
        <v>#VALUE!</v>
      </c>
      <c r="EI3" t="e">
        <f>+SUMIF([1]Cartera!$R:$R,$A3&amp;"_"&amp;EI$11,[1]Cartera!$J:$J)+SUMIF([1]Futuros!$AD:$AD,$A3&amp;"_"&amp;EI$11,[1]Futuros!$AK:$AK)+SUMIF([1]Opciones!$AF:$AF,$A3&amp;"_"&amp;EI$11,[1]Opciones!$AO:$AO)</f>
        <v>#VALUE!</v>
      </c>
      <c r="EJ3" t="e">
        <f>+SUMIF([1]Cartera!$R:$R,$A3&amp;"_"&amp;EJ$11,[1]Cartera!$J:$J)+SUMIF([1]Futuros!$AD:$AD,$A3&amp;"_"&amp;EJ$11,[1]Futuros!$AK:$AK)+SUMIF([1]Opciones!$AF:$AF,$A3&amp;"_"&amp;EJ$11,[1]Opciones!$AO:$AO)</f>
        <v>#VALUE!</v>
      </c>
      <c r="EK3" t="e">
        <f>+SUMIF([1]Cartera!$R:$R,$A3&amp;"_"&amp;EK$11,[1]Cartera!$J:$J)+SUMIF([1]Futuros!$AD:$AD,$A3&amp;"_"&amp;EK$11,[1]Futuros!$AK:$AK)+SUMIF([1]Opciones!$AF:$AF,$A3&amp;"_"&amp;EK$11,[1]Opciones!$AO:$AO)</f>
        <v>#VALUE!</v>
      </c>
      <c r="EL3" t="e">
        <f>+SUMIF([1]Cartera!$R:$R,$A3&amp;"_"&amp;EL$11,[1]Cartera!$J:$J)+SUMIF([1]Futuros!$AD:$AD,$A3&amp;"_"&amp;EL$11,[1]Futuros!$AK:$AK)+SUMIF([1]Opciones!$AF:$AF,$A3&amp;"_"&amp;EL$11,[1]Opciones!$AO:$AO)</f>
        <v>#VALUE!</v>
      </c>
      <c r="EM3" t="e">
        <f>+SUMIF([1]Cartera!$R:$R,$A3&amp;"_"&amp;EM$11,[1]Cartera!$J:$J)+SUMIF([1]Futuros!$AD:$AD,$A3&amp;"_"&amp;EM$11,[1]Futuros!$AK:$AK)+SUMIF([1]Opciones!$AF:$AF,$A3&amp;"_"&amp;EM$11,[1]Opciones!$AO:$AO)</f>
        <v>#VALUE!</v>
      </c>
      <c r="EN3" t="e">
        <f>+SUMIF([1]Cartera!$R:$R,$A3&amp;"_"&amp;EN$11,[1]Cartera!$J:$J)+SUMIF([1]Futuros!$AD:$AD,$A3&amp;"_"&amp;EN$11,[1]Futuros!$AK:$AK)+SUMIF([1]Opciones!$AF:$AF,$A3&amp;"_"&amp;EN$11,[1]Opciones!$AO:$AO)</f>
        <v>#VALUE!</v>
      </c>
      <c r="EO3" t="e">
        <f>+SUMIF([1]Cartera!$R:$R,$A3&amp;"_"&amp;EO$11,[1]Cartera!$J:$J)+SUMIF([1]Futuros!$AD:$AD,$A3&amp;"_"&amp;EO$11,[1]Futuros!$AK:$AK)+SUMIF([1]Opciones!$AF:$AF,$A3&amp;"_"&amp;EO$11,[1]Opciones!$AO:$AO)</f>
        <v>#VALUE!</v>
      </c>
      <c r="EP3" t="e">
        <f>+SUMIF([1]Cartera!$R:$R,$A3&amp;"_"&amp;EP$11,[1]Cartera!$J:$J)+SUMIF([1]Futuros!$AD:$AD,$A3&amp;"_"&amp;EP$11,[1]Futuros!$AK:$AK)+SUMIF([1]Opciones!$AF:$AF,$A3&amp;"_"&amp;EP$11,[1]Opciones!$AO:$AO)</f>
        <v>#VALUE!</v>
      </c>
      <c r="EQ3" t="e">
        <f>+SUMIF([1]Cartera!$R:$R,$A3&amp;"_"&amp;EQ$11,[1]Cartera!$J:$J)+SUMIF([1]Futuros!$AD:$AD,$A3&amp;"_"&amp;EQ$11,[1]Futuros!$AK:$AK)+SUMIF([1]Opciones!$AF:$AF,$A3&amp;"_"&amp;EQ$11,[1]Opciones!$AO:$AO)</f>
        <v>#VALUE!</v>
      </c>
      <c r="ER3" t="e">
        <f>+SUMIF([1]Cartera!$R:$R,$A3&amp;"_"&amp;ER$11,[1]Cartera!$J:$J)+SUMIF([1]Futuros!$AD:$AD,$A3&amp;"_"&amp;ER$11,[1]Futuros!$AK:$AK)+SUMIF([1]Opciones!$AF:$AF,$A3&amp;"_"&amp;ER$11,[1]Opciones!$AO:$AO)</f>
        <v>#VALUE!</v>
      </c>
      <c r="ES3" t="e">
        <f>+SUMIF([1]Cartera!$R:$R,$A3&amp;"_"&amp;ES$11,[1]Cartera!$J:$J)+SUMIF([1]Futuros!$AD:$AD,$A3&amp;"_"&amp;ES$11,[1]Futuros!$AK:$AK)+SUMIF([1]Opciones!$AF:$AF,$A3&amp;"_"&amp;ES$11,[1]Opciones!$AO:$AO)</f>
        <v>#VALUE!</v>
      </c>
      <c r="ET3" t="e">
        <f>+SUMIF([1]Cartera!$R:$R,$A3&amp;"_"&amp;ET$11,[1]Cartera!$J:$J)+SUMIF([1]Futuros!$AD:$AD,$A3&amp;"_"&amp;ET$11,[1]Futuros!$AK:$AK)+SUMIF([1]Opciones!$AF:$AF,$A3&amp;"_"&amp;ET$11,[1]Opciones!$AO:$AO)</f>
        <v>#VALUE!</v>
      </c>
      <c r="EU3" t="e">
        <f>+SUMIF([1]Cartera!$R:$R,$A3&amp;"_"&amp;EU$11,[1]Cartera!$J:$J)+SUMIF([1]Futuros!$AD:$AD,$A3&amp;"_"&amp;EU$11,[1]Futuros!$AK:$AK)+SUMIF([1]Opciones!$AF:$AF,$A3&amp;"_"&amp;EU$11,[1]Opciones!$AO:$AO)</f>
        <v>#VALUE!</v>
      </c>
      <c r="EV3" t="e">
        <f>+SUMIF([1]Cartera!$R:$R,$A3&amp;"_"&amp;EV$11,[1]Cartera!$J:$J)+SUMIF([1]Futuros!$AD:$AD,$A3&amp;"_"&amp;EV$11,[1]Futuros!$AK:$AK)+SUMIF([1]Opciones!$AF:$AF,$A3&amp;"_"&amp;EV$11,[1]Opciones!$AO:$AO)</f>
        <v>#VALUE!</v>
      </c>
      <c r="EW3" t="e">
        <f>+SUMIF([1]Cartera!$R:$R,$A3&amp;"_"&amp;EW$11,[1]Cartera!$J:$J)+SUMIF([1]Futuros!$AD:$AD,$A3&amp;"_"&amp;EW$11,[1]Futuros!$AK:$AK)+SUMIF([1]Opciones!$AF:$AF,$A3&amp;"_"&amp;EW$11,[1]Opciones!$AO:$AO)</f>
        <v>#VALUE!</v>
      </c>
      <c r="EX3" t="e">
        <f>+SUMIF([1]Cartera!$R:$R,$A3&amp;"_"&amp;EX$11,[1]Cartera!$J:$J)+SUMIF([1]Futuros!$AD:$AD,$A3&amp;"_"&amp;EX$11,[1]Futuros!$AK:$AK)+SUMIF([1]Opciones!$AF:$AF,$A3&amp;"_"&amp;EX$11,[1]Opciones!$AO:$AO)</f>
        <v>#VALUE!</v>
      </c>
      <c r="EY3" t="e">
        <f>+SUMIF([1]Cartera!$R:$R,$A3&amp;"_"&amp;EY$11,[1]Cartera!$J:$J)+SUMIF([1]Futuros!$AD:$AD,$A3&amp;"_"&amp;EY$11,[1]Futuros!$AK:$AK)+SUMIF([1]Opciones!$AF:$AF,$A3&amp;"_"&amp;EY$11,[1]Opciones!$AO:$AO)</f>
        <v>#VALUE!</v>
      </c>
      <c r="EZ3" t="e">
        <f>+SUMIF([1]Cartera!$R:$R,$A3&amp;"_"&amp;EZ$11,[1]Cartera!$J:$J)+SUMIF([1]Futuros!$AD:$AD,$A3&amp;"_"&amp;EZ$11,[1]Futuros!$AK:$AK)+SUMIF([1]Opciones!$AF:$AF,$A3&amp;"_"&amp;EZ$11,[1]Opciones!$AO:$AO)</f>
        <v>#VALUE!</v>
      </c>
      <c r="FA3" t="e">
        <f>+SUMIF([1]Cartera!$R:$R,$A3&amp;"_"&amp;FA$11,[1]Cartera!$J:$J)+SUMIF([1]Futuros!$AD:$AD,$A3&amp;"_"&amp;FA$11,[1]Futuros!$AK:$AK)+SUMIF([1]Opciones!$AF:$AF,$A3&amp;"_"&amp;FA$11,[1]Opciones!$AO:$AO)</f>
        <v>#VALUE!</v>
      </c>
      <c r="FB3" t="e">
        <f>+SUMIF([1]Cartera!$R:$R,$A3&amp;"_"&amp;FB$11,[1]Cartera!$J:$J)+SUMIF([1]Futuros!$AD:$AD,$A3&amp;"_"&amp;FB$11,[1]Futuros!$AK:$AK)+SUMIF([1]Opciones!$AF:$AF,$A3&amp;"_"&amp;FB$11,[1]Opciones!$AO:$AO)</f>
        <v>#VALUE!</v>
      </c>
      <c r="FC3" t="e">
        <f>+SUMIF([1]Cartera!$R:$R,$A3&amp;"_"&amp;FC$11,[1]Cartera!$J:$J)+SUMIF([1]Futuros!$AD:$AD,$A3&amp;"_"&amp;FC$11,[1]Futuros!$AK:$AK)+SUMIF([1]Opciones!$AF:$AF,$A3&amp;"_"&amp;FC$11,[1]Opciones!$AO:$AO)</f>
        <v>#VALUE!</v>
      </c>
      <c r="FD3" t="e">
        <f>+SUMIF([1]Cartera!$R:$R,$A3&amp;"_"&amp;FD$11,[1]Cartera!$J:$J)+SUMIF([1]Futuros!$AD:$AD,$A3&amp;"_"&amp;FD$11,[1]Futuros!$AK:$AK)+SUMIF([1]Opciones!$AF:$AF,$A3&amp;"_"&amp;FD$11,[1]Opciones!$AO:$AO)</f>
        <v>#VALUE!</v>
      </c>
      <c r="FE3" t="e">
        <f>+SUMIF([1]Cartera!$R:$R,$A3&amp;"_"&amp;FE$11,[1]Cartera!$J:$J)+SUMIF([1]Futuros!$AD:$AD,$A3&amp;"_"&amp;FE$11,[1]Futuros!$AK:$AK)+SUMIF([1]Opciones!$AF:$AF,$A3&amp;"_"&amp;FE$11,[1]Opciones!$AO:$AO)</f>
        <v>#VALUE!</v>
      </c>
      <c r="FF3" t="e">
        <f>+SUMIF([1]Cartera!$R:$R,$A3&amp;"_"&amp;FF$11,[1]Cartera!$J:$J)+SUMIF([1]Futuros!$AD:$AD,$A3&amp;"_"&amp;FF$11,[1]Futuros!$AK:$AK)+SUMIF([1]Opciones!$AF:$AF,$A3&amp;"_"&amp;FF$11,[1]Opciones!$AO:$AO)</f>
        <v>#VALUE!</v>
      </c>
      <c r="FG3" t="e">
        <f>+SUMIF([1]Cartera!$R:$R,$A3&amp;"_"&amp;FG$11,[1]Cartera!$J:$J)+SUMIF([1]Futuros!$AD:$AD,$A3&amp;"_"&amp;FG$11,[1]Futuros!$AK:$AK)+SUMIF([1]Opciones!$AF:$AF,$A3&amp;"_"&amp;FG$11,[1]Opciones!$AO:$AO)</f>
        <v>#VALUE!</v>
      </c>
      <c r="FH3" t="e">
        <f>+SUMIF([1]Cartera!$R:$R,$A3&amp;"_"&amp;FH$11,[1]Cartera!$J:$J)+SUMIF([1]Futuros!$AD:$AD,$A3&amp;"_"&amp;FH$11,[1]Futuros!$AK:$AK)+SUMIF([1]Opciones!$AF:$AF,$A3&amp;"_"&amp;FH$11,[1]Opciones!$AO:$AO)</f>
        <v>#VALUE!</v>
      </c>
      <c r="FI3" t="e">
        <f>+SUMIF([1]Cartera!$R:$R,$A3&amp;"_"&amp;FI$11,[1]Cartera!$J:$J)+SUMIF([1]Futuros!$AD:$AD,$A3&amp;"_"&amp;FI$11,[1]Futuros!$AK:$AK)+SUMIF([1]Opciones!$AF:$AF,$A3&amp;"_"&amp;FI$11,[1]Opciones!$AO:$AO)</f>
        <v>#VALUE!</v>
      </c>
      <c r="FJ3" t="e">
        <f>+SUMIF([1]Cartera!$R:$R,$A3&amp;"_"&amp;FJ$11,[1]Cartera!$J:$J)+SUMIF([1]Futuros!$AD:$AD,$A3&amp;"_"&amp;FJ$11,[1]Futuros!$AK:$AK)+SUMIF([1]Opciones!$AF:$AF,$A3&amp;"_"&amp;FJ$11,[1]Opciones!$AO:$AO)</f>
        <v>#VALUE!</v>
      </c>
      <c r="FK3" t="e">
        <f>+SUMIF([1]Cartera!$R:$R,$A3&amp;"_"&amp;FK$11,[1]Cartera!$J:$J)+SUMIF([1]Futuros!$AD:$AD,$A3&amp;"_"&amp;FK$11,[1]Futuros!$AK:$AK)+SUMIF([1]Opciones!$AF:$AF,$A3&amp;"_"&amp;FK$11,[1]Opciones!$AO:$AO)</f>
        <v>#VALUE!</v>
      </c>
      <c r="FL3" t="e">
        <f>+SUMIF([1]Cartera!$R:$R,$A3&amp;"_"&amp;FL$11,[1]Cartera!$J:$J)+SUMIF([1]Futuros!$AD:$AD,$A3&amp;"_"&amp;FL$11,[1]Futuros!$AK:$AK)+SUMIF([1]Opciones!$AF:$AF,$A3&amp;"_"&amp;FL$11,[1]Opciones!$AO:$AO)</f>
        <v>#VALUE!</v>
      </c>
      <c r="FM3" t="e">
        <f>+SUMIF([1]Cartera!$R:$R,$A3&amp;"_"&amp;FM$11,[1]Cartera!$J:$J)+SUMIF([1]Futuros!$AD:$AD,$A3&amp;"_"&amp;FM$11,[1]Futuros!$AK:$AK)+SUMIF([1]Opciones!$AF:$AF,$A3&amp;"_"&amp;FM$11,[1]Opciones!$AO:$AO)</f>
        <v>#VALUE!</v>
      </c>
      <c r="FN3" t="e">
        <f>+SUMIF([1]Cartera!$R:$R,$A3&amp;"_"&amp;FN$11,[1]Cartera!$J:$J)+SUMIF([1]Futuros!$AD:$AD,$A3&amp;"_"&amp;FN$11,[1]Futuros!$AK:$AK)+SUMIF([1]Opciones!$AF:$AF,$A3&amp;"_"&amp;FN$11,[1]Opciones!$AO:$AO)</f>
        <v>#VALUE!</v>
      </c>
      <c r="FO3" t="e">
        <f>+SUMIF([1]Cartera!$R:$R,$A3&amp;"_"&amp;FO$11,[1]Cartera!$J:$J)+SUMIF([1]Futuros!$AD:$AD,$A3&amp;"_"&amp;FO$11,[1]Futuros!$AK:$AK)+SUMIF([1]Opciones!$AF:$AF,$A3&amp;"_"&amp;FO$11,[1]Opciones!$AO:$AO)</f>
        <v>#VALUE!</v>
      </c>
      <c r="FP3" t="e">
        <f>+SUMIF([1]Cartera!$R:$R,$A3&amp;"_"&amp;FP$11,[1]Cartera!$J:$J)+SUMIF([1]Futuros!$AD:$AD,$A3&amp;"_"&amp;FP$11,[1]Futuros!$AK:$AK)+SUMIF([1]Opciones!$AF:$AF,$A3&amp;"_"&amp;FP$11,[1]Opciones!$AO:$AO)</f>
        <v>#VALUE!</v>
      </c>
      <c r="FQ3" t="e">
        <f>+SUMIF([1]Cartera!$R:$R,$A3&amp;"_"&amp;FQ$11,[1]Cartera!$J:$J)+SUMIF([1]Futuros!$AD:$AD,$A3&amp;"_"&amp;FQ$11,[1]Futuros!$AK:$AK)+SUMIF([1]Opciones!$AF:$AF,$A3&amp;"_"&amp;FQ$11,[1]Opciones!$AO:$AO)</f>
        <v>#VALUE!</v>
      </c>
      <c r="FR3" t="e">
        <f>+SUMIF([1]Cartera!$R:$R,$A3&amp;"_"&amp;FR$11,[1]Cartera!$J:$J)+SUMIF([1]Futuros!$AD:$AD,$A3&amp;"_"&amp;FR$11,[1]Futuros!$AK:$AK)+SUMIF([1]Opciones!$AF:$AF,$A3&amp;"_"&amp;FR$11,[1]Opciones!$AO:$AO)</f>
        <v>#VALUE!</v>
      </c>
      <c r="FS3" t="e">
        <f>+SUMIF([1]Cartera!$R:$R,$A3&amp;"_"&amp;FS$11,[1]Cartera!$J:$J)+SUMIF([1]Futuros!$AD:$AD,$A3&amp;"_"&amp;FS$11,[1]Futuros!$AK:$AK)+SUMIF([1]Opciones!$AF:$AF,$A3&amp;"_"&amp;FS$11,[1]Opciones!$AO:$AO)</f>
        <v>#VALUE!</v>
      </c>
      <c r="FT3" t="e">
        <f>+SUMIF([1]Cartera!$R:$R,$A3&amp;"_"&amp;FT$11,[1]Cartera!$J:$J)+SUMIF([1]Futuros!$AD:$AD,$A3&amp;"_"&amp;FT$11,[1]Futuros!$AK:$AK)+SUMIF([1]Opciones!$AF:$AF,$A3&amp;"_"&amp;FT$11,[1]Opciones!$AO:$AO)</f>
        <v>#VALUE!</v>
      </c>
      <c r="FU3" t="e">
        <f>+SUMIF([1]Cartera!$R:$R,$A3&amp;"_"&amp;FU$11,[1]Cartera!$J:$J)+SUMIF([1]Futuros!$AD:$AD,$A3&amp;"_"&amp;FU$11,[1]Futuros!$AK:$AK)+SUMIF([1]Opciones!$AF:$AF,$A3&amp;"_"&amp;FU$11,[1]Opciones!$AO:$AO)</f>
        <v>#VALUE!</v>
      </c>
      <c r="FV3" t="e">
        <f>+SUMIF([1]Cartera!$R:$R,$A3&amp;"_"&amp;FV$11,[1]Cartera!$J:$J)+SUMIF([1]Futuros!$AD:$AD,$A3&amp;"_"&amp;FV$11,[1]Futuros!$AK:$AK)+SUMIF([1]Opciones!$AF:$AF,$A3&amp;"_"&amp;FV$11,[1]Opciones!$AO:$AO)</f>
        <v>#VALUE!</v>
      </c>
      <c r="FW3" t="e">
        <f>+SUMIF([1]Cartera!$R:$R,$A3&amp;"_"&amp;FW$11,[1]Cartera!$J:$J)+SUMIF([1]Futuros!$AD:$AD,$A3&amp;"_"&amp;FW$11,[1]Futuros!$AK:$AK)+SUMIF([1]Opciones!$AF:$AF,$A3&amp;"_"&amp;FW$11,[1]Opciones!$AO:$AO)</f>
        <v>#VALUE!</v>
      </c>
      <c r="FX3" t="e">
        <f>+SUMIF([1]Cartera!$R:$R,$A3&amp;"_"&amp;FX$11,[1]Cartera!$J:$J)+SUMIF([1]Futuros!$AD:$AD,$A3&amp;"_"&amp;FX$11,[1]Futuros!$AK:$AK)+SUMIF([1]Opciones!$AF:$AF,$A3&amp;"_"&amp;FX$11,[1]Opciones!$AO:$AO)</f>
        <v>#VALUE!</v>
      </c>
      <c r="FY3" t="e">
        <f>+SUMIF([1]Cartera!$R:$R,$A3&amp;"_"&amp;FY$11,[1]Cartera!$J:$J)+SUMIF([1]Futuros!$AD:$AD,$A3&amp;"_"&amp;FY$11,[1]Futuros!$AK:$AK)+SUMIF([1]Opciones!$AF:$AF,$A3&amp;"_"&amp;FY$11,[1]Opciones!$AO:$AO)</f>
        <v>#VALUE!</v>
      </c>
      <c r="FZ3" t="e">
        <f>+SUMIF([1]Cartera!$R:$R,$A3&amp;"_"&amp;FZ$11,[1]Cartera!$J:$J)+SUMIF([1]Futuros!$AD:$AD,$A3&amp;"_"&amp;FZ$11,[1]Futuros!$AK:$AK)+SUMIF([1]Opciones!$AF:$AF,$A3&amp;"_"&amp;FZ$11,[1]Opciones!$AO:$AO)</f>
        <v>#VALUE!</v>
      </c>
      <c r="GA3" t="e">
        <f>+SUMIF([1]Cartera!$R:$R,$A3&amp;"_"&amp;GA$11,[1]Cartera!$J:$J)+SUMIF([1]Futuros!$AD:$AD,$A3&amp;"_"&amp;GA$11,[1]Futuros!$AK:$AK)+SUMIF([1]Opciones!$AF:$AF,$A3&amp;"_"&amp;GA$11,[1]Opciones!$AO:$AO)</f>
        <v>#VALUE!</v>
      </c>
      <c r="GB3" t="e">
        <f>+SUMIF([1]Cartera!$R:$R,$A3&amp;"_"&amp;GB$11,[1]Cartera!$J:$J)+SUMIF([1]Futuros!$AD:$AD,$A3&amp;"_"&amp;GB$11,[1]Futuros!$AK:$AK)+SUMIF([1]Opciones!$AF:$AF,$A3&amp;"_"&amp;GB$11,[1]Opciones!$AO:$AO)</f>
        <v>#VALUE!</v>
      </c>
      <c r="GC3" t="e">
        <f>+SUMIF([1]Cartera!$R:$R,$A3&amp;"_"&amp;GC$11,[1]Cartera!$J:$J)+SUMIF([1]Futuros!$AD:$AD,$A3&amp;"_"&amp;GC$11,[1]Futuros!$AK:$AK)+SUMIF([1]Opciones!$AF:$AF,$A3&amp;"_"&amp;GC$11,[1]Opciones!$AO:$AO)</f>
        <v>#VALUE!</v>
      </c>
      <c r="GD3" t="e">
        <f>+SUMIF([1]Cartera!$R:$R,$A3&amp;"_"&amp;GD$11,[1]Cartera!$J:$J)+SUMIF([1]Futuros!$AD:$AD,$A3&amp;"_"&amp;GD$11,[1]Futuros!$AK:$AK)+SUMIF([1]Opciones!$AF:$AF,$A3&amp;"_"&amp;GD$11,[1]Opciones!$AO:$AO)</f>
        <v>#VALUE!</v>
      </c>
      <c r="GE3" t="e">
        <f>+SUMIF([1]Cartera!$R:$R,$A3&amp;"_"&amp;GE$11,[1]Cartera!$J:$J)+SUMIF([1]Futuros!$AD:$AD,$A3&amp;"_"&amp;GE$11,[1]Futuros!$AK:$AK)+SUMIF([1]Opciones!$AF:$AF,$A3&amp;"_"&amp;GE$11,[1]Opciones!$AO:$AO)</f>
        <v>#VALUE!</v>
      </c>
      <c r="GF3" t="e">
        <f>+SUMIF([1]Cartera!$R:$R,$A3&amp;"_"&amp;GF$11,[1]Cartera!$J:$J)+SUMIF([1]Futuros!$AD:$AD,$A3&amp;"_"&amp;GF$11,[1]Futuros!$AK:$AK)+SUMIF([1]Opciones!$AF:$AF,$A3&amp;"_"&amp;GF$11,[1]Opciones!$AO:$AO)</f>
        <v>#VALUE!</v>
      </c>
      <c r="GG3" t="e">
        <f>+SUMIF([1]Cartera!$R:$R,$A3&amp;"_"&amp;GG$11,[1]Cartera!$J:$J)+SUMIF([1]Futuros!$AD:$AD,$A3&amp;"_"&amp;GG$11,[1]Futuros!$AK:$AK)+SUMIF([1]Opciones!$AF:$AF,$A3&amp;"_"&amp;GG$11,[1]Opciones!$AO:$AO)</f>
        <v>#VALUE!</v>
      </c>
      <c r="GH3" t="e">
        <f>+SUMIF([1]Cartera!$R:$R,$A3&amp;"_"&amp;GH$11,[1]Cartera!$J:$J)+SUMIF([1]Futuros!$AD:$AD,$A3&amp;"_"&amp;GH$11,[1]Futuros!$AK:$AK)+SUMIF([1]Opciones!$AF:$AF,$A3&amp;"_"&amp;GH$11,[1]Opciones!$AO:$AO)</f>
        <v>#VALUE!</v>
      </c>
      <c r="GI3" t="e">
        <f>+SUMIF([1]Cartera!$R:$R,$A3&amp;"_"&amp;GI$11,[1]Cartera!$J:$J)+SUMIF([1]Futuros!$AD:$AD,$A3&amp;"_"&amp;GI$11,[1]Futuros!$AK:$AK)+SUMIF([1]Opciones!$AF:$AF,$A3&amp;"_"&amp;GI$11,[1]Opciones!$AO:$AO)</f>
        <v>#VALUE!</v>
      </c>
      <c r="GJ3" t="e">
        <f>+SUMIF([1]Cartera!$R:$R,$A3&amp;"_"&amp;GJ$11,[1]Cartera!$J:$J)+SUMIF([1]Futuros!$AD:$AD,$A3&amp;"_"&amp;GJ$11,[1]Futuros!$AK:$AK)+SUMIF([1]Opciones!$AF:$AF,$A3&amp;"_"&amp;GJ$11,[1]Opciones!$AO:$AO)</f>
        <v>#VALUE!</v>
      </c>
      <c r="GK3" t="e">
        <f>+SUMIF([1]Cartera!$R:$R,$A3&amp;"_"&amp;GK$11,[1]Cartera!$J:$J)+SUMIF([1]Futuros!$AD:$AD,$A3&amp;"_"&amp;GK$11,[1]Futuros!$AK:$AK)+SUMIF([1]Opciones!$AF:$AF,$A3&amp;"_"&amp;GK$11,[1]Opciones!$AO:$AO)</f>
        <v>#VALUE!</v>
      </c>
      <c r="GL3" t="e">
        <f>+SUMIF([1]Cartera!$R:$R,$A3&amp;"_"&amp;GL$11,[1]Cartera!$J:$J)+SUMIF([1]Futuros!$AD:$AD,$A3&amp;"_"&amp;GL$11,[1]Futuros!$AK:$AK)+SUMIF([1]Opciones!$AF:$AF,$A3&amp;"_"&amp;GL$11,[1]Opciones!$AO:$AO)</f>
        <v>#VALUE!</v>
      </c>
      <c r="GM3" t="e">
        <f>+SUMIF([1]Cartera!$R:$R,$A3&amp;"_"&amp;GM$11,[1]Cartera!$J:$J)+SUMIF([1]Futuros!$AD:$AD,$A3&amp;"_"&amp;GM$11,[1]Futuros!$AK:$AK)+SUMIF([1]Opciones!$AF:$AF,$A3&amp;"_"&amp;GM$11,[1]Opciones!$AO:$AO)</f>
        <v>#VALUE!</v>
      </c>
      <c r="GN3" t="e">
        <f>+SUMIF([1]Cartera!$R:$R,$A3&amp;"_"&amp;GN$11,[1]Cartera!$J:$J)+SUMIF([1]Futuros!$AD:$AD,$A3&amp;"_"&amp;GN$11,[1]Futuros!$AK:$AK)+SUMIF([1]Opciones!$AF:$AF,$A3&amp;"_"&amp;GN$11,[1]Opciones!$AO:$AO)</f>
        <v>#VALUE!</v>
      </c>
      <c r="GO3" t="e">
        <f>+SUMIF([1]Cartera!$R:$R,$A3&amp;"_"&amp;GO$11,[1]Cartera!$J:$J)+SUMIF([1]Futuros!$AD:$AD,$A3&amp;"_"&amp;GO$11,[1]Futuros!$AK:$AK)+SUMIF([1]Opciones!$AF:$AF,$A3&amp;"_"&amp;GO$11,[1]Opciones!$AO:$AO)</f>
        <v>#VALUE!</v>
      </c>
      <c r="GP3" t="e">
        <f>+SUMIF([1]Cartera!$R:$R,$A3&amp;"_"&amp;GP$11,[1]Cartera!$J:$J)+SUMIF([1]Futuros!$AD:$AD,$A3&amp;"_"&amp;GP$11,[1]Futuros!$AK:$AK)+SUMIF([1]Opciones!$AF:$AF,$A3&amp;"_"&amp;GP$11,[1]Opciones!$AO:$AO)</f>
        <v>#VALUE!</v>
      </c>
      <c r="GQ3" t="e">
        <f>+SUMIF([1]Cartera!$R:$R,$A3&amp;"_"&amp;GQ$11,[1]Cartera!$J:$J)+SUMIF([1]Futuros!$AD:$AD,$A3&amp;"_"&amp;GQ$11,[1]Futuros!$AK:$AK)+SUMIF([1]Opciones!$AF:$AF,$A3&amp;"_"&amp;GQ$11,[1]Opciones!$AO:$AO)</f>
        <v>#VALUE!</v>
      </c>
      <c r="GR3" t="e">
        <f>+SUMIF([1]Cartera!$R:$R,$A3&amp;"_"&amp;GR$11,[1]Cartera!$J:$J)+SUMIF([1]Futuros!$AD:$AD,$A3&amp;"_"&amp;GR$11,[1]Futuros!$AK:$AK)+SUMIF([1]Opciones!$AF:$AF,$A3&amp;"_"&amp;GR$11,[1]Opciones!$AO:$AO)</f>
        <v>#VALUE!</v>
      </c>
      <c r="GS3" t="e">
        <f>+SUMIF([1]Cartera!$R:$R,$A3&amp;"_"&amp;GS$11,[1]Cartera!$J:$J)+SUMIF([1]Futuros!$AD:$AD,$A3&amp;"_"&amp;GS$11,[1]Futuros!$AK:$AK)+SUMIF([1]Opciones!$AF:$AF,$A3&amp;"_"&amp;GS$11,[1]Opciones!$AO:$AO)</f>
        <v>#VALUE!</v>
      </c>
      <c r="GT3" t="e">
        <f>+SUMIF([1]Cartera!$R:$R,$A3&amp;"_"&amp;GT$11,[1]Cartera!$J:$J)+SUMIF([1]Futuros!$AD:$AD,$A3&amp;"_"&amp;GT$11,[1]Futuros!$AK:$AK)+SUMIF([1]Opciones!$AF:$AF,$A3&amp;"_"&amp;GT$11,[1]Opciones!$AO:$AO)</f>
        <v>#VALUE!</v>
      </c>
      <c r="GU3" t="e">
        <f>+SUMIF([1]Cartera!$R:$R,$A3&amp;"_"&amp;GU$11,[1]Cartera!$J:$J)+SUMIF([1]Futuros!$AD:$AD,$A3&amp;"_"&amp;GU$11,[1]Futuros!$AK:$AK)+SUMIF([1]Opciones!$AF:$AF,$A3&amp;"_"&amp;GU$11,[1]Opciones!$AO:$AO)</f>
        <v>#VALUE!</v>
      </c>
      <c r="GV3" t="e">
        <f>+SUMIF([1]Cartera!$R:$R,$A3&amp;"_"&amp;GV$11,[1]Cartera!$J:$J)+SUMIF([1]Futuros!$AD:$AD,$A3&amp;"_"&amp;GV$11,[1]Futuros!$AK:$AK)+SUMIF([1]Opciones!$AF:$AF,$A3&amp;"_"&amp;GV$11,[1]Opciones!$AO:$AO)</f>
        <v>#VALUE!</v>
      </c>
      <c r="GW3" t="e">
        <f>+SUMIF([1]Cartera!$R:$R,$A3&amp;"_"&amp;GW$11,[1]Cartera!$J:$J)+SUMIF([1]Futuros!$AD:$AD,$A3&amp;"_"&amp;GW$11,[1]Futuros!$AK:$AK)+SUMIF([1]Opciones!$AF:$AF,$A3&amp;"_"&amp;GW$11,[1]Opciones!$AO:$AO)</f>
        <v>#VALUE!</v>
      </c>
      <c r="GX3" t="e">
        <f>+SUMIF([1]Cartera!$R:$R,$A3&amp;"_"&amp;GX$11,[1]Cartera!$J:$J)+SUMIF([1]Futuros!$AD:$AD,$A3&amp;"_"&amp;GX$11,[1]Futuros!$AK:$AK)+SUMIF([1]Opciones!$AF:$AF,$A3&amp;"_"&amp;GX$11,[1]Opciones!$AO:$AO)</f>
        <v>#VALUE!</v>
      </c>
      <c r="GY3" t="e">
        <f>+SUMIF([1]Cartera!$R:$R,$A3&amp;"_"&amp;GY$11,[1]Cartera!$J:$J)+SUMIF([1]Futuros!$AD:$AD,$A3&amp;"_"&amp;GY$11,[1]Futuros!$AK:$AK)+SUMIF([1]Opciones!$AF:$AF,$A3&amp;"_"&amp;GY$11,[1]Opciones!$AO:$AO)</f>
        <v>#VALUE!</v>
      </c>
      <c r="GZ3" t="e">
        <f>+SUMIF([1]Cartera!$R:$R,$A3&amp;"_"&amp;GZ$11,[1]Cartera!$J:$J)+SUMIF([1]Futuros!$AD:$AD,$A3&amp;"_"&amp;GZ$11,[1]Futuros!$AK:$AK)+SUMIF([1]Opciones!$AF:$AF,$A3&amp;"_"&amp;GZ$11,[1]Opciones!$AO:$AO)</f>
        <v>#VALUE!</v>
      </c>
      <c r="HA3" t="e">
        <f>+SUMIF([1]Cartera!$R:$R,$A3&amp;"_"&amp;HA$11,[1]Cartera!$J:$J)+SUMIF([1]Futuros!$AD:$AD,$A3&amp;"_"&amp;HA$11,[1]Futuros!$AK:$AK)+SUMIF([1]Opciones!$AF:$AF,$A3&amp;"_"&amp;HA$11,[1]Opciones!$AO:$AO)</f>
        <v>#VALUE!</v>
      </c>
      <c r="HB3" t="e">
        <f>+SUMIF([1]Cartera!$R:$R,$A3&amp;"_"&amp;HB$11,[1]Cartera!$J:$J)+SUMIF([1]Futuros!$AD:$AD,$A3&amp;"_"&amp;HB$11,[1]Futuros!$AK:$AK)+SUMIF([1]Opciones!$AF:$AF,$A3&amp;"_"&amp;HB$11,[1]Opciones!$AO:$AO)</f>
        <v>#VALUE!</v>
      </c>
      <c r="HC3" t="e">
        <f>+SUMIF([1]Cartera!$R:$R,$A3&amp;"_"&amp;HC$11,[1]Cartera!$J:$J)+SUMIF([1]Futuros!$AD:$AD,$A3&amp;"_"&amp;HC$11,[1]Futuros!$AK:$AK)+SUMIF([1]Opciones!$AF:$AF,$A3&amp;"_"&amp;HC$11,[1]Opciones!$AO:$AO)</f>
        <v>#VALUE!</v>
      </c>
      <c r="HD3" t="e">
        <f>+SUMIF([1]Cartera!$R:$R,$A3&amp;"_"&amp;HD$11,[1]Cartera!$J:$J)+SUMIF([1]Futuros!$AD:$AD,$A3&amp;"_"&amp;HD$11,[1]Futuros!$AK:$AK)+SUMIF([1]Opciones!$AF:$AF,$A3&amp;"_"&amp;HD$11,[1]Opciones!$AO:$AO)</f>
        <v>#VALUE!</v>
      </c>
      <c r="HE3" t="e">
        <f>+SUMIF([1]Cartera!$R:$R,$A3&amp;"_"&amp;HE$11,[1]Cartera!$J:$J)+SUMIF([1]Futuros!$AD:$AD,$A3&amp;"_"&amp;HE$11,[1]Futuros!$AK:$AK)+SUMIF([1]Opciones!$AF:$AF,$A3&amp;"_"&amp;HE$11,[1]Opciones!$AO:$AO)</f>
        <v>#VALUE!</v>
      </c>
      <c r="HF3" t="e">
        <f>+SUMIF([1]Cartera!$R:$R,$A3&amp;"_"&amp;HF$11,[1]Cartera!$J:$J)+SUMIF([1]Futuros!$AD:$AD,$A3&amp;"_"&amp;HF$11,[1]Futuros!$AK:$AK)+SUMIF([1]Opciones!$AF:$AF,$A3&amp;"_"&amp;HF$11,[1]Opciones!$AO:$AO)</f>
        <v>#VALUE!</v>
      </c>
      <c r="HG3" t="e">
        <f>+SUMIF([1]Cartera!$R:$R,$A3&amp;"_"&amp;HG$11,[1]Cartera!$J:$J)+SUMIF([1]Futuros!$AD:$AD,$A3&amp;"_"&amp;HG$11,[1]Futuros!$AK:$AK)+SUMIF([1]Opciones!$AF:$AF,$A3&amp;"_"&amp;HG$11,[1]Opciones!$AO:$AO)</f>
        <v>#VALUE!</v>
      </c>
      <c r="HH3" t="e">
        <f>+SUMIF([1]Cartera!$R:$R,$A3&amp;"_"&amp;HH$11,[1]Cartera!$J:$J)+SUMIF([1]Futuros!$AD:$AD,$A3&amp;"_"&amp;HH$11,[1]Futuros!$AK:$AK)+SUMIF([1]Opciones!$AF:$AF,$A3&amp;"_"&amp;HH$11,[1]Opciones!$AO:$AO)</f>
        <v>#VALUE!</v>
      </c>
      <c r="HI3" t="e">
        <f>+SUMIF([1]Cartera!$R:$R,$A3&amp;"_"&amp;HI$11,[1]Cartera!$J:$J)+SUMIF([1]Futuros!$AD:$AD,$A3&amp;"_"&amp;HI$11,[1]Futuros!$AK:$AK)+SUMIF([1]Opciones!$AF:$AF,$A3&amp;"_"&amp;HI$11,[1]Opciones!$AO:$AO)</f>
        <v>#VALUE!</v>
      </c>
      <c r="HJ3" t="e">
        <f>+SUMIF([1]Cartera!$R:$R,$A3&amp;"_"&amp;HJ$11,[1]Cartera!$J:$J)+SUMIF([1]Futuros!$AD:$AD,$A3&amp;"_"&amp;HJ$11,[1]Futuros!$AK:$AK)+SUMIF([1]Opciones!$AF:$AF,$A3&amp;"_"&amp;HJ$11,[1]Opciones!$AO:$AO)</f>
        <v>#VALUE!</v>
      </c>
      <c r="HK3" t="e">
        <f>+SUMIF([1]Cartera!$R:$R,$A3&amp;"_"&amp;HK$11,[1]Cartera!$J:$J)+SUMIF([1]Futuros!$AD:$AD,$A3&amp;"_"&amp;HK$11,[1]Futuros!$AK:$AK)+SUMIF([1]Opciones!$AF:$AF,$A3&amp;"_"&amp;HK$11,[1]Opciones!$AO:$AO)</f>
        <v>#VALUE!</v>
      </c>
      <c r="HL3" t="e">
        <f>+SUMIF([1]Cartera!$R:$R,$A3&amp;"_"&amp;HL$11,[1]Cartera!$J:$J)+SUMIF([1]Futuros!$AD:$AD,$A3&amp;"_"&amp;HL$11,[1]Futuros!$AK:$AK)+SUMIF([1]Opciones!$AF:$AF,$A3&amp;"_"&amp;HL$11,[1]Opciones!$AO:$AO)</f>
        <v>#VALUE!</v>
      </c>
      <c r="HM3" t="e">
        <f>+SUMIF([1]Cartera!$R:$R,$A3&amp;"_"&amp;HM$11,[1]Cartera!$J:$J)+SUMIF([1]Futuros!$AD:$AD,$A3&amp;"_"&amp;HM$11,[1]Futuros!$AK:$AK)+SUMIF([1]Opciones!$AF:$AF,$A3&amp;"_"&amp;HM$11,[1]Opciones!$AO:$AO)</f>
        <v>#VALUE!</v>
      </c>
      <c r="HN3" t="e">
        <f>+SUMIF([1]Cartera!$R:$R,$A3&amp;"_"&amp;HN$11,[1]Cartera!$J:$J)+SUMIF([1]Futuros!$AD:$AD,$A3&amp;"_"&amp;HN$11,[1]Futuros!$AK:$AK)+SUMIF([1]Opciones!$AF:$AF,$A3&amp;"_"&amp;HN$11,[1]Opciones!$AO:$AO)</f>
        <v>#VALUE!</v>
      </c>
      <c r="HO3" t="e">
        <f>+SUMIF([1]Cartera!$R:$R,$A3&amp;"_"&amp;HO$11,[1]Cartera!$J:$J)+SUMIF([1]Futuros!$AD:$AD,$A3&amp;"_"&amp;HO$11,[1]Futuros!$AK:$AK)+SUMIF([1]Opciones!$AF:$AF,$A3&amp;"_"&amp;HO$11,[1]Opciones!$AO:$AO)</f>
        <v>#VALUE!</v>
      </c>
      <c r="HP3" t="e">
        <f>+SUMIF([1]Cartera!$R:$R,$A3&amp;"_"&amp;HP$11,[1]Cartera!$J:$J)+SUMIF([1]Futuros!$AD:$AD,$A3&amp;"_"&amp;HP$11,[1]Futuros!$AK:$AK)+SUMIF([1]Opciones!$AF:$AF,$A3&amp;"_"&amp;HP$11,[1]Opciones!$AO:$AO)</f>
        <v>#VALUE!</v>
      </c>
      <c r="HQ3" t="e">
        <f>+SUMIF([1]Cartera!$R:$R,$A3&amp;"_"&amp;HQ$11,[1]Cartera!$J:$J)+SUMIF([1]Futuros!$AD:$AD,$A3&amp;"_"&amp;HQ$11,[1]Futuros!$AK:$AK)+SUMIF([1]Opciones!$AF:$AF,$A3&amp;"_"&amp;HQ$11,[1]Opciones!$AO:$AO)</f>
        <v>#VALUE!</v>
      </c>
      <c r="HR3" t="e">
        <f>+SUMIF([1]Cartera!$R:$R,$A3&amp;"_"&amp;HR$11,[1]Cartera!$J:$J)+SUMIF([1]Futuros!$AD:$AD,$A3&amp;"_"&amp;HR$11,[1]Futuros!$AK:$AK)+SUMIF([1]Opciones!$AF:$AF,$A3&amp;"_"&amp;HR$11,[1]Opciones!$AO:$AO)</f>
        <v>#VALUE!</v>
      </c>
      <c r="HS3" t="e">
        <f>+SUMIF([1]Cartera!$R:$R,$A3&amp;"_"&amp;HS$11,[1]Cartera!$J:$J)+SUMIF([1]Futuros!$AD:$AD,$A3&amp;"_"&amp;HS$11,[1]Futuros!$AK:$AK)+SUMIF([1]Opciones!$AF:$AF,$A3&amp;"_"&amp;HS$11,[1]Opciones!$AO:$AO)</f>
        <v>#VALUE!</v>
      </c>
      <c r="HT3" t="e">
        <f>+SUMIF([1]Cartera!$R:$R,$A3&amp;"_"&amp;HT$11,[1]Cartera!$J:$J)+SUMIF([1]Futuros!$AD:$AD,$A3&amp;"_"&amp;HT$11,[1]Futuros!$AK:$AK)+SUMIF([1]Opciones!$AF:$AF,$A3&amp;"_"&amp;HT$11,[1]Opciones!$AO:$AO)</f>
        <v>#VALUE!</v>
      </c>
      <c r="HU3" t="e">
        <f>+SUMIF([1]Cartera!$R:$R,$A3&amp;"_"&amp;HU$11,[1]Cartera!$J:$J)+SUMIF([1]Futuros!$AD:$AD,$A3&amp;"_"&amp;HU$11,[1]Futuros!$AK:$AK)+SUMIF([1]Opciones!$AF:$AF,$A3&amp;"_"&amp;HU$11,[1]Opciones!$AO:$AO)</f>
        <v>#VALUE!</v>
      </c>
      <c r="HV3" t="e">
        <f>+SUMIF([1]Cartera!$R:$R,$A3&amp;"_"&amp;HV$11,[1]Cartera!$J:$J)+SUMIF([1]Futuros!$AD:$AD,$A3&amp;"_"&amp;HV$11,[1]Futuros!$AK:$AK)+SUMIF([1]Opciones!$AF:$AF,$A3&amp;"_"&amp;HV$11,[1]Opciones!$AO:$AO)</f>
        <v>#VALUE!</v>
      </c>
      <c r="HW3" t="e">
        <f>+SUMIF([1]Cartera!$R:$R,$A3&amp;"_"&amp;HW$11,[1]Cartera!$J:$J)+SUMIF([1]Futuros!$AD:$AD,$A3&amp;"_"&amp;HW$11,[1]Futuros!$AK:$AK)+SUMIF([1]Opciones!$AF:$AF,$A3&amp;"_"&amp;HW$11,[1]Opciones!$AO:$AO)</f>
        <v>#VALUE!</v>
      </c>
      <c r="HX3" t="e">
        <f>+SUMIF([1]Cartera!$R:$R,$A3&amp;"_"&amp;HX$11,[1]Cartera!$J:$J)+SUMIF([1]Futuros!$AD:$AD,$A3&amp;"_"&amp;HX$11,[1]Futuros!$AK:$AK)+SUMIF([1]Opciones!$AF:$AF,$A3&amp;"_"&amp;HX$11,[1]Opciones!$AO:$AO)</f>
        <v>#VALUE!</v>
      </c>
      <c r="HY3" t="e">
        <f>+SUMIF([1]Cartera!$R:$R,$A3&amp;"_"&amp;HY$11,[1]Cartera!$J:$J)+SUMIF([1]Futuros!$AD:$AD,$A3&amp;"_"&amp;HY$11,[1]Futuros!$AK:$AK)+SUMIF([1]Opciones!$AF:$AF,$A3&amp;"_"&amp;HY$11,[1]Opciones!$AO:$AO)</f>
        <v>#VALUE!</v>
      </c>
      <c r="HZ3" t="e">
        <f>+SUMIF([1]Cartera!$R:$R,$A3&amp;"_"&amp;HZ$11,[1]Cartera!$J:$J)+SUMIF([1]Futuros!$AD:$AD,$A3&amp;"_"&amp;HZ$11,[1]Futuros!$AK:$AK)+SUMIF([1]Opciones!$AF:$AF,$A3&amp;"_"&amp;HZ$11,[1]Opciones!$AO:$AO)</f>
        <v>#VALUE!</v>
      </c>
      <c r="IA3" t="e">
        <f>+SUMIF([1]Cartera!$R:$R,$A3&amp;"_"&amp;IA$11,[1]Cartera!$J:$J)+SUMIF([1]Futuros!$AD:$AD,$A3&amp;"_"&amp;IA$11,[1]Futuros!$AK:$AK)+SUMIF([1]Opciones!$AF:$AF,$A3&amp;"_"&amp;IA$11,[1]Opciones!$AO:$AO)</f>
        <v>#VALUE!</v>
      </c>
      <c r="IB3" t="e">
        <f>+SUMIF([1]Cartera!$R:$R,$A3&amp;"_"&amp;IB$11,[1]Cartera!$J:$J)+SUMIF([1]Futuros!$AD:$AD,$A3&amp;"_"&amp;IB$11,[1]Futuros!$AK:$AK)+SUMIF([1]Opciones!$AF:$AF,$A3&amp;"_"&amp;IB$11,[1]Opciones!$AO:$AO)</f>
        <v>#VALUE!</v>
      </c>
      <c r="IC3" t="e">
        <f>+SUMIF([1]Cartera!$R:$R,$A3&amp;"_"&amp;IC$11,[1]Cartera!$J:$J)+SUMIF([1]Futuros!$AD:$AD,$A3&amp;"_"&amp;IC$11,[1]Futuros!$AK:$AK)+SUMIF([1]Opciones!$AF:$AF,$A3&amp;"_"&amp;IC$11,[1]Opciones!$AO:$AO)</f>
        <v>#VALUE!</v>
      </c>
      <c r="ID3" t="e">
        <f>+SUMIF([1]Cartera!$R:$R,$A3&amp;"_"&amp;ID$11,[1]Cartera!$J:$J)+SUMIF([1]Futuros!$AD:$AD,$A3&amp;"_"&amp;ID$11,[1]Futuros!$AK:$AK)+SUMIF([1]Opciones!$AF:$AF,$A3&amp;"_"&amp;ID$11,[1]Opciones!$AO:$AO)</f>
        <v>#VALUE!</v>
      </c>
      <c r="IE3" t="e">
        <f>+SUMIF([1]Cartera!$R:$R,$A3&amp;"_"&amp;IE$11,[1]Cartera!$J:$J)+SUMIF([1]Futuros!$AD:$AD,$A3&amp;"_"&amp;IE$11,[1]Futuros!$AK:$AK)+SUMIF([1]Opciones!$AF:$AF,$A3&amp;"_"&amp;IE$11,[1]Opciones!$AO:$AO)</f>
        <v>#VALUE!</v>
      </c>
      <c r="IF3" t="e">
        <f>+SUMIF([1]Cartera!$R:$R,$A3&amp;"_"&amp;IF$11,[1]Cartera!$J:$J)+SUMIF([1]Futuros!$AD:$AD,$A3&amp;"_"&amp;IF$11,[1]Futuros!$AK:$AK)+SUMIF([1]Opciones!$AF:$AF,$A3&amp;"_"&amp;IF$11,[1]Opciones!$AO:$AO)</f>
        <v>#VALUE!</v>
      </c>
      <c r="IG3" t="e">
        <f>+SUMIF([1]Cartera!$R:$R,$A3&amp;"_"&amp;IG$11,[1]Cartera!$J:$J)+SUMIF([1]Futuros!$AD:$AD,$A3&amp;"_"&amp;IG$11,[1]Futuros!$AK:$AK)+SUMIF([1]Opciones!$AF:$AF,$A3&amp;"_"&amp;IG$11,[1]Opciones!$AO:$AO)</f>
        <v>#VALUE!</v>
      </c>
      <c r="IH3" t="e">
        <f>+SUMIF([1]Cartera!$R:$R,$A3&amp;"_"&amp;IH$11,[1]Cartera!$J:$J)+SUMIF([1]Futuros!$AD:$AD,$A3&amp;"_"&amp;IH$11,[1]Futuros!$AK:$AK)+SUMIF([1]Opciones!$AF:$AF,$A3&amp;"_"&amp;IH$11,[1]Opciones!$AO:$AO)</f>
        <v>#VALUE!</v>
      </c>
      <c r="II3" t="e">
        <f>+SUMIF([1]Cartera!$R:$R,$A3&amp;"_"&amp;II$11,[1]Cartera!$J:$J)+SUMIF([1]Futuros!$AD:$AD,$A3&amp;"_"&amp;II$11,[1]Futuros!$AK:$AK)+SUMIF([1]Opciones!$AF:$AF,$A3&amp;"_"&amp;II$11,[1]Opciones!$AO:$AO)</f>
        <v>#VALUE!</v>
      </c>
      <c r="IJ3" t="e">
        <f>+SUMIF([1]Cartera!$R:$R,$A3&amp;"_"&amp;IJ$11,[1]Cartera!$J:$J)+SUMIF([1]Futuros!$AD:$AD,$A3&amp;"_"&amp;IJ$11,[1]Futuros!$AK:$AK)+SUMIF([1]Opciones!$AF:$AF,$A3&amp;"_"&amp;IJ$11,[1]Opciones!$AO:$AO)</f>
        <v>#VALUE!</v>
      </c>
      <c r="IK3" t="e">
        <f>+SUMIF([1]Cartera!$R:$R,$A3&amp;"_"&amp;IK$11,[1]Cartera!$J:$J)+SUMIF([1]Futuros!$AD:$AD,$A3&amp;"_"&amp;IK$11,[1]Futuros!$AK:$AK)+SUMIF([1]Opciones!$AF:$AF,$A3&amp;"_"&amp;IK$11,[1]Opciones!$AO:$AO)</f>
        <v>#VALUE!</v>
      </c>
      <c r="IL3" t="e">
        <f>+SUMIF([1]Cartera!$R:$R,$A3&amp;"_"&amp;IL$11,[1]Cartera!$J:$J)+SUMIF([1]Futuros!$AD:$AD,$A3&amp;"_"&amp;IL$11,[1]Futuros!$AK:$AK)+SUMIF([1]Opciones!$AF:$AF,$A3&amp;"_"&amp;IL$11,[1]Opciones!$AO:$AO)</f>
        <v>#VALUE!</v>
      </c>
      <c r="IM3" t="e">
        <f>+SUMIF([1]Cartera!$R:$R,$A3&amp;"_"&amp;IM$11,[1]Cartera!$J:$J)+SUMIF([1]Futuros!$AD:$AD,$A3&amp;"_"&amp;IM$11,[1]Futuros!$AK:$AK)+SUMIF([1]Opciones!$AF:$AF,$A3&amp;"_"&amp;IM$11,[1]Opciones!$AO:$AO)</f>
        <v>#VALUE!</v>
      </c>
      <c r="IN3" t="e">
        <f>+SUMIF([1]Cartera!$R:$R,$A3&amp;"_"&amp;IN$11,[1]Cartera!$J:$J)+SUMIF([1]Futuros!$AD:$AD,$A3&amp;"_"&amp;IN$11,[1]Futuros!$AK:$AK)+SUMIF([1]Opciones!$AF:$AF,$A3&amp;"_"&amp;IN$11,[1]Opciones!$AO:$AO)</f>
        <v>#VALUE!</v>
      </c>
      <c r="IO3" t="e">
        <f>+SUMIF([1]Cartera!$R:$R,$A3&amp;"_"&amp;IO$11,[1]Cartera!$J:$J)+SUMIF([1]Futuros!$AD:$AD,$A3&amp;"_"&amp;IO$11,[1]Futuros!$AK:$AK)+SUMIF([1]Opciones!$AF:$AF,$A3&amp;"_"&amp;IO$11,[1]Opciones!$AO:$AO)</f>
        <v>#VALUE!</v>
      </c>
      <c r="IP3" t="e">
        <f>+SUMIF([1]Cartera!$R:$R,$A3&amp;"_"&amp;IP$11,[1]Cartera!$J:$J)+SUMIF([1]Futuros!$AD:$AD,$A3&amp;"_"&amp;IP$11,[1]Futuros!$AK:$AK)+SUMIF([1]Opciones!$AF:$AF,$A3&amp;"_"&amp;IP$11,[1]Opciones!$AO:$AO)</f>
        <v>#VALUE!</v>
      </c>
      <c r="IQ3" t="e">
        <f>+SUMIF([1]Cartera!$R:$R,$A3&amp;"_"&amp;IQ$11,[1]Cartera!$J:$J)+SUMIF([1]Futuros!$AD:$AD,$A3&amp;"_"&amp;IQ$11,[1]Futuros!$AK:$AK)+SUMIF([1]Opciones!$AF:$AF,$A3&amp;"_"&amp;IQ$11,[1]Opciones!$AO:$AO)</f>
        <v>#VALUE!</v>
      </c>
      <c r="IR3" t="e">
        <f>+SUMIF([1]Cartera!$R:$R,$A3&amp;"_"&amp;IR$11,[1]Cartera!$J:$J)+SUMIF([1]Futuros!$AD:$AD,$A3&amp;"_"&amp;IR$11,[1]Futuros!$AK:$AK)+SUMIF([1]Opciones!$AF:$AF,$A3&amp;"_"&amp;IR$11,[1]Opciones!$AO:$AO)</f>
        <v>#VALUE!</v>
      </c>
      <c r="IS3" t="e">
        <f>+SUMIF([1]Cartera!$R:$R,$A3&amp;"_"&amp;IS$11,[1]Cartera!$J:$J)+SUMIF([1]Futuros!$AD:$AD,$A3&amp;"_"&amp;IS$11,[1]Futuros!$AK:$AK)+SUMIF([1]Opciones!$AF:$AF,$A3&amp;"_"&amp;IS$11,[1]Opciones!$AO:$AO)</f>
        <v>#VALUE!</v>
      </c>
      <c r="IT3" t="e">
        <f>+SUMIF([1]Cartera!$R:$R,$A3&amp;"_"&amp;IT$11,[1]Cartera!$J:$J)+SUMIF([1]Futuros!$AD:$AD,$A3&amp;"_"&amp;IT$11,[1]Futuros!$AK:$AK)+SUMIF([1]Opciones!$AF:$AF,$A3&amp;"_"&amp;IT$11,[1]Opciones!$AO:$AO)</f>
        <v>#VALUE!</v>
      </c>
      <c r="IU3" t="e">
        <f>+SUMIF([1]Cartera!$R:$R,$A3&amp;"_"&amp;IU$11,[1]Cartera!$J:$J)+SUMIF([1]Futuros!$AD:$AD,$A3&amp;"_"&amp;IU$11,[1]Futuros!$AK:$AK)+SUMIF([1]Opciones!$AF:$AF,$A3&amp;"_"&amp;IU$11,[1]Opciones!$AO:$AO)</f>
        <v>#VALUE!</v>
      </c>
      <c r="IV3" t="e">
        <f>+SUMIF([1]Cartera!$R:$R,$A3&amp;"_"&amp;IV$11,[1]Cartera!$J:$J)+SUMIF([1]Futuros!$AD:$AD,$A3&amp;"_"&amp;IV$11,[1]Futuros!$AK:$AK)+SUMIF([1]Opciones!$AF:$AF,$A3&amp;"_"&amp;IV$11,[1]Opciones!$AO:$AO)</f>
        <v>#VALUE!</v>
      </c>
      <c r="IW3" t="e">
        <f>+SUMIF([1]Cartera!$R:$R,$A3&amp;"_"&amp;IW$11,[1]Cartera!$J:$J)+SUMIF([1]Futuros!$AD:$AD,$A3&amp;"_"&amp;IW$11,[1]Futuros!$AK:$AK)+SUMIF([1]Opciones!$AF:$AF,$A3&amp;"_"&amp;IW$11,[1]Opciones!$AO:$AO)</f>
        <v>#VALUE!</v>
      </c>
      <c r="IX3" t="e">
        <f>+SUMIF([1]Cartera!$R:$R,$A3&amp;"_"&amp;IX$11,[1]Cartera!$J:$J)+SUMIF([1]Futuros!$AD:$AD,$A3&amp;"_"&amp;IX$11,[1]Futuros!$AK:$AK)+SUMIF([1]Opciones!$AF:$AF,$A3&amp;"_"&amp;IX$11,[1]Opciones!$AO:$AO)</f>
        <v>#VALUE!</v>
      </c>
      <c r="IY3" t="e">
        <f>+SUMIF([1]Cartera!$R:$R,$A3&amp;"_"&amp;IY$11,[1]Cartera!$J:$J)+SUMIF([1]Futuros!$AD:$AD,$A3&amp;"_"&amp;IY$11,[1]Futuros!$AK:$AK)+SUMIF([1]Opciones!$AF:$AF,$A3&amp;"_"&amp;IY$11,[1]Opciones!$AO:$AO)</f>
        <v>#VALUE!</v>
      </c>
      <c r="IZ3" t="e">
        <f>+SUMIF([1]Cartera!$R:$R,$A3&amp;"_"&amp;IZ$11,[1]Cartera!$J:$J)+SUMIF([1]Futuros!$AD:$AD,$A3&amp;"_"&amp;IZ$11,[1]Futuros!$AK:$AK)+SUMIF([1]Opciones!$AF:$AF,$A3&amp;"_"&amp;IZ$11,[1]Opciones!$AO:$AO)</f>
        <v>#VALUE!</v>
      </c>
      <c r="JA3" t="e">
        <f>+SUMIF([1]Cartera!$R:$R,$A3&amp;"_"&amp;JA$11,[1]Cartera!$J:$J)+SUMIF([1]Futuros!$AD:$AD,$A3&amp;"_"&amp;JA$11,[1]Futuros!$AK:$AK)+SUMIF([1]Opciones!$AF:$AF,$A3&amp;"_"&amp;JA$11,[1]Opciones!$AO:$AO)</f>
        <v>#VALUE!</v>
      </c>
      <c r="JB3" t="e">
        <f>+SUMIF([1]Cartera!$R:$R,$A3&amp;"_"&amp;JB$11,[1]Cartera!$J:$J)+SUMIF([1]Futuros!$AD:$AD,$A3&amp;"_"&amp;JB$11,[1]Futuros!$AK:$AK)+SUMIF([1]Opciones!$AF:$AF,$A3&amp;"_"&amp;JB$11,[1]Opciones!$AO:$AO)</f>
        <v>#VALUE!</v>
      </c>
      <c r="JC3" t="e">
        <f>+SUMIF([1]Cartera!$R:$R,$A3&amp;"_"&amp;JC$11,[1]Cartera!$J:$J)+SUMIF([1]Futuros!$AD:$AD,$A3&amp;"_"&amp;JC$11,[1]Futuros!$AK:$AK)+SUMIF([1]Opciones!$AF:$AF,$A3&amp;"_"&amp;JC$11,[1]Opciones!$AO:$AO)</f>
        <v>#VALUE!</v>
      </c>
      <c r="JD3" t="e">
        <f>+SUMIF([1]Cartera!$R:$R,$A3&amp;"_"&amp;JD$11,[1]Cartera!$J:$J)+SUMIF([1]Futuros!$AD:$AD,$A3&amp;"_"&amp;JD$11,[1]Futuros!$AK:$AK)+SUMIF([1]Opciones!$AF:$AF,$A3&amp;"_"&amp;JD$11,[1]Opciones!$AO:$AO)</f>
        <v>#VALUE!</v>
      </c>
      <c r="JE3" t="e">
        <f>+SUMIF([1]Cartera!$R:$R,$A3&amp;"_"&amp;JE$11,[1]Cartera!$J:$J)+SUMIF([1]Futuros!$AD:$AD,$A3&amp;"_"&amp;JE$11,[1]Futuros!$AK:$AK)+SUMIF([1]Opciones!$AF:$AF,$A3&amp;"_"&amp;JE$11,[1]Opciones!$AO:$AO)</f>
        <v>#VALUE!</v>
      </c>
      <c r="JF3" t="e">
        <f>+SUMIF([1]Cartera!$R:$R,$A3&amp;"_"&amp;JF$11,[1]Cartera!$J:$J)+SUMIF([1]Futuros!$AD:$AD,$A3&amp;"_"&amp;JF$11,[1]Futuros!$AK:$AK)+SUMIF([1]Opciones!$AF:$AF,$A3&amp;"_"&amp;JF$11,[1]Opciones!$AO:$AO)</f>
        <v>#VALUE!</v>
      </c>
      <c r="JG3" t="e">
        <f>+SUMIF([1]Cartera!$R:$R,$A3&amp;"_"&amp;JG$11,[1]Cartera!$J:$J)+SUMIF([1]Futuros!$AD:$AD,$A3&amp;"_"&amp;JG$11,[1]Futuros!$AK:$AK)+SUMIF([1]Opciones!$AF:$AF,$A3&amp;"_"&amp;JG$11,[1]Opciones!$AO:$AO)</f>
        <v>#VALUE!</v>
      </c>
      <c r="JH3" t="e">
        <f>+SUMIF([1]Cartera!$R:$R,$A3&amp;"_"&amp;JH$11,[1]Cartera!$J:$J)+SUMIF([1]Futuros!$AD:$AD,$A3&amp;"_"&amp;JH$11,[1]Futuros!$AK:$AK)+SUMIF([1]Opciones!$AF:$AF,$A3&amp;"_"&amp;JH$11,[1]Opciones!$AO:$AO)</f>
        <v>#VALUE!</v>
      </c>
      <c r="JI3" t="e">
        <f>+SUMIF([1]Cartera!$R:$R,$A3&amp;"_"&amp;JI$11,[1]Cartera!$J:$J)+SUMIF([1]Futuros!$AD:$AD,$A3&amp;"_"&amp;JI$11,[1]Futuros!$AK:$AK)+SUMIF([1]Opciones!$AF:$AF,$A3&amp;"_"&amp;JI$11,[1]Opciones!$AO:$AO)</f>
        <v>#VALUE!</v>
      </c>
      <c r="JJ3" t="e">
        <f>+SUMIF([1]Cartera!$R:$R,$A3&amp;"_"&amp;JJ$11,[1]Cartera!$J:$J)+SUMIF([1]Futuros!$AD:$AD,$A3&amp;"_"&amp;JJ$11,[1]Futuros!$AK:$AK)+SUMIF([1]Opciones!$AF:$AF,$A3&amp;"_"&amp;JJ$11,[1]Opciones!$AO:$AO)</f>
        <v>#VALUE!</v>
      </c>
      <c r="JK3" t="e">
        <f>+SUMIF([1]Cartera!$R:$R,$A3&amp;"_"&amp;JK$11,[1]Cartera!$J:$J)+SUMIF([1]Futuros!$AD:$AD,$A3&amp;"_"&amp;JK$11,[1]Futuros!$AK:$AK)+SUMIF([1]Opciones!$AF:$AF,$A3&amp;"_"&amp;JK$11,[1]Opciones!$AO:$AO)</f>
        <v>#VALUE!</v>
      </c>
      <c r="JL3" t="e">
        <f>+SUMIF([1]Cartera!$R:$R,$A3&amp;"_"&amp;JL$11,[1]Cartera!$J:$J)+SUMIF([1]Futuros!$AD:$AD,$A3&amp;"_"&amp;JL$11,[1]Futuros!$AK:$AK)+SUMIF([1]Opciones!$AF:$AF,$A3&amp;"_"&amp;JL$11,[1]Opciones!$AO:$AO)</f>
        <v>#VALUE!</v>
      </c>
      <c r="JM3" t="e">
        <f>+SUMIF([1]Cartera!$R:$R,$A3&amp;"_"&amp;JM$11,[1]Cartera!$J:$J)+SUMIF([1]Futuros!$AD:$AD,$A3&amp;"_"&amp;JM$11,[1]Futuros!$AK:$AK)+SUMIF([1]Opciones!$AF:$AF,$A3&amp;"_"&amp;JM$11,[1]Opciones!$AO:$AO)</f>
        <v>#VALUE!</v>
      </c>
      <c r="JN3" t="e">
        <f>+SUMIF([1]Cartera!$R:$R,$A3&amp;"_"&amp;JN$11,[1]Cartera!$J:$J)+SUMIF([1]Futuros!$AD:$AD,$A3&amp;"_"&amp;JN$11,[1]Futuros!$AK:$AK)+SUMIF([1]Opciones!$AF:$AF,$A3&amp;"_"&amp;JN$11,[1]Opciones!$AO:$AO)</f>
        <v>#VALUE!</v>
      </c>
      <c r="JO3" t="e">
        <f>+SUMIF([1]Cartera!$R:$R,$A3&amp;"_"&amp;JO$11,[1]Cartera!$J:$J)+SUMIF([1]Futuros!$AD:$AD,$A3&amp;"_"&amp;JO$11,[1]Futuros!$AK:$AK)+SUMIF([1]Opciones!$AF:$AF,$A3&amp;"_"&amp;JO$11,[1]Opciones!$AO:$AO)</f>
        <v>#VALUE!</v>
      </c>
      <c r="JP3" t="e">
        <f>+SUMIF([1]Cartera!$R:$R,$A3&amp;"_"&amp;JP$11,[1]Cartera!$J:$J)+SUMIF([1]Futuros!$AD:$AD,$A3&amp;"_"&amp;JP$11,[1]Futuros!$AK:$AK)+SUMIF([1]Opciones!$AF:$AF,$A3&amp;"_"&amp;JP$11,[1]Opciones!$AO:$AO)</f>
        <v>#VALUE!</v>
      </c>
      <c r="JQ3" t="e">
        <f>+SUMIF([1]Cartera!$R:$R,$A3&amp;"_"&amp;JQ$11,[1]Cartera!$J:$J)+SUMIF([1]Futuros!$AD:$AD,$A3&amp;"_"&amp;JQ$11,[1]Futuros!$AK:$AK)+SUMIF([1]Opciones!$AF:$AF,$A3&amp;"_"&amp;JQ$11,[1]Opciones!$AO:$AO)</f>
        <v>#VALUE!</v>
      </c>
      <c r="JR3" t="e">
        <f>+SUMIF([1]Cartera!$R:$R,$A3&amp;"_"&amp;JR$11,[1]Cartera!$J:$J)+SUMIF([1]Futuros!$AD:$AD,$A3&amp;"_"&amp;JR$11,[1]Futuros!$AK:$AK)+SUMIF([1]Opciones!$AF:$AF,$A3&amp;"_"&amp;JR$11,[1]Opciones!$AO:$AO)</f>
        <v>#VALUE!</v>
      </c>
      <c r="JS3" t="e">
        <f>+SUMIF([1]Cartera!$R:$R,$A3&amp;"_"&amp;JS$11,[1]Cartera!$J:$J)+SUMIF([1]Futuros!$AD:$AD,$A3&amp;"_"&amp;JS$11,[1]Futuros!$AK:$AK)+SUMIF([1]Opciones!$AF:$AF,$A3&amp;"_"&amp;JS$11,[1]Opciones!$AO:$AO)</f>
        <v>#VALUE!</v>
      </c>
      <c r="JT3" t="e">
        <f>+SUMIF([1]Cartera!$R:$R,$A3&amp;"_"&amp;JT$11,[1]Cartera!$J:$J)+SUMIF([1]Futuros!$AD:$AD,$A3&amp;"_"&amp;JT$11,[1]Futuros!$AK:$AK)+SUMIF([1]Opciones!$AF:$AF,$A3&amp;"_"&amp;JT$11,[1]Opciones!$AO:$AO)</f>
        <v>#VALUE!</v>
      </c>
      <c r="JU3" t="e">
        <f>+SUMIF([1]Cartera!$R:$R,$A3&amp;"_"&amp;JU$11,[1]Cartera!$J:$J)+SUMIF([1]Futuros!$AD:$AD,$A3&amp;"_"&amp;JU$11,[1]Futuros!$AK:$AK)+SUMIF([1]Opciones!$AF:$AF,$A3&amp;"_"&amp;JU$11,[1]Opciones!$AO:$AO)</f>
        <v>#VALUE!</v>
      </c>
      <c r="JV3" t="e">
        <f>+SUMIF([1]Cartera!$R:$R,$A3&amp;"_"&amp;JV$11,[1]Cartera!$J:$J)+SUMIF([1]Futuros!$AD:$AD,$A3&amp;"_"&amp;JV$11,[1]Futuros!$AK:$AK)+SUMIF([1]Opciones!$AF:$AF,$A3&amp;"_"&amp;JV$11,[1]Opciones!$AO:$AO)</f>
        <v>#VALUE!</v>
      </c>
      <c r="JW3" t="e">
        <f>+SUMIF([1]Cartera!$R:$R,$A3&amp;"_"&amp;JW$11,[1]Cartera!$J:$J)+SUMIF([1]Futuros!$AD:$AD,$A3&amp;"_"&amp;JW$11,[1]Futuros!$AK:$AK)+SUMIF([1]Opciones!$AF:$AF,$A3&amp;"_"&amp;JW$11,[1]Opciones!$AO:$AO)</f>
        <v>#VALUE!</v>
      </c>
      <c r="JX3" t="e">
        <f>+SUMIF([1]Cartera!$R:$R,$A3&amp;"_"&amp;JX$11,[1]Cartera!$J:$J)+SUMIF([1]Futuros!$AD:$AD,$A3&amp;"_"&amp;JX$11,[1]Futuros!$AK:$AK)+SUMIF([1]Opciones!$AF:$AF,$A3&amp;"_"&amp;JX$11,[1]Opciones!$AO:$AO)</f>
        <v>#VALUE!</v>
      </c>
      <c r="JY3" t="e">
        <f>+SUMIF([1]Cartera!$R:$R,$A3&amp;"_"&amp;JY$11,[1]Cartera!$J:$J)+SUMIF([1]Futuros!$AD:$AD,$A3&amp;"_"&amp;JY$11,[1]Futuros!$AK:$AK)+SUMIF([1]Opciones!$AF:$AF,$A3&amp;"_"&amp;JY$11,[1]Opciones!$AO:$AO)</f>
        <v>#VALUE!</v>
      </c>
      <c r="JZ3" t="e">
        <f>+SUMIF([1]Cartera!$R:$R,$A3&amp;"_"&amp;JZ$11,[1]Cartera!$J:$J)+SUMIF([1]Futuros!$AD:$AD,$A3&amp;"_"&amp;JZ$11,[1]Futuros!$AK:$AK)+SUMIF([1]Opciones!$AF:$AF,$A3&amp;"_"&amp;JZ$11,[1]Opciones!$AO:$AO)</f>
        <v>#VALUE!</v>
      </c>
      <c r="KA3" t="e">
        <f>+SUMIF([1]Cartera!$R:$R,$A3&amp;"_"&amp;KA$11,[1]Cartera!$J:$J)+SUMIF([1]Futuros!$AD:$AD,$A3&amp;"_"&amp;KA$11,[1]Futuros!$AK:$AK)+SUMIF([1]Opciones!$AF:$AF,$A3&amp;"_"&amp;KA$11,[1]Opciones!$AO:$AO)</f>
        <v>#VALUE!</v>
      </c>
      <c r="KB3" t="e">
        <f>+SUMIF([1]Cartera!$R:$R,$A3&amp;"_"&amp;KB$11,[1]Cartera!$J:$J)+SUMIF([1]Futuros!$AD:$AD,$A3&amp;"_"&amp;KB$11,[1]Futuros!$AK:$AK)+SUMIF([1]Opciones!$AF:$AF,$A3&amp;"_"&amp;KB$11,[1]Opciones!$AO:$AO)</f>
        <v>#VALUE!</v>
      </c>
      <c r="KC3" t="e">
        <f>+SUMIF([1]Cartera!$R:$R,$A3&amp;"_"&amp;KC$11,[1]Cartera!$J:$J)+SUMIF([1]Futuros!$AD:$AD,$A3&amp;"_"&amp;KC$11,[1]Futuros!$AK:$AK)+SUMIF([1]Opciones!$AF:$AF,$A3&amp;"_"&amp;KC$11,[1]Opciones!$AO:$AO)</f>
        <v>#VALUE!</v>
      </c>
      <c r="KD3" t="e">
        <f>+SUMIF([1]Cartera!$R:$R,$A3&amp;"_"&amp;KD$11,[1]Cartera!$J:$J)+SUMIF([1]Futuros!$AD:$AD,$A3&amp;"_"&amp;KD$11,[1]Futuros!$AK:$AK)+SUMIF([1]Opciones!$AF:$AF,$A3&amp;"_"&amp;KD$11,[1]Opciones!$AO:$AO)</f>
        <v>#VALUE!</v>
      </c>
      <c r="KE3" t="e">
        <f>+SUMIF([1]Cartera!$R:$R,$A3&amp;"_"&amp;KE$11,[1]Cartera!$J:$J)+SUMIF([1]Futuros!$AD:$AD,$A3&amp;"_"&amp;KE$11,[1]Futuros!$AK:$AK)+SUMIF([1]Opciones!$AF:$AF,$A3&amp;"_"&amp;KE$11,[1]Opciones!$AO:$AO)</f>
        <v>#VALUE!</v>
      </c>
      <c r="KF3" t="e">
        <f>+SUMIF([1]Cartera!$R:$R,$A3&amp;"_"&amp;KF$11,[1]Cartera!$J:$J)+SUMIF([1]Futuros!$AD:$AD,$A3&amp;"_"&amp;KF$11,[1]Futuros!$AK:$AK)+SUMIF([1]Opciones!$AF:$AF,$A3&amp;"_"&amp;KF$11,[1]Opciones!$AO:$AO)</f>
        <v>#VALUE!</v>
      </c>
      <c r="KG3" t="e">
        <f>+SUMIF([1]Cartera!$R:$R,$A3&amp;"_"&amp;KG$11,[1]Cartera!$J:$J)+SUMIF([1]Futuros!$AD:$AD,$A3&amp;"_"&amp;KG$11,[1]Futuros!$AK:$AK)+SUMIF([1]Opciones!$AF:$AF,$A3&amp;"_"&amp;KG$11,[1]Opciones!$AO:$AO)</f>
        <v>#VALUE!</v>
      </c>
      <c r="KH3" t="e">
        <f>+SUMIF([1]Cartera!$R:$R,$A3&amp;"_"&amp;KH$11,[1]Cartera!$J:$J)+SUMIF([1]Futuros!$AD:$AD,$A3&amp;"_"&amp;KH$11,[1]Futuros!$AK:$AK)+SUMIF([1]Opciones!$AF:$AF,$A3&amp;"_"&amp;KH$11,[1]Opciones!$AO:$AO)</f>
        <v>#VALUE!</v>
      </c>
      <c r="KI3" t="e">
        <f>+SUMIF([1]Cartera!$R:$R,$A3&amp;"_"&amp;KI$11,[1]Cartera!$J:$J)+SUMIF([1]Futuros!$AD:$AD,$A3&amp;"_"&amp;KI$11,[1]Futuros!$AK:$AK)+SUMIF([1]Opciones!$AF:$AF,$A3&amp;"_"&amp;KI$11,[1]Opciones!$AO:$AO)</f>
        <v>#VALUE!</v>
      </c>
      <c r="KJ3" t="e">
        <f>+SUMIF([1]Cartera!$R:$R,$A3&amp;"_"&amp;KJ$11,[1]Cartera!$J:$J)+SUMIF([1]Futuros!$AD:$AD,$A3&amp;"_"&amp;KJ$11,[1]Futuros!$AK:$AK)+SUMIF([1]Opciones!$AF:$AF,$A3&amp;"_"&amp;KJ$11,[1]Opciones!$AO:$AO)</f>
        <v>#VALUE!</v>
      </c>
      <c r="KK3" t="e">
        <f>+SUMIF([1]Cartera!$R:$R,$A3&amp;"_"&amp;KK$11,[1]Cartera!$J:$J)+SUMIF([1]Futuros!$AD:$AD,$A3&amp;"_"&amp;KK$11,[1]Futuros!$AK:$AK)+SUMIF([1]Opciones!$AF:$AF,$A3&amp;"_"&amp;KK$11,[1]Opciones!$AO:$AO)</f>
        <v>#VALUE!</v>
      </c>
      <c r="KL3" t="e">
        <f>+SUMIF([1]Cartera!$R:$R,$A3&amp;"_"&amp;KL$11,[1]Cartera!$J:$J)+SUMIF([1]Futuros!$AD:$AD,$A3&amp;"_"&amp;KL$11,[1]Futuros!$AK:$AK)+SUMIF([1]Opciones!$AF:$AF,$A3&amp;"_"&amp;KL$11,[1]Opciones!$AO:$AO)</f>
        <v>#VALUE!</v>
      </c>
      <c r="KM3" t="e">
        <f>+SUMIF([1]Cartera!$R:$R,$A3&amp;"_"&amp;KM$11,[1]Cartera!$J:$J)+SUMIF([1]Futuros!$AD:$AD,$A3&amp;"_"&amp;KM$11,[1]Futuros!$AK:$AK)+SUMIF([1]Opciones!$AF:$AF,$A3&amp;"_"&amp;KM$11,[1]Opciones!$AO:$AO)</f>
        <v>#VALUE!</v>
      </c>
      <c r="KN3" t="e">
        <f>+SUMIF([1]Cartera!$R:$R,$A3&amp;"_"&amp;KN$11,[1]Cartera!$J:$J)+SUMIF([1]Futuros!$AD:$AD,$A3&amp;"_"&amp;KN$11,[1]Futuros!$AK:$AK)+SUMIF([1]Opciones!$AF:$AF,$A3&amp;"_"&amp;KN$11,[1]Opciones!$AO:$AO)</f>
        <v>#VALUE!</v>
      </c>
      <c r="KO3" t="e">
        <f>+SUMIF([1]Cartera!$R:$R,$A3&amp;"_"&amp;KO$11,[1]Cartera!$J:$J)+SUMIF([1]Futuros!$AD:$AD,$A3&amp;"_"&amp;KO$11,[1]Futuros!$AK:$AK)+SUMIF([1]Opciones!$AF:$AF,$A3&amp;"_"&amp;KO$11,[1]Opciones!$AO:$AO)</f>
        <v>#VALUE!</v>
      </c>
      <c r="KP3" t="e">
        <f>+SUMIF([1]Cartera!$R:$R,$A3&amp;"_"&amp;KP$11,[1]Cartera!$J:$J)+SUMIF([1]Futuros!$AD:$AD,$A3&amp;"_"&amp;KP$11,[1]Futuros!$AK:$AK)+SUMIF([1]Opciones!$AF:$AF,$A3&amp;"_"&amp;KP$11,[1]Opciones!$AO:$AO)</f>
        <v>#VALUE!</v>
      </c>
      <c r="KQ3" t="e">
        <f>+SUMIF([1]Cartera!$R:$R,$A3&amp;"_"&amp;KQ$11,[1]Cartera!$J:$J)+SUMIF([1]Futuros!$AD:$AD,$A3&amp;"_"&amp;KQ$11,[1]Futuros!$AK:$AK)+SUMIF([1]Opciones!$AF:$AF,$A3&amp;"_"&amp;KQ$11,[1]Opciones!$AO:$AO)</f>
        <v>#VALUE!</v>
      </c>
      <c r="KR3" t="e">
        <f>+SUMIF([1]Cartera!$R:$R,$A3&amp;"_"&amp;KR$11,[1]Cartera!$J:$J)+SUMIF([1]Futuros!$AD:$AD,$A3&amp;"_"&amp;KR$11,[1]Futuros!$AK:$AK)+SUMIF([1]Opciones!$AF:$AF,$A3&amp;"_"&amp;KR$11,[1]Opciones!$AO:$AO)</f>
        <v>#VALUE!</v>
      </c>
      <c r="KS3" t="e">
        <f>+SUMIF([1]Cartera!$R:$R,$A3&amp;"_"&amp;KS$11,[1]Cartera!$J:$J)+SUMIF([1]Futuros!$AD:$AD,$A3&amp;"_"&amp;KS$11,[1]Futuros!$AK:$AK)+SUMIF([1]Opciones!$AF:$AF,$A3&amp;"_"&amp;KS$11,[1]Opciones!$AO:$AO)</f>
        <v>#VALUE!</v>
      </c>
      <c r="KT3" t="e">
        <f>+SUMIF([1]Cartera!$R:$R,$A3&amp;"_"&amp;KT$11,[1]Cartera!$J:$J)+SUMIF([1]Futuros!$AD:$AD,$A3&amp;"_"&amp;KT$11,[1]Futuros!$AK:$AK)+SUMIF([1]Opciones!$AF:$AF,$A3&amp;"_"&amp;KT$11,[1]Opciones!$AO:$AO)</f>
        <v>#VALUE!</v>
      </c>
      <c r="KU3" t="e">
        <f>+SUMIF([1]Cartera!$R:$R,$A3&amp;"_"&amp;KU$11,[1]Cartera!$J:$J)+SUMIF([1]Futuros!$AD:$AD,$A3&amp;"_"&amp;KU$11,[1]Futuros!$AK:$AK)+SUMIF([1]Opciones!$AF:$AF,$A3&amp;"_"&amp;KU$11,[1]Opciones!$AO:$AO)</f>
        <v>#VALUE!</v>
      </c>
      <c r="KV3" t="e">
        <f>+SUMIF([1]Cartera!$R:$R,$A3&amp;"_"&amp;KV$11,[1]Cartera!$J:$J)+SUMIF([1]Futuros!$AD:$AD,$A3&amp;"_"&amp;KV$11,[1]Futuros!$AK:$AK)+SUMIF([1]Opciones!$AF:$AF,$A3&amp;"_"&amp;KV$11,[1]Opciones!$AO:$AO)</f>
        <v>#VALUE!</v>
      </c>
      <c r="KW3" t="e">
        <f>+SUMIF([1]Cartera!$R:$R,$A3&amp;"_"&amp;KW$11,[1]Cartera!$J:$J)+SUMIF([1]Futuros!$AD:$AD,$A3&amp;"_"&amp;KW$11,[1]Futuros!$AK:$AK)+SUMIF([1]Opciones!$AF:$AF,$A3&amp;"_"&amp;KW$11,[1]Opciones!$AO:$AO)</f>
        <v>#VALUE!</v>
      </c>
      <c r="KX3" t="e">
        <f>+SUMIF([1]Cartera!$R:$R,$A3&amp;"_"&amp;KX$11,[1]Cartera!$J:$J)+SUMIF([1]Futuros!$AD:$AD,$A3&amp;"_"&amp;KX$11,[1]Futuros!$AK:$AK)+SUMIF([1]Opciones!$AF:$AF,$A3&amp;"_"&amp;KX$11,[1]Opciones!$AO:$AO)</f>
        <v>#VALUE!</v>
      </c>
      <c r="KY3" t="e">
        <f>+SUMIF([1]Cartera!$R:$R,$A3&amp;"_"&amp;KY$11,[1]Cartera!$J:$J)+SUMIF([1]Futuros!$AD:$AD,$A3&amp;"_"&amp;KY$11,[1]Futuros!$AK:$AK)+SUMIF([1]Opciones!$AF:$AF,$A3&amp;"_"&amp;KY$11,[1]Opciones!$AO:$AO)</f>
        <v>#VALUE!</v>
      </c>
      <c r="KZ3" t="e">
        <f>+SUMIF([1]Cartera!$R:$R,$A3&amp;"_"&amp;KZ$11,[1]Cartera!$J:$J)+SUMIF([1]Futuros!$AD:$AD,$A3&amp;"_"&amp;KZ$11,[1]Futuros!$AK:$AK)+SUMIF([1]Opciones!$AF:$AF,$A3&amp;"_"&amp;KZ$11,[1]Opciones!$AO:$AO)</f>
        <v>#VALUE!</v>
      </c>
      <c r="LA3" t="e">
        <f>+SUMIF([1]Cartera!$R:$R,$A3&amp;"_"&amp;LA$11,[1]Cartera!$J:$J)+SUMIF([1]Futuros!$AD:$AD,$A3&amp;"_"&amp;LA$11,[1]Futuros!$AK:$AK)+SUMIF([1]Opciones!$AF:$AF,$A3&amp;"_"&amp;LA$11,[1]Opciones!$AO:$AO)</f>
        <v>#VALUE!</v>
      </c>
      <c r="LB3" t="e">
        <f>+SUMIF([1]Cartera!$R:$R,$A3&amp;"_"&amp;LB$11,[1]Cartera!$J:$J)+SUMIF([1]Futuros!$AD:$AD,$A3&amp;"_"&amp;LB$11,[1]Futuros!$AK:$AK)+SUMIF([1]Opciones!$AF:$AF,$A3&amp;"_"&amp;LB$11,[1]Opciones!$AO:$AO)</f>
        <v>#VALUE!</v>
      </c>
      <c r="LC3" t="e">
        <f>+SUMIF([1]Cartera!$R:$R,$A3&amp;"_"&amp;LC$11,[1]Cartera!$J:$J)+SUMIF([1]Futuros!$AD:$AD,$A3&amp;"_"&amp;LC$11,[1]Futuros!$AK:$AK)+SUMIF([1]Opciones!$AF:$AF,$A3&amp;"_"&amp;LC$11,[1]Opciones!$AO:$AO)</f>
        <v>#VALUE!</v>
      </c>
      <c r="LD3" t="e">
        <f>+SUMIF([1]Cartera!$R:$R,$A3&amp;"_"&amp;LD$11,[1]Cartera!$J:$J)+SUMIF([1]Futuros!$AD:$AD,$A3&amp;"_"&amp;LD$11,[1]Futuros!$AK:$AK)+SUMIF([1]Opciones!$AF:$AF,$A3&amp;"_"&amp;LD$11,[1]Opciones!$AO:$AO)</f>
        <v>#VALUE!</v>
      </c>
      <c r="LE3" t="e">
        <f>+SUMIF([1]Cartera!$R:$R,$A3&amp;"_"&amp;LE$11,[1]Cartera!$J:$J)+SUMIF([1]Futuros!$AD:$AD,$A3&amp;"_"&amp;LE$11,[1]Futuros!$AK:$AK)+SUMIF([1]Opciones!$AF:$AF,$A3&amp;"_"&amp;LE$11,[1]Opciones!$AO:$AO)</f>
        <v>#VALUE!</v>
      </c>
      <c r="LF3" t="e">
        <f>+SUMIF([1]Cartera!$R:$R,$A3&amp;"_"&amp;LF$11,[1]Cartera!$J:$J)+SUMIF([1]Futuros!$AD:$AD,$A3&amp;"_"&amp;LF$11,[1]Futuros!$AK:$AK)+SUMIF([1]Opciones!$AF:$AF,$A3&amp;"_"&amp;LF$11,[1]Opciones!$AO:$AO)</f>
        <v>#VALUE!</v>
      </c>
      <c r="LG3" t="e">
        <f>+SUMIF([1]Cartera!$R:$R,$A3&amp;"_"&amp;LG$11,[1]Cartera!$J:$J)+SUMIF([1]Futuros!$AD:$AD,$A3&amp;"_"&amp;LG$11,[1]Futuros!$AK:$AK)+SUMIF([1]Opciones!$AF:$AF,$A3&amp;"_"&amp;LG$11,[1]Opciones!$AO:$AO)</f>
        <v>#VALUE!</v>
      </c>
      <c r="LH3" t="e">
        <f>+SUMIF([1]Cartera!$R:$R,$A3&amp;"_"&amp;LH$11,[1]Cartera!$J:$J)+SUMIF([1]Futuros!$AD:$AD,$A3&amp;"_"&amp;LH$11,[1]Futuros!$AK:$AK)+SUMIF([1]Opciones!$AF:$AF,$A3&amp;"_"&amp;LH$11,[1]Opciones!$AO:$AO)</f>
        <v>#VALUE!</v>
      </c>
      <c r="LI3" t="e">
        <f>+SUMIF([1]Cartera!$R:$R,$A3&amp;"_"&amp;LI$11,[1]Cartera!$J:$J)+SUMIF([1]Futuros!$AD:$AD,$A3&amp;"_"&amp;LI$11,[1]Futuros!$AK:$AK)+SUMIF([1]Opciones!$AF:$AF,$A3&amp;"_"&amp;LI$11,[1]Opciones!$AO:$AO)</f>
        <v>#VALUE!</v>
      </c>
      <c r="LJ3" t="e">
        <f>+SUMIF([1]Cartera!$R:$R,$A3&amp;"_"&amp;LJ$11,[1]Cartera!$J:$J)+SUMIF([1]Futuros!$AD:$AD,$A3&amp;"_"&amp;LJ$11,[1]Futuros!$AK:$AK)+SUMIF([1]Opciones!$AF:$AF,$A3&amp;"_"&amp;LJ$11,[1]Opciones!$AO:$AO)</f>
        <v>#VALUE!</v>
      </c>
      <c r="LK3" t="e">
        <f>+SUMIF([1]Cartera!$R:$R,$A3&amp;"_"&amp;LK$11,[1]Cartera!$J:$J)+SUMIF([1]Futuros!$AD:$AD,$A3&amp;"_"&amp;LK$11,[1]Futuros!$AK:$AK)+SUMIF([1]Opciones!$AF:$AF,$A3&amp;"_"&amp;LK$11,[1]Opciones!$AO:$AO)</f>
        <v>#VALUE!</v>
      </c>
      <c r="LL3" t="e">
        <f>+SUMIF([1]Cartera!$R:$R,$A3&amp;"_"&amp;LL$11,[1]Cartera!$J:$J)+SUMIF([1]Futuros!$AD:$AD,$A3&amp;"_"&amp;LL$11,[1]Futuros!$AK:$AK)+SUMIF([1]Opciones!$AF:$AF,$A3&amp;"_"&amp;LL$11,[1]Opciones!$AO:$AO)</f>
        <v>#VALUE!</v>
      </c>
      <c r="LM3" t="e">
        <f>+SUMIF([1]Cartera!$R:$R,$A3&amp;"_"&amp;LM$11,[1]Cartera!$J:$J)+SUMIF([1]Futuros!$AD:$AD,$A3&amp;"_"&amp;LM$11,[1]Futuros!$AK:$AK)+SUMIF([1]Opciones!$AF:$AF,$A3&amp;"_"&amp;LM$11,[1]Opciones!$AO:$AO)</f>
        <v>#VALUE!</v>
      </c>
      <c r="LN3" t="e">
        <f>+SUMIF([1]Cartera!$R:$R,$A3&amp;"_"&amp;LN$11,[1]Cartera!$J:$J)+SUMIF([1]Futuros!$AD:$AD,$A3&amp;"_"&amp;LN$11,[1]Futuros!$AK:$AK)+SUMIF([1]Opciones!$AF:$AF,$A3&amp;"_"&amp;LN$11,[1]Opciones!$AO:$AO)</f>
        <v>#VALUE!</v>
      </c>
      <c r="LO3" t="e">
        <f>+SUMIF([1]Cartera!$R:$R,$A3&amp;"_"&amp;LO$11,[1]Cartera!$J:$J)+SUMIF([1]Futuros!$AD:$AD,$A3&amp;"_"&amp;LO$11,[1]Futuros!$AK:$AK)+SUMIF([1]Opciones!$AF:$AF,$A3&amp;"_"&amp;LO$11,[1]Opciones!$AO:$AO)</f>
        <v>#VALUE!</v>
      </c>
      <c r="LP3" t="e">
        <f>+SUMIF([1]Cartera!$R:$R,$A3&amp;"_"&amp;LP$11,[1]Cartera!$J:$J)+SUMIF([1]Futuros!$AD:$AD,$A3&amp;"_"&amp;LP$11,[1]Futuros!$AK:$AK)+SUMIF([1]Opciones!$AF:$AF,$A3&amp;"_"&amp;LP$11,[1]Opciones!$AO:$AO)</f>
        <v>#VALUE!</v>
      </c>
      <c r="LQ3" t="e">
        <f>+SUMIF([1]Cartera!$R:$R,$A3&amp;"_"&amp;LQ$11,[1]Cartera!$J:$J)+SUMIF([1]Futuros!$AD:$AD,$A3&amp;"_"&amp;LQ$11,[1]Futuros!$AK:$AK)+SUMIF([1]Opciones!$AF:$AF,$A3&amp;"_"&amp;LQ$11,[1]Opciones!$AO:$AO)</f>
        <v>#VALUE!</v>
      </c>
      <c r="LR3" t="e">
        <f>+SUMIF([1]Cartera!$R:$R,$A3&amp;"_"&amp;LR$11,[1]Cartera!$J:$J)+SUMIF([1]Futuros!$AD:$AD,$A3&amp;"_"&amp;LR$11,[1]Futuros!$AK:$AK)+SUMIF([1]Opciones!$AF:$AF,$A3&amp;"_"&amp;LR$11,[1]Opciones!$AO:$AO)</f>
        <v>#VALUE!</v>
      </c>
      <c r="LS3" t="e">
        <f>+SUMIF([1]Cartera!$R:$R,$A3&amp;"_"&amp;LS$11,[1]Cartera!$J:$J)+SUMIF([1]Futuros!$AD:$AD,$A3&amp;"_"&amp;LS$11,[1]Futuros!$AK:$AK)+SUMIF([1]Opciones!$AF:$AF,$A3&amp;"_"&amp;LS$11,[1]Opciones!$AO:$AO)</f>
        <v>#VALUE!</v>
      </c>
      <c r="LT3" t="e">
        <f>+SUMIF([1]Cartera!$R:$R,$A3&amp;"_"&amp;LT$11,[1]Cartera!$J:$J)+SUMIF([1]Futuros!$AD:$AD,$A3&amp;"_"&amp;LT$11,[1]Futuros!$AK:$AK)+SUMIF([1]Opciones!$AF:$AF,$A3&amp;"_"&amp;LT$11,[1]Opciones!$AO:$AO)</f>
        <v>#VALUE!</v>
      </c>
      <c r="LU3" t="e">
        <f>+SUMIF([1]Cartera!$R:$R,$A3&amp;"_"&amp;LU$11,[1]Cartera!$J:$J)+SUMIF([1]Futuros!$AD:$AD,$A3&amp;"_"&amp;LU$11,[1]Futuros!$AK:$AK)+SUMIF([1]Opciones!$AF:$AF,$A3&amp;"_"&amp;LU$11,[1]Opciones!$AO:$AO)</f>
        <v>#VALUE!</v>
      </c>
      <c r="LV3" t="e">
        <f>+SUMIF([1]Cartera!$R:$R,$A3&amp;"_"&amp;LV$11,[1]Cartera!$J:$J)+SUMIF([1]Futuros!$AD:$AD,$A3&amp;"_"&amp;LV$11,[1]Futuros!$AK:$AK)+SUMIF([1]Opciones!$AF:$AF,$A3&amp;"_"&amp;LV$11,[1]Opciones!$AO:$AO)</f>
        <v>#VALUE!</v>
      </c>
      <c r="LW3" t="e">
        <f>+SUMIF([1]Cartera!$R:$R,$A3&amp;"_"&amp;LW$11,[1]Cartera!$J:$J)+SUMIF([1]Futuros!$AD:$AD,$A3&amp;"_"&amp;LW$11,[1]Futuros!$AK:$AK)+SUMIF([1]Opciones!$AF:$AF,$A3&amp;"_"&amp;LW$11,[1]Opciones!$AO:$AO)</f>
        <v>#VALUE!</v>
      </c>
      <c r="LX3" t="e">
        <f>+SUMIF([1]Cartera!$R:$R,$A3&amp;"_"&amp;LX$11,[1]Cartera!$J:$J)+SUMIF([1]Futuros!$AD:$AD,$A3&amp;"_"&amp;LX$11,[1]Futuros!$AK:$AK)+SUMIF([1]Opciones!$AF:$AF,$A3&amp;"_"&amp;LX$11,[1]Opciones!$AO:$AO)</f>
        <v>#VALUE!</v>
      </c>
      <c r="LY3" t="e">
        <f>+SUMIF([1]Cartera!$R:$R,$A3&amp;"_"&amp;LY$11,[1]Cartera!$J:$J)+SUMIF([1]Futuros!$AD:$AD,$A3&amp;"_"&amp;LY$11,[1]Futuros!$AK:$AK)+SUMIF([1]Opciones!$AF:$AF,$A3&amp;"_"&amp;LY$11,[1]Opciones!$AO:$AO)</f>
        <v>#VALUE!</v>
      </c>
      <c r="LZ3" t="e">
        <f>+SUMIF([1]Cartera!$R:$R,$A3&amp;"_"&amp;LZ$11,[1]Cartera!$J:$J)+SUMIF([1]Futuros!$AD:$AD,$A3&amp;"_"&amp;LZ$11,[1]Futuros!$AK:$AK)+SUMIF([1]Opciones!$AF:$AF,$A3&amp;"_"&amp;LZ$11,[1]Opciones!$AO:$AO)</f>
        <v>#VALUE!</v>
      </c>
      <c r="MA3" t="e">
        <f>+SUMIF([1]Cartera!$R:$R,$A3&amp;"_"&amp;MA$11,[1]Cartera!$J:$J)+SUMIF([1]Futuros!$AD:$AD,$A3&amp;"_"&amp;MA$11,[1]Futuros!$AK:$AK)+SUMIF([1]Opciones!$AF:$AF,$A3&amp;"_"&amp;MA$11,[1]Opciones!$AO:$AO)</f>
        <v>#VALUE!</v>
      </c>
      <c r="MB3" t="e">
        <f>+SUMIF([1]Cartera!$R:$R,$A3&amp;"_"&amp;MB$11,[1]Cartera!$J:$J)+SUMIF([1]Futuros!$AD:$AD,$A3&amp;"_"&amp;MB$11,[1]Futuros!$AK:$AK)+SUMIF([1]Opciones!$AF:$AF,$A3&amp;"_"&amp;MB$11,[1]Opciones!$AO:$AO)</f>
        <v>#VALUE!</v>
      </c>
      <c r="MC3" t="e">
        <f>+SUMIF([1]Cartera!$R:$R,$A3&amp;"_"&amp;MC$11,[1]Cartera!$J:$J)+SUMIF([1]Futuros!$AD:$AD,$A3&amp;"_"&amp;MC$11,[1]Futuros!$AK:$AK)+SUMIF([1]Opciones!$AF:$AF,$A3&amp;"_"&amp;MC$11,[1]Opciones!$AO:$AO)</f>
        <v>#VALUE!</v>
      </c>
      <c r="MD3" t="e">
        <f>+SUMIF([1]Cartera!$R:$R,$A3&amp;"_"&amp;MD$11,[1]Cartera!$J:$J)+SUMIF([1]Futuros!$AD:$AD,$A3&amp;"_"&amp;MD$11,[1]Futuros!$AK:$AK)+SUMIF([1]Opciones!$AF:$AF,$A3&amp;"_"&amp;MD$11,[1]Opciones!$AO:$AO)</f>
        <v>#VALUE!</v>
      </c>
      <c r="ME3" t="e">
        <f>+SUMIF([1]Cartera!$R:$R,$A3&amp;"_"&amp;ME$11,[1]Cartera!$J:$J)+SUMIF([1]Futuros!$AD:$AD,$A3&amp;"_"&amp;ME$11,[1]Futuros!$AK:$AK)+SUMIF([1]Opciones!$AF:$AF,$A3&amp;"_"&amp;ME$11,[1]Opciones!$AO:$AO)</f>
        <v>#VALUE!</v>
      </c>
      <c r="MF3" t="e">
        <f>+SUMIF([1]Cartera!$R:$R,$A3&amp;"_"&amp;MF$11,[1]Cartera!$J:$J)+SUMIF([1]Futuros!$AD:$AD,$A3&amp;"_"&amp;MF$11,[1]Futuros!$AK:$AK)+SUMIF([1]Opciones!$AF:$AF,$A3&amp;"_"&amp;MF$11,[1]Opciones!$AO:$AO)</f>
        <v>#VALUE!</v>
      </c>
      <c r="MG3" t="e">
        <f>+SUMIF([1]Cartera!$R:$R,$A3&amp;"_"&amp;MG$11,[1]Cartera!$J:$J)+SUMIF([1]Futuros!$AD:$AD,$A3&amp;"_"&amp;MG$11,[1]Futuros!$AK:$AK)+SUMIF([1]Opciones!$AF:$AF,$A3&amp;"_"&amp;MG$11,[1]Opciones!$AO:$AO)</f>
        <v>#VALUE!</v>
      </c>
      <c r="MH3" t="e">
        <f>+SUMIF([1]Cartera!$R:$R,$A3&amp;"_"&amp;MH$11,[1]Cartera!$J:$J)+SUMIF([1]Futuros!$AD:$AD,$A3&amp;"_"&amp;MH$11,[1]Futuros!$AK:$AK)+SUMIF([1]Opciones!$AF:$AF,$A3&amp;"_"&amp;MH$11,[1]Opciones!$AO:$AO)</f>
        <v>#VALUE!</v>
      </c>
      <c r="MI3" t="e">
        <f>+SUMIF([1]Cartera!$R:$R,$A3&amp;"_"&amp;MI$11,[1]Cartera!$J:$J)+SUMIF([1]Futuros!$AD:$AD,$A3&amp;"_"&amp;MI$11,[1]Futuros!$AK:$AK)+SUMIF([1]Opciones!$AF:$AF,$A3&amp;"_"&amp;MI$11,[1]Opciones!$AO:$AO)</f>
        <v>#VALUE!</v>
      </c>
      <c r="MJ3" t="e">
        <f>+SUMIF([1]Cartera!$R:$R,$A3&amp;"_"&amp;MJ$11,[1]Cartera!$J:$J)+SUMIF([1]Futuros!$AD:$AD,$A3&amp;"_"&amp;MJ$11,[1]Futuros!$AK:$AK)+SUMIF([1]Opciones!$AF:$AF,$A3&amp;"_"&amp;MJ$11,[1]Opciones!$AO:$AO)</f>
        <v>#VALUE!</v>
      </c>
      <c r="MK3" t="e">
        <f>+SUMIF([1]Cartera!$R:$R,$A3&amp;"_"&amp;MK$11,[1]Cartera!$J:$J)+SUMIF([1]Futuros!$AD:$AD,$A3&amp;"_"&amp;MK$11,[1]Futuros!$AK:$AK)+SUMIF([1]Opciones!$AF:$AF,$A3&amp;"_"&amp;MK$11,[1]Opciones!$AO:$AO)</f>
        <v>#VALUE!</v>
      </c>
      <c r="ML3" t="e">
        <f>+SUMIF([1]Cartera!$R:$R,$A3&amp;"_"&amp;ML$11,[1]Cartera!$J:$J)+SUMIF([1]Futuros!$AD:$AD,$A3&amp;"_"&amp;ML$11,[1]Futuros!$AK:$AK)+SUMIF([1]Opciones!$AF:$AF,$A3&amp;"_"&amp;ML$11,[1]Opciones!$AO:$AO)</f>
        <v>#VALUE!</v>
      </c>
      <c r="MM3" t="e">
        <f>+SUMIF([1]Cartera!$R:$R,$A3&amp;"_"&amp;MM$11,[1]Cartera!$J:$J)+SUMIF([1]Futuros!$AD:$AD,$A3&amp;"_"&amp;MM$11,[1]Futuros!$AK:$AK)+SUMIF([1]Opciones!$AF:$AF,$A3&amp;"_"&amp;MM$11,[1]Opciones!$AO:$AO)</f>
        <v>#VALUE!</v>
      </c>
      <c r="MN3" t="e">
        <f>+SUMIF([1]Cartera!$R:$R,$A3&amp;"_"&amp;MN$11,[1]Cartera!$J:$J)+SUMIF([1]Futuros!$AD:$AD,$A3&amp;"_"&amp;MN$11,[1]Futuros!$AK:$AK)+SUMIF([1]Opciones!$AF:$AF,$A3&amp;"_"&amp;MN$11,[1]Opciones!$AO:$AO)</f>
        <v>#VALUE!</v>
      </c>
      <c r="MO3" t="e">
        <f>+SUMIF([1]Cartera!$R:$R,$A3&amp;"_"&amp;MO$11,[1]Cartera!$J:$J)+SUMIF([1]Futuros!$AD:$AD,$A3&amp;"_"&amp;MO$11,[1]Futuros!$AK:$AK)+SUMIF([1]Opciones!$AF:$AF,$A3&amp;"_"&amp;MO$11,[1]Opciones!$AO:$AO)</f>
        <v>#VALUE!</v>
      </c>
      <c r="MP3" t="e">
        <f>+SUMIF([1]Cartera!$R:$R,$A3&amp;"_"&amp;MP$11,[1]Cartera!$J:$J)+SUMIF([1]Futuros!$AD:$AD,$A3&amp;"_"&amp;MP$11,[1]Futuros!$AK:$AK)+SUMIF([1]Opciones!$AF:$AF,$A3&amp;"_"&amp;MP$11,[1]Opciones!$AO:$AO)</f>
        <v>#VALUE!</v>
      </c>
      <c r="MQ3" t="e">
        <f>+SUMIF([1]Cartera!$R:$R,$A3&amp;"_"&amp;MQ$11,[1]Cartera!$J:$J)+SUMIF([1]Futuros!$AD:$AD,$A3&amp;"_"&amp;MQ$11,[1]Futuros!$AK:$AK)+SUMIF([1]Opciones!$AF:$AF,$A3&amp;"_"&amp;MQ$11,[1]Opciones!$AO:$AO)</f>
        <v>#VALUE!</v>
      </c>
      <c r="MR3" t="e">
        <f>+SUMIF([1]Cartera!$R:$R,$A3&amp;"_"&amp;MR$11,[1]Cartera!$J:$J)+SUMIF([1]Futuros!$AD:$AD,$A3&amp;"_"&amp;MR$11,[1]Futuros!$AK:$AK)+SUMIF([1]Opciones!$AF:$AF,$A3&amp;"_"&amp;MR$11,[1]Opciones!$AO:$AO)</f>
        <v>#VALUE!</v>
      </c>
      <c r="MS3" t="e">
        <f>+SUMIF([1]Cartera!$R:$R,$A3&amp;"_"&amp;MS$11,[1]Cartera!$J:$J)+SUMIF([1]Futuros!$AD:$AD,$A3&amp;"_"&amp;MS$11,[1]Futuros!$AK:$AK)+SUMIF([1]Opciones!$AF:$AF,$A3&amp;"_"&amp;MS$11,[1]Opciones!$AO:$AO)</f>
        <v>#VALUE!</v>
      </c>
      <c r="MT3" t="e">
        <f>+SUMIF([1]Cartera!$R:$R,$A3&amp;"_"&amp;MT$11,[1]Cartera!$J:$J)+SUMIF([1]Futuros!$AD:$AD,$A3&amp;"_"&amp;MT$11,[1]Futuros!$AK:$AK)+SUMIF([1]Opciones!$AF:$AF,$A3&amp;"_"&amp;MT$11,[1]Opciones!$AO:$AO)</f>
        <v>#VALUE!</v>
      </c>
      <c r="MU3" t="e">
        <f>+SUMIF([1]Cartera!$R:$R,$A3&amp;"_"&amp;MU$11,[1]Cartera!$J:$J)+SUMIF([1]Futuros!$AD:$AD,$A3&amp;"_"&amp;MU$11,[1]Futuros!$AK:$AK)+SUMIF([1]Opciones!$AF:$AF,$A3&amp;"_"&amp;MU$11,[1]Opciones!$AO:$AO)</f>
        <v>#VALUE!</v>
      </c>
      <c r="MV3" t="e">
        <f>+SUMIF([1]Cartera!$R:$R,$A3&amp;"_"&amp;MV$11,[1]Cartera!$J:$J)+SUMIF([1]Futuros!$AD:$AD,$A3&amp;"_"&amp;MV$11,[1]Futuros!$AK:$AK)+SUMIF([1]Opciones!$AF:$AF,$A3&amp;"_"&amp;MV$11,[1]Opciones!$AO:$AO)</f>
        <v>#VALUE!</v>
      </c>
      <c r="MW3" t="e">
        <f>+SUMIF([1]Cartera!$R:$R,$A3&amp;"_"&amp;MW$11,[1]Cartera!$J:$J)+SUMIF([1]Futuros!$AD:$AD,$A3&amp;"_"&amp;MW$11,[1]Futuros!$AK:$AK)+SUMIF([1]Opciones!$AF:$AF,$A3&amp;"_"&amp;MW$11,[1]Opciones!$AO:$AO)</f>
        <v>#VALUE!</v>
      </c>
      <c r="MX3" t="e">
        <f>+SUMIF([1]Cartera!$R:$R,$A3&amp;"_"&amp;MX$11,[1]Cartera!$J:$J)+SUMIF([1]Futuros!$AD:$AD,$A3&amp;"_"&amp;MX$11,[1]Futuros!$AK:$AK)+SUMIF([1]Opciones!$AF:$AF,$A3&amp;"_"&amp;MX$11,[1]Opciones!$AO:$AO)</f>
        <v>#VALUE!</v>
      </c>
      <c r="MY3" t="e">
        <f>+SUMIF([1]Cartera!$R:$R,$A3&amp;"_"&amp;MY$11,[1]Cartera!$J:$J)+SUMIF([1]Futuros!$AD:$AD,$A3&amp;"_"&amp;MY$11,[1]Futuros!$AK:$AK)+SUMIF([1]Opciones!$AF:$AF,$A3&amp;"_"&amp;MY$11,[1]Opciones!$AO:$AO)</f>
        <v>#VALUE!</v>
      </c>
      <c r="MZ3" t="e">
        <f>+SUMIF([1]Cartera!$R:$R,$A3&amp;"_"&amp;MZ$11,[1]Cartera!$J:$J)+SUMIF([1]Futuros!$AD:$AD,$A3&amp;"_"&amp;MZ$11,[1]Futuros!$AK:$AK)+SUMIF([1]Opciones!$AF:$AF,$A3&amp;"_"&amp;MZ$11,[1]Opciones!$AO:$AO)</f>
        <v>#VALUE!</v>
      </c>
      <c r="NA3" t="e">
        <f>+SUMIF([1]Cartera!$R:$R,$A3&amp;"_"&amp;NA$11,[1]Cartera!$J:$J)+SUMIF([1]Futuros!$AD:$AD,$A3&amp;"_"&amp;NA$11,[1]Futuros!$AK:$AK)+SUMIF([1]Opciones!$AF:$AF,$A3&amp;"_"&amp;NA$11,[1]Opciones!$AO:$AO)</f>
        <v>#VALUE!</v>
      </c>
      <c r="NB3" t="e">
        <f>+SUMIF([1]Cartera!$R:$R,$A3&amp;"_"&amp;NB$11,[1]Cartera!$J:$J)+SUMIF([1]Futuros!$AD:$AD,$A3&amp;"_"&amp;NB$11,[1]Futuros!$AK:$AK)+SUMIF([1]Opciones!$AF:$AF,$A3&amp;"_"&amp;NB$11,[1]Opciones!$AO:$AO)</f>
        <v>#VALUE!</v>
      </c>
      <c r="NC3" t="e">
        <f>+SUMIF([1]Cartera!$R:$R,$A3&amp;"_"&amp;NC$11,[1]Cartera!$J:$J)+SUMIF([1]Futuros!$AD:$AD,$A3&amp;"_"&amp;NC$11,[1]Futuros!$AK:$AK)+SUMIF([1]Opciones!$AF:$AF,$A3&amp;"_"&amp;NC$11,[1]Opciones!$AO:$AO)</f>
        <v>#VALUE!</v>
      </c>
      <c r="ND3" t="e">
        <f>+SUMIF([1]Cartera!$R:$R,$A3&amp;"_"&amp;ND$11,[1]Cartera!$J:$J)+SUMIF([1]Futuros!$AD:$AD,$A3&amp;"_"&amp;ND$11,[1]Futuros!$AK:$AK)+SUMIF([1]Opciones!$AF:$AF,$A3&amp;"_"&amp;ND$11,[1]Opciones!$AO:$AO)</f>
        <v>#VALUE!</v>
      </c>
      <c r="NE3" t="e">
        <f>+SUMIF([1]Cartera!$R:$R,$A3&amp;"_"&amp;NE$11,[1]Cartera!$J:$J)+SUMIF([1]Futuros!$AD:$AD,$A3&amp;"_"&amp;NE$11,[1]Futuros!$AK:$AK)+SUMIF([1]Opciones!$AF:$AF,$A3&amp;"_"&amp;NE$11,[1]Opciones!$AO:$AO)</f>
        <v>#VALUE!</v>
      </c>
      <c r="NF3" t="e">
        <f>+SUMIF([1]Cartera!$R:$R,$A3&amp;"_"&amp;NF$11,[1]Cartera!$J:$J)+SUMIF([1]Futuros!$AD:$AD,$A3&amp;"_"&amp;NF$11,[1]Futuros!$AK:$AK)+SUMIF([1]Opciones!$AF:$AF,$A3&amp;"_"&amp;NF$11,[1]Opciones!$AO:$AO)</f>
        <v>#VALUE!</v>
      </c>
      <c r="NG3" t="e">
        <f>+SUMIF([1]Cartera!$R:$R,$A3&amp;"_"&amp;NG$11,[1]Cartera!$J:$J)+SUMIF([1]Futuros!$AD:$AD,$A3&amp;"_"&amp;NG$11,[1]Futuros!$AK:$AK)+SUMIF([1]Opciones!$AF:$AF,$A3&amp;"_"&amp;NG$11,[1]Opciones!$AO:$AO)</f>
        <v>#VALUE!</v>
      </c>
      <c r="NH3" t="e">
        <f>+SUMIF([1]Cartera!$R:$R,$A3&amp;"_"&amp;NH$11,[1]Cartera!$J:$J)+SUMIF([1]Futuros!$AD:$AD,$A3&amp;"_"&amp;NH$11,[1]Futuros!$AK:$AK)+SUMIF([1]Opciones!$AF:$AF,$A3&amp;"_"&amp;NH$11,[1]Opciones!$AO:$AO)</f>
        <v>#VALUE!</v>
      </c>
      <c r="NI3" t="e">
        <f>+SUMIF([1]Cartera!$R:$R,$A3&amp;"_"&amp;NI$11,[1]Cartera!$J:$J)+SUMIF([1]Futuros!$AD:$AD,$A3&amp;"_"&amp;NI$11,[1]Futuros!$AK:$AK)+SUMIF([1]Opciones!$AF:$AF,$A3&amp;"_"&amp;NI$11,[1]Opciones!$AO:$AO)</f>
        <v>#VALUE!</v>
      </c>
      <c r="NJ3" t="e">
        <f>+SUMIF([1]Cartera!$R:$R,$A3&amp;"_"&amp;NJ$11,[1]Cartera!$J:$J)+SUMIF([1]Futuros!$AD:$AD,$A3&amp;"_"&amp;NJ$11,[1]Futuros!$AK:$AK)+SUMIF([1]Opciones!$AF:$AF,$A3&amp;"_"&amp;NJ$11,[1]Opciones!$AO:$AO)</f>
        <v>#VALUE!</v>
      </c>
      <c r="NK3" t="e">
        <f>+SUMIF([1]Cartera!$R:$R,$A3&amp;"_"&amp;NK$11,[1]Cartera!$J:$J)+SUMIF([1]Futuros!$AD:$AD,$A3&amp;"_"&amp;NK$11,[1]Futuros!$AK:$AK)+SUMIF([1]Opciones!$AF:$AF,$A3&amp;"_"&amp;NK$11,[1]Opciones!$AO:$AO)</f>
        <v>#VALUE!</v>
      </c>
      <c r="NL3" t="e">
        <f>+SUMIF([1]Cartera!$R:$R,$A3&amp;"_"&amp;NL$11,[1]Cartera!$J:$J)+SUMIF([1]Futuros!$AD:$AD,$A3&amp;"_"&amp;NL$11,[1]Futuros!$AK:$AK)+SUMIF([1]Opciones!$AF:$AF,$A3&amp;"_"&amp;NL$11,[1]Opciones!$AO:$AO)</f>
        <v>#VALUE!</v>
      </c>
      <c r="NM3" t="e">
        <f>+SUMIF([1]Cartera!$R:$R,$A3&amp;"_"&amp;NM$11,[1]Cartera!$J:$J)+SUMIF([1]Futuros!$AD:$AD,$A3&amp;"_"&amp;NM$11,[1]Futuros!$AK:$AK)+SUMIF([1]Opciones!$AF:$AF,$A3&amp;"_"&amp;NM$11,[1]Opciones!$AO:$AO)</f>
        <v>#VALUE!</v>
      </c>
      <c r="NN3" t="e">
        <f>+SUMIF([1]Cartera!$R:$R,$A3&amp;"_"&amp;NN$11,[1]Cartera!$J:$J)+SUMIF([1]Futuros!$AD:$AD,$A3&amp;"_"&amp;NN$11,[1]Futuros!$AK:$AK)+SUMIF([1]Opciones!$AF:$AF,$A3&amp;"_"&amp;NN$11,[1]Opciones!$AO:$AO)</f>
        <v>#VALUE!</v>
      </c>
      <c r="NO3" t="e">
        <f>+SUMIF([1]Cartera!$R:$R,$A3&amp;"_"&amp;NO$11,[1]Cartera!$J:$J)+SUMIF([1]Futuros!$AD:$AD,$A3&amp;"_"&amp;NO$11,[1]Futuros!$AK:$AK)+SUMIF([1]Opciones!$AF:$AF,$A3&amp;"_"&amp;NO$11,[1]Opciones!$AO:$AO)</f>
        <v>#VALUE!</v>
      </c>
      <c r="NP3" t="e">
        <f>+SUMIF([1]Cartera!$R:$R,$A3&amp;"_"&amp;NP$11,[1]Cartera!$J:$J)+SUMIF([1]Futuros!$AD:$AD,$A3&amp;"_"&amp;NP$11,[1]Futuros!$AK:$AK)+SUMIF([1]Opciones!$AF:$AF,$A3&amp;"_"&amp;NP$11,[1]Opciones!$AO:$AO)</f>
        <v>#VALUE!</v>
      </c>
      <c r="NQ3" t="e">
        <f>+SUMIF([1]Cartera!$R:$R,$A3&amp;"_"&amp;NQ$11,[1]Cartera!$J:$J)+SUMIF([1]Futuros!$AD:$AD,$A3&amp;"_"&amp;NQ$11,[1]Futuros!$AK:$AK)+SUMIF([1]Opciones!$AF:$AF,$A3&amp;"_"&amp;NQ$11,[1]Opciones!$AO:$AO)</f>
        <v>#VALUE!</v>
      </c>
      <c r="NR3" t="e">
        <f>+SUMIF([1]Cartera!$R:$R,$A3&amp;"_"&amp;NR$11,[1]Cartera!$J:$J)+SUMIF([1]Futuros!$AD:$AD,$A3&amp;"_"&amp;NR$11,[1]Futuros!$AK:$AK)+SUMIF([1]Opciones!$AF:$AF,$A3&amp;"_"&amp;NR$11,[1]Opciones!$AO:$AO)</f>
        <v>#VALUE!</v>
      </c>
      <c r="NS3" t="e">
        <f>+SUMIF([1]Cartera!$R:$R,$A3&amp;"_"&amp;NS$11,[1]Cartera!$J:$J)+SUMIF([1]Futuros!$AD:$AD,$A3&amp;"_"&amp;NS$11,[1]Futuros!$AK:$AK)+SUMIF([1]Opciones!$AF:$AF,$A3&amp;"_"&amp;NS$11,[1]Opciones!$AO:$AO)</f>
        <v>#VALUE!</v>
      </c>
      <c r="NT3" t="e">
        <f>+SUMIF([1]Cartera!$R:$R,$A3&amp;"_"&amp;NT$11,[1]Cartera!$J:$J)+SUMIF([1]Futuros!$AD:$AD,$A3&amp;"_"&amp;NT$11,[1]Futuros!$AK:$AK)+SUMIF([1]Opciones!$AF:$AF,$A3&amp;"_"&amp;NT$11,[1]Opciones!$AO:$AO)</f>
        <v>#VALUE!</v>
      </c>
      <c r="NU3" t="e">
        <f>+SUMIF([1]Cartera!$R:$R,$A3&amp;"_"&amp;NU$11,[1]Cartera!$J:$J)+SUMIF([1]Futuros!$AD:$AD,$A3&amp;"_"&amp;NU$11,[1]Futuros!$AK:$AK)+SUMIF([1]Opciones!$AF:$AF,$A3&amp;"_"&amp;NU$11,[1]Opciones!$AO:$AO)</f>
        <v>#VALUE!</v>
      </c>
      <c r="NV3" t="e">
        <f>+SUMIF([1]Cartera!$R:$R,$A3&amp;"_"&amp;NV$11,[1]Cartera!$J:$J)+SUMIF([1]Futuros!$AD:$AD,$A3&amp;"_"&amp;NV$11,[1]Futuros!$AK:$AK)+SUMIF([1]Opciones!$AF:$AF,$A3&amp;"_"&amp;NV$11,[1]Opciones!$AO:$AO)</f>
        <v>#VALUE!</v>
      </c>
      <c r="NW3" t="e">
        <f>+SUMIF([1]Cartera!$R:$R,$A3&amp;"_"&amp;NW$11,[1]Cartera!$J:$J)+SUMIF([1]Futuros!$AD:$AD,$A3&amp;"_"&amp;NW$11,[1]Futuros!$AK:$AK)+SUMIF([1]Opciones!$AF:$AF,$A3&amp;"_"&amp;NW$11,[1]Opciones!$AO:$AO)</f>
        <v>#VALUE!</v>
      </c>
      <c r="NX3" t="e">
        <f>+SUMIF([1]Cartera!$R:$R,$A3&amp;"_"&amp;NX$11,[1]Cartera!$J:$J)+SUMIF([1]Futuros!$AD:$AD,$A3&amp;"_"&amp;NX$11,[1]Futuros!$AK:$AK)+SUMIF([1]Opciones!$AF:$AF,$A3&amp;"_"&amp;NX$11,[1]Opciones!$AO:$AO)</f>
        <v>#VALUE!</v>
      </c>
      <c r="NY3" t="e">
        <f>+SUMIF([1]Cartera!$R:$R,$A3&amp;"_"&amp;NY$11,[1]Cartera!$J:$J)+SUMIF([1]Futuros!$AD:$AD,$A3&amp;"_"&amp;NY$11,[1]Futuros!$AK:$AK)+SUMIF([1]Opciones!$AF:$AF,$A3&amp;"_"&amp;NY$11,[1]Opciones!$AO:$AO)</f>
        <v>#VALUE!</v>
      </c>
      <c r="NZ3" t="e">
        <f>+SUMIF([1]Cartera!$R:$R,$A3&amp;"_"&amp;NZ$11,[1]Cartera!$J:$J)+SUMIF([1]Futuros!$AD:$AD,$A3&amp;"_"&amp;NZ$11,[1]Futuros!$AK:$AK)+SUMIF([1]Opciones!$AF:$AF,$A3&amp;"_"&amp;NZ$11,[1]Opciones!$AO:$AO)</f>
        <v>#VALUE!</v>
      </c>
      <c r="OA3" t="e">
        <f>+SUMIF([1]Cartera!$R:$R,$A3&amp;"_"&amp;OA$11,[1]Cartera!$J:$J)+SUMIF([1]Futuros!$AD:$AD,$A3&amp;"_"&amp;OA$11,[1]Futuros!$AK:$AK)+SUMIF([1]Opciones!$AF:$AF,$A3&amp;"_"&amp;OA$11,[1]Opciones!$AO:$AO)</f>
        <v>#VALUE!</v>
      </c>
      <c r="OB3" t="e">
        <f>+SUMIF([1]Cartera!$R:$R,$A3&amp;"_"&amp;OB$11,[1]Cartera!$J:$J)+SUMIF([1]Futuros!$AD:$AD,$A3&amp;"_"&amp;OB$11,[1]Futuros!$AK:$AK)+SUMIF([1]Opciones!$AF:$AF,$A3&amp;"_"&amp;OB$11,[1]Opciones!$AO:$AO)</f>
        <v>#VALUE!</v>
      </c>
      <c r="OC3" t="e">
        <f>+SUMIF([1]Cartera!$R:$R,$A3&amp;"_"&amp;OC$11,[1]Cartera!$J:$J)+SUMIF([1]Futuros!$AD:$AD,$A3&amp;"_"&amp;OC$11,[1]Futuros!$AK:$AK)+SUMIF([1]Opciones!$AF:$AF,$A3&amp;"_"&amp;OC$11,[1]Opciones!$AO:$AO)</f>
        <v>#VALUE!</v>
      </c>
      <c r="OD3" t="e">
        <f>+SUMIF([1]Cartera!$R:$R,$A3&amp;"_"&amp;OD$11,[1]Cartera!$J:$J)+SUMIF([1]Futuros!$AD:$AD,$A3&amp;"_"&amp;OD$11,[1]Futuros!$AK:$AK)+SUMIF([1]Opciones!$AF:$AF,$A3&amp;"_"&amp;OD$11,[1]Opciones!$AO:$AO)</f>
        <v>#VALUE!</v>
      </c>
      <c r="OE3" t="e">
        <f>+SUMIF([1]Cartera!$R:$R,$A3&amp;"_"&amp;OE$11,[1]Cartera!$J:$J)+SUMIF([1]Futuros!$AD:$AD,$A3&amp;"_"&amp;OE$11,[1]Futuros!$AK:$AK)+SUMIF([1]Opciones!$AF:$AF,$A3&amp;"_"&amp;OE$11,[1]Opciones!$AO:$AO)</f>
        <v>#VALUE!</v>
      </c>
      <c r="OF3" t="e">
        <f>+SUMIF([1]Cartera!$R:$R,$A3&amp;"_"&amp;OF$11,[1]Cartera!$J:$J)+SUMIF([1]Futuros!$AD:$AD,$A3&amp;"_"&amp;OF$11,[1]Futuros!$AK:$AK)+SUMIF([1]Opciones!$AF:$AF,$A3&amp;"_"&amp;OF$11,[1]Opciones!$AO:$AO)</f>
        <v>#VALUE!</v>
      </c>
      <c r="OG3" t="e">
        <f>+SUMIF([1]Cartera!$R:$R,$A3&amp;"_"&amp;OG$11,[1]Cartera!$J:$J)+SUMIF([1]Futuros!$AD:$AD,$A3&amp;"_"&amp;OG$11,[1]Futuros!$AK:$AK)+SUMIF([1]Opciones!$AF:$AF,$A3&amp;"_"&amp;OG$11,[1]Opciones!$AO:$AO)</f>
        <v>#VALUE!</v>
      </c>
      <c r="OH3" t="e">
        <f>+SUMIF([1]Cartera!$R:$R,$A3&amp;"_"&amp;OH$11,[1]Cartera!$J:$J)+SUMIF([1]Futuros!$AD:$AD,$A3&amp;"_"&amp;OH$11,[1]Futuros!$AK:$AK)+SUMIF([1]Opciones!$AF:$AF,$A3&amp;"_"&amp;OH$11,[1]Opciones!$AO:$AO)</f>
        <v>#VALUE!</v>
      </c>
      <c r="OI3" t="e">
        <f>+SUMIF([1]Cartera!$R:$R,$A3&amp;"_"&amp;OI$11,[1]Cartera!$J:$J)+SUMIF([1]Futuros!$AD:$AD,$A3&amp;"_"&amp;OI$11,[1]Futuros!$AK:$AK)+SUMIF([1]Opciones!$AF:$AF,$A3&amp;"_"&amp;OI$11,[1]Opciones!$AO:$AO)</f>
        <v>#VALUE!</v>
      </c>
      <c r="OJ3" t="e">
        <f>+SUMIF([1]Cartera!$R:$R,$A3&amp;"_"&amp;OJ$11,[1]Cartera!$J:$J)+SUMIF([1]Futuros!$AD:$AD,$A3&amp;"_"&amp;OJ$11,[1]Futuros!$AK:$AK)+SUMIF([1]Opciones!$AF:$AF,$A3&amp;"_"&amp;OJ$11,[1]Opciones!$AO:$AO)</f>
        <v>#VALUE!</v>
      </c>
      <c r="OK3" t="e">
        <f>+SUMIF([1]Cartera!$R:$R,$A3&amp;"_"&amp;OK$11,[1]Cartera!$J:$J)+SUMIF([1]Futuros!$AD:$AD,$A3&amp;"_"&amp;OK$11,[1]Futuros!$AK:$AK)+SUMIF([1]Opciones!$AF:$AF,$A3&amp;"_"&amp;OK$11,[1]Opciones!$AO:$AO)</f>
        <v>#VALUE!</v>
      </c>
      <c r="OL3" t="e">
        <f>+SUMIF([1]Cartera!$R:$R,$A3&amp;"_"&amp;OL$11,[1]Cartera!$J:$J)+SUMIF([1]Futuros!$AD:$AD,$A3&amp;"_"&amp;OL$11,[1]Futuros!$AK:$AK)+SUMIF([1]Opciones!$AF:$AF,$A3&amp;"_"&amp;OL$11,[1]Opciones!$AO:$AO)</f>
        <v>#VALUE!</v>
      </c>
      <c r="OM3" t="e">
        <f>+SUMIF([1]Cartera!$R:$R,$A3&amp;"_"&amp;OM$11,[1]Cartera!$J:$J)+SUMIF([1]Futuros!$AD:$AD,$A3&amp;"_"&amp;OM$11,[1]Futuros!$AK:$AK)+SUMIF([1]Opciones!$AF:$AF,$A3&amp;"_"&amp;OM$11,[1]Opciones!$AO:$AO)</f>
        <v>#VALUE!</v>
      </c>
      <c r="ON3" t="e">
        <f>+SUMIF([1]Cartera!$R:$R,$A3&amp;"_"&amp;ON$11,[1]Cartera!$J:$J)+SUMIF([1]Futuros!$AD:$AD,$A3&amp;"_"&amp;ON$11,[1]Futuros!$AK:$AK)+SUMIF([1]Opciones!$AF:$AF,$A3&amp;"_"&amp;ON$11,[1]Opciones!$AO:$AO)</f>
        <v>#VALUE!</v>
      </c>
      <c r="OO3" t="e">
        <f>+SUMIF([1]Cartera!$R:$R,$A3&amp;"_"&amp;OO$11,[1]Cartera!$J:$J)+SUMIF([1]Futuros!$AD:$AD,$A3&amp;"_"&amp;OO$11,[1]Futuros!$AK:$AK)+SUMIF([1]Opciones!$AF:$AF,$A3&amp;"_"&amp;OO$11,[1]Opciones!$AO:$AO)</f>
        <v>#VALUE!</v>
      </c>
      <c r="OP3" t="e">
        <f>+SUMIF([1]Cartera!$R:$R,$A3&amp;"_"&amp;OP$11,[1]Cartera!$J:$J)+SUMIF([1]Futuros!$AD:$AD,$A3&amp;"_"&amp;OP$11,[1]Futuros!$AK:$AK)+SUMIF([1]Opciones!$AF:$AF,$A3&amp;"_"&amp;OP$11,[1]Opciones!$AO:$AO)</f>
        <v>#VALUE!</v>
      </c>
      <c r="OQ3" t="e">
        <f>+SUMIF([1]Cartera!$R:$R,$A3&amp;"_"&amp;OQ$11,[1]Cartera!$J:$J)+SUMIF([1]Futuros!$AD:$AD,$A3&amp;"_"&amp;OQ$11,[1]Futuros!$AK:$AK)+SUMIF([1]Opciones!$AF:$AF,$A3&amp;"_"&amp;OQ$11,[1]Opciones!$AO:$AO)</f>
        <v>#VALUE!</v>
      </c>
      <c r="OR3" t="e">
        <f>+SUMIF([1]Cartera!$R:$R,$A3&amp;"_"&amp;OR$11,[1]Cartera!$J:$J)+SUMIF([1]Futuros!$AD:$AD,$A3&amp;"_"&amp;OR$11,[1]Futuros!$AK:$AK)+SUMIF([1]Opciones!$AF:$AF,$A3&amp;"_"&amp;OR$11,[1]Opciones!$AO:$AO)</f>
        <v>#VALUE!</v>
      </c>
      <c r="OS3" t="e">
        <f>+SUMIF([1]Cartera!$R:$R,$A3&amp;"_"&amp;OS$11,[1]Cartera!$J:$J)+SUMIF([1]Futuros!$AD:$AD,$A3&amp;"_"&amp;OS$11,[1]Futuros!$AK:$AK)+SUMIF([1]Opciones!$AF:$AF,$A3&amp;"_"&amp;OS$11,[1]Opciones!$AO:$AO)</f>
        <v>#VALUE!</v>
      </c>
      <c r="OT3" t="e">
        <f>+SUMIF([1]Cartera!$R:$R,$A3&amp;"_"&amp;OT$11,[1]Cartera!$J:$J)+SUMIF([1]Futuros!$AD:$AD,$A3&amp;"_"&amp;OT$11,[1]Futuros!$AK:$AK)+SUMIF([1]Opciones!$AF:$AF,$A3&amp;"_"&amp;OT$11,[1]Opciones!$AO:$AO)</f>
        <v>#VALUE!</v>
      </c>
      <c r="OU3" t="e">
        <f>+SUMIF([1]Cartera!$R:$R,$A3&amp;"_"&amp;OU$11,[1]Cartera!$J:$J)+SUMIF([1]Futuros!$AD:$AD,$A3&amp;"_"&amp;OU$11,[1]Futuros!$AK:$AK)+SUMIF([1]Opciones!$AF:$AF,$A3&amp;"_"&amp;OU$11,[1]Opciones!$AO:$AO)</f>
        <v>#VALUE!</v>
      </c>
      <c r="OV3" t="e">
        <f>+SUMIF([1]Cartera!$R:$R,$A3&amp;"_"&amp;OV$11,[1]Cartera!$J:$J)+SUMIF([1]Futuros!$AD:$AD,$A3&amp;"_"&amp;OV$11,[1]Futuros!$AK:$AK)+SUMIF([1]Opciones!$AF:$AF,$A3&amp;"_"&amp;OV$11,[1]Opciones!$AO:$AO)</f>
        <v>#VALUE!</v>
      </c>
      <c r="OW3" t="e">
        <f>+SUMIF([1]Cartera!$R:$R,$A3&amp;"_"&amp;OW$11,[1]Cartera!$J:$J)+SUMIF([1]Futuros!$AD:$AD,$A3&amp;"_"&amp;OW$11,[1]Futuros!$AK:$AK)+SUMIF([1]Opciones!$AF:$AF,$A3&amp;"_"&amp;OW$11,[1]Opciones!$AO:$AO)</f>
        <v>#VALUE!</v>
      </c>
      <c r="OX3" t="e">
        <f>+SUMIF([1]Cartera!$R:$R,$A3&amp;"_"&amp;OX$11,[1]Cartera!$J:$J)+SUMIF([1]Futuros!$AD:$AD,$A3&amp;"_"&amp;OX$11,[1]Futuros!$AK:$AK)+SUMIF([1]Opciones!$AF:$AF,$A3&amp;"_"&amp;OX$11,[1]Opciones!$AO:$AO)</f>
        <v>#VALUE!</v>
      </c>
      <c r="OY3" t="e">
        <f>+SUMIF([1]Cartera!$R:$R,$A3&amp;"_"&amp;OY$11,[1]Cartera!$J:$J)+SUMIF([1]Futuros!$AD:$AD,$A3&amp;"_"&amp;OY$11,[1]Futuros!$AK:$AK)+SUMIF([1]Opciones!$AF:$AF,$A3&amp;"_"&amp;OY$11,[1]Opciones!$AO:$AO)</f>
        <v>#VALUE!</v>
      </c>
      <c r="OZ3" t="e">
        <f>+SUMIF([1]Cartera!$R:$R,$A3&amp;"_"&amp;OZ$11,[1]Cartera!$J:$J)+SUMIF([1]Futuros!$AD:$AD,$A3&amp;"_"&amp;OZ$11,[1]Futuros!$AK:$AK)+SUMIF([1]Opciones!$AF:$AF,$A3&amp;"_"&amp;OZ$11,[1]Opciones!$AO:$AO)</f>
        <v>#VALUE!</v>
      </c>
      <c r="PA3" t="e">
        <f>+SUMIF([1]Cartera!$R:$R,$A3&amp;"_"&amp;PA$11,[1]Cartera!$J:$J)+SUMIF([1]Futuros!$AD:$AD,$A3&amp;"_"&amp;PA$11,[1]Futuros!$AK:$AK)+SUMIF([1]Opciones!$AF:$AF,$A3&amp;"_"&amp;PA$11,[1]Opciones!$AO:$AO)</f>
        <v>#VALUE!</v>
      </c>
      <c r="PB3" t="e">
        <f>+SUMIF([1]Cartera!$R:$R,$A3&amp;"_"&amp;PB$11,[1]Cartera!$J:$J)+SUMIF([1]Futuros!$AD:$AD,$A3&amp;"_"&amp;PB$11,[1]Futuros!$AK:$AK)+SUMIF([1]Opciones!$AF:$AF,$A3&amp;"_"&amp;PB$11,[1]Opciones!$AO:$AO)</f>
        <v>#VALUE!</v>
      </c>
      <c r="PC3" t="e">
        <f>+SUMIF([1]Cartera!$R:$R,$A3&amp;"_"&amp;PC$11,[1]Cartera!$J:$J)+SUMIF([1]Futuros!$AD:$AD,$A3&amp;"_"&amp;PC$11,[1]Futuros!$AK:$AK)+SUMIF([1]Opciones!$AF:$AF,$A3&amp;"_"&amp;PC$11,[1]Opciones!$AO:$AO)</f>
        <v>#VALUE!</v>
      </c>
      <c r="PD3" t="e">
        <f>+SUMIF([1]Cartera!$R:$R,$A3&amp;"_"&amp;PD$11,[1]Cartera!$J:$J)+SUMIF([1]Futuros!$AD:$AD,$A3&amp;"_"&amp;PD$11,[1]Futuros!$AK:$AK)+SUMIF([1]Opciones!$AF:$AF,$A3&amp;"_"&amp;PD$11,[1]Opciones!$AO:$AO)</f>
        <v>#VALUE!</v>
      </c>
      <c r="PE3" t="e">
        <f>+SUMIF([1]Cartera!$R:$R,$A3&amp;"_"&amp;PE$11,[1]Cartera!$J:$J)+SUMIF([1]Futuros!$AD:$AD,$A3&amp;"_"&amp;PE$11,[1]Futuros!$AK:$AK)+SUMIF([1]Opciones!$AF:$AF,$A3&amp;"_"&amp;PE$11,[1]Opciones!$AO:$AO)</f>
        <v>#VALUE!</v>
      </c>
      <c r="PF3" t="e">
        <f>+SUMIF([1]Cartera!$R:$R,$A3&amp;"_"&amp;PF$11,[1]Cartera!$J:$J)+SUMIF([1]Futuros!$AD:$AD,$A3&amp;"_"&amp;PF$11,[1]Futuros!$AK:$AK)+SUMIF([1]Opciones!$AF:$AF,$A3&amp;"_"&amp;PF$11,[1]Opciones!$AO:$AO)</f>
        <v>#VALUE!</v>
      </c>
      <c r="PG3" t="e">
        <f>+SUMIF([1]Cartera!$R:$R,$A3&amp;"_"&amp;PG$11,[1]Cartera!$J:$J)+SUMIF([1]Futuros!$AD:$AD,$A3&amp;"_"&amp;PG$11,[1]Futuros!$AK:$AK)+SUMIF([1]Opciones!$AF:$AF,$A3&amp;"_"&amp;PG$11,[1]Opciones!$AO:$AO)</f>
        <v>#VALUE!</v>
      </c>
      <c r="PH3" t="e">
        <f>+SUMIF([1]Cartera!$R:$R,$A3&amp;"_"&amp;PH$11,[1]Cartera!$J:$J)+SUMIF([1]Futuros!$AD:$AD,$A3&amp;"_"&amp;PH$11,[1]Futuros!$AK:$AK)+SUMIF([1]Opciones!$AF:$AF,$A3&amp;"_"&amp;PH$11,[1]Opciones!$AO:$AO)</f>
        <v>#VALUE!</v>
      </c>
      <c r="PI3" t="e">
        <f>+SUMIF([1]Cartera!$R:$R,$A3&amp;"_"&amp;PI$11,[1]Cartera!$J:$J)+SUMIF([1]Futuros!$AD:$AD,$A3&amp;"_"&amp;PI$11,[1]Futuros!$AK:$AK)+SUMIF([1]Opciones!$AF:$AF,$A3&amp;"_"&amp;PI$11,[1]Opciones!$AO:$AO)</f>
        <v>#VALUE!</v>
      </c>
      <c r="PJ3" t="e">
        <f>+SUMIF([1]Cartera!$R:$R,$A3&amp;"_"&amp;PJ$11,[1]Cartera!$J:$J)+SUMIF([1]Futuros!$AD:$AD,$A3&amp;"_"&amp;PJ$11,[1]Futuros!$AK:$AK)+SUMIF([1]Opciones!$AF:$AF,$A3&amp;"_"&amp;PJ$11,[1]Opciones!$AO:$AO)</f>
        <v>#VALUE!</v>
      </c>
      <c r="PK3" t="e">
        <f>+SUMIF([1]Cartera!$R:$R,$A3&amp;"_"&amp;PK$11,[1]Cartera!$J:$J)+SUMIF([1]Futuros!$AD:$AD,$A3&amp;"_"&amp;PK$11,[1]Futuros!$AK:$AK)+SUMIF([1]Opciones!$AF:$AF,$A3&amp;"_"&amp;PK$11,[1]Opciones!$AO:$AO)</f>
        <v>#VALUE!</v>
      </c>
      <c r="PL3" t="e">
        <f>+SUMIF([1]Cartera!$R:$R,$A3&amp;"_"&amp;PL$11,[1]Cartera!$J:$J)+SUMIF([1]Futuros!$AD:$AD,$A3&amp;"_"&amp;PL$11,[1]Futuros!$AK:$AK)+SUMIF([1]Opciones!$AF:$AF,$A3&amp;"_"&amp;PL$11,[1]Opciones!$AO:$AO)</f>
        <v>#VALUE!</v>
      </c>
      <c r="PM3" t="e">
        <f>+SUMIF([1]Cartera!$R:$R,$A3&amp;"_"&amp;PM$11,[1]Cartera!$J:$J)+SUMIF([1]Futuros!$AD:$AD,$A3&amp;"_"&amp;PM$11,[1]Futuros!$AK:$AK)+SUMIF([1]Opciones!$AF:$AF,$A3&amp;"_"&amp;PM$11,[1]Opciones!$AO:$AO)</f>
        <v>#VALUE!</v>
      </c>
      <c r="PN3" t="e">
        <f>+SUMIF([1]Cartera!$R:$R,$A3&amp;"_"&amp;PN$11,[1]Cartera!$J:$J)+SUMIF([1]Futuros!$AD:$AD,$A3&amp;"_"&amp;PN$11,[1]Futuros!$AK:$AK)+SUMIF([1]Opciones!$AF:$AF,$A3&amp;"_"&amp;PN$11,[1]Opciones!$AO:$AO)</f>
        <v>#VALUE!</v>
      </c>
      <c r="PO3" t="e">
        <f>+SUMIF([1]Cartera!$R:$R,$A3&amp;"_"&amp;PO$11,[1]Cartera!$J:$J)+SUMIF([1]Futuros!$AD:$AD,$A3&amp;"_"&amp;PO$11,[1]Futuros!$AK:$AK)+SUMIF([1]Opciones!$AF:$AF,$A3&amp;"_"&amp;PO$11,[1]Opciones!$AO:$AO)</f>
        <v>#VALUE!</v>
      </c>
      <c r="PP3" t="e">
        <f>+SUMIF([1]Cartera!$R:$R,$A3&amp;"_"&amp;PP$11,[1]Cartera!$J:$J)+SUMIF([1]Futuros!$AD:$AD,$A3&amp;"_"&amp;PP$11,[1]Futuros!$AK:$AK)+SUMIF([1]Opciones!$AF:$AF,$A3&amp;"_"&amp;PP$11,[1]Opciones!$AO:$AO)</f>
        <v>#VALUE!</v>
      </c>
      <c r="PQ3" t="e">
        <f>+SUMIF([1]Cartera!$R:$R,$A3&amp;"_"&amp;PQ$11,[1]Cartera!$J:$J)+SUMIF([1]Futuros!$AD:$AD,$A3&amp;"_"&amp;PQ$11,[1]Futuros!$AK:$AK)+SUMIF([1]Opciones!$AF:$AF,$A3&amp;"_"&amp;PQ$11,[1]Opciones!$AO:$AO)</f>
        <v>#VALUE!</v>
      </c>
      <c r="PR3" t="e">
        <f>+SUMIF([1]Cartera!$R:$R,$A3&amp;"_"&amp;PR$11,[1]Cartera!$J:$J)+SUMIF([1]Futuros!$AD:$AD,$A3&amp;"_"&amp;PR$11,[1]Futuros!$AK:$AK)+SUMIF([1]Opciones!$AF:$AF,$A3&amp;"_"&amp;PR$11,[1]Opciones!$AO:$AO)</f>
        <v>#VALUE!</v>
      </c>
      <c r="PS3" t="e">
        <f>+SUMIF([1]Cartera!$R:$R,$A3&amp;"_"&amp;PS$11,[1]Cartera!$J:$J)+SUMIF([1]Futuros!$AD:$AD,$A3&amp;"_"&amp;PS$11,[1]Futuros!$AK:$AK)+SUMIF([1]Opciones!$AF:$AF,$A3&amp;"_"&amp;PS$11,[1]Opciones!$AO:$AO)</f>
        <v>#VALUE!</v>
      </c>
      <c r="PT3" t="e">
        <f>+SUMIF([1]Cartera!$R:$R,$A3&amp;"_"&amp;PT$11,[1]Cartera!$J:$J)+SUMIF([1]Futuros!$AD:$AD,$A3&amp;"_"&amp;PT$11,[1]Futuros!$AK:$AK)+SUMIF([1]Opciones!$AF:$AF,$A3&amp;"_"&amp;PT$11,[1]Opciones!$AO:$AO)</f>
        <v>#VALUE!</v>
      </c>
      <c r="PU3" t="e">
        <f>+SUMIF([1]Cartera!$R:$R,$A3&amp;"_"&amp;PU$11,[1]Cartera!$J:$J)+SUMIF([1]Futuros!$AD:$AD,$A3&amp;"_"&amp;PU$11,[1]Futuros!$AK:$AK)+SUMIF([1]Opciones!$AF:$AF,$A3&amp;"_"&amp;PU$11,[1]Opciones!$AO:$AO)</f>
        <v>#VALUE!</v>
      </c>
      <c r="PV3" t="e">
        <f>+SUMIF([1]Cartera!$R:$R,$A3&amp;"_"&amp;PV$11,[1]Cartera!$J:$J)+SUMIF([1]Futuros!$AD:$AD,$A3&amp;"_"&amp;PV$11,[1]Futuros!$AK:$AK)+SUMIF([1]Opciones!$AF:$AF,$A3&amp;"_"&amp;PV$11,[1]Opciones!$AO:$AO)</f>
        <v>#VALUE!</v>
      </c>
      <c r="PW3" t="e">
        <f>+SUMIF([1]Cartera!$R:$R,$A3&amp;"_"&amp;PW$11,[1]Cartera!$J:$J)+SUMIF([1]Futuros!$AD:$AD,$A3&amp;"_"&amp;PW$11,[1]Futuros!$AK:$AK)+SUMIF([1]Opciones!$AF:$AF,$A3&amp;"_"&amp;PW$11,[1]Opciones!$AO:$AO)</f>
        <v>#VALUE!</v>
      </c>
      <c r="PX3" t="e">
        <f>+SUMIF([1]Cartera!$R:$R,$A3&amp;"_"&amp;PX$11,[1]Cartera!$J:$J)+SUMIF([1]Futuros!$AD:$AD,$A3&amp;"_"&amp;PX$11,[1]Futuros!$AK:$AK)+SUMIF([1]Opciones!$AF:$AF,$A3&amp;"_"&amp;PX$11,[1]Opciones!$AO:$AO)</f>
        <v>#VALUE!</v>
      </c>
      <c r="PY3" t="e">
        <f>+SUMIF([1]Cartera!$R:$R,$A3&amp;"_"&amp;PY$11,[1]Cartera!$J:$J)+SUMIF([1]Futuros!$AD:$AD,$A3&amp;"_"&amp;PY$11,[1]Futuros!$AK:$AK)+SUMIF([1]Opciones!$AF:$AF,$A3&amp;"_"&amp;PY$11,[1]Opciones!$AO:$AO)</f>
        <v>#VALUE!</v>
      </c>
      <c r="PZ3" t="e">
        <f>+SUMIF([1]Cartera!$R:$R,$A3&amp;"_"&amp;PZ$11,[1]Cartera!$J:$J)+SUMIF([1]Futuros!$AD:$AD,$A3&amp;"_"&amp;PZ$11,[1]Futuros!$AK:$AK)+SUMIF([1]Opciones!$AF:$AF,$A3&amp;"_"&amp;PZ$11,[1]Opciones!$AO:$AO)</f>
        <v>#VALUE!</v>
      </c>
      <c r="QA3" t="e">
        <f>+SUMIF([1]Cartera!$R:$R,$A3&amp;"_"&amp;QA$11,[1]Cartera!$J:$J)+SUMIF([1]Futuros!$AD:$AD,$A3&amp;"_"&amp;QA$11,[1]Futuros!$AK:$AK)+SUMIF([1]Opciones!$AF:$AF,$A3&amp;"_"&amp;QA$11,[1]Opciones!$AO:$AO)</f>
        <v>#VALUE!</v>
      </c>
      <c r="QB3" t="e">
        <f>+SUMIF([1]Cartera!$R:$R,$A3&amp;"_"&amp;QB$11,[1]Cartera!$J:$J)+SUMIF([1]Futuros!$AD:$AD,$A3&amp;"_"&amp;QB$11,[1]Futuros!$AK:$AK)+SUMIF([1]Opciones!$AF:$AF,$A3&amp;"_"&amp;QB$11,[1]Opciones!$AO:$AO)</f>
        <v>#VALUE!</v>
      </c>
      <c r="QC3" t="e">
        <f>+SUMIF([1]Cartera!$R:$R,$A3&amp;"_"&amp;QC$11,[1]Cartera!$J:$J)+SUMIF([1]Futuros!$AD:$AD,$A3&amp;"_"&amp;QC$11,[1]Futuros!$AK:$AK)+SUMIF([1]Opciones!$AF:$AF,$A3&amp;"_"&amp;QC$11,[1]Opciones!$AO:$AO)</f>
        <v>#VALUE!</v>
      </c>
      <c r="QD3" t="e">
        <f>+SUMIF([1]Cartera!$R:$R,$A3&amp;"_"&amp;QD$11,[1]Cartera!$J:$J)+SUMIF([1]Futuros!$AD:$AD,$A3&amp;"_"&amp;QD$11,[1]Futuros!$AK:$AK)+SUMIF([1]Opciones!$AF:$AF,$A3&amp;"_"&amp;QD$11,[1]Opciones!$AO:$AO)</f>
        <v>#VALUE!</v>
      </c>
      <c r="QE3" t="e">
        <f>+SUMIF([1]Cartera!$R:$R,$A3&amp;"_"&amp;QE$11,[1]Cartera!$J:$J)+SUMIF([1]Futuros!$AD:$AD,$A3&amp;"_"&amp;QE$11,[1]Futuros!$AK:$AK)+SUMIF([1]Opciones!$AF:$AF,$A3&amp;"_"&amp;QE$11,[1]Opciones!$AO:$AO)</f>
        <v>#VALUE!</v>
      </c>
      <c r="QF3" t="e">
        <f>+SUMIF([1]Cartera!$R:$R,$A3&amp;"_"&amp;QF$11,[1]Cartera!$J:$J)+SUMIF([1]Futuros!$AD:$AD,$A3&amp;"_"&amp;QF$11,[1]Futuros!$AK:$AK)+SUMIF([1]Opciones!$AF:$AF,$A3&amp;"_"&amp;QF$11,[1]Opciones!$AO:$AO)</f>
        <v>#VALUE!</v>
      </c>
      <c r="QG3" t="e">
        <f>+SUMIF([1]Cartera!$R:$R,$A3&amp;"_"&amp;QG$11,[1]Cartera!$J:$J)+SUMIF([1]Futuros!$AD:$AD,$A3&amp;"_"&amp;QG$11,[1]Futuros!$AK:$AK)+SUMIF([1]Opciones!$AF:$AF,$A3&amp;"_"&amp;QG$11,[1]Opciones!$AO:$AO)</f>
        <v>#VALUE!</v>
      </c>
      <c r="QH3" t="e">
        <f>+SUMIF([1]Cartera!$R:$R,$A3&amp;"_"&amp;QH$11,[1]Cartera!$J:$J)+SUMIF([1]Futuros!$AD:$AD,$A3&amp;"_"&amp;QH$11,[1]Futuros!$AK:$AK)+SUMIF([1]Opciones!$AF:$AF,$A3&amp;"_"&amp;QH$11,[1]Opciones!$AO:$AO)</f>
        <v>#VALUE!</v>
      </c>
      <c r="QI3" t="e">
        <f>+SUMIF([1]Cartera!$R:$R,$A3&amp;"_"&amp;QI$11,[1]Cartera!$J:$J)+SUMIF([1]Futuros!$AD:$AD,$A3&amp;"_"&amp;QI$11,[1]Futuros!$AK:$AK)+SUMIF([1]Opciones!$AF:$AF,$A3&amp;"_"&amp;QI$11,[1]Opciones!$AO:$AO)</f>
        <v>#VALUE!</v>
      </c>
      <c r="QJ3" t="e">
        <f>+SUMIF([1]Cartera!$R:$R,$A3&amp;"_"&amp;QJ$11,[1]Cartera!$J:$J)+SUMIF([1]Futuros!$AD:$AD,$A3&amp;"_"&amp;QJ$11,[1]Futuros!$AK:$AK)+SUMIF([1]Opciones!$AF:$AF,$A3&amp;"_"&amp;QJ$11,[1]Opciones!$AO:$AO)</f>
        <v>#VALUE!</v>
      </c>
      <c r="QK3" t="e">
        <f>+SUMIF([1]Cartera!$R:$R,$A3&amp;"_"&amp;QK$11,[1]Cartera!$J:$J)+SUMIF([1]Futuros!$AD:$AD,$A3&amp;"_"&amp;QK$11,[1]Futuros!$AK:$AK)+SUMIF([1]Opciones!$AF:$AF,$A3&amp;"_"&amp;QK$11,[1]Opciones!$AO:$AO)</f>
        <v>#VALUE!</v>
      </c>
      <c r="QL3" t="e">
        <f>+SUMIF([1]Cartera!$R:$R,$A3&amp;"_"&amp;QL$11,[1]Cartera!$J:$J)+SUMIF([1]Futuros!$AD:$AD,$A3&amp;"_"&amp;QL$11,[1]Futuros!$AK:$AK)+SUMIF([1]Opciones!$AF:$AF,$A3&amp;"_"&amp;QL$11,[1]Opciones!$AO:$AO)</f>
        <v>#VALUE!</v>
      </c>
      <c r="QM3" t="e">
        <f>+SUMIF([1]Cartera!$R:$R,$A3&amp;"_"&amp;QM$11,[1]Cartera!$J:$J)+SUMIF([1]Futuros!$AD:$AD,$A3&amp;"_"&amp;QM$11,[1]Futuros!$AK:$AK)+SUMIF([1]Opciones!$AF:$AF,$A3&amp;"_"&amp;QM$11,[1]Opciones!$AO:$AO)</f>
        <v>#VALUE!</v>
      </c>
      <c r="QN3" t="e">
        <f>+SUMIF([1]Cartera!$R:$R,$A3&amp;"_"&amp;QN$11,[1]Cartera!$J:$J)+SUMIF([1]Futuros!$AD:$AD,$A3&amp;"_"&amp;QN$11,[1]Futuros!$AK:$AK)+SUMIF([1]Opciones!$AF:$AF,$A3&amp;"_"&amp;QN$11,[1]Opciones!$AO:$AO)</f>
        <v>#VALUE!</v>
      </c>
      <c r="QO3" t="e">
        <f>+SUMIF([1]Cartera!$R:$R,$A3&amp;"_"&amp;QO$11,[1]Cartera!$J:$J)+SUMIF([1]Futuros!$AD:$AD,$A3&amp;"_"&amp;QO$11,[1]Futuros!$AK:$AK)+SUMIF([1]Opciones!$AF:$AF,$A3&amp;"_"&amp;QO$11,[1]Opciones!$AO:$AO)</f>
        <v>#VALUE!</v>
      </c>
      <c r="QP3" t="e">
        <f>+SUMIF([1]Cartera!$R:$R,$A3&amp;"_"&amp;QP$11,[1]Cartera!$J:$J)+SUMIF([1]Futuros!$AD:$AD,$A3&amp;"_"&amp;QP$11,[1]Futuros!$AK:$AK)+SUMIF([1]Opciones!$AF:$AF,$A3&amp;"_"&amp;QP$11,[1]Opciones!$AO:$AO)</f>
        <v>#VALUE!</v>
      </c>
      <c r="QQ3" t="e">
        <f>+SUMIF([1]Cartera!$R:$R,$A3&amp;"_"&amp;QQ$11,[1]Cartera!$J:$J)+SUMIF([1]Futuros!$AD:$AD,$A3&amp;"_"&amp;QQ$11,[1]Futuros!$AK:$AK)+SUMIF([1]Opciones!$AF:$AF,$A3&amp;"_"&amp;QQ$11,[1]Opciones!$AO:$AO)</f>
        <v>#VALUE!</v>
      </c>
      <c r="QR3" t="e">
        <f>+SUMIF([1]Cartera!$R:$R,$A3&amp;"_"&amp;QR$11,[1]Cartera!$J:$J)+SUMIF([1]Futuros!$AD:$AD,$A3&amp;"_"&amp;QR$11,[1]Futuros!$AK:$AK)+SUMIF([1]Opciones!$AF:$AF,$A3&amp;"_"&amp;QR$11,[1]Opciones!$AO:$AO)</f>
        <v>#VALUE!</v>
      </c>
      <c r="QS3" t="e">
        <f>+SUMIF([1]Cartera!$R:$R,$A3&amp;"_"&amp;QS$11,[1]Cartera!$J:$J)+SUMIF([1]Futuros!$AD:$AD,$A3&amp;"_"&amp;QS$11,[1]Futuros!$AK:$AK)+SUMIF([1]Opciones!$AF:$AF,$A3&amp;"_"&amp;QS$11,[1]Opciones!$AO:$AO)</f>
        <v>#VALUE!</v>
      </c>
      <c r="QT3" t="e">
        <f>+SUMIF([1]Cartera!$R:$R,$A3&amp;"_"&amp;QT$11,[1]Cartera!$J:$J)+SUMIF([1]Futuros!$AD:$AD,$A3&amp;"_"&amp;QT$11,[1]Futuros!$AK:$AK)+SUMIF([1]Opciones!$AF:$AF,$A3&amp;"_"&amp;QT$11,[1]Opciones!$AO:$AO)</f>
        <v>#VALUE!</v>
      </c>
      <c r="QU3" t="e">
        <f>+SUMIF([1]Cartera!$R:$R,$A3&amp;"_"&amp;QU$11,[1]Cartera!$J:$J)+SUMIF([1]Futuros!$AD:$AD,$A3&amp;"_"&amp;QU$11,[1]Futuros!$AK:$AK)+SUMIF([1]Opciones!$AF:$AF,$A3&amp;"_"&amp;QU$11,[1]Opciones!$AO:$AO)</f>
        <v>#VALUE!</v>
      </c>
      <c r="QV3" t="e">
        <f>+SUMIF([1]Cartera!$R:$R,$A3&amp;"_"&amp;QV$11,[1]Cartera!$J:$J)+SUMIF([1]Futuros!$AD:$AD,$A3&amp;"_"&amp;QV$11,[1]Futuros!$AK:$AK)+SUMIF([1]Opciones!$AF:$AF,$A3&amp;"_"&amp;QV$11,[1]Opciones!$AO:$AO)</f>
        <v>#VALUE!</v>
      </c>
      <c r="QW3" t="e">
        <f>+SUMIF([1]Cartera!$R:$R,$A3&amp;"_"&amp;QW$11,[1]Cartera!$J:$J)+SUMIF([1]Futuros!$AD:$AD,$A3&amp;"_"&amp;QW$11,[1]Futuros!$AK:$AK)+SUMIF([1]Opciones!$AF:$AF,$A3&amp;"_"&amp;QW$11,[1]Opciones!$AO:$AO)</f>
        <v>#VALUE!</v>
      </c>
      <c r="QX3" t="e">
        <f>+SUMIF([1]Cartera!$R:$R,$A3&amp;"_"&amp;QX$11,[1]Cartera!$J:$J)+SUMIF([1]Futuros!$AD:$AD,$A3&amp;"_"&amp;QX$11,[1]Futuros!$AK:$AK)+SUMIF([1]Opciones!$AF:$AF,$A3&amp;"_"&amp;QX$11,[1]Opciones!$AO:$AO)</f>
        <v>#VALUE!</v>
      </c>
      <c r="QY3" t="e">
        <f>+SUMIF([1]Cartera!$R:$R,$A3&amp;"_"&amp;QY$11,[1]Cartera!$J:$J)+SUMIF([1]Futuros!$AD:$AD,$A3&amp;"_"&amp;QY$11,[1]Futuros!$AK:$AK)+SUMIF([1]Opciones!$AF:$AF,$A3&amp;"_"&amp;QY$11,[1]Opciones!$AO:$AO)</f>
        <v>#VALUE!</v>
      </c>
      <c r="QZ3" t="e">
        <f>+SUMIF([1]Cartera!$R:$R,$A3&amp;"_"&amp;QZ$11,[1]Cartera!$J:$J)+SUMIF([1]Futuros!$AD:$AD,$A3&amp;"_"&amp;QZ$11,[1]Futuros!$AK:$AK)+SUMIF([1]Opciones!$AF:$AF,$A3&amp;"_"&amp;QZ$11,[1]Opciones!$AO:$AO)</f>
        <v>#VALUE!</v>
      </c>
      <c r="RA3" t="e">
        <f>+SUMIF([1]Cartera!$R:$R,$A3&amp;"_"&amp;RA$11,[1]Cartera!$J:$J)+SUMIF([1]Futuros!$AD:$AD,$A3&amp;"_"&amp;RA$11,[1]Futuros!$AK:$AK)+SUMIF([1]Opciones!$AF:$AF,$A3&amp;"_"&amp;RA$11,[1]Opciones!$AO:$AO)</f>
        <v>#VALUE!</v>
      </c>
      <c r="RB3" t="e">
        <f>+SUMIF([1]Cartera!$R:$R,$A3&amp;"_"&amp;RB$11,[1]Cartera!$J:$J)+SUMIF([1]Futuros!$AD:$AD,$A3&amp;"_"&amp;RB$11,[1]Futuros!$AK:$AK)+SUMIF([1]Opciones!$AF:$AF,$A3&amp;"_"&amp;RB$11,[1]Opciones!$AO:$AO)</f>
        <v>#VALUE!</v>
      </c>
      <c r="RC3" t="e">
        <f>+SUMIF([1]Cartera!$R:$R,$A3&amp;"_"&amp;RC$11,[1]Cartera!$J:$J)+SUMIF([1]Futuros!$AD:$AD,$A3&amp;"_"&amp;RC$11,[1]Futuros!$AK:$AK)+SUMIF([1]Opciones!$AF:$AF,$A3&amp;"_"&amp;RC$11,[1]Opciones!$AO:$AO)</f>
        <v>#VALUE!</v>
      </c>
      <c r="RD3" t="e">
        <f>+SUMIF([1]Cartera!$R:$R,$A3&amp;"_"&amp;RD$11,[1]Cartera!$J:$J)+SUMIF([1]Futuros!$AD:$AD,$A3&amp;"_"&amp;RD$11,[1]Futuros!$AK:$AK)+SUMIF([1]Opciones!$AF:$AF,$A3&amp;"_"&amp;RD$11,[1]Opciones!$AO:$AO)</f>
        <v>#VALUE!</v>
      </c>
      <c r="RE3" t="e">
        <f>+SUMIF([1]Cartera!$R:$R,$A3&amp;"_"&amp;RE$11,[1]Cartera!$J:$J)+SUMIF([1]Futuros!$AD:$AD,$A3&amp;"_"&amp;RE$11,[1]Futuros!$AK:$AK)+SUMIF([1]Opciones!$AF:$AF,$A3&amp;"_"&amp;RE$11,[1]Opciones!$AO:$AO)</f>
        <v>#VALUE!</v>
      </c>
      <c r="RF3" t="e">
        <f>+SUMIF([1]Cartera!$R:$R,$A3&amp;"_"&amp;RF$11,[1]Cartera!$J:$J)+SUMIF([1]Futuros!$AD:$AD,$A3&amp;"_"&amp;RF$11,[1]Futuros!$AK:$AK)+SUMIF([1]Opciones!$AF:$AF,$A3&amp;"_"&amp;RF$11,[1]Opciones!$AO:$AO)</f>
        <v>#VALUE!</v>
      </c>
      <c r="RG3" t="e">
        <f>+SUMIF([1]Cartera!$R:$R,$A3&amp;"_"&amp;RG$11,[1]Cartera!$J:$J)+SUMIF([1]Futuros!$AD:$AD,$A3&amp;"_"&amp;RG$11,[1]Futuros!$AK:$AK)+SUMIF([1]Opciones!$AF:$AF,$A3&amp;"_"&amp;RG$11,[1]Opciones!$AO:$AO)</f>
        <v>#VALUE!</v>
      </c>
      <c r="RH3" t="e">
        <f>+SUMIF([1]Cartera!$R:$R,$A3&amp;"_"&amp;RH$11,[1]Cartera!$J:$J)+SUMIF([1]Futuros!$AD:$AD,$A3&amp;"_"&amp;RH$11,[1]Futuros!$AK:$AK)+SUMIF([1]Opciones!$AF:$AF,$A3&amp;"_"&amp;RH$11,[1]Opciones!$AO:$AO)</f>
        <v>#VALUE!</v>
      </c>
      <c r="RI3" t="e">
        <f>+SUMIF([1]Cartera!$R:$R,$A3&amp;"_"&amp;RI$11,[1]Cartera!$J:$J)+SUMIF([1]Futuros!$AD:$AD,$A3&amp;"_"&amp;RI$11,[1]Futuros!$AK:$AK)+SUMIF([1]Opciones!$AF:$AF,$A3&amp;"_"&amp;RI$11,[1]Opciones!$AO:$AO)</f>
        <v>#VALUE!</v>
      </c>
      <c r="RJ3" t="e">
        <f>+SUMIF([1]Cartera!$R:$R,$A3&amp;"_"&amp;RJ$11,[1]Cartera!$J:$J)+SUMIF([1]Futuros!$AD:$AD,$A3&amp;"_"&amp;RJ$11,[1]Futuros!$AK:$AK)+SUMIF([1]Opciones!$AF:$AF,$A3&amp;"_"&amp;RJ$11,[1]Opciones!$AO:$AO)</f>
        <v>#VALUE!</v>
      </c>
      <c r="RK3" t="e">
        <f>+SUMIF([1]Cartera!$R:$R,$A3&amp;"_"&amp;RK$11,[1]Cartera!$J:$J)+SUMIF([1]Futuros!$AD:$AD,$A3&amp;"_"&amp;RK$11,[1]Futuros!$AK:$AK)+SUMIF([1]Opciones!$AF:$AF,$A3&amp;"_"&amp;RK$11,[1]Opciones!$AO:$AO)</f>
        <v>#VALUE!</v>
      </c>
      <c r="RL3" t="e">
        <f>+SUMIF([1]Cartera!$R:$R,$A3&amp;"_"&amp;RL$11,[1]Cartera!$J:$J)+SUMIF([1]Futuros!$AD:$AD,$A3&amp;"_"&amp;RL$11,[1]Futuros!$AK:$AK)+SUMIF([1]Opciones!$AF:$AF,$A3&amp;"_"&amp;RL$11,[1]Opciones!$AO:$AO)</f>
        <v>#VALUE!</v>
      </c>
      <c r="RM3" t="e">
        <f>+SUMIF([1]Cartera!$R:$R,$A3&amp;"_"&amp;RM$11,[1]Cartera!$J:$J)+SUMIF([1]Futuros!$AD:$AD,$A3&amp;"_"&amp;RM$11,[1]Futuros!$AK:$AK)+SUMIF([1]Opciones!$AF:$AF,$A3&amp;"_"&amp;RM$11,[1]Opciones!$AO:$AO)</f>
        <v>#VALUE!</v>
      </c>
      <c r="RN3" t="e">
        <f>+SUMIF([1]Cartera!$R:$R,$A3&amp;"_"&amp;RN$11,[1]Cartera!$J:$J)+SUMIF([1]Futuros!$AD:$AD,$A3&amp;"_"&amp;RN$11,[1]Futuros!$AK:$AK)+SUMIF([1]Opciones!$AF:$AF,$A3&amp;"_"&amp;RN$11,[1]Opciones!$AO:$AO)</f>
        <v>#VALUE!</v>
      </c>
      <c r="RO3" t="e">
        <f>+SUMIF([1]Cartera!$R:$R,$A3&amp;"_"&amp;RO$11,[1]Cartera!$J:$J)+SUMIF([1]Futuros!$AD:$AD,$A3&amp;"_"&amp;RO$11,[1]Futuros!$AK:$AK)+SUMIF([1]Opciones!$AF:$AF,$A3&amp;"_"&amp;RO$11,[1]Opciones!$AO:$AO)</f>
        <v>#VALUE!</v>
      </c>
      <c r="RP3" t="e">
        <f>+SUMIF([1]Cartera!$R:$R,$A3&amp;"_"&amp;RP$11,[1]Cartera!$J:$J)+SUMIF([1]Futuros!$AD:$AD,$A3&amp;"_"&amp;RP$11,[1]Futuros!$AK:$AK)+SUMIF([1]Opciones!$AF:$AF,$A3&amp;"_"&amp;RP$11,[1]Opciones!$AO:$AO)</f>
        <v>#VALUE!</v>
      </c>
      <c r="RQ3" t="e">
        <f>+SUMIF([1]Cartera!$R:$R,$A3&amp;"_"&amp;RQ$11,[1]Cartera!$J:$J)+SUMIF([1]Futuros!$AD:$AD,$A3&amp;"_"&amp;RQ$11,[1]Futuros!$AK:$AK)+SUMIF([1]Opciones!$AF:$AF,$A3&amp;"_"&amp;RQ$11,[1]Opciones!$AO:$AO)</f>
        <v>#VALUE!</v>
      </c>
      <c r="RR3" t="e">
        <f>+SUMIF([1]Cartera!$R:$R,$A3&amp;"_"&amp;RR$11,[1]Cartera!$J:$J)+SUMIF([1]Futuros!$AD:$AD,$A3&amp;"_"&amp;RR$11,[1]Futuros!$AK:$AK)+SUMIF([1]Opciones!$AF:$AF,$A3&amp;"_"&amp;RR$11,[1]Opciones!$AO:$AO)</f>
        <v>#VALUE!</v>
      </c>
      <c r="RS3" t="e">
        <f>+SUMIF([1]Cartera!$R:$R,$A3&amp;"_"&amp;RS$11,[1]Cartera!$J:$J)+SUMIF([1]Futuros!$AD:$AD,$A3&amp;"_"&amp;RS$11,[1]Futuros!$AK:$AK)+SUMIF([1]Opciones!$AF:$AF,$A3&amp;"_"&amp;RS$11,[1]Opciones!$AO:$AO)</f>
        <v>#VALUE!</v>
      </c>
      <c r="RT3" t="e">
        <f>+SUMIF([1]Cartera!$R:$R,$A3&amp;"_"&amp;RT$11,[1]Cartera!$J:$J)+SUMIF([1]Futuros!$AD:$AD,$A3&amp;"_"&amp;RT$11,[1]Futuros!$AK:$AK)+SUMIF([1]Opciones!$AF:$AF,$A3&amp;"_"&amp;RT$11,[1]Opciones!$AO:$AO)</f>
        <v>#VALUE!</v>
      </c>
      <c r="RU3" t="e">
        <f>+SUMIF([1]Cartera!$R:$R,$A3&amp;"_"&amp;RU$11,[1]Cartera!$J:$J)+SUMIF([1]Futuros!$AD:$AD,$A3&amp;"_"&amp;RU$11,[1]Futuros!$AK:$AK)+SUMIF([1]Opciones!$AF:$AF,$A3&amp;"_"&amp;RU$11,[1]Opciones!$AO:$AO)</f>
        <v>#VALUE!</v>
      </c>
      <c r="RV3" t="e">
        <f>+SUMIF([1]Cartera!$R:$R,$A3&amp;"_"&amp;RV$11,[1]Cartera!$J:$J)+SUMIF([1]Futuros!$AD:$AD,$A3&amp;"_"&amp;RV$11,[1]Futuros!$AK:$AK)+SUMIF([1]Opciones!$AF:$AF,$A3&amp;"_"&amp;RV$11,[1]Opciones!$AO:$AO)</f>
        <v>#VALUE!</v>
      </c>
      <c r="RW3" t="e">
        <f>+SUMIF([1]Cartera!$R:$R,$A3&amp;"_"&amp;RW$11,[1]Cartera!$J:$J)+SUMIF([1]Futuros!$AD:$AD,$A3&amp;"_"&amp;RW$11,[1]Futuros!$AK:$AK)+SUMIF([1]Opciones!$AF:$AF,$A3&amp;"_"&amp;RW$11,[1]Opciones!$AO:$AO)</f>
        <v>#VALUE!</v>
      </c>
      <c r="RX3" t="e">
        <f>+SUMIF([1]Cartera!$R:$R,$A3&amp;"_"&amp;RX$11,[1]Cartera!$J:$J)+SUMIF([1]Futuros!$AD:$AD,$A3&amp;"_"&amp;RX$11,[1]Futuros!$AK:$AK)+SUMIF([1]Opciones!$AF:$AF,$A3&amp;"_"&amp;RX$11,[1]Opciones!$AO:$AO)</f>
        <v>#VALUE!</v>
      </c>
      <c r="RY3" t="e">
        <f>+SUMIF([1]Cartera!$R:$R,$A3&amp;"_"&amp;RY$11,[1]Cartera!$J:$J)+SUMIF([1]Futuros!$AD:$AD,$A3&amp;"_"&amp;RY$11,[1]Futuros!$AK:$AK)+SUMIF([1]Opciones!$AF:$AF,$A3&amp;"_"&amp;RY$11,[1]Opciones!$AO:$AO)</f>
        <v>#VALUE!</v>
      </c>
      <c r="RZ3" t="e">
        <f>+SUMIF([1]Cartera!$R:$R,$A3&amp;"_"&amp;RZ$11,[1]Cartera!$J:$J)+SUMIF([1]Futuros!$AD:$AD,$A3&amp;"_"&amp;RZ$11,[1]Futuros!$AK:$AK)+SUMIF([1]Opciones!$AF:$AF,$A3&amp;"_"&amp;RZ$11,[1]Opciones!$AO:$AO)</f>
        <v>#VALUE!</v>
      </c>
      <c r="SA3" t="e">
        <f>+SUMIF([1]Cartera!$R:$R,$A3&amp;"_"&amp;SA$11,[1]Cartera!$J:$J)+SUMIF([1]Futuros!$AD:$AD,$A3&amp;"_"&amp;SA$11,[1]Futuros!$AK:$AK)+SUMIF([1]Opciones!$AF:$AF,$A3&amp;"_"&amp;SA$11,[1]Opciones!$AO:$AO)</f>
        <v>#VALUE!</v>
      </c>
      <c r="SB3" t="e">
        <f>+SUMIF([1]Cartera!$R:$R,$A3&amp;"_"&amp;SB$11,[1]Cartera!$J:$J)+SUMIF([1]Futuros!$AD:$AD,$A3&amp;"_"&amp;SB$11,[1]Futuros!$AK:$AK)+SUMIF([1]Opciones!$AF:$AF,$A3&amp;"_"&amp;SB$11,[1]Opciones!$AO:$AO)</f>
        <v>#VALUE!</v>
      </c>
      <c r="SC3" t="e">
        <f>+SUMIF([1]Cartera!$R:$R,$A3&amp;"_"&amp;SC$11,[1]Cartera!$J:$J)+SUMIF([1]Futuros!$AD:$AD,$A3&amp;"_"&amp;SC$11,[1]Futuros!$AK:$AK)+SUMIF([1]Opciones!$AF:$AF,$A3&amp;"_"&amp;SC$11,[1]Opciones!$AO:$AO)</f>
        <v>#VALUE!</v>
      </c>
      <c r="SD3" t="e">
        <f>+SUMIF([1]Cartera!$R:$R,$A3&amp;"_"&amp;SD$11,[1]Cartera!$J:$J)+SUMIF([1]Futuros!$AD:$AD,$A3&amp;"_"&amp;SD$11,[1]Futuros!$AK:$AK)+SUMIF([1]Opciones!$AF:$AF,$A3&amp;"_"&amp;SD$11,[1]Opciones!$AO:$AO)</f>
        <v>#VALUE!</v>
      </c>
      <c r="SE3" t="e">
        <f>+SUMIF([1]Cartera!$R:$R,$A3&amp;"_"&amp;SE$11,[1]Cartera!$J:$J)+SUMIF([1]Futuros!$AD:$AD,$A3&amp;"_"&amp;SE$11,[1]Futuros!$AK:$AK)+SUMIF([1]Opciones!$AF:$AF,$A3&amp;"_"&amp;SE$11,[1]Opciones!$AO:$AO)</f>
        <v>#VALUE!</v>
      </c>
      <c r="SF3" t="e">
        <f>+SUMIF([1]Cartera!$R:$R,$A3&amp;"_"&amp;SF$11,[1]Cartera!$J:$J)+SUMIF([1]Futuros!$AD:$AD,$A3&amp;"_"&amp;SF$11,[1]Futuros!$AK:$AK)+SUMIF([1]Opciones!$AF:$AF,$A3&amp;"_"&amp;SF$11,[1]Opciones!$AO:$AO)</f>
        <v>#VALUE!</v>
      </c>
      <c r="SG3" t="e">
        <f>+SUMIF([1]Cartera!$R:$R,$A3&amp;"_"&amp;SG$11,[1]Cartera!$J:$J)+SUMIF([1]Futuros!$AD:$AD,$A3&amp;"_"&amp;SG$11,[1]Futuros!$AK:$AK)+SUMIF([1]Opciones!$AF:$AF,$A3&amp;"_"&amp;SG$11,[1]Opciones!$AO:$AO)</f>
        <v>#VALUE!</v>
      </c>
      <c r="SH3" t="e">
        <f>+SUMIF([1]Cartera!$R:$R,$A3&amp;"_"&amp;SH$11,[1]Cartera!$J:$J)+SUMIF([1]Futuros!$AD:$AD,$A3&amp;"_"&amp;SH$11,[1]Futuros!$AK:$AK)+SUMIF([1]Opciones!$AF:$AF,$A3&amp;"_"&amp;SH$11,[1]Opciones!$AO:$AO)</f>
        <v>#VALUE!</v>
      </c>
      <c r="SI3" t="e">
        <f>+SUMIF([1]Cartera!$R:$R,$A3&amp;"_"&amp;SI$11,[1]Cartera!$J:$J)+SUMIF([1]Futuros!$AD:$AD,$A3&amp;"_"&amp;SI$11,[1]Futuros!$AK:$AK)+SUMIF([1]Opciones!$AF:$AF,$A3&amp;"_"&amp;SI$11,[1]Opciones!$AO:$AO)</f>
        <v>#VALUE!</v>
      </c>
      <c r="SJ3" t="e">
        <f>+SUMIF([1]Cartera!$R:$R,$A3&amp;"_"&amp;SJ$11,[1]Cartera!$J:$J)+SUMIF([1]Futuros!$AD:$AD,$A3&amp;"_"&amp;SJ$11,[1]Futuros!$AK:$AK)+SUMIF([1]Opciones!$AF:$AF,$A3&amp;"_"&amp;SJ$11,[1]Opciones!$AO:$AO)</f>
        <v>#VALUE!</v>
      </c>
      <c r="SK3" t="e">
        <f>+SUMIF([1]Cartera!$R:$R,$A3&amp;"_"&amp;SK$11,[1]Cartera!$J:$J)+SUMIF([1]Futuros!$AD:$AD,$A3&amp;"_"&amp;SK$11,[1]Futuros!$AK:$AK)+SUMIF([1]Opciones!$AF:$AF,$A3&amp;"_"&amp;SK$11,[1]Opciones!$AO:$AO)</f>
        <v>#VALUE!</v>
      </c>
      <c r="SL3" t="e">
        <f>+SUMIF([1]Cartera!$R:$R,$A3&amp;"_"&amp;SL$11,[1]Cartera!$J:$J)+SUMIF([1]Futuros!$AD:$AD,$A3&amp;"_"&amp;SL$11,[1]Futuros!$AK:$AK)+SUMIF([1]Opciones!$AF:$AF,$A3&amp;"_"&amp;SL$11,[1]Opciones!$AO:$AO)</f>
        <v>#VALUE!</v>
      </c>
      <c r="SM3" t="e">
        <f>+SUMIF([1]Cartera!$R:$R,$A3&amp;"_"&amp;SM$11,[1]Cartera!$J:$J)+SUMIF([1]Futuros!$AD:$AD,$A3&amp;"_"&amp;SM$11,[1]Futuros!$AK:$AK)+SUMIF([1]Opciones!$AF:$AF,$A3&amp;"_"&amp;SM$11,[1]Opciones!$AO:$AO)</f>
        <v>#VALUE!</v>
      </c>
      <c r="SN3" t="e">
        <f>+SUMIF([1]Cartera!$R:$R,$A3&amp;"_"&amp;SN$11,[1]Cartera!$J:$J)+SUMIF([1]Futuros!$AD:$AD,$A3&amp;"_"&amp;SN$11,[1]Futuros!$AK:$AK)+SUMIF([1]Opciones!$AF:$AF,$A3&amp;"_"&amp;SN$11,[1]Opciones!$AO:$AO)</f>
        <v>#VALUE!</v>
      </c>
      <c r="SO3" t="e">
        <f>+SUMIF([1]Cartera!$R:$R,$A3&amp;"_"&amp;SO$11,[1]Cartera!$J:$J)+SUMIF([1]Futuros!$AD:$AD,$A3&amp;"_"&amp;SO$11,[1]Futuros!$AK:$AK)+SUMIF([1]Opciones!$AF:$AF,$A3&amp;"_"&amp;SO$11,[1]Opciones!$AO:$AO)</f>
        <v>#VALUE!</v>
      </c>
      <c r="SP3" t="e">
        <f>+SUMIF([1]Cartera!$R:$R,$A3&amp;"_"&amp;SP$11,[1]Cartera!$J:$J)+SUMIF([1]Futuros!$AD:$AD,$A3&amp;"_"&amp;SP$11,[1]Futuros!$AK:$AK)+SUMIF([1]Opciones!$AF:$AF,$A3&amp;"_"&amp;SP$11,[1]Opciones!$AO:$AO)</f>
        <v>#VALUE!</v>
      </c>
      <c r="SQ3" t="e">
        <f>+SUMIF([1]Cartera!$R:$R,$A3&amp;"_"&amp;SQ$11,[1]Cartera!$J:$J)+SUMIF([1]Futuros!$AD:$AD,$A3&amp;"_"&amp;SQ$11,[1]Futuros!$AK:$AK)+SUMIF([1]Opciones!$AF:$AF,$A3&amp;"_"&amp;SQ$11,[1]Opciones!$AO:$AO)</f>
        <v>#VALUE!</v>
      </c>
      <c r="SR3" t="e">
        <f>+SUMIF([1]Cartera!$R:$R,$A3&amp;"_"&amp;SR$11,[1]Cartera!$J:$J)+SUMIF([1]Futuros!$AD:$AD,$A3&amp;"_"&amp;SR$11,[1]Futuros!$AK:$AK)+SUMIF([1]Opciones!$AF:$AF,$A3&amp;"_"&amp;SR$11,[1]Opciones!$AO:$AO)</f>
        <v>#VALUE!</v>
      </c>
      <c r="SS3" t="e">
        <f>+SUMIF([1]Cartera!$R:$R,$A3&amp;"_"&amp;SS$11,[1]Cartera!$J:$J)+SUMIF([1]Futuros!$AD:$AD,$A3&amp;"_"&amp;SS$11,[1]Futuros!$AK:$AK)+SUMIF([1]Opciones!$AF:$AF,$A3&amp;"_"&amp;SS$11,[1]Opciones!$AO:$AO)</f>
        <v>#VALUE!</v>
      </c>
      <c r="ST3" t="e">
        <f>+SUMIF([1]Cartera!$R:$R,$A3&amp;"_"&amp;ST$11,[1]Cartera!$J:$J)+SUMIF([1]Futuros!$AD:$AD,$A3&amp;"_"&amp;ST$11,[1]Futuros!$AK:$AK)+SUMIF([1]Opciones!$AF:$AF,$A3&amp;"_"&amp;ST$11,[1]Opciones!$AO:$AO)</f>
        <v>#VALUE!</v>
      </c>
      <c r="SU3" t="e">
        <f>+SUMIF([1]Cartera!$R:$R,$A3&amp;"_"&amp;SU$11,[1]Cartera!$J:$J)+SUMIF([1]Futuros!$AD:$AD,$A3&amp;"_"&amp;SU$11,[1]Futuros!$AK:$AK)+SUMIF([1]Opciones!$AF:$AF,$A3&amp;"_"&amp;SU$11,[1]Opciones!$AO:$AO)</f>
        <v>#VALUE!</v>
      </c>
      <c r="SV3" t="e">
        <f>+SUMIF([1]Cartera!$R:$R,$A3&amp;"_"&amp;SV$11,[1]Cartera!$J:$J)+SUMIF([1]Futuros!$AD:$AD,$A3&amp;"_"&amp;SV$11,[1]Futuros!$AK:$AK)+SUMIF([1]Opciones!$AF:$AF,$A3&amp;"_"&amp;SV$11,[1]Opciones!$AO:$AO)</f>
        <v>#VALUE!</v>
      </c>
      <c r="SW3" t="e">
        <f>+SUMIF([1]Cartera!$R:$R,$A3&amp;"_"&amp;SW$11,[1]Cartera!$J:$J)+SUMIF([1]Futuros!$AD:$AD,$A3&amp;"_"&amp;SW$11,[1]Futuros!$AK:$AK)+SUMIF([1]Opciones!$AF:$AF,$A3&amp;"_"&amp;SW$11,[1]Opciones!$AO:$AO)</f>
        <v>#VALUE!</v>
      </c>
      <c r="SX3" t="e">
        <f>+SUMIF([1]Cartera!$R:$R,$A3&amp;"_"&amp;SX$11,[1]Cartera!$J:$J)+SUMIF([1]Futuros!$AD:$AD,$A3&amp;"_"&amp;SX$11,[1]Futuros!$AK:$AK)+SUMIF([1]Opciones!$AF:$AF,$A3&amp;"_"&amp;SX$11,[1]Opciones!$AO:$AO)</f>
        <v>#VALUE!</v>
      </c>
      <c r="SY3" t="e">
        <f>+SUMIF([1]Cartera!$R:$R,$A3&amp;"_"&amp;SY$11,[1]Cartera!$J:$J)+SUMIF([1]Futuros!$AD:$AD,$A3&amp;"_"&amp;SY$11,[1]Futuros!$AK:$AK)+SUMIF([1]Opciones!$AF:$AF,$A3&amp;"_"&amp;SY$11,[1]Opciones!$AO:$AO)</f>
        <v>#VALUE!</v>
      </c>
      <c r="SZ3" t="e">
        <f>+SUMIF([1]Cartera!$R:$R,$A3&amp;"_"&amp;SZ$11,[1]Cartera!$J:$J)+SUMIF([1]Futuros!$AD:$AD,$A3&amp;"_"&amp;SZ$11,[1]Futuros!$AK:$AK)+SUMIF([1]Opciones!$AF:$AF,$A3&amp;"_"&amp;SZ$11,[1]Opciones!$AO:$AO)</f>
        <v>#VALUE!</v>
      </c>
      <c r="TA3" t="e">
        <f>+SUMIF([1]Cartera!$R:$R,$A3&amp;"_"&amp;TA$11,[1]Cartera!$J:$J)+SUMIF([1]Futuros!$AD:$AD,$A3&amp;"_"&amp;TA$11,[1]Futuros!$AK:$AK)+SUMIF([1]Opciones!$AF:$AF,$A3&amp;"_"&amp;TA$11,[1]Opciones!$AO:$AO)</f>
        <v>#VALUE!</v>
      </c>
      <c r="TB3" t="e">
        <f>+SUMIF([1]Cartera!$R:$R,$A3&amp;"_"&amp;TB$11,[1]Cartera!$J:$J)+SUMIF([1]Futuros!$AD:$AD,$A3&amp;"_"&amp;TB$11,[1]Futuros!$AK:$AK)+SUMIF([1]Opciones!$AF:$AF,$A3&amp;"_"&amp;TB$11,[1]Opciones!$AO:$AO)</f>
        <v>#VALUE!</v>
      </c>
      <c r="TC3" t="e">
        <f>+SUMIF([1]Cartera!$R:$R,$A3&amp;"_"&amp;TC$11,[1]Cartera!$J:$J)+SUMIF([1]Futuros!$AD:$AD,$A3&amp;"_"&amp;TC$11,[1]Futuros!$AK:$AK)+SUMIF([1]Opciones!$AF:$AF,$A3&amp;"_"&amp;TC$11,[1]Opciones!$AO:$AO)</f>
        <v>#VALUE!</v>
      </c>
      <c r="TD3" t="e">
        <f>+SUMIF([1]Cartera!$R:$R,$A3&amp;"_"&amp;TD$11,[1]Cartera!$J:$J)+SUMIF([1]Futuros!$AD:$AD,$A3&amp;"_"&amp;TD$11,[1]Futuros!$AK:$AK)+SUMIF([1]Opciones!$AF:$AF,$A3&amp;"_"&amp;TD$11,[1]Opciones!$AO:$AO)</f>
        <v>#VALUE!</v>
      </c>
      <c r="TE3" t="e">
        <f>+SUMIF([1]Cartera!$R:$R,$A3&amp;"_"&amp;TE$11,[1]Cartera!$J:$J)+SUMIF([1]Futuros!$AD:$AD,$A3&amp;"_"&amp;TE$11,[1]Futuros!$AK:$AK)+SUMIF([1]Opciones!$AF:$AF,$A3&amp;"_"&amp;TE$11,[1]Opciones!$AO:$AO)</f>
        <v>#VALUE!</v>
      </c>
      <c r="TF3" t="e">
        <f>+SUMIF([1]Cartera!$R:$R,$A3&amp;"_"&amp;TF$11,[1]Cartera!$J:$J)+SUMIF([1]Futuros!$AD:$AD,$A3&amp;"_"&amp;TF$11,[1]Futuros!$AK:$AK)+SUMIF([1]Opciones!$AF:$AF,$A3&amp;"_"&amp;TF$11,[1]Opciones!$AO:$AO)</f>
        <v>#VALUE!</v>
      </c>
      <c r="TG3" t="e">
        <f>+SUMIF([1]Cartera!$R:$R,$A3&amp;"_"&amp;TG$11,[1]Cartera!$J:$J)+SUMIF([1]Futuros!$AD:$AD,$A3&amp;"_"&amp;TG$11,[1]Futuros!$AK:$AK)+SUMIF([1]Opciones!$AF:$AF,$A3&amp;"_"&amp;TG$11,[1]Opciones!$AO:$AO)</f>
        <v>#VALUE!</v>
      </c>
      <c r="TH3" t="e">
        <f>+SUMIF([1]Cartera!$R:$R,$A3&amp;"_"&amp;TH$11,[1]Cartera!$J:$J)+SUMIF([1]Futuros!$AD:$AD,$A3&amp;"_"&amp;TH$11,[1]Futuros!$AK:$AK)+SUMIF([1]Opciones!$AF:$AF,$A3&amp;"_"&amp;TH$11,[1]Opciones!$AO:$AO)</f>
        <v>#VALUE!</v>
      </c>
      <c r="TI3" t="e">
        <f>+SUMIF([1]Cartera!$R:$R,$A3&amp;"_"&amp;TI$11,[1]Cartera!$J:$J)+SUMIF([1]Futuros!$AD:$AD,$A3&amp;"_"&amp;TI$11,[1]Futuros!$AK:$AK)+SUMIF([1]Opciones!$AF:$AF,$A3&amp;"_"&amp;TI$11,[1]Opciones!$AO:$AO)</f>
        <v>#VALUE!</v>
      </c>
      <c r="TJ3" t="e">
        <f>+SUMIF([1]Cartera!$R:$R,$A3&amp;"_"&amp;TJ$11,[1]Cartera!$J:$J)+SUMIF([1]Futuros!$AD:$AD,$A3&amp;"_"&amp;TJ$11,[1]Futuros!$AK:$AK)+SUMIF([1]Opciones!$AF:$AF,$A3&amp;"_"&amp;TJ$11,[1]Opciones!$AO:$AO)</f>
        <v>#VALUE!</v>
      </c>
      <c r="TK3" t="e">
        <f>+SUMIF([1]Cartera!$R:$R,$A3&amp;"_"&amp;TK$11,[1]Cartera!$J:$J)+SUMIF([1]Futuros!$AD:$AD,$A3&amp;"_"&amp;TK$11,[1]Futuros!$AK:$AK)+SUMIF([1]Opciones!$AF:$AF,$A3&amp;"_"&amp;TK$11,[1]Opciones!$AO:$AO)</f>
        <v>#VALUE!</v>
      </c>
      <c r="TL3" t="e">
        <f>+SUMIF([1]Cartera!$R:$R,$A3&amp;"_"&amp;TL$11,[1]Cartera!$J:$J)+SUMIF([1]Futuros!$AD:$AD,$A3&amp;"_"&amp;TL$11,[1]Futuros!$AK:$AK)+SUMIF([1]Opciones!$AF:$AF,$A3&amp;"_"&amp;TL$11,[1]Opciones!$AO:$AO)</f>
        <v>#VALUE!</v>
      </c>
      <c r="TM3" t="e">
        <f>+SUMIF([1]Cartera!$R:$R,$A3&amp;"_"&amp;TM$11,[1]Cartera!$J:$J)+SUMIF([1]Futuros!$AD:$AD,$A3&amp;"_"&amp;TM$11,[1]Futuros!$AK:$AK)+SUMIF([1]Opciones!$AF:$AF,$A3&amp;"_"&amp;TM$11,[1]Opciones!$AO:$AO)</f>
        <v>#VALUE!</v>
      </c>
      <c r="TN3" t="e">
        <f>+SUMIF([1]Cartera!$R:$R,$A3&amp;"_"&amp;TN$11,[1]Cartera!$J:$J)+SUMIF([1]Futuros!$AD:$AD,$A3&amp;"_"&amp;TN$11,[1]Futuros!$AK:$AK)+SUMIF([1]Opciones!$AF:$AF,$A3&amp;"_"&amp;TN$11,[1]Opciones!$AO:$AO)</f>
        <v>#VALUE!</v>
      </c>
      <c r="TO3" t="e">
        <f>+SUMIF([1]Cartera!$R:$R,$A3&amp;"_"&amp;TO$11,[1]Cartera!$J:$J)+SUMIF([1]Futuros!$AD:$AD,$A3&amp;"_"&amp;TO$11,[1]Futuros!$AK:$AK)+SUMIF([1]Opciones!$AF:$AF,$A3&amp;"_"&amp;TO$11,[1]Opciones!$AO:$AO)</f>
        <v>#VALUE!</v>
      </c>
      <c r="TP3" t="e">
        <f>+SUMIF([1]Cartera!$R:$R,$A3&amp;"_"&amp;TP$11,[1]Cartera!$J:$J)+SUMIF([1]Futuros!$AD:$AD,$A3&amp;"_"&amp;TP$11,[1]Futuros!$AK:$AK)+SUMIF([1]Opciones!$AF:$AF,$A3&amp;"_"&amp;TP$11,[1]Opciones!$AO:$AO)</f>
        <v>#VALUE!</v>
      </c>
      <c r="TQ3" t="e">
        <f>+SUMIF([1]Cartera!$R:$R,$A3&amp;"_"&amp;TQ$11,[1]Cartera!$J:$J)+SUMIF([1]Futuros!$AD:$AD,$A3&amp;"_"&amp;TQ$11,[1]Futuros!$AK:$AK)+SUMIF([1]Opciones!$AF:$AF,$A3&amp;"_"&amp;TQ$11,[1]Opciones!$AO:$AO)</f>
        <v>#VALUE!</v>
      </c>
      <c r="TR3" t="e">
        <f>+SUMIF([1]Cartera!$R:$R,$A3&amp;"_"&amp;TR$11,[1]Cartera!$J:$J)+SUMIF([1]Futuros!$AD:$AD,$A3&amp;"_"&amp;TR$11,[1]Futuros!$AK:$AK)+SUMIF([1]Opciones!$AF:$AF,$A3&amp;"_"&amp;TR$11,[1]Opciones!$AO:$AO)</f>
        <v>#VALUE!</v>
      </c>
      <c r="TS3" t="e">
        <f>+SUMIF([1]Cartera!$R:$R,$A3&amp;"_"&amp;TS$11,[1]Cartera!$J:$J)+SUMIF([1]Futuros!$AD:$AD,$A3&amp;"_"&amp;TS$11,[1]Futuros!$AK:$AK)+SUMIF([1]Opciones!$AF:$AF,$A3&amp;"_"&amp;TS$11,[1]Opciones!$AO:$AO)</f>
        <v>#VALUE!</v>
      </c>
      <c r="TT3" t="e">
        <f>+SUMIF([1]Cartera!$R:$R,$A3&amp;"_"&amp;TT$11,[1]Cartera!$J:$J)+SUMIF([1]Futuros!$AD:$AD,$A3&amp;"_"&amp;TT$11,[1]Futuros!$AK:$AK)+SUMIF([1]Opciones!$AF:$AF,$A3&amp;"_"&amp;TT$11,[1]Opciones!$AO:$AO)</f>
        <v>#VALUE!</v>
      </c>
      <c r="TU3" t="e">
        <f>+SUMIF([1]Cartera!$R:$R,$A3&amp;"_"&amp;TU$11,[1]Cartera!$J:$J)+SUMIF([1]Futuros!$AD:$AD,$A3&amp;"_"&amp;TU$11,[1]Futuros!$AK:$AK)+SUMIF([1]Opciones!$AF:$AF,$A3&amp;"_"&amp;TU$11,[1]Opciones!$AO:$AO)</f>
        <v>#VALUE!</v>
      </c>
      <c r="TV3" t="e">
        <f>+SUMIF([1]Cartera!$R:$R,$A3&amp;"_"&amp;TV$11,[1]Cartera!$J:$J)+SUMIF([1]Futuros!$AD:$AD,$A3&amp;"_"&amp;TV$11,[1]Futuros!$AK:$AK)+SUMIF([1]Opciones!$AF:$AF,$A3&amp;"_"&amp;TV$11,[1]Opciones!$AO:$AO)</f>
        <v>#VALUE!</v>
      </c>
      <c r="TW3" t="e">
        <f>+SUMIF([1]Cartera!$R:$R,$A3&amp;"_"&amp;TW$11,[1]Cartera!$J:$J)+SUMIF([1]Futuros!$AD:$AD,$A3&amp;"_"&amp;TW$11,[1]Futuros!$AK:$AK)+SUMIF([1]Opciones!$AF:$AF,$A3&amp;"_"&amp;TW$11,[1]Opciones!$AO:$AO)</f>
        <v>#VALUE!</v>
      </c>
      <c r="TX3" t="e">
        <f>+SUMIF([1]Cartera!$R:$R,$A3&amp;"_"&amp;TX$11,[1]Cartera!$J:$J)+SUMIF([1]Futuros!$AD:$AD,$A3&amp;"_"&amp;TX$11,[1]Futuros!$AK:$AK)+SUMIF([1]Opciones!$AF:$AF,$A3&amp;"_"&amp;TX$11,[1]Opciones!$AO:$AO)</f>
        <v>#VALUE!</v>
      </c>
      <c r="TY3" t="e">
        <f>+SUMIF([1]Cartera!$R:$R,$A3&amp;"_"&amp;TY$11,[1]Cartera!$J:$J)+SUMIF([1]Futuros!$AD:$AD,$A3&amp;"_"&amp;TY$11,[1]Futuros!$AK:$AK)+SUMIF([1]Opciones!$AF:$AF,$A3&amp;"_"&amp;TY$11,[1]Opciones!$AO:$AO)</f>
        <v>#VALUE!</v>
      </c>
      <c r="TZ3" t="e">
        <f>+SUMIF([1]Cartera!$R:$R,$A3&amp;"_"&amp;TZ$11,[1]Cartera!$J:$J)+SUMIF([1]Futuros!$AD:$AD,$A3&amp;"_"&amp;TZ$11,[1]Futuros!$AK:$AK)+SUMIF([1]Opciones!$AF:$AF,$A3&amp;"_"&amp;TZ$11,[1]Opciones!$AO:$AO)</f>
        <v>#VALUE!</v>
      </c>
      <c r="UA3" t="e">
        <f>+SUMIF([1]Cartera!$R:$R,$A3&amp;"_"&amp;UA$11,[1]Cartera!$J:$J)+SUMIF([1]Futuros!$AD:$AD,$A3&amp;"_"&amp;UA$11,[1]Futuros!$AK:$AK)+SUMIF([1]Opciones!$AF:$AF,$A3&amp;"_"&amp;UA$11,[1]Opciones!$AO:$AO)</f>
        <v>#VALUE!</v>
      </c>
      <c r="UB3" t="e">
        <f>+SUMIF([1]Cartera!$R:$R,$A3&amp;"_"&amp;UB$11,[1]Cartera!$J:$J)+SUMIF([1]Futuros!$AD:$AD,$A3&amp;"_"&amp;UB$11,[1]Futuros!$AK:$AK)+SUMIF([1]Opciones!$AF:$AF,$A3&amp;"_"&amp;UB$11,[1]Opciones!$AO:$AO)</f>
        <v>#VALUE!</v>
      </c>
      <c r="UC3" t="e">
        <f>+SUMIF([1]Cartera!$R:$R,$A3&amp;"_"&amp;UC$11,[1]Cartera!$J:$J)+SUMIF([1]Futuros!$AD:$AD,$A3&amp;"_"&amp;UC$11,[1]Futuros!$AK:$AK)+SUMIF([1]Opciones!$AF:$AF,$A3&amp;"_"&amp;UC$11,[1]Opciones!$AO:$AO)</f>
        <v>#VALUE!</v>
      </c>
      <c r="UD3" t="e">
        <f>+SUMIF([1]Cartera!$R:$R,$A3&amp;"_"&amp;UD$11,[1]Cartera!$J:$J)+SUMIF([1]Futuros!$AD:$AD,$A3&amp;"_"&amp;UD$11,[1]Futuros!$AK:$AK)+SUMIF([1]Opciones!$AF:$AF,$A3&amp;"_"&amp;UD$11,[1]Opciones!$AO:$AO)</f>
        <v>#VALUE!</v>
      </c>
      <c r="UE3" t="e">
        <f>+SUMIF([1]Cartera!$R:$R,$A3&amp;"_"&amp;UE$11,[1]Cartera!$J:$J)+SUMIF([1]Futuros!$AD:$AD,$A3&amp;"_"&amp;UE$11,[1]Futuros!$AK:$AK)+SUMIF([1]Opciones!$AF:$AF,$A3&amp;"_"&amp;UE$11,[1]Opciones!$AO:$AO)</f>
        <v>#VALUE!</v>
      </c>
      <c r="UF3" t="e">
        <f>+SUMIF([1]Cartera!$R:$R,$A3&amp;"_"&amp;UF$11,[1]Cartera!$J:$J)+SUMIF([1]Futuros!$AD:$AD,$A3&amp;"_"&amp;UF$11,[1]Futuros!$AK:$AK)+SUMIF([1]Opciones!$AF:$AF,$A3&amp;"_"&amp;UF$11,[1]Opciones!$AO:$AO)</f>
        <v>#VALUE!</v>
      </c>
      <c r="UG3" t="e">
        <f>+SUMIF([1]Cartera!$R:$R,$A3&amp;"_"&amp;UG$11,[1]Cartera!$J:$J)+SUMIF([1]Futuros!$AD:$AD,$A3&amp;"_"&amp;UG$11,[1]Futuros!$AK:$AK)+SUMIF([1]Opciones!$AF:$AF,$A3&amp;"_"&amp;UG$11,[1]Opciones!$AO:$AO)</f>
        <v>#VALUE!</v>
      </c>
      <c r="UH3" t="e">
        <f>+SUMIF([1]Cartera!$R:$R,$A3&amp;"_"&amp;UH$11,[1]Cartera!$J:$J)+SUMIF([1]Futuros!$AD:$AD,$A3&amp;"_"&amp;UH$11,[1]Futuros!$AK:$AK)+SUMIF([1]Opciones!$AF:$AF,$A3&amp;"_"&amp;UH$11,[1]Opciones!$AO:$AO)</f>
        <v>#VALUE!</v>
      </c>
      <c r="UI3" t="e">
        <f>+SUMIF([1]Cartera!$R:$R,$A3&amp;"_"&amp;UI$11,[1]Cartera!$J:$J)+SUMIF([1]Futuros!$AD:$AD,$A3&amp;"_"&amp;UI$11,[1]Futuros!$AK:$AK)+SUMIF([1]Opciones!$AF:$AF,$A3&amp;"_"&amp;UI$11,[1]Opciones!$AO:$AO)</f>
        <v>#VALUE!</v>
      </c>
      <c r="UJ3" t="e">
        <f>+SUMIF([1]Cartera!$R:$R,$A3&amp;"_"&amp;UJ$11,[1]Cartera!$J:$J)+SUMIF([1]Futuros!$AD:$AD,$A3&amp;"_"&amp;UJ$11,[1]Futuros!$AK:$AK)+SUMIF([1]Opciones!$AF:$AF,$A3&amp;"_"&amp;UJ$11,[1]Opciones!$AO:$AO)</f>
        <v>#VALUE!</v>
      </c>
      <c r="UK3" t="e">
        <f>+SUMIF([1]Cartera!$R:$R,$A3&amp;"_"&amp;UK$11,[1]Cartera!$J:$J)+SUMIF([1]Futuros!$AD:$AD,$A3&amp;"_"&amp;UK$11,[1]Futuros!$AK:$AK)+SUMIF([1]Opciones!$AF:$AF,$A3&amp;"_"&amp;UK$11,[1]Opciones!$AO:$AO)</f>
        <v>#VALUE!</v>
      </c>
      <c r="UL3" t="e">
        <f>+SUMIF([1]Cartera!$R:$R,$A3&amp;"_"&amp;UL$11,[1]Cartera!$J:$J)+SUMIF([1]Futuros!$AD:$AD,$A3&amp;"_"&amp;UL$11,[1]Futuros!$AK:$AK)+SUMIF([1]Opciones!$AF:$AF,$A3&amp;"_"&amp;UL$11,[1]Opciones!$AO:$AO)</f>
        <v>#VALUE!</v>
      </c>
      <c r="UM3" t="e">
        <f>+SUMIF([1]Cartera!$R:$R,$A3&amp;"_"&amp;UM$11,[1]Cartera!$J:$J)+SUMIF([1]Futuros!$AD:$AD,$A3&amp;"_"&amp;UM$11,[1]Futuros!$AK:$AK)+SUMIF([1]Opciones!$AF:$AF,$A3&amp;"_"&amp;UM$11,[1]Opciones!$AO:$AO)</f>
        <v>#VALUE!</v>
      </c>
      <c r="UN3" t="e">
        <f>+SUMIF([1]Cartera!$R:$R,$A3&amp;"_"&amp;UN$11,[1]Cartera!$J:$J)+SUMIF([1]Futuros!$AD:$AD,$A3&amp;"_"&amp;UN$11,[1]Futuros!$AK:$AK)+SUMIF([1]Opciones!$AF:$AF,$A3&amp;"_"&amp;UN$11,[1]Opciones!$AO:$AO)</f>
        <v>#VALUE!</v>
      </c>
      <c r="UO3" t="e">
        <f>+SUMIF([1]Cartera!$R:$R,$A3&amp;"_"&amp;UO$11,[1]Cartera!$J:$J)+SUMIF([1]Futuros!$AD:$AD,$A3&amp;"_"&amp;UO$11,[1]Futuros!$AK:$AK)+SUMIF([1]Opciones!$AF:$AF,$A3&amp;"_"&amp;UO$11,[1]Opciones!$AO:$AO)</f>
        <v>#VALUE!</v>
      </c>
      <c r="UP3" t="e">
        <f>+SUMIF([1]Cartera!$R:$R,$A3&amp;"_"&amp;UP$11,[1]Cartera!$J:$J)+SUMIF([1]Futuros!$AD:$AD,$A3&amp;"_"&amp;UP$11,[1]Futuros!$AK:$AK)+SUMIF([1]Opciones!$AF:$AF,$A3&amp;"_"&amp;UP$11,[1]Opciones!$AO:$AO)</f>
        <v>#VALUE!</v>
      </c>
      <c r="UQ3" t="e">
        <f>+SUMIF([1]Cartera!$R:$R,$A3&amp;"_"&amp;UQ$11,[1]Cartera!$J:$J)+SUMIF([1]Futuros!$AD:$AD,$A3&amp;"_"&amp;UQ$11,[1]Futuros!$AK:$AK)+SUMIF([1]Opciones!$AF:$AF,$A3&amp;"_"&amp;UQ$11,[1]Opciones!$AO:$AO)</f>
        <v>#VALUE!</v>
      </c>
      <c r="UR3" t="e">
        <f>+SUMIF([1]Cartera!$R:$R,$A3&amp;"_"&amp;UR$11,[1]Cartera!$J:$J)+SUMIF([1]Futuros!$AD:$AD,$A3&amp;"_"&amp;UR$11,[1]Futuros!$AK:$AK)+SUMIF([1]Opciones!$AF:$AF,$A3&amp;"_"&amp;UR$11,[1]Opciones!$AO:$AO)</f>
        <v>#VALUE!</v>
      </c>
      <c r="US3" t="e">
        <f>+SUMIF([1]Cartera!$R:$R,$A3&amp;"_"&amp;US$11,[1]Cartera!$J:$J)+SUMIF([1]Futuros!$AD:$AD,$A3&amp;"_"&amp;US$11,[1]Futuros!$AK:$AK)+SUMIF([1]Opciones!$AF:$AF,$A3&amp;"_"&amp;US$11,[1]Opciones!$AO:$AO)</f>
        <v>#VALUE!</v>
      </c>
      <c r="UT3" t="e">
        <f>+SUMIF([1]Cartera!$R:$R,$A3&amp;"_"&amp;UT$11,[1]Cartera!$J:$J)+SUMIF([1]Futuros!$AD:$AD,$A3&amp;"_"&amp;UT$11,[1]Futuros!$AK:$AK)+SUMIF([1]Opciones!$AF:$AF,$A3&amp;"_"&amp;UT$11,[1]Opciones!$AO:$AO)</f>
        <v>#VALUE!</v>
      </c>
      <c r="UU3" t="e">
        <f>+SUMIF([1]Cartera!$R:$R,$A3&amp;"_"&amp;UU$11,[1]Cartera!$J:$J)+SUMIF([1]Futuros!$AD:$AD,$A3&amp;"_"&amp;UU$11,[1]Futuros!$AK:$AK)+SUMIF([1]Opciones!$AF:$AF,$A3&amp;"_"&amp;UU$11,[1]Opciones!$AO:$AO)</f>
        <v>#VALUE!</v>
      </c>
      <c r="UV3" t="e">
        <f>+SUMIF([1]Cartera!$R:$R,$A3&amp;"_"&amp;UV$11,[1]Cartera!$J:$J)+SUMIF([1]Futuros!$AD:$AD,$A3&amp;"_"&amp;UV$11,[1]Futuros!$AK:$AK)+SUMIF([1]Opciones!$AF:$AF,$A3&amp;"_"&amp;UV$11,[1]Opciones!$AO:$AO)</f>
        <v>#VALUE!</v>
      </c>
      <c r="UW3" t="e">
        <f>+SUMIF([1]Cartera!$R:$R,$A3&amp;"_"&amp;UW$11,[1]Cartera!$J:$J)+SUMIF([1]Futuros!$AD:$AD,$A3&amp;"_"&amp;UW$11,[1]Futuros!$AK:$AK)+SUMIF([1]Opciones!$AF:$AF,$A3&amp;"_"&amp;UW$11,[1]Opciones!$AO:$AO)</f>
        <v>#VALUE!</v>
      </c>
      <c r="UX3" t="e">
        <f>+SUMIF([1]Cartera!$R:$R,$A3&amp;"_"&amp;UX$11,[1]Cartera!$J:$J)+SUMIF([1]Futuros!$AD:$AD,$A3&amp;"_"&amp;UX$11,[1]Futuros!$AK:$AK)+SUMIF([1]Opciones!$AF:$AF,$A3&amp;"_"&amp;UX$11,[1]Opciones!$AO:$AO)</f>
        <v>#VALUE!</v>
      </c>
      <c r="UY3" t="e">
        <f>+SUMIF([1]Cartera!$R:$R,$A3&amp;"_"&amp;UY$11,[1]Cartera!$J:$J)+SUMIF([1]Futuros!$AD:$AD,$A3&amp;"_"&amp;UY$11,[1]Futuros!$AK:$AK)+SUMIF([1]Opciones!$AF:$AF,$A3&amp;"_"&amp;UY$11,[1]Opciones!$AO:$AO)</f>
        <v>#VALUE!</v>
      </c>
      <c r="UZ3" t="e">
        <f>+SUMIF([1]Cartera!$R:$R,$A3&amp;"_"&amp;UZ$11,[1]Cartera!$J:$J)+SUMIF([1]Futuros!$AD:$AD,$A3&amp;"_"&amp;UZ$11,[1]Futuros!$AK:$AK)+SUMIF([1]Opciones!$AF:$AF,$A3&amp;"_"&amp;UZ$11,[1]Opciones!$AO:$AO)</f>
        <v>#VALUE!</v>
      </c>
      <c r="VA3" t="e">
        <f>+SUMIF([1]Cartera!$R:$R,$A3&amp;"_"&amp;VA$11,[1]Cartera!$J:$J)+SUMIF([1]Futuros!$AD:$AD,$A3&amp;"_"&amp;VA$11,[1]Futuros!$AK:$AK)+SUMIF([1]Opciones!$AF:$AF,$A3&amp;"_"&amp;VA$11,[1]Opciones!$AO:$AO)</f>
        <v>#VALUE!</v>
      </c>
      <c r="VB3" t="e">
        <f>+SUMIF([1]Cartera!$R:$R,$A3&amp;"_"&amp;VB$11,[1]Cartera!$J:$J)+SUMIF([1]Futuros!$AD:$AD,$A3&amp;"_"&amp;VB$11,[1]Futuros!$AK:$AK)+SUMIF([1]Opciones!$AF:$AF,$A3&amp;"_"&amp;VB$11,[1]Opciones!$AO:$AO)</f>
        <v>#VALUE!</v>
      </c>
      <c r="VC3" t="e">
        <f>+SUMIF([1]Cartera!$R:$R,$A3&amp;"_"&amp;VC$11,[1]Cartera!$J:$J)+SUMIF([1]Futuros!$AD:$AD,$A3&amp;"_"&amp;VC$11,[1]Futuros!$AK:$AK)+SUMIF([1]Opciones!$AF:$AF,$A3&amp;"_"&amp;VC$11,[1]Opciones!$AO:$AO)</f>
        <v>#VALUE!</v>
      </c>
      <c r="VD3" t="e">
        <f>+SUMIF([1]Cartera!$R:$R,$A3&amp;"_"&amp;VD$11,[1]Cartera!$J:$J)+SUMIF([1]Futuros!$AD:$AD,$A3&amp;"_"&amp;VD$11,[1]Futuros!$AK:$AK)+SUMIF([1]Opciones!$AF:$AF,$A3&amp;"_"&amp;VD$11,[1]Opciones!$AO:$AO)</f>
        <v>#VALUE!</v>
      </c>
      <c r="VE3" t="e">
        <f>+SUMIF([1]Cartera!$R:$R,$A3&amp;"_"&amp;VE$11,[1]Cartera!$J:$J)+SUMIF([1]Futuros!$AD:$AD,$A3&amp;"_"&amp;VE$11,[1]Futuros!$AK:$AK)+SUMIF([1]Opciones!$AF:$AF,$A3&amp;"_"&amp;VE$11,[1]Opciones!$AO:$AO)</f>
        <v>#VALUE!</v>
      </c>
      <c r="VF3" t="e">
        <f>+SUMIF([1]Cartera!$R:$R,$A3&amp;"_"&amp;VF$11,[1]Cartera!$J:$J)+SUMIF([1]Futuros!$AD:$AD,$A3&amp;"_"&amp;VF$11,[1]Futuros!$AK:$AK)+SUMIF([1]Opciones!$AF:$AF,$A3&amp;"_"&amp;VF$11,[1]Opciones!$AO:$AO)</f>
        <v>#VALUE!</v>
      </c>
      <c r="VG3" t="e">
        <f>+SUMIF([1]Cartera!$R:$R,$A3&amp;"_"&amp;VG$11,[1]Cartera!$J:$J)+SUMIF([1]Futuros!$AD:$AD,$A3&amp;"_"&amp;VG$11,[1]Futuros!$AK:$AK)+SUMIF([1]Opciones!$AF:$AF,$A3&amp;"_"&amp;VG$11,[1]Opciones!$AO:$AO)</f>
        <v>#VALUE!</v>
      </c>
      <c r="VH3" t="e">
        <f>+SUMIF([1]Cartera!$R:$R,$A3&amp;"_"&amp;VH$11,[1]Cartera!$J:$J)+SUMIF([1]Futuros!$AD:$AD,$A3&amp;"_"&amp;VH$11,[1]Futuros!$AK:$AK)+SUMIF([1]Opciones!$AF:$AF,$A3&amp;"_"&amp;VH$11,[1]Opciones!$AO:$AO)</f>
        <v>#VALUE!</v>
      </c>
      <c r="VI3" t="e">
        <f>+SUMIF([1]Cartera!$R:$R,$A3&amp;"_"&amp;VI$11,[1]Cartera!$J:$J)+SUMIF([1]Futuros!$AD:$AD,$A3&amp;"_"&amp;VI$11,[1]Futuros!$AK:$AK)+SUMIF([1]Opciones!$AF:$AF,$A3&amp;"_"&amp;VI$11,[1]Opciones!$AO:$AO)</f>
        <v>#VALUE!</v>
      </c>
      <c r="VJ3" t="e">
        <f>+SUMIF([1]Cartera!$R:$R,$A3&amp;"_"&amp;VJ$11,[1]Cartera!$J:$J)+SUMIF([1]Futuros!$AD:$AD,$A3&amp;"_"&amp;VJ$11,[1]Futuros!$AK:$AK)+SUMIF([1]Opciones!$AF:$AF,$A3&amp;"_"&amp;VJ$11,[1]Opciones!$AO:$AO)</f>
        <v>#VALUE!</v>
      </c>
      <c r="VK3" t="e">
        <f>+SUMIF([1]Cartera!$R:$R,$A3&amp;"_"&amp;VK$11,[1]Cartera!$J:$J)+SUMIF([1]Futuros!$AD:$AD,$A3&amp;"_"&amp;VK$11,[1]Futuros!$AK:$AK)+SUMIF([1]Opciones!$AF:$AF,$A3&amp;"_"&amp;VK$11,[1]Opciones!$AO:$AO)</f>
        <v>#VALUE!</v>
      </c>
      <c r="VL3" t="e">
        <f>+SUMIF([1]Cartera!$R:$R,$A3&amp;"_"&amp;VL$11,[1]Cartera!$J:$J)+SUMIF([1]Futuros!$AD:$AD,$A3&amp;"_"&amp;VL$11,[1]Futuros!$AK:$AK)+SUMIF([1]Opciones!$AF:$AF,$A3&amp;"_"&amp;VL$11,[1]Opciones!$AO:$AO)</f>
        <v>#VALUE!</v>
      </c>
      <c r="VM3" t="e">
        <f>+SUMIF([1]Cartera!$R:$R,$A3&amp;"_"&amp;VM$11,[1]Cartera!$J:$J)+SUMIF([1]Futuros!$AD:$AD,$A3&amp;"_"&amp;VM$11,[1]Futuros!$AK:$AK)+SUMIF([1]Opciones!$AF:$AF,$A3&amp;"_"&amp;VM$11,[1]Opciones!$AO:$AO)</f>
        <v>#VALUE!</v>
      </c>
      <c r="VN3" t="e">
        <f>+SUMIF([1]Cartera!$R:$R,$A3&amp;"_"&amp;VN$11,[1]Cartera!$J:$J)+SUMIF([1]Futuros!$AD:$AD,$A3&amp;"_"&amp;VN$11,[1]Futuros!$AK:$AK)+SUMIF([1]Opciones!$AF:$AF,$A3&amp;"_"&amp;VN$11,[1]Opciones!$AO:$AO)</f>
        <v>#VALUE!</v>
      </c>
      <c r="VO3" t="e">
        <f>+SUMIF([1]Cartera!$R:$R,$A3&amp;"_"&amp;VO$11,[1]Cartera!$J:$J)+SUMIF([1]Futuros!$AD:$AD,$A3&amp;"_"&amp;VO$11,[1]Futuros!$AK:$AK)+SUMIF([1]Opciones!$AF:$AF,$A3&amp;"_"&amp;VO$11,[1]Opciones!$AO:$AO)</f>
        <v>#VALUE!</v>
      </c>
      <c r="VP3" t="e">
        <f>+SUMIF([1]Cartera!$R:$R,$A3&amp;"_"&amp;VP$11,[1]Cartera!$J:$J)+SUMIF([1]Futuros!$AD:$AD,$A3&amp;"_"&amp;VP$11,[1]Futuros!$AK:$AK)+SUMIF([1]Opciones!$AF:$AF,$A3&amp;"_"&amp;VP$11,[1]Opciones!$AO:$AO)</f>
        <v>#VALUE!</v>
      </c>
      <c r="VQ3" t="e">
        <f>+SUMIF([1]Cartera!$R:$R,$A3&amp;"_"&amp;VQ$11,[1]Cartera!$J:$J)+SUMIF([1]Futuros!$AD:$AD,$A3&amp;"_"&amp;VQ$11,[1]Futuros!$AK:$AK)+SUMIF([1]Opciones!$AF:$AF,$A3&amp;"_"&amp;VQ$11,[1]Opciones!$AO:$AO)</f>
        <v>#VALUE!</v>
      </c>
      <c r="VR3" t="e">
        <f>+SUMIF([1]Cartera!$R:$R,$A3&amp;"_"&amp;VR$11,[1]Cartera!$J:$J)+SUMIF([1]Futuros!$AD:$AD,$A3&amp;"_"&amp;VR$11,[1]Futuros!$AK:$AK)+SUMIF([1]Opciones!$AF:$AF,$A3&amp;"_"&amp;VR$11,[1]Opciones!$AO:$AO)</f>
        <v>#VALUE!</v>
      </c>
      <c r="VS3" t="e">
        <f>+SUMIF([1]Cartera!$R:$R,$A3&amp;"_"&amp;VS$11,[1]Cartera!$J:$J)+SUMIF([1]Futuros!$AD:$AD,$A3&amp;"_"&amp;VS$11,[1]Futuros!$AK:$AK)+SUMIF([1]Opciones!$AF:$AF,$A3&amp;"_"&amp;VS$11,[1]Opciones!$AO:$AO)</f>
        <v>#VALUE!</v>
      </c>
      <c r="VT3" t="e">
        <f>+SUMIF([1]Cartera!$R:$R,$A3&amp;"_"&amp;VT$11,[1]Cartera!$J:$J)+SUMIF([1]Futuros!$AD:$AD,$A3&amp;"_"&amp;VT$11,[1]Futuros!$AK:$AK)+SUMIF([1]Opciones!$AF:$AF,$A3&amp;"_"&amp;VT$11,[1]Opciones!$AO:$AO)</f>
        <v>#VALUE!</v>
      </c>
      <c r="VU3" t="e">
        <f>+SUMIF([1]Cartera!$R:$R,$A3&amp;"_"&amp;VU$11,[1]Cartera!$J:$J)+SUMIF([1]Futuros!$AD:$AD,$A3&amp;"_"&amp;VU$11,[1]Futuros!$AK:$AK)+SUMIF([1]Opciones!$AF:$AF,$A3&amp;"_"&amp;VU$11,[1]Opciones!$AO:$AO)</f>
        <v>#VALUE!</v>
      </c>
      <c r="VV3" t="e">
        <f>+SUMIF([1]Cartera!$R:$R,$A3&amp;"_"&amp;VV$11,[1]Cartera!$J:$J)+SUMIF([1]Futuros!$AD:$AD,$A3&amp;"_"&amp;VV$11,[1]Futuros!$AK:$AK)+SUMIF([1]Opciones!$AF:$AF,$A3&amp;"_"&amp;VV$11,[1]Opciones!$AO:$AO)</f>
        <v>#VALUE!</v>
      </c>
      <c r="VW3" t="e">
        <f>+SUMIF([1]Cartera!$R:$R,$A3&amp;"_"&amp;VW$11,[1]Cartera!$J:$J)+SUMIF([1]Futuros!$AD:$AD,$A3&amp;"_"&amp;VW$11,[1]Futuros!$AK:$AK)+SUMIF([1]Opciones!$AF:$AF,$A3&amp;"_"&amp;VW$11,[1]Opciones!$AO:$AO)</f>
        <v>#VALUE!</v>
      </c>
      <c r="VX3" t="e">
        <f>+SUMIF([1]Cartera!$R:$R,$A3&amp;"_"&amp;VX$11,[1]Cartera!$J:$J)+SUMIF([1]Futuros!$AD:$AD,$A3&amp;"_"&amp;VX$11,[1]Futuros!$AK:$AK)+SUMIF([1]Opciones!$AF:$AF,$A3&amp;"_"&amp;VX$11,[1]Opciones!$AO:$AO)</f>
        <v>#VALUE!</v>
      </c>
      <c r="VY3" t="e">
        <f>+SUMIF([1]Cartera!$R:$R,$A3&amp;"_"&amp;VY$11,[1]Cartera!$J:$J)+SUMIF([1]Futuros!$AD:$AD,$A3&amp;"_"&amp;VY$11,[1]Futuros!$AK:$AK)+SUMIF([1]Opciones!$AF:$AF,$A3&amp;"_"&amp;VY$11,[1]Opciones!$AO:$AO)</f>
        <v>#VALUE!</v>
      </c>
      <c r="VZ3" t="e">
        <f>+SUMIF([1]Cartera!$R:$R,$A3&amp;"_"&amp;VZ$11,[1]Cartera!$J:$J)+SUMIF([1]Futuros!$AD:$AD,$A3&amp;"_"&amp;VZ$11,[1]Futuros!$AK:$AK)+SUMIF([1]Opciones!$AF:$AF,$A3&amp;"_"&amp;VZ$11,[1]Opciones!$AO:$AO)</f>
        <v>#VALUE!</v>
      </c>
      <c r="WA3" t="e">
        <f>+SUMIF([1]Cartera!$R:$R,$A3&amp;"_"&amp;WA$11,[1]Cartera!$J:$J)+SUMIF([1]Futuros!$AD:$AD,$A3&amp;"_"&amp;WA$11,[1]Futuros!$AK:$AK)+SUMIF([1]Opciones!$AF:$AF,$A3&amp;"_"&amp;WA$11,[1]Opciones!$AO:$AO)</f>
        <v>#VALUE!</v>
      </c>
      <c r="WB3" t="e">
        <f>+SUMIF([1]Cartera!$R:$R,$A3&amp;"_"&amp;WB$11,[1]Cartera!$J:$J)+SUMIF([1]Futuros!$AD:$AD,$A3&amp;"_"&amp;WB$11,[1]Futuros!$AK:$AK)+SUMIF([1]Opciones!$AF:$AF,$A3&amp;"_"&amp;WB$11,[1]Opciones!$AO:$AO)</f>
        <v>#VALUE!</v>
      </c>
      <c r="WC3" t="e">
        <f>+SUMIF([1]Cartera!$R:$R,$A3&amp;"_"&amp;WC$11,[1]Cartera!$J:$J)+SUMIF([1]Futuros!$AD:$AD,$A3&amp;"_"&amp;WC$11,[1]Futuros!$AK:$AK)+SUMIF([1]Opciones!$AF:$AF,$A3&amp;"_"&amp;WC$11,[1]Opciones!$AO:$AO)</f>
        <v>#VALUE!</v>
      </c>
      <c r="WD3" t="e">
        <f>+SUMIF([1]Cartera!$R:$R,$A3&amp;"_"&amp;WD$11,[1]Cartera!$J:$J)+SUMIF([1]Futuros!$AD:$AD,$A3&amp;"_"&amp;WD$11,[1]Futuros!$AK:$AK)+SUMIF([1]Opciones!$AF:$AF,$A3&amp;"_"&amp;WD$11,[1]Opciones!$AO:$AO)</f>
        <v>#VALUE!</v>
      </c>
      <c r="WE3" t="e">
        <f>+SUMIF([1]Cartera!$R:$R,$A3&amp;"_"&amp;WE$11,[1]Cartera!$J:$J)+SUMIF([1]Futuros!$AD:$AD,$A3&amp;"_"&amp;WE$11,[1]Futuros!$AK:$AK)+SUMIF([1]Opciones!$AF:$AF,$A3&amp;"_"&amp;WE$11,[1]Opciones!$AO:$AO)</f>
        <v>#VALUE!</v>
      </c>
      <c r="WF3" t="e">
        <f>+SUMIF([1]Cartera!$R:$R,$A3&amp;"_"&amp;WF$11,[1]Cartera!$J:$J)+SUMIF([1]Futuros!$AD:$AD,$A3&amp;"_"&amp;WF$11,[1]Futuros!$AK:$AK)+SUMIF([1]Opciones!$AF:$AF,$A3&amp;"_"&amp;WF$11,[1]Opciones!$AO:$AO)</f>
        <v>#VALUE!</v>
      </c>
      <c r="WG3" t="e">
        <f>+SUMIF([1]Cartera!$R:$R,$A3&amp;"_"&amp;WG$11,[1]Cartera!$J:$J)+SUMIF([1]Futuros!$AD:$AD,$A3&amp;"_"&amp;WG$11,[1]Futuros!$AK:$AK)+SUMIF([1]Opciones!$AF:$AF,$A3&amp;"_"&amp;WG$11,[1]Opciones!$AO:$AO)</f>
        <v>#VALUE!</v>
      </c>
      <c r="WH3" t="e">
        <f>+SUMIF([1]Cartera!$R:$R,$A3&amp;"_"&amp;WH$11,[1]Cartera!$J:$J)+SUMIF([1]Futuros!$AD:$AD,$A3&amp;"_"&amp;WH$11,[1]Futuros!$AK:$AK)+SUMIF([1]Opciones!$AF:$AF,$A3&amp;"_"&amp;WH$11,[1]Opciones!$AO:$AO)</f>
        <v>#VALUE!</v>
      </c>
      <c r="WI3" t="e">
        <f>+SUMIF([1]Cartera!$R:$R,$A3&amp;"_"&amp;WI$11,[1]Cartera!$J:$J)+SUMIF([1]Futuros!$AD:$AD,$A3&amp;"_"&amp;WI$11,[1]Futuros!$AK:$AK)+SUMIF([1]Opciones!$AF:$AF,$A3&amp;"_"&amp;WI$11,[1]Opciones!$AO:$AO)</f>
        <v>#VALUE!</v>
      </c>
      <c r="WJ3" t="e">
        <f>+SUMIF([1]Cartera!$R:$R,$A3&amp;"_"&amp;WJ$11,[1]Cartera!$J:$J)+SUMIF([1]Futuros!$AD:$AD,$A3&amp;"_"&amp;WJ$11,[1]Futuros!$AK:$AK)+SUMIF([1]Opciones!$AF:$AF,$A3&amp;"_"&amp;WJ$11,[1]Opciones!$AO:$AO)</f>
        <v>#VALUE!</v>
      </c>
      <c r="WK3" t="e">
        <f>+SUMIF([1]Cartera!$R:$R,$A3&amp;"_"&amp;WK$11,[1]Cartera!$J:$J)+SUMIF([1]Futuros!$AD:$AD,$A3&amp;"_"&amp;WK$11,[1]Futuros!$AK:$AK)+SUMIF([1]Opciones!$AF:$AF,$A3&amp;"_"&amp;WK$11,[1]Opciones!$AO:$AO)</f>
        <v>#VALUE!</v>
      </c>
      <c r="WL3" t="e">
        <f>+SUMIF([1]Cartera!$R:$R,$A3&amp;"_"&amp;WL$11,[1]Cartera!$J:$J)+SUMIF([1]Futuros!$AD:$AD,$A3&amp;"_"&amp;WL$11,[1]Futuros!$AK:$AK)+SUMIF([1]Opciones!$AF:$AF,$A3&amp;"_"&amp;WL$11,[1]Opciones!$AO:$AO)</f>
        <v>#VALUE!</v>
      </c>
      <c r="WM3" t="e">
        <f>+SUMIF([1]Cartera!$R:$R,$A3&amp;"_"&amp;WM$11,[1]Cartera!$J:$J)+SUMIF([1]Futuros!$AD:$AD,$A3&amp;"_"&amp;WM$11,[1]Futuros!$AK:$AK)+SUMIF([1]Opciones!$AF:$AF,$A3&amp;"_"&amp;WM$11,[1]Opciones!$AO:$AO)</f>
        <v>#VALUE!</v>
      </c>
      <c r="WN3" t="e">
        <f>+SUMIF([1]Cartera!$R:$R,$A3&amp;"_"&amp;WN$11,[1]Cartera!$J:$J)+SUMIF([1]Futuros!$AD:$AD,$A3&amp;"_"&amp;WN$11,[1]Futuros!$AK:$AK)+SUMIF([1]Opciones!$AF:$AF,$A3&amp;"_"&amp;WN$11,[1]Opciones!$AO:$AO)</f>
        <v>#VALUE!</v>
      </c>
      <c r="WO3" t="e">
        <f>+SUMIF([1]Cartera!$R:$R,$A3&amp;"_"&amp;WO$11,[1]Cartera!$J:$J)+SUMIF([1]Futuros!$AD:$AD,$A3&amp;"_"&amp;WO$11,[1]Futuros!$AK:$AK)+SUMIF([1]Opciones!$AF:$AF,$A3&amp;"_"&amp;WO$11,[1]Opciones!$AO:$AO)</f>
        <v>#VALUE!</v>
      </c>
      <c r="WP3" t="e">
        <f>+SUMIF([1]Cartera!$R:$R,$A3&amp;"_"&amp;WP$11,[1]Cartera!$J:$J)+SUMIF([1]Futuros!$AD:$AD,$A3&amp;"_"&amp;WP$11,[1]Futuros!$AK:$AK)+SUMIF([1]Opciones!$AF:$AF,$A3&amp;"_"&amp;WP$11,[1]Opciones!$AO:$AO)</f>
        <v>#VALUE!</v>
      </c>
      <c r="WQ3" t="e">
        <f>+SUMIF([1]Cartera!$R:$R,$A3&amp;"_"&amp;WQ$11,[1]Cartera!$J:$J)+SUMIF([1]Futuros!$AD:$AD,$A3&amp;"_"&amp;WQ$11,[1]Futuros!$AK:$AK)+SUMIF([1]Opciones!$AF:$AF,$A3&amp;"_"&amp;WQ$11,[1]Opciones!$AO:$AO)</f>
        <v>#VALUE!</v>
      </c>
      <c r="WR3" t="e">
        <f>+SUMIF([1]Cartera!$R:$R,$A3&amp;"_"&amp;WR$11,[1]Cartera!$J:$J)+SUMIF([1]Futuros!$AD:$AD,$A3&amp;"_"&amp;WR$11,[1]Futuros!$AK:$AK)+SUMIF([1]Opciones!$AF:$AF,$A3&amp;"_"&amp;WR$11,[1]Opciones!$AO:$AO)</f>
        <v>#VALUE!</v>
      </c>
      <c r="WS3" t="e">
        <f>+SUMIF([1]Cartera!$R:$R,$A3&amp;"_"&amp;WS$11,[1]Cartera!$J:$J)+SUMIF([1]Futuros!$AD:$AD,$A3&amp;"_"&amp;WS$11,[1]Futuros!$AK:$AK)+SUMIF([1]Opciones!$AF:$AF,$A3&amp;"_"&amp;WS$11,[1]Opciones!$AO:$AO)</f>
        <v>#VALUE!</v>
      </c>
      <c r="WT3" t="e">
        <f>+SUMIF([1]Cartera!$R:$R,$A3&amp;"_"&amp;WT$11,[1]Cartera!$J:$J)+SUMIF([1]Futuros!$AD:$AD,$A3&amp;"_"&amp;WT$11,[1]Futuros!$AK:$AK)+SUMIF([1]Opciones!$AF:$AF,$A3&amp;"_"&amp;WT$11,[1]Opciones!$AO:$AO)</f>
        <v>#VALUE!</v>
      </c>
      <c r="WU3" t="e">
        <f>+SUMIF([1]Cartera!$R:$R,$A3&amp;"_"&amp;WU$11,[1]Cartera!$J:$J)+SUMIF([1]Futuros!$AD:$AD,$A3&amp;"_"&amp;WU$11,[1]Futuros!$AK:$AK)+SUMIF([1]Opciones!$AF:$AF,$A3&amp;"_"&amp;WU$11,[1]Opciones!$AO:$AO)</f>
        <v>#VALUE!</v>
      </c>
      <c r="WV3" t="e">
        <f>+SUMIF([1]Cartera!$R:$R,$A3&amp;"_"&amp;WV$11,[1]Cartera!$J:$J)+SUMIF([1]Futuros!$AD:$AD,$A3&amp;"_"&amp;WV$11,[1]Futuros!$AK:$AK)+SUMIF([1]Opciones!$AF:$AF,$A3&amp;"_"&amp;WV$11,[1]Opciones!$AO:$AO)</f>
        <v>#VALUE!</v>
      </c>
      <c r="WW3" t="e">
        <f>+SUMIF([1]Cartera!$R:$R,$A3&amp;"_"&amp;WW$11,[1]Cartera!$J:$J)+SUMIF([1]Futuros!$AD:$AD,$A3&amp;"_"&amp;WW$11,[1]Futuros!$AK:$AK)+SUMIF([1]Opciones!$AF:$AF,$A3&amp;"_"&amp;WW$11,[1]Opciones!$AO:$AO)</f>
        <v>#VALUE!</v>
      </c>
      <c r="WX3" t="e">
        <f>+SUMIF([1]Cartera!$R:$R,$A3&amp;"_"&amp;WX$11,[1]Cartera!$J:$J)+SUMIF([1]Futuros!$AD:$AD,$A3&amp;"_"&amp;WX$11,[1]Futuros!$AK:$AK)+SUMIF([1]Opciones!$AF:$AF,$A3&amp;"_"&amp;WX$11,[1]Opciones!$AO:$AO)</f>
        <v>#VALUE!</v>
      </c>
      <c r="WY3" t="e">
        <f>+SUMIF([1]Cartera!$R:$R,$A3&amp;"_"&amp;WY$11,[1]Cartera!$J:$J)+SUMIF([1]Futuros!$AD:$AD,$A3&amp;"_"&amp;WY$11,[1]Futuros!$AK:$AK)+SUMIF([1]Opciones!$AF:$AF,$A3&amp;"_"&amp;WY$11,[1]Opciones!$AO:$AO)</f>
        <v>#VALUE!</v>
      </c>
      <c r="WZ3" t="e">
        <f>+SUMIF([1]Cartera!$R:$R,$A3&amp;"_"&amp;WZ$11,[1]Cartera!$J:$J)+SUMIF([1]Futuros!$AD:$AD,$A3&amp;"_"&amp;WZ$11,[1]Futuros!$AK:$AK)+SUMIF([1]Opciones!$AF:$AF,$A3&amp;"_"&amp;WZ$11,[1]Opciones!$AO:$AO)</f>
        <v>#VALUE!</v>
      </c>
      <c r="XA3" t="e">
        <f>+SUMIF([1]Cartera!$R:$R,$A3&amp;"_"&amp;XA$11,[1]Cartera!$J:$J)+SUMIF([1]Futuros!$AD:$AD,$A3&amp;"_"&amp;XA$11,[1]Futuros!$AK:$AK)+SUMIF([1]Opciones!$AF:$AF,$A3&amp;"_"&amp;XA$11,[1]Opciones!$AO:$AO)</f>
        <v>#VALUE!</v>
      </c>
      <c r="XB3" t="e">
        <f>+SUMIF([1]Cartera!$R:$R,$A3&amp;"_"&amp;XB$11,[1]Cartera!$J:$J)+SUMIF([1]Futuros!$AD:$AD,$A3&amp;"_"&amp;XB$11,[1]Futuros!$AK:$AK)+SUMIF([1]Opciones!$AF:$AF,$A3&amp;"_"&amp;XB$11,[1]Opciones!$AO:$AO)</f>
        <v>#VALUE!</v>
      </c>
      <c r="XC3" t="e">
        <f>+SUMIF([1]Cartera!$R:$R,$A3&amp;"_"&amp;XC$11,[1]Cartera!$J:$J)+SUMIF([1]Futuros!$AD:$AD,$A3&amp;"_"&amp;XC$11,[1]Futuros!$AK:$AK)+SUMIF([1]Opciones!$AF:$AF,$A3&amp;"_"&amp;XC$11,[1]Opciones!$AO:$AO)</f>
        <v>#VALUE!</v>
      </c>
      <c r="XD3" t="e">
        <f>+SUMIF([1]Cartera!$R:$R,$A3&amp;"_"&amp;XD$11,[1]Cartera!$J:$J)+SUMIF([1]Futuros!$AD:$AD,$A3&amp;"_"&amp;XD$11,[1]Futuros!$AK:$AK)+SUMIF([1]Opciones!$AF:$AF,$A3&amp;"_"&amp;XD$11,[1]Opciones!$AO:$AO)</f>
        <v>#VALUE!</v>
      </c>
      <c r="XE3" t="e">
        <f>+SUMIF([1]Cartera!$R:$R,$A3&amp;"_"&amp;XE$11,[1]Cartera!$J:$J)+SUMIF([1]Futuros!$AD:$AD,$A3&amp;"_"&amp;XE$11,[1]Futuros!$AK:$AK)+SUMIF([1]Opciones!$AF:$AF,$A3&amp;"_"&amp;XE$11,[1]Opciones!$AO:$AO)</f>
        <v>#VALUE!</v>
      </c>
      <c r="XF3" t="e">
        <f>+SUMIF([1]Cartera!$R:$R,$A3&amp;"_"&amp;XF$11,[1]Cartera!$J:$J)+SUMIF([1]Futuros!$AD:$AD,$A3&amp;"_"&amp;XF$11,[1]Futuros!$AK:$AK)+SUMIF([1]Opciones!$AF:$AF,$A3&amp;"_"&amp;XF$11,[1]Opciones!$AO:$AO)</f>
        <v>#VALUE!</v>
      </c>
      <c r="XG3" t="e">
        <f>+SUMIF([1]Cartera!$R:$R,$A3&amp;"_"&amp;XG$11,[1]Cartera!$J:$J)+SUMIF([1]Futuros!$AD:$AD,$A3&amp;"_"&amp;XG$11,[1]Futuros!$AK:$AK)+SUMIF([1]Opciones!$AF:$AF,$A3&amp;"_"&amp;XG$11,[1]Opciones!$AO:$AO)</f>
        <v>#VALUE!</v>
      </c>
      <c r="XH3" t="e">
        <f>+SUMIF([1]Cartera!$R:$R,$A3&amp;"_"&amp;XH$11,[1]Cartera!$J:$J)+SUMIF([1]Futuros!$AD:$AD,$A3&amp;"_"&amp;XH$11,[1]Futuros!$AK:$AK)+SUMIF([1]Opciones!$AF:$AF,$A3&amp;"_"&amp;XH$11,[1]Opciones!$AO:$AO)</f>
        <v>#VALUE!</v>
      </c>
      <c r="XI3" t="e">
        <f>+SUMIF([1]Cartera!$R:$R,$A3&amp;"_"&amp;XI$11,[1]Cartera!$J:$J)+SUMIF([1]Futuros!$AD:$AD,$A3&amp;"_"&amp;XI$11,[1]Futuros!$AK:$AK)+SUMIF([1]Opciones!$AF:$AF,$A3&amp;"_"&amp;XI$11,[1]Opciones!$AO:$AO)</f>
        <v>#VALUE!</v>
      </c>
      <c r="XJ3" t="e">
        <f>+SUMIF([1]Cartera!$R:$R,$A3&amp;"_"&amp;XJ$11,[1]Cartera!$J:$J)+SUMIF([1]Futuros!$AD:$AD,$A3&amp;"_"&amp;XJ$11,[1]Futuros!$AK:$AK)+SUMIF([1]Opciones!$AF:$AF,$A3&amp;"_"&amp;XJ$11,[1]Opciones!$AO:$AO)</f>
        <v>#VALUE!</v>
      </c>
      <c r="XK3" t="e">
        <f>+SUMIF([1]Cartera!$R:$R,$A3&amp;"_"&amp;XK$11,[1]Cartera!$J:$J)+SUMIF([1]Futuros!$AD:$AD,$A3&amp;"_"&amp;XK$11,[1]Futuros!$AK:$AK)+SUMIF([1]Opciones!$AF:$AF,$A3&amp;"_"&amp;XK$11,[1]Opciones!$AO:$AO)</f>
        <v>#VALUE!</v>
      </c>
      <c r="XL3" t="e">
        <f>+SUMIF([1]Cartera!$R:$R,$A3&amp;"_"&amp;XL$11,[1]Cartera!$J:$J)+SUMIF([1]Futuros!$AD:$AD,$A3&amp;"_"&amp;XL$11,[1]Futuros!$AK:$AK)+SUMIF([1]Opciones!$AF:$AF,$A3&amp;"_"&amp;XL$11,[1]Opciones!$AO:$AO)</f>
        <v>#VALUE!</v>
      </c>
      <c r="XM3" t="e">
        <f>+SUMIF([1]Cartera!$R:$R,$A3&amp;"_"&amp;XM$11,[1]Cartera!$J:$J)+SUMIF([1]Futuros!$AD:$AD,$A3&amp;"_"&amp;XM$11,[1]Futuros!$AK:$AK)+SUMIF([1]Opciones!$AF:$AF,$A3&amp;"_"&amp;XM$11,[1]Opciones!$AO:$AO)</f>
        <v>#VALUE!</v>
      </c>
      <c r="XN3" t="e">
        <f>+SUMIF([1]Cartera!$R:$R,$A3&amp;"_"&amp;XN$11,[1]Cartera!$J:$J)+SUMIF([1]Futuros!$AD:$AD,$A3&amp;"_"&amp;XN$11,[1]Futuros!$AK:$AK)+SUMIF([1]Opciones!$AF:$AF,$A3&amp;"_"&amp;XN$11,[1]Opciones!$AO:$AO)</f>
        <v>#VALUE!</v>
      </c>
      <c r="XO3" t="e">
        <f>+SUMIF([1]Cartera!$R:$R,$A3&amp;"_"&amp;XO$11,[1]Cartera!$J:$J)+SUMIF([1]Futuros!$AD:$AD,$A3&amp;"_"&amp;XO$11,[1]Futuros!$AK:$AK)+SUMIF([1]Opciones!$AF:$AF,$A3&amp;"_"&amp;XO$11,[1]Opciones!$AO:$AO)</f>
        <v>#VALUE!</v>
      </c>
      <c r="XP3" t="e">
        <f>+SUMIF([1]Cartera!$R:$R,$A3&amp;"_"&amp;XP$11,[1]Cartera!$J:$J)+SUMIF([1]Futuros!$AD:$AD,$A3&amp;"_"&amp;XP$11,[1]Futuros!$AK:$AK)+SUMIF([1]Opciones!$AF:$AF,$A3&amp;"_"&amp;XP$11,[1]Opciones!$AO:$AO)</f>
        <v>#VALUE!</v>
      </c>
      <c r="XQ3" t="e">
        <f>+SUMIF([1]Cartera!$R:$R,$A3&amp;"_"&amp;XQ$11,[1]Cartera!$J:$J)+SUMIF([1]Futuros!$AD:$AD,$A3&amp;"_"&amp;XQ$11,[1]Futuros!$AK:$AK)+SUMIF([1]Opciones!$AF:$AF,$A3&amp;"_"&amp;XQ$11,[1]Opciones!$AO:$AO)</f>
        <v>#VALUE!</v>
      </c>
      <c r="XR3" t="e">
        <f>+SUMIF([1]Cartera!$R:$R,$A3&amp;"_"&amp;XR$11,[1]Cartera!$J:$J)+SUMIF([1]Futuros!$AD:$AD,$A3&amp;"_"&amp;XR$11,[1]Futuros!$AK:$AK)+SUMIF([1]Opciones!$AF:$AF,$A3&amp;"_"&amp;XR$11,[1]Opciones!$AO:$AO)</f>
        <v>#VALUE!</v>
      </c>
      <c r="XS3" t="e">
        <f>+SUMIF([1]Cartera!$R:$R,$A3&amp;"_"&amp;XS$11,[1]Cartera!$J:$J)+SUMIF([1]Futuros!$AD:$AD,$A3&amp;"_"&amp;XS$11,[1]Futuros!$AK:$AK)+SUMIF([1]Opciones!$AF:$AF,$A3&amp;"_"&amp;XS$11,[1]Opciones!$AO:$AO)</f>
        <v>#VALUE!</v>
      </c>
      <c r="XT3" t="e">
        <f>+SUMIF([1]Cartera!$R:$R,$A3&amp;"_"&amp;XT$11,[1]Cartera!$J:$J)+SUMIF([1]Futuros!$AD:$AD,$A3&amp;"_"&amp;XT$11,[1]Futuros!$AK:$AK)+SUMIF([1]Opciones!$AF:$AF,$A3&amp;"_"&amp;XT$11,[1]Opciones!$AO:$AO)</f>
        <v>#VALUE!</v>
      </c>
      <c r="XU3" t="e">
        <f>+SUMIF([1]Cartera!$R:$R,$A3&amp;"_"&amp;XU$11,[1]Cartera!$J:$J)+SUMIF([1]Futuros!$AD:$AD,$A3&amp;"_"&amp;XU$11,[1]Futuros!$AK:$AK)+SUMIF([1]Opciones!$AF:$AF,$A3&amp;"_"&amp;XU$11,[1]Opciones!$AO:$AO)</f>
        <v>#VALUE!</v>
      </c>
      <c r="XV3" t="e">
        <f>+SUMIF([1]Cartera!$R:$R,$A3&amp;"_"&amp;XV$11,[1]Cartera!$J:$J)+SUMIF([1]Futuros!$AD:$AD,$A3&amp;"_"&amp;XV$11,[1]Futuros!$AK:$AK)+SUMIF([1]Opciones!$AF:$AF,$A3&amp;"_"&amp;XV$11,[1]Opciones!$AO:$AO)</f>
        <v>#VALUE!</v>
      </c>
      <c r="XW3" t="e">
        <f>+SUMIF([1]Cartera!$R:$R,$A3&amp;"_"&amp;XW$11,[1]Cartera!$J:$J)+SUMIF([1]Futuros!$AD:$AD,$A3&amp;"_"&amp;XW$11,[1]Futuros!$AK:$AK)+SUMIF([1]Opciones!$AF:$AF,$A3&amp;"_"&amp;XW$11,[1]Opciones!$AO:$AO)</f>
        <v>#VALUE!</v>
      </c>
      <c r="XX3" t="e">
        <f>+SUMIF([1]Cartera!$R:$R,$A3&amp;"_"&amp;XX$11,[1]Cartera!$J:$J)+SUMIF([1]Futuros!$AD:$AD,$A3&amp;"_"&amp;XX$11,[1]Futuros!$AK:$AK)+SUMIF([1]Opciones!$AF:$AF,$A3&amp;"_"&amp;XX$11,[1]Opciones!$AO:$AO)</f>
        <v>#VALUE!</v>
      </c>
      <c r="XY3" t="e">
        <f>+SUMIF([1]Cartera!$R:$R,$A3&amp;"_"&amp;XY$11,[1]Cartera!$J:$J)+SUMIF([1]Futuros!$AD:$AD,$A3&amp;"_"&amp;XY$11,[1]Futuros!$AK:$AK)+SUMIF([1]Opciones!$AF:$AF,$A3&amp;"_"&amp;XY$11,[1]Opciones!$AO:$AO)</f>
        <v>#VALUE!</v>
      </c>
      <c r="XZ3" t="e">
        <f>+SUMIF([1]Cartera!$R:$R,$A3&amp;"_"&amp;XZ$11,[1]Cartera!$J:$J)+SUMIF([1]Futuros!$AD:$AD,$A3&amp;"_"&amp;XZ$11,[1]Futuros!$AK:$AK)+SUMIF([1]Opciones!$AF:$AF,$A3&amp;"_"&amp;XZ$11,[1]Opciones!$AO:$AO)</f>
        <v>#VALUE!</v>
      </c>
      <c r="YA3" t="e">
        <f>+SUMIF([1]Cartera!$R:$R,$A3&amp;"_"&amp;YA$11,[1]Cartera!$J:$J)+SUMIF([1]Futuros!$AD:$AD,$A3&amp;"_"&amp;YA$11,[1]Futuros!$AK:$AK)+SUMIF([1]Opciones!$AF:$AF,$A3&amp;"_"&amp;YA$11,[1]Opciones!$AO:$AO)</f>
        <v>#VALUE!</v>
      </c>
      <c r="YB3" t="e">
        <f>+SUMIF([1]Cartera!$R:$R,$A3&amp;"_"&amp;YB$11,[1]Cartera!$J:$J)+SUMIF([1]Futuros!$AD:$AD,$A3&amp;"_"&amp;YB$11,[1]Futuros!$AK:$AK)+SUMIF([1]Opciones!$AF:$AF,$A3&amp;"_"&amp;YB$11,[1]Opciones!$AO:$AO)</f>
        <v>#VALUE!</v>
      </c>
      <c r="YC3" t="e">
        <f>+SUMIF([1]Cartera!$R:$R,$A3&amp;"_"&amp;YC$11,[1]Cartera!$J:$J)+SUMIF([1]Futuros!$AD:$AD,$A3&amp;"_"&amp;YC$11,[1]Futuros!$AK:$AK)+SUMIF([1]Opciones!$AF:$AF,$A3&amp;"_"&amp;YC$11,[1]Opciones!$AO:$AO)</f>
        <v>#VALUE!</v>
      </c>
      <c r="YD3" t="e">
        <f>+SUMIF([1]Cartera!$R:$R,$A3&amp;"_"&amp;YD$11,[1]Cartera!$J:$J)+SUMIF([1]Futuros!$AD:$AD,$A3&amp;"_"&amp;YD$11,[1]Futuros!$AK:$AK)+SUMIF([1]Opciones!$AF:$AF,$A3&amp;"_"&amp;YD$11,[1]Opciones!$AO:$AO)</f>
        <v>#VALUE!</v>
      </c>
      <c r="YE3" t="e">
        <f>+SUMIF([1]Cartera!$R:$R,$A3&amp;"_"&amp;YE$11,[1]Cartera!$J:$J)+SUMIF([1]Futuros!$AD:$AD,$A3&amp;"_"&amp;YE$11,[1]Futuros!$AK:$AK)+SUMIF([1]Opciones!$AF:$AF,$A3&amp;"_"&amp;YE$11,[1]Opciones!$AO:$AO)</f>
        <v>#VALUE!</v>
      </c>
      <c r="YF3" t="e">
        <f>+SUMIF([1]Cartera!$R:$R,$A3&amp;"_"&amp;YF$11,[1]Cartera!$J:$J)+SUMIF([1]Futuros!$AD:$AD,$A3&amp;"_"&amp;YF$11,[1]Futuros!$AK:$AK)+SUMIF([1]Opciones!$AF:$AF,$A3&amp;"_"&amp;YF$11,[1]Opciones!$AO:$AO)</f>
        <v>#VALUE!</v>
      </c>
      <c r="YG3" t="e">
        <f>+SUMIF([1]Cartera!$R:$R,$A3&amp;"_"&amp;YG$11,[1]Cartera!$J:$J)+SUMIF([1]Futuros!$AD:$AD,$A3&amp;"_"&amp;YG$11,[1]Futuros!$AK:$AK)+SUMIF([1]Opciones!$AF:$AF,$A3&amp;"_"&amp;YG$11,[1]Opciones!$AO:$AO)</f>
        <v>#VALUE!</v>
      </c>
      <c r="YH3" t="e">
        <f>+SUMIF([1]Cartera!$R:$R,$A3&amp;"_"&amp;YH$11,[1]Cartera!$J:$J)+SUMIF([1]Futuros!$AD:$AD,$A3&amp;"_"&amp;YH$11,[1]Futuros!$AK:$AK)+SUMIF([1]Opciones!$AF:$AF,$A3&amp;"_"&amp;YH$11,[1]Opciones!$AO:$AO)</f>
        <v>#VALUE!</v>
      </c>
      <c r="YI3" t="e">
        <f>+SUMIF([1]Cartera!$R:$R,$A3&amp;"_"&amp;YI$11,[1]Cartera!$J:$J)+SUMIF([1]Futuros!$AD:$AD,$A3&amp;"_"&amp;YI$11,[1]Futuros!$AK:$AK)+SUMIF([1]Opciones!$AF:$AF,$A3&amp;"_"&amp;YI$11,[1]Opciones!$AO:$AO)</f>
        <v>#VALUE!</v>
      </c>
      <c r="YJ3" t="e">
        <f>+SUMIF([1]Cartera!$R:$R,$A3&amp;"_"&amp;YJ$11,[1]Cartera!$J:$J)+SUMIF([1]Futuros!$AD:$AD,$A3&amp;"_"&amp;YJ$11,[1]Futuros!$AK:$AK)+SUMIF([1]Opciones!$AF:$AF,$A3&amp;"_"&amp;YJ$11,[1]Opciones!$AO:$AO)</f>
        <v>#VALUE!</v>
      </c>
      <c r="YK3" t="e">
        <f>+SUMIF([1]Cartera!$R:$R,$A3&amp;"_"&amp;YK$11,[1]Cartera!$J:$J)+SUMIF([1]Futuros!$AD:$AD,$A3&amp;"_"&amp;YK$11,[1]Futuros!$AK:$AK)+SUMIF([1]Opciones!$AF:$AF,$A3&amp;"_"&amp;YK$11,[1]Opciones!$AO:$AO)</f>
        <v>#VALUE!</v>
      </c>
      <c r="YL3" t="e">
        <f>+SUMIF([1]Cartera!$R:$R,$A3&amp;"_"&amp;YL$11,[1]Cartera!$J:$J)+SUMIF([1]Futuros!$AD:$AD,$A3&amp;"_"&amp;YL$11,[1]Futuros!$AK:$AK)+SUMIF([1]Opciones!$AF:$AF,$A3&amp;"_"&amp;YL$11,[1]Opciones!$AO:$AO)</f>
        <v>#VALUE!</v>
      </c>
      <c r="YM3" t="e">
        <f>+SUMIF([1]Cartera!$R:$R,$A3&amp;"_"&amp;YM$11,[1]Cartera!$J:$J)+SUMIF([1]Futuros!$AD:$AD,$A3&amp;"_"&amp;YM$11,[1]Futuros!$AK:$AK)+SUMIF([1]Opciones!$AF:$AF,$A3&amp;"_"&amp;YM$11,[1]Opciones!$AO:$AO)</f>
        <v>#VALUE!</v>
      </c>
      <c r="YN3" t="e">
        <f>+SUMIF([1]Cartera!$R:$R,$A3&amp;"_"&amp;YN$11,[1]Cartera!$J:$J)+SUMIF([1]Futuros!$AD:$AD,$A3&amp;"_"&amp;YN$11,[1]Futuros!$AK:$AK)+SUMIF([1]Opciones!$AF:$AF,$A3&amp;"_"&amp;YN$11,[1]Opciones!$AO:$AO)</f>
        <v>#VALUE!</v>
      </c>
      <c r="YO3" t="e">
        <f>+SUMIF([1]Cartera!$R:$R,$A3&amp;"_"&amp;YO$11,[1]Cartera!$J:$J)+SUMIF([1]Futuros!$AD:$AD,$A3&amp;"_"&amp;YO$11,[1]Futuros!$AK:$AK)+SUMIF([1]Opciones!$AF:$AF,$A3&amp;"_"&amp;YO$11,[1]Opciones!$AO:$AO)</f>
        <v>#VALUE!</v>
      </c>
      <c r="YP3" t="e">
        <f>+SUMIF([1]Cartera!$R:$R,$A3&amp;"_"&amp;YP$11,[1]Cartera!$J:$J)+SUMIF([1]Futuros!$AD:$AD,$A3&amp;"_"&amp;YP$11,[1]Futuros!$AK:$AK)+SUMIF([1]Opciones!$AF:$AF,$A3&amp;"_"&amp;YP$11,[1]Opciones!$AO:$AO)</f>
        <v>#VALUE!</v>
      </c>
      <c r="YQ3" t="e">
        <f>+SUMIF([1]Cartera!$R:$R,$A3&amp;"_"&amp;YQ$11,[1]Cartera!$J:$J)+SUMIF([1]Futuros!$AD:$AD,$A3&amp;"_"&amp;YQ$11,[1]Futuros!$AK:$AK)+SUMIF([1]Opciones!$AF:$AF,$A3&amp;"_"&amp;YQ$11,[1]Opciones!$AO:$AO)</f>
        <v>#VALUE!</v>
      </c>
      <c r="YR3" t="e">
        <f>+SUMIF([1]Cartera!$R:$R,$A3&amp;"_"&amp;YR$11,[1]Cartera!$J:$J)+SUMIF([1]Futuros!$AD:$AD,$A3&amp;"_"&amp;YR$11,[1]Futuros!$AK:$AK)+SUMIF([1]Opciones!$AF:$AF,$A3&amp;"_"&amp;YR$11,[1]Opciones!$AO:$AO)</f>
        <v>#VALUE!</v>
      </c>
      <c r="YS3" t="e">
        <f>+SUMIF([1]Cartera!$R:$R,$A3&amp;"_"&amp;YS$11,[1]Cartera!$J:$J)+SUMIF([1]Futuros!$AD:$AD,$A3&amp;"_"&amp;YS$11,[1]Futuros!$AK:$AK)+SUMIF([1]Opciones!$AF:$AF,$A3&amp;"_"&amp;YS$11,[1]Opciones!$AO:$AO)</f>
        <v>#VALUE!</v>
      </c>
      <c r="YT3" t="e">
        <f>+SUMIF([1]Cartera!$R:$R,$A3&amp;"_"&amp;YT$11,[1]Cartera!$J:$J)+SUMIF([1]Futuros!$AD:$AD,$A3&amp;"_"&amp;YT$11,[1]Futuros!$AK:$AK)+SUMIF([1]Opciones!$AF:$AF,$A3&amp;"_"&amp;YT$11,[1]Opciones!$AO:$AO)</f>
        <v>#VALUE!</v>
      </c>
      <c r="YU3" t="e">
        <f>+SUMIF([1]Cartera!$R:$R,$A3&amp;"_"&amp;YU$11,[1]Cartera!$J:$J)+SUMIF([1]Futuros!$AD:$AD,$A3&amp;"_"&amp;YU$11,[1]Futuros!$AK:$AK)+SUMIF([1]Opciones!$AF:$AF,$A3&amp;"_"&amp;YU$11,[1]Opciones!$AO:$AO)</f>
        <v>#VALUE!</v>
      </c>
      <c r="YV3" t="e">
        <f>+SUMIF([1]Cartera!$R:$R,$A3&amp;"_"&amp;YV$11,[1]Cartera!$J:$J)+SUMIF([1]Futuros!$AD:$AD,$A3&amp;"_"&amp;YV$11,[1]Futuros!$AK:$AK)+SUMIF([1]Opciones!$AF:$AF,$A3&amp;"_"&amp;YV$11,[1]Opciones!$AO:$AO)</f>
        <v>#VALUE!</v>
      </c>
      <c r="YW3" t="e">
        <f>+SUMIF([1]Cartera!$R:$R,$A3&amp;"_"&amp;YW$11,[1]Cartera!$J:$J)+SUMIF([1]Futuros!$AD:$AD,$A3&amp;"_"&amp;YW$11,[1]Futuros!$AK:$AK)+SUMIF([1]Opciones!$AF:$AF,$A3&amp;"_"&amp;YW$11,[1]Opciones!$AO:$AO)</f>
        <v>#VALUE!</v>
      </c>
      <c r="YX3" t="e">
        <f>+SUMIF([1]Cartera!$R:$R,$A3&amp;"_"&amp;YX$11,[1]Cartera!$J:$J)+SUMIF([1]Futuros!$AD:$AD,$A3&amp;"_"&amp;YX$11,[1]Futuros!$AK:$AK)+SUMIF([1]Opciones!$AF:$AF,$A3&amp;"_"&amp;YX$11,[1]Opciones!$AO:$AO)</f>
        <v>#VALUE!</v>
      </c>
      <c r="YY3" t="e">
        <f>+SUMIF([1]Cartera!$R:$R,$A3&amp;"_"&amp;YY$11,[1]Cartera!$J:$J)+SUMIF([1]Futuros!$AD:$AD,$A3&amp;"_"&amp;YY$11,[1]Futuros!$AK:$AK)+SUMIF([1]Opciones!$AF:$AF,$A3&amp;"_"&amp;YY$11,[1]Opciones!$AO:$AO)</f>
        <v>#VALUE!</v>
      </c>
      <c r="YZ3" t="e">
        <f>+SUMIF([1]Cartera!$R:$R,$A3&amp;"_"&amp;YZ$11,[1]Cartera!$J:$J)+SUMIF([1]Futuros!$AD:$AD,$A3&amp;"_"&amp;YZ$11,[1]Futuros!$AK:$AK)+SUMIF([1]Opciones!$AF:$AF,$A3&amp;"_"&amp;YZ$11,[1]Opciones!$AO:$AO)</f>
        <v>#VALUE!</v>
      </c>
      <c r="ZA3" t="e">
        <f>+SUMIF([1]Cartera!$R:$R,$A3&amp;"_"&amp;ZA$11,[1]Cartera!$J:$J)+SUMIF([1]Futuros!$AD:$AD,$A3&amp;"_"&amp;ZA$11,[1]Futuros!$AK:$AK)+SUMIF([1]Opciones!$AF:$AF,$A3&amp;"_"&amp;ZA$11,[1]Opciones!$AO:$AO)</f>
        <v>#VALUE!</v>
      </c>
      <c r="ZB3" t="e">
        <f>+SUMIF([1]Cartera!$R:$R,$A3&amp;"_"&amp;ZB$11,[1]Cartera!$J:$J)+SUMIF([1]Futuros!$AD:$AD,$A3&amp;"_"&amp;ZB$11,[1]Futuros!$AK:$AK)+SUMIF([1]Opciones!$AF:$AF,$A3&amp;"_"&amp;ZB$11,[1]Opciones!$AO:$AO)</f>
        <v>#VALUE!</v>
      </c>
      <c r="ZC3" t="e">
        <f>+SUMIF([1]Cartera!$R:$R,$A3&amp;"_"&amp;ZC$11,[1]Cartera!$J:$J)+SUMIF([1]Futuros!$AD:$AD,$A3&amp;"_"&amp;ZC$11,[1]Futuros!$AK:$AK)+SUMIF([1]Opciones!$AF:$AF,$A3&amp;"_"&amp;ZC$11,[1]Opciones!$AO:$AO)</f>
        <v>#VALUE!</v>
      </c>
      <c r="ZD3" t="e">
        <f>+SUMIF([1]Cartera!$R:$R,$A3&amp;"_"&amp;ZD$11,[1]Cartera!$J:$J)+SUMIF([1]Futuros!$AD:$AD,$A3&amp;"_"&amp;ZD$11,[1]Futuros!$AK:$AK)+SUMIF([1]Opciones!$AF:$AF,$A3&amp;"_"&amp;ZD$11,[1]Opciones!$AO:$AO)</f>
        <v>#VALUE!</v>
      </c>
      <c r="ZE3" t="e">
        <f>+SUMIF([1]Cartera!$R:$R,$A3&amp;"_"&amp;ZE$11,[1]Cartera!$J:$J)+SUMIF([1]Futuros!$AD:$AD,$A3&amp;"_"&amp;ZE$11,[1]Futuros!$AK:$AK)+SUMIF([1]Opciones!$AF:$AF,$A3&amp;"_"&amp;ZE$11,[1]Opciones!$AO:$AO)</f>
        <v>#VALUE!</v>
      </c>
      <c r="ZF3" t="e">
        <f>+SUMIF([1]Cartera!$R:$R,$A3&amp;"_"&amp;ZF$11,[1]Cartera!$J:$J)+SUMIF([1]Futuros!$AD:$AD,$A3&amp;"_"&amp;ZF$11,[1]Futuros!$AK:$AK)+SUMIF([1]Opciones!$AF:$AF,$A3&amp;"_"&amp;ZF$11,[1]Opciones!$AO:$AO)</f>
        <v>#VALUE!</v>
      </c>
      <c r="ZG3" t="e">
        <f>+SUMIF([1]Cartera!$R:$R,$A3&amp;"_"&amp;ZG$11,[1]Cartera!$J:$J)+SUMIF([1]Futuros!$AD:$AD,$A3&amp;"_"&amp;ZG$11,[1]Futuros!$AK:$AK)+SUMIF([1]Opciones!$AF:$AF,$A3&amp;"_"&amp;ZG$11,[1]Opciones!$AO:$AO)</f>
        <v>#VALUE!</v>
      </c>
      <c r="ZH3" t="e">
        <f>+SUMIF([1]Cartera!$R:$R,$A3&amp;"_"&amp;ZH$11,[1]Cartera!$J:$J)+SUMIF([1]Futuros!$AD:$AD,$A3&amp;"_"&amp;ZH$11,[1]Futuros!$AK:$AK)+SUMIF([1]Opciones!$AF:$AF,$A3&amp;"_"&amp;ZH$11,[1]Opciones!$AO:$AO)</f>
        <v>#VALUE!</v>
      </c>
      <c r="ZI3" t="e">
        <f>+SUMIF([1]Cartera!$R:$R,$A3&amp;"_"&amp;ZI$11,[1]Cartera!$J:$J)+SUMIF([1]Futuros!$AD:$AD,$A3&amp;"_"&amp;ZI$11,[1]Futuros!$AK:$AK)+SUMIF([1]Opciones!$AF:$AF,$A3&amp;"_"&amp;ZI$11,[1]Opciones!$AO:$AO)</f>
        <v>#VALUE!</v>
      </c>
      <c r="ZJ3" t="e">
        <f>+SUMIF([1]Cartera!$R:$R,$A3&amp;"_"&amp;ZJ$11,[1]Cartera!$J:$J)+SUMIF([1]Futuros!$AD:$AD,$A3&amp;"_"&amp;ZJ$11,[1]Futuros!$AK:$AK)+SUMIF([1]Opciones!$AF:$AF,$A3&amp;"_"&amp;ZJ$11,[1]Opciones!$AO:$AO)</f>
        <v>#VALUE!</v>
      </c>
      <c r="ZK3" t="e">
        <f>+SUMIF([1]Cartera!$R:$R,$A3&amp;"_"&amp;ZK$11,[1]Cartera!$J:$J)+SUMIF([1]Futuros!$AD:$AD,$A3&amp;"_"&amp;ZK$11,[1]Futuros!$AK:$AK)+SUMIF([1]Opciones!$AF:$AF,$A3&amp;"_"&amp;ZK$11,[1]Opciones!$AO:$AO)</f>
        <v>#VALUE!</v>
      </c>
      <c r="ZL3" t="e">
        <f>+SUMIF([1]Cartera!$R:$R,$A3&amp;"_"&amp;ZL$11,[1]Cartera!$J:$J)+SUMIF([1]Futuros!$AD:$AD,$A3&amp;"_"&amp;ZL$11,[1]Futuros!$AK:$AK)+SUMIF([1]Opciones!$AF:$AF,$A3&amp;"_"&amp;ZL$11,[1]Opciones!$AO:$AO)</f>
        <v>#VALUE!</v>
      </c>
      <c r="ZM3" t="e">
        <f>+SUMIF([1]Cartera!$R:$R,$A3&amp;"_"&amp;ZM$11,[1]Cartera!$J:$J)+SUMIF([1]Futuros!$AD:$AD,$A3&amp;"_"&amp;ZM$11,[1]Futuros!$AK:$AK)+SUMIF([1]Opciones!$AF:$AF,$A3&amp;"_"&amp;ZM$11,[1]Opciones!$AO:$AO)</f>
        <v>#VALUE!</v>
      </c>
      <c r="ZN3" t="e">
        <f>+SUMIF([1]Cartera!$R:$R,$A3&amp;"_"&amp;ZN$11,[1]Cartera!$J:$J)+SUMIF([1]Futuros!$AD:$AD,$A3&amp;"_"&amp;ZN$11,[1]Futuros!$AK:$AK)+SUMIF([1]Opciones!$AF:$AF,$A3&amp;"_"&amp;ZN$11,[1]Opciones!$AO:$AO)</f>
        <v>#VALUE!</v>
      </c>
      <c r="ZO3" t="e">
        <f>+SUMIF([1]Cartera!$R:$R,$A3&amp;"_"&amp;ZO$11,[1]Cartera!$J:$J)+SUMIF([1]Futuros!$AD:$AD,$A3&amp;"_"&amp;ZO$11,[1]Futuros!$AK:$AK)+SUMIF([1]Opciones!$AF:$AF,$A3&amp;"_"&amp;ZO$11,[1]Opciones!$AO:$AO)</f>
        <v>#VALUE!</v>
      </c>
      <c r="ZP3" t="e">
        <f>+SUMIF([1]Cartera!$R:$R,$A3&amp;"_"&amp;ZP$11,[1]Cartera!$J:$J)+SUMIF([1]Futuros!$AD:$AD,$A3&amp;"_"&amp;ZP$11,[1]Futuros!$AK:$AK)+SUMIF([1]Opciones!$AF:$AF,$A3&amp;"_"&amp;ZP$11,[1]Opciones!$AO:$AO)</f>
        <v>#VALUE!</v>
      </c>
      <c r="ZQ3" t="e">
        <f>+SUMIF([1]Cartera!$R:$R,$A3&amp;"_"&amp;ZQ$11,[1]Cartera!$J:$J)+SUMIF([1]Futuros!$AD:$AD,$A3&amp;"_"&amp;ZQ$11,[1]Futuros!$AK:$AK)+SUMIF([1]Opciones!$AF:$AF,$A3&amp;"_"&amp;ZQ$11,[1]Opciones!$AO:$AO)</f>
        <v>#VALUE!</v>
      </c>
      <c r="ZR3" t="e">
        <f>+SUMIF([1]Cartera!$R:$R,$A3&amp;"_"&amp;ZR$11,[1]Cartera!$J:$J)+SUMIF([1]Futuros!$AD:$AD,$A3&amp;"_"&amp;ZR$11,[1]Futuros!$AK:$AK)+SUMIF([1]Opciones!$AF:$AF,$A3&amp;"_"&amp;ZR$11,[1]Opciones!$AO:$AO)</f>
        <v>#VALUE!</v>
      </c>
      <c r="ZS3" t="e">
        <f>+SUMIF([1]Cartera!$R:$R,$A3&amp;"_"&amp;ZS$11,[1]Cartera!$J:$J)+SUMIF([1]Futuros!$AD:$AD,$A3&amp;"_"&amp;ZS$11,[1]Futuros!$AK:$AK)+SUMIF([1]Opciones!$AF:$AF,$A3&amp;"_"&amp;ZS$11,[1]Opciones!$AO:$AO)</f>
        <v>#VALUE!</v>
      </c>
      <c r="ZT3" t="e">
        <f>+SUMIF([1]Cartera!$R:$R,$A3&amp;"_"&amp;ZT$11,[1]Cartera!$J:$J)+SUMIF([1]Futuros!$AD:$AD,$A3&amp;"_"&amp;ZT$11,[1]Futuros!$AK:$AK)+SUMIF([1]Opciones!$AF:$AF,$A3&amp;"_"&amp;ZT$11,[1]Opciones!$AO:$AO)</f>
        <v>#VALUE!</v>
      </c>
      <c r="ZU3" t="e">
        <f>+SUMIF([1]Cartera!$R:$R,$A3&amp;"_"&amp;ZU$11,[1]Cartera!$J:$J)+SUMIF([1]Futuros!$AD:$AD,$A3&amp;"_"&amp;ZU$11,[1]Futuros!$AK:$AK)+SUMIF([1]Opciones!$AF:$AF,$A3&amp;"_"&amp;ZU$11,[1]Opciones!$AO:$AO)</f>
        <v>#VALUE!</v>
      </c>
      <c r="ZV3" t="e">
        <f>+SUMIF([1]Cartera!$R:$R,$A3&amp;"_"&amp;ZV$11,[1]Cartera!$J:$J)+SUMIF([1]Futuros!$AD:$AD,$A3&amp;"_"&amp;ZV$11,[1]Futuros!$AK:$AK)+SUMIF([1]Opciones!$AF:$AF,$A3&amp;"_"&amp;ZV$11,[1]Opciones!$AO:$AO)</f>
        <v>#VALUE!</v>
      </c>
      <c r="ZW3" t="e">
        <f>+SUMIF([1]Cartera!$R:$R,$A3&amp;"_"&amp;ZW$11,[1]Cartera!$J:$J)+SUMIF([1]Futuros!$AD:$AD,$A3&amp;"_"&amp;ZW$11,[1]Futuros!$AK:$AK)+SUMIF([1]Opciones!$AF:$AF,$A3&amp;"_"&amp;ZW$11,[1]Opciones!$AO:$AO)</f>
        <v>#VALUE!</v>
      </c>
      <c r="ZX3" t="e">
        <f>+SUMIF([1]Cartera!$R:$R,$A3&amp;"_"&amp;ZX$11,[1]Cartera!$J:$J)+SUMIF([1]Futuros!$AD:$AD,$A3&amp;"_"&amp;ZX$11,[1]Futuros!$AK:$AK)+SUMIF([1]Opciones!$AF:$AF,$A3&amp;"_"&amp;ZX$11,[1]Opciones!$AO:$AO)</f>
        <v>#VALUE!</v>
      </c>
      <c r="ZY3" t="e">
        <f>+SUMIF([1]Cartera!$R:$R,$A3&amp;"_"&amp;ZY$11,[1]Cartera!$J:$J)+SUMIF([1]Futuros!$AD:$AD,$A3&amp;"_"&amp;ZY$11,[1]Futuros!$AK:$AK)+SUMIF([1]Opciones!$AF:$AF,$A3&amp;"_"&amp;ZY$11,[1]Opciones!$AO:$AO)</f>
        <v>#VALUE!</v>
      </c>
      <c r="ZZ3" t="e">
        <f>+SUMIF([1]Cartera!$R:$R,$A3&amp;"_"&amp;ZZ$11,[1]Cartera!$J:$J)+SUMIF([1]Futuros!$AD:$AD,$A3&amp;"_"&amp;ZZ$11,[1]Futuros!$AK:$AK)+SUMIF([1]Opciones!$AF:$AF,$A3&amp;"_"&amp;ZZ$11,[1]Opciones!$AO:$AO)</f>
        <v>#VALUE!</v>
      </c>
      <c r="AAA3" t="e">
        <f>+SUMIF([1]Cartera!$R:$R,$A3&amp;"_"&amp;AAA$11,[1]Cartera!$J:$J)+SUMIF([1]Futuros!$AD:$AD,$A3&amp;"_"&amp;AAA$11,[1]Futuros!$AK:$AK)+SUMIF([1]Opciones!$AF:$AF,$A3&amp;"_"&amp;AAA$11,[1]Opciones!$AO:$AO)</f>
        <v>#VALUE!</v>
      </c>
      <c r="AAB3" t="e">
        <f>+SUMIF([1]Cartera!$R:$R,$A3&amp;"_"&amp;AAB$11,[1]Cartera!$J:$J)+SUMIF([1]Futuros!$AD:$AD,$A3&amp;"_"&amp;AAB$11,[1]Futuros!$AK:$AK)+SUMIF([1]Opciones!$AF:$AF,$A3&amp;"_"&amp;AAB$11,[1]Opciones!$AO:$AO)</f>
        <v>#VALUE!</v>
      </c>
      <c r="AAC3" t="e">
        <f>+SUMIF([1]Cartera!$R:$R,$A3&amp;"_"&amp;AAC$11,[1]Cartera!$J:$J)+SUMIF([1]Futuros!$AD:$AD,$A3&amp;"_"&amp;AAC$11,[1]Futuros!$AK:$AK)+SUMIF([1]Opciones!$AF:$AF,$A3&amp;"_"&amp;AAC$11,[1]Opciones!$AO:$AO)</f>
        <v>#VALUE!</v>
      </c>
      <c r="AAD3" t="e">
        <f>+SUMIF([1]Cartera!$R:$R,$A3&amp;"_"&amp;AAD$11,[1]Cartera!$J:$J)+SUMIF([1]Futuros!$AD:$AD,$A3&amp;"_"&amp;AAD$11,[1]Futuros!$AK:$AK)+SUMIF([1]Opciones!$AF:$AF,$A3&amp;"_"&amp;AAD$11,[1]Opciones!$AO:$AO)</f>
        <v>#VALUE!</v>
      </c>
      <c r="AAE3" t="e">
        <f>+SUMIF([1]Cartera!$R:$R,$A3&amp;"_"&amp;AAE$11,[1]Cartera!$J:$J)+SUMIF([1]Futuros!$AD:$AD,$A3&amp;"_"&amp;AAE$11,[1]Futuros!$AK:$AK)+SUMIF([1]Opciones!$AF:$AF,$A3&amp;"_"&amp;AAE$11,[1]Opciones!$AO:$AO)</f>
        <v>#VALUE!</v>
      </c>
      <c r="AAF3" t="e">
        <f>+SUMIF([1]Cartera!$R:$R,$A3&amp;"_"&amp;AAF$11,[1]Cartera!$J:$J)+SUMIF([1]Futuros!$AD:$AD,$A3&amp;"_"&amp;AAF$11,[1]Futuros!$AK:$AK)+SUMIF([1]Opciones!$AF:$AF,$A3&amp;"_"&amp;AAF$11,[1]Opciones!$AO:$AO)</f>
        <v>#VALUE!</v>
      </c>
      <c r="AAG3" t="e">
        <f>+SUMIF([1]Cartera!$R:$R,$A3&amp;"_"&amp;AAG$11,[1]Cartera!$J:$J)+SUMIF([1]Futuros!$AD:$AD,$A3&amp;"_"&amp;AAG$11,[1]Futuros!$AK:$AK)+SUMIF([1]Opciones!$AF:$AF,$A3&amp;"_"&amp;AAG$11,[1]Opciones!$AO:$AO)</f>
        <v>#VALUE!</v>
      </c>
      <c r="AAH3" t="e">
        <f>+SUMIF([1]Cartera!$R:$R,$A3&amp;"_"&amp;AAH$11,[1]Cartera!$J:$J)+SUMIF([1]Futuros!$AD:$AD,$A3&amp;"_"&amp;AAH$11,[1]Futuros!$AK:$AK)+SUMIF([1]Opciones!$AF:$AF,$A3&amp;"_"&amp;AAH$11,[1]Opciones!$AO:$AO)</f>
        <v>#VALUE!</v>
      </c>
      <c r="AAI3" t="e">
        <f>+SUMIF([1]Cartera!$R:$R,$A3&amp;"_"&amp;AAI$11,[1]Cartera!$J:$J)+SUMIF([1]Futuros!$AD:$AD,$A3&amp;"_"&amp;AAI$11,[1]Futuros!$AK:$AK)+SUMIF([1]Opciones!$AF:$AF,$A3&amp;"_"&amp;AAI$11,[1]Opciones!$AO:$AO)</f>
        <v>#VALUE!</v>
      </c>
      <c r="AAJ3" t="e">
        <f>+SUMIF([1]Cartera!$R:$R,$A3&amp;"_"&amp;AAJ$11,[1]Cartera!$J:$J)+SUMIF([1]Futuros!$AD:$AD,$A3&amp;"_"&amp;AAJ$11,[1]Futuros!$AK:$AK)+SUMIF([1]Opciones!$AF:$AF,$A3&amp;"_"&amp;AAJ$11,[1]Opciones!$AO:$AO)</f>
        <v>#VALUE!</v>
      </c>
      <c r="AAK3" t="e">
        <f>+SUMIF([1]Cartera!$R:$R,$A3&amp;"_"&amp;AAK$11,[1]Cartera!$J:$J)+SUMIF([1]Futuros!$AD:$AD,$A3&amp;"_"&amp;AAK$11,[1]Futuros!$AK:$AK)+SUMIF([1]Opciones!$AF:$AF,$A3&amp;"_"&amp;AAK$11,[1]Opciones!$AO:$AO)</f>
        <v>#VALUE!</v>
      </c>
      <c r="AAL3" t="e">
        <f>+SUMIF([1]Cartera!$R:$R,$A3&amp;"_"&amp;AAL$11,[1]Cartera!$J:$J)+SUMIF([1]Futuros!$AD:$AD,$A3&amp;"_"&amp;AAL$11,[1]Futuros!$AK:$AK)+SUMIF([1]Opciones!$AF:$AF,$A3&amp;"_"&amp;AAL$11,[1]Opciones!$AO:$AO)</f>
        <v>#VALUE!</v>
      </c>
      <c r="AAM3" t="e">
        <f>+SUMIF([1]Cartera!$R:$R,$A3&amp;"_"&amp;AAM$11,[1]Cartera!$J:$J)+SUMIF([1]Futuros!$AD:$AD,$A3&amp;"_"&amp;AAM$11,[1]Futuros!$AK:$AK)+SUMIF([1]Opciones!$AF:$AF,$A3&amp;"_"&amp;AAM$11,[1]Opciones!$AO:$AO)</f>
        <v>#VALUE!</v>
      </c>
      <c r="AAN3" t="e">
        <f>+SUMIF([1]Cartera!$R:$R,$A3&amp;"_"&amp;AAN$11,[1]Cartera!$J:$J)+SUMIF([1]Futuros!$AD:$AD,$A3&amp;"_"&amp;AAN$11,[1]Futuros!$AK:$AK)+SUMIF([1]Opciones!$AF:$AF,$A3&amp;"_"&amp;AAN$11,[1]Opciones!$AO:$AO)</f>
        <v>#VALUE!</v>
      </c>
      <c r="AAO3" t="e">
        <f>+SUMIF([1]Cartera!$R:$R,$A3&amp;"_"&amp;AAO$11,[1]Cartera!$J:$J)+SUMIF([1]Futuros!$AD:$AD,$A3&amp;"_"&amp;AAO$11,[1]Futuros!$AK:$AK)+SUMIF([1]Opciones!$AF:$AF,$A3&amp;"_"&amp;AAO$11,[1]Opciones!$AO:$AO)</f>
        <v>#VALUE!</v>
      </c>
      <c r="AAP3" t="e">
        <f>+SUMIF([1]Cartera!$R:$R,$A3&amp;"_"&amp;AAP$11,[1]Cartera!$J:$J)+SUMIF([1]Futuros!$AD:$AD,$A3&amp;"_"&amp;AAP$11,[1]Futuros!$AK:$AK)+SUMIF([1]Opciones!$AF:$AF,$A3&amp;"_"&amp;AAP$11,[1]Opciones!$AO:$AO)</f>
        <v>#VALUE!</v>
      </c>
      <c r="AAQ3" t="e">
        <f>+SUMIF([1]Cartera!$R:$R,$A3&amp;"_"&amp;AAQ$11,[1]Cartera!$J:$J)+SUMIF([1]Futuros!$AD:$AD,$A3&amp;"_"&amp;AAQ$11,[1]Futuros!$AK:$AK)+SUMIF([1]Opciones!$AF:$AF,$A3&amp;"_"&amp;AAQ$11,[1]Opciones!$AO:$AO)</f>
        <v>#VALUE!</v>
      </c>
      <c r="AAR3" t="e">
        <f>+SUMIF([1]Cartera!$R:$R,$A3&amp;"_"&amp;AAR$11,[1]Cartera!$J:$J)+SUMIF([1]Futuros!$AD:$AD,$A3&amp;"_"&amp;AAR$11,[1]Futuros!$AK:$AK)+SUMIF([1]Opciones!$AF:$AF,$A3&amp;"_"&amp;AAR$11,[1]Opciones!$AO:$AO)</f>
        <v>#VALUE!</v>
      </c>
      <c r="AAS3" t="e">
        <f>+SUMIF([1]Cartera!$R:$R,$A3&amp;"_"&amp;AAS$11,[1]Cartera!$J:$J)+SUMIF([1]Futuros!$AD:$AD,$A3&amp;"_"&amp;AAS$11,[1]Futuros!$AK:$AK)+SUMIF([1]Opciones!$AF:$AF,$A3&amp;"_"&amp;AAS$11,[1]Opciones!$AO:$AO)</f>
        <v>#VALUE!</v>
      </c>
      <c r="AAT3" t="e">
        <f>+SUMIF([1]Cartera!$R:$R,$A3&amp;"_"&amp;AAT$11,[1]Cartera!$J:$J)+SUMIF([1]Futuros!$AD:$AD,$A3&amp;"_"&amp;AAT$11,[1]Futuros!$AK:$AK)+SUMIF([1]Opciones!$AF:$AF,$A3&amp;"_"&amp;AAT$11,[1]Opciones!$AO:$AO)</f>
        <v>#VALUE!</v>
      </c>
      <c r="AAU3" t="e">
        <f>+SUMIF([1]Cartera!$R:$R,$A3&amp;"_"&amp;AAU$11,[1]Cartera!$J:$J)+SUMIF([1]Futuros!$AD:$AD,$A3&amp;"_"&amp;AAU$11,[1]Futuros!$AK:$AK)+SUMIF([1]Opciones!$AF:$AF,$A3&amp;"_"&amp;AAU$11,[1]Opciones!$AO:$AO)</f>
        <v>#VALUE!</v>
      </c>
      <c r="AAV3" t="e">
        <f>+SUMIF([1]Cartera!$R:$R,$A3&amp;"_"&amp;AAV$11,[1]Cartera!$J:$J)+SUMIF([1]Futuros!$AD:$AD,$A3&amp;"_"&amp;AAV$11,[1]Futuros!$AK:$AK)+SUMIF([1]Opciones!$AF:$AF,$A3&amp;"_"&amp;AAV$11,[1]Opciones!$AO:$AO)</f>
        <v>#VALUE!</v>
      </c>
      <c r="AAW3" t="e">
        <f>+SUMIF([1]Cartera!$R:$R,$A3&amp;"_"&amp;AAW$11,[1]Cartera!$J:$J)+SUMIF([1]Futuros!$AD:$AD,$A3&amp;"_"&amp;AAW$11,[1]Futuros!$AK:$AK)+SUMIF([1]Opciones!$AF:$AF,$A3&amp;"_"&amp;AAW$11,[1]Opciones!$AO:$AO)</f>
        <v>#VALUE!</v>
      </c>
      <c r="AAX3" t="e">
        <f>+SUMIF([1]Cartera!$R:$R,$A3&amp;"_"&amp;AAX$11,[1]Cartera!$J:$J)+SUMIF([1]Futuros!$AD:$AD,$A3&amp;"_"&amp;AAX$11,[1]Futuros!$AK:$AK)+SUMIF([1]Opciones!$AF:$AF,$A3&amp;"_"&amp;AAX$11,[1]Opciones!$AO:$AO)</f>
        <v>#VALUE!</v>
      </c>
      <c r="AAY3" t="e">
        <f>+SUMIF([1]Cartera!$R:$R,$A3&amp;"_"&amp;AAY$11,[1]Cartera!$J:$J)+SUMIF([1]Futuros!$AD:$AD,$A3&amp;"_"&amp;AAY$11,[1]Futuros!$AK:$AK)+SUMIF([1]Opciones!$AF:$AF,$A3&amp;"_"&amp;AAY$11,[1]Opciones!$AO:$AO)</f>
        <v>#VALUE!</v>
      </c>
      <c r="AAZ3" t="e">
        <f>+SUMIF([1]Cartera!$R:$R,$A3&amp;"_"&amp;AAZ$11,[1]Cartera!$J:$J)+SUMIF([1]Futuros!$AD:$AD,$A3&amp;"_"&amp;AAZ$11,[1]Futuros!$AK:$AK)+SUMIF([1]Opciones!$AF:$AF,$A3&amp;"_"&amp;AAZ$11,[1]Opciones!$AO:$AO)</f>
        <v>#VALUE!</v>
      </c>
      <c r="ABA3" t="e">
        <f>+SUMIF([1]Cartera!$R:$R,$A3&amp;"_"&amp;ABA$11,[1]Cartera!$J:$J)+SUMIF([1]Futuros!$AD:$AD,$A3&amp;"_"&amp;ABA$11,[1]Futuros!$AK:$AK)+SUMIF([1]Opciones!$AF:$AF,$A3&amp;"_"&amp;ABA$11,[1]Opciones!$AO:$AO)</f>
        <v>#VALUE!</v>
      </c>
      <c r="ABB3" t="e">
        <f>+SUMIF([1]Cartera!$R:$R,$A3&amp;"_"&amp;ABB$11,[1]Cartera!$J:$J)+SUMIF([1]Futuros!$AD:$AD,$A3&amp;"_"&amp;ABB$11,[1]Futuros!$AK:$AK)+SUMIF([1]Opciones!$AF:$AF,$A3&amp;"_"&amp;ABB$11,[1]Opciones!$AO:$AO)</f>
        <v>#VALUE!</v>
      </c>
      <c r="ABC3" t="e">
        <f>+SUMIF([1]Cartera!$R:$R,$A3&amp;"_"&amp;ABC$11,[1]Cartera!$J:$J)+SUMIF([1]Futuros!$AD:$AD,$A3&amp;"_"&amp;ABC$11,[1]Futuros!$AK:$AK)+SUMIF([1]Opciones!$AF:$AF,$A3&amp;"_"&amp;ABC$11,[1]Opciones!$AO:$AO)</f>
        <v>#VALUE!</v>
      </c>
      <c r="ABD3" t="e">
        <f>+SUMIF([1]Cartera!$R:$R,$A3&amp;"_"&amp;ABD$11,[1]Cartera!$J:$J)+SUMIF([1]Futuros!$AD:$AD,$A3&amp;"_"&amp;ABD$11,[1]Futuros!$AK:$AK)+SUMIF([1]Opciones!$AF:$AF,$A3&amp;"_"&amp;ABD$11,[1]Opciones!$AO:$AO)</f>
        <v>#VALUE!</v>
      </c>
      <c r="ABE3" t="e">
        <f>+SUMIF([1]Cartera!$R:$R,$A3&amp;"_"&amp;ABE$11,[1]Cartera!$J:$J)+SUMIF([1]Futuros!$AD:$AD,$A3&amp;"_"&amp;ABE$11,[1]Futuros!$AK:$AK)+SUMIF([1]Opciones!$AF:$AF,$A3&amp;"_"&amp;ABE$11,[1]Opciones!$AO:$AO)</f>
        <v>#VALUE!</v>
      </c>
      <c r="ABF3" t="e">
        <f>+SUMIF([1]Cartera!$R:$R,$A3&amp;"_"&amp;ABF$11,[1]Cartera!$J:$J)+SUMIF([1]Futuros!$AD:$AD,$A3&amp;"_"&amp;ABF$11,[1]Futuros!$AK:$AK)+SUMIF([1]Opciones!$AF:$AF,$A3&amp;"_"&amp;ABF$11,[1]Opciones!$AO:$AO)</f>
        <v>#VALUE!</v>
      </c>
      <c r="ABG3" t="e">
        <f>+SUMIF([1]Cartera!$R:$R,$A3&amp;"_"&amp;ABG$11,[1]Cartera!$J:$J)+SUMIF([1]Futuros!$AD:$AD,$A3&amp;"_"&amp;ABG$11,[1]Futuros!$AK:$AK)+SUMIF([1]Opciones!$AF:$AF,$A3&amp;"_"&amp;ABG$11,[1]Opciones!$AO:$AO)</f>
        <v>#VALUE!</v>
      </c>
      <c r="ABH3" t="e">
        <f>+SUMIF([1]Cartera!$R:$R,$A3&amp;"_"&amp;ABH$11,[1]Cartera!$J:$J)+SUMIF([1]Futuros!$AD:$AD,$A3&amp;"_"&amp;ABH$11,[1]Futuros!$AK:$AK)+SUMIF([1]Opciones!$AF:$AF,$A3&amp;"_"&amp;ABH$11,[1]Opciones!$AO:$AO)</f>
        <v>#VALUE!</v>
      </c>
      <c r="ABI3" t="e">
        <f>+SUMIF([1]Cartera!$R:$R,$A3&amp;"_"&amp;ABI$11,[1]Cartera!$J:$J)+SUMIF([1]Futuros!$AD:$AD,$A3&amp;"_"&amp;ABI$11,[1]Futuros!$AK:$AK)+SUMIF([1]Opciones!$AF:$AF,$A3&amp;"_"&amp;ABI$11,[1]Opciones!$AO:$AO)</f>
        <v>#VALUE!</v>
      </c>
      <c r="ABJ3" t="e">
        <f>+SUMIF([1]Cartera!$R:$R,$A3&amp;"_"&amp;ABJ$11,[1]Cartera!$J:$J)+SUMIF([1]Futuros!$AD:$AD,$A3&amp;"_"&amp;ABJ$11,[1]Futuros!$AK:$AK)+SUMIF([1]Opciones!$AF:$AF,$A3&amp;"_"&amp;ABJ$11,[1]Opciones!$AO:$AO)</f>
        <v>#VALUE!</v>
      </c>
      <c r="ABK3" t="e">
        <f>+SUMIF([1]Cartera!$R:$R,$A3&amp;"_"&amp;ABK$11,[1]Cartera!$J:$J)+SUMIF([1]Futuros!$AD:$AD,$A3&amp;"_"&amp;ABK$11,[1]Futuros!$AK:$AK)+SUMIF([1]Opciones!$AF:$AF,$A3&amp;"_"&amp;ABK$11,[1]Opciones!$AO:$AO)</f>
        <v>#VALUE!</v>
      </c>
      <c r="ABL3" t="e">
        <f>+SUMIF([1]Cartera!$R:$R,$A3&amp;"_"&amp;ABL$11,[1]Cartera!$J:$J)+SUMIF([1]Futuros!$AD:$AD,$A3&amp;"_"&amp;ABL$11,[1]Futuros!$AK:$AK)+SUMIF([1]Opciones!$AF:$AF,$A3&amp;"_"&amp;ABL$11,[1]Opciones!$AO:$AO)</f>
        <v>#VALUE!</v>
      </c>
      <c r="ABM3" t="e">
        <f>+SUMIF([1]Cartera!$R:$R,$A3&amp;"_"&amp;ABM$11,[1]Cartera!$J:$J)+SUMIF([1]Futuros!$AD:$AD,$A3&amp;"_"&amp;ABM$11,[1]Futuros!$AK:$AK)+SUMIF([1]Opciones!$AF:$AF,$A3&amp;"_"&amp;ABM$11,[1]Opciones!$AO:$AO)</f>
        <v>#VALUE!</v>
      </c>
      <c r="ABN3" t="e">
        <f>+SUMIF([1]Cartera!$R:$R,$A3&amp;"_"&amp;ABN$11,[1]Cartera!$J:$J)+SUMIF([1]Futuros!$AD:$AD,$A3&amp;"_"&amp;ABN$11,[1]Futuros!$AK:$AK)+SUMIF([1]Opciones!$AF:$AF,$A3&amp;"_"&amp;ABN$11,[1]Opciones!$AO:$AO)</f>
        <v>#VALUE!</v>
      </c>
      <c r="ABO3" t="e">
        <f>+SUMIF([1]Cartera!$R:$R,$A3&amp;"_"&amp;ABO$11,[1]Cartera!$J:$J)+SUMIF([1]Futuros!$AD:$AD,$A3&amp;"_"&amp;ABO$11,[1]Futuros!$AK:$AK)+SUMIF([1]Opciones!$AF:$AF,$A3&amp;"_"&amp;ABO$11,[1]Opciones!$AO:$AO)</f>
        <v>#VALUE!</v>
      </c>
      <c r="ABP3" t="e">
        <f>+SUMIF([1]Cartera!$R:$R,$A3&amp;"_"&amp;ABP$11,[1]Cartera!$J:$J)+SUMIF([1]Futuros!$AD:$AD,$A3&amp;"_"&amp;ABP$11,[1]Futuros!$AK:$AK)+SUMIF([1]Opciones!$AF:$AF,$A3&amp;"_"&amp;ABP$11,[1]Opciones!$AO:$AO)</f>
        <v>#VALUE!</v>
      </c>
      <c r="ABQ3" t="e">
        <f>+SUMIF([1]Cartera!$R:$R,$A3&amp;"_"&amp;ABQ$11,[1]Cartera!$J:$J)+SUMIF([1]Futuros!$AD:$AD,$A3&amp;"_"&amp;ABQ$11,[1]Futuros!$AK:$AK)+SUMIF([1]Opciones!$AF:$AF,$A3&amp;"_"&amp;ABQ$11,[1]Opciones!$AO:$AO)</f>
        <v>#VALUE!</v>
      </c>
      <c r="ABR3" t="e">
        <f>+SUMIF([1]Cartera!$R:$R,$A3&amp;"_"&amp;ABR$11,[1]Cartera!$J:$J)+SUMIF([1]Futuros!$AD:$AD,$A3&amp;"_"&amp;ABR$11,[1]Futuros!$AK:$AK)+SUMIF([1]Opciones!$AF:$AF,$A3&amp;"_"&amp;ABR$11,[1]Opciones!$AO:$AO)</f>
        <v>#VALUE!</v>
      </c>
      <c r="ABS3" t="e">
        <f>+SUMIF([1]Cartera!$R:$R,$A3&amp;"_"&amp;ABS$11,[1]Cartera!$J:$J)+SUMIF([1]Futuros!$AD:$AD,$A3&amp;"_"&amp;ABS$11,[1]Futuros!$AK:$AK)+SUMIF([1]Opciones!$AF:$AF,$A3&amp;"_"&amp;ABS$11,[1]Opciones!$AO:$AO)</f>
        <v>#VALUE!</v>
      </c>
      <c r="ABT3" t="e">
        <f>+SUMIF([1]Cartera!$R:$R,$A3&amp;"_"&amp;ABT$11,[1]Cartera!$J:$J)+SUMIF([1]Futuros!$AD:$AD,$A3&amp;"_"&amp;ABT$11,[1]Futuros!$AK:$AK)+SUMIF([1]Opciones!$AF:$AF,$A3&amp;"_"&amp;ABT$11,[1]Opciones!$AO:$AO)</f>
        <v>#VALUE!</v>
      </c>
      <c r="ABU3" t="e">
        <f>+SUMIF([1]Cartera!$R:$R,$A3&amp;"_"&amp;ABU$11,[1]Cartera!$J:$J)+SUMIF([1]Futuros!$AD:$AD,$A3&amp;"_"&amp;ABU$11,[1]Futuros!$AK:$AK)+SUMIF([1]Opciones!$AF:$AF,$A3&amp;"_"&amp;ABU$11,[1]Opciones!$AO:$AO)</f>
        <v>#VALUE!</v>
      </c>
      <c r="ABV3" t="e">
        <f>+SUMIF([1]Cartera!$R:$R,$A3&amp;"_"&amp;ABV$11,[1]Cartera!$J:$J)+SUMIF([1]Futuros!$AD:$AD,$A3&amp;"_"&amp;ABV$11,[1]Futuros!$AK:$AK)+SUMIF([1]Opciones!$AF:$AF,$A3&amp;"_"&amp;ABV$11,[1]Opciones!$AO:$AO)</f>
        <v>#VALUE!</v>
      </c>
      <c r="ABW3" t="e">
        <f>+SUMIF([1]Cartera!$R:$R,$A3&amp;"_"&amp;ABW$11,[1]Cartera!$J:$J)+SUMIF([1]Futuros!$AD:$AD,$A3&amp;"_"&amp;ABW$11,[1]Futuros!$AK:$AK)+SUMIF([1]Opciones!$AF:$AF,$A3&amp;"_"&amp;ABW$11,[1]Opciones!$AO:$AO)</f>
        <v>#VALUE!</v>
      </c>
      <c r="ABX3" t="e">
        <f>+SUMIF([1]Cartera!$R:$R,$A3&amp;"_"&amp;ABX$11,[1]Cartera!$J:$J)+SUMIF([1]Futuros!$AD:$AD,$A3&amp;"_"&amp;ABX$11,[1]Futuros!$AK:$AK)+SUMIF([1]Opciones!$AF:$AF,$A3&amp;"_"&amp;ABX$11,[1]Opciones!$AO:$AO)</f>
        <v>#VALUE!</v>
      </c>
      <c r="ABY3" t="e">
        <f>+SUMIF([1]Cartera!$R:$R,$A3&amp;"_"&amp;ABY$11,[1]Cartera!$J:$J)+SUMIF([1]Futuros!$AD:$AD,$A3&amp;"_"&amp;ABY$11,[1]Futuros!$AK:$AK)+SUMIF([1]Opciones!$AF:$AF,$A3&amp;"_"&amp;ABY$11,[1]Opciones!$AO:$AO)</f>
        <v>#VALUE!</v>
      </c>
      <c r="ABZ3" t="e">
        <f>+SUMIF([1]Cartera!$R:$R,$A3&amp;"_"&amp;ABZ$11,[1]Cartera!$J:$J)+SUMIF([1]Futuros!$AD:$AD,$A3&amp;"_"&amp;ABZ$11,[1]Futuros!$AK:$AK)+SUMIF([1]Opciones!$AF:$AF,$A3&amp;"_"&amp;ABZ$11,[1]Opciones!$AO:$AO)</f>
        <v>#VALUE!</v>
      </c>
      <c r="ACA3" t="e">
        <f>+SUMIF([1]Cartera!$R:$R,$A3&amp;"_"&amp;ACA$11,[1]Cartera!$J:$J)+SUMIF([1]Futuros!$AD:$AD,$A3&amp;"_"&amp;ACA$11,[1]Futuros!$AK:$AK)+SUMIF([1]Opciones!$AF:$AF,$A3&amp;"_"&amp;ACA$11,[1]Opciones!$AO:$AO)</f>
        <v>#VALUE!</v>
      </c>
      <c r="ACB3" t="e">
        <f>+SUMIF([1]Cartera!$R:$R,$A3&amp;"_"&amp;ACB$11,[1]Cartera!$J:$J)+SUMIF([1]Futuros!$AD:$AD,$A3&amp;"_"&amp;ACB$11,[1]Futuros!$AK:$AK)+SUMIF([1]Opciones!$AF:$AF,$A3&amp;"_"&amp;ACB$11,[1]Opciones!$AO:$AO)</f>
        <v>#VALUE!</v>
      </c>
      <c r="ACC3" t="e">
        <f>+SUMIF([1]Cartera!$R:$R,$A3&amp;"_"&amp;ACC$11,[1]Cartera!$J:$J)+SUMIF([1]Futuros!$AD:$AD,$A3&amp;"_"&amp;ACC$11,[1]Futuros!$AK:$AK)+SUMIF([1]Opciones!$AF:$AF,$A3&amp;"_"&amp;ACC$11,[1]Opciones!$AO:$AO)</f>
        <v>#VALUE!</v>
      </c>
      <c r="ACD3" t="e">
        <f>+SUMIF([1]Cartera!$R:$R,$A3&amp;"_"&amp;ACD$11,[1]Cartera!$J:$J)+SUMIF([1]Futuros!$AD:$AD,$A3&amp;"_"&amp;ACD$11,[1]Futuros!$AK:$AK)+SUMIF([1]Opciones!$AF:$AF,$A3&amp;"_"&amp;ACD$11,[1]Opciones!$AO:$AO)</f>
        <v>#VALUE!</v>
      </c>
      <c r="ACE3" t="e">
        <f>+SUMIF([1]Cartera!$R:$R,$A3&amp;"_"&amp;ACE$11,[1]Cartera!$J:$J)+SUMIF([1]Futuros!$AD:$AD,$A3&amp;"_"&amp;ACE$11,[1]Futuros!$AK:$AK)+SUMIF([1]Opciones!$AF:$AF,$A3&amp;"_"&amp;ACE$11,[1]Opciones!$AO:$AO)</f>
        <v>#VALUE!</v>
      </c>
      <c r="ACF3" t="e">
        <f>+SUMIF([1]Cartera!$R:$R,$A3&amp;"_"&amp;ACF$11,[1]Cartera!$J:$J)+SUMIF([1]Futuros!$AD:$AD,$A3&amp;"_"&amp;ACF$11,[1]Futuros!$AK:$AK)+SUMIF([1]Opciones!$AF:$AF,$A3&amp;"_"&amp;ACF$11,[1]Opciones!$AO:$AO)</f>
        <v>#VALUE!</v>
      </c>
      <c r="ACG3" t="e">
        <f>+SUMIF([1]Cartera!$R:$R,$A3&amp;"_"&amp;ACG$11,[1]Cartera!$J:$J)+SUMIF([1]Futuros!$AD:$AD,$A3&amp;"_"&amp;ACG$11,[1]Futuros!$AK:$AK)+SUMIF([1]Opciones!$AF:$AF,$A3&amp;"_"&amp;ACG$11,[1]Opciones!$AO:$AO)</f>
        <v>#VALUE!</v>
      </c>
      <c r="ACH3" t="e">
        <f>+SUMIF([1]Cartera!$R:$R,$A3&amp;"_"&amp;ACH$11,[1]Cartera!$J:$J)+SUMIF([1]Futuros!$AD:$AD,$A3&amp;"_"&amp;ACH$11,[1]Futuros!$AK:$AK)+SUMIF([1]Opciones!$AF:$AF,$A3&amp;"_"&amp;ACH$11,[1]Opciones!$AO:$AO)</f>
        <v>#VALUE!</v>
      </c>
      <c r="ACI3" t="e">
        <f>+SUMIF([1]Cartera!$R:$R,$A3&amp;"_"&amp;ACI$11,[1]Cartera!$J:$J)+SUMIF([1]Futuros!$AD:$AD,$A3&amp;"_"&amp;ACI$11,[1]Futuros!$AK:$AK)+SUMIF([1]Opciones!$AF:$AF,$A3&amp;"_"&amp;ACI$11,[1]Opciones!$AO:$AO)</f>
        <v>#VALUE!</v>
      </c>
      <c r="ACJ3" t="e">
        <f>+SUMIF([1]Cartera!$R:$R,$A3&amp;"_"&amp;ACJ$11,[1]Cartera!$J:$J)+SUMIF([1]Futuros!$AD:$AD,$A3&amp;"_"&amp;ACJ$11,[1]Futuros!$AK:$AK)+SUMIF([1]Opciones!$AF:$AF,$A3&amp;"_"&amp;ACJ$11,[1]Opciones!$AO:$AO)</f>
        <v>#VALUE!</v>
      </c>
      <c r="ACK3" t="e">
        <f>+SUMIF([1]Cartera!$R:$R,$A3&amp;"_"&amp;ACK$11,[1]Cartera!$J:$J)+SUMIF([1]Futuros!$AD:$AD,$A3&amp;"_"&amp;ACK$11,[1]Futuros!$AK:$AK)+SUMIF([1]Opciones!$AF:$AF,$A3&amp;"_"&amp;ACK$11,[1]Opciones!$AO:$AO)</f>
        <v>#VALUE!</v>
      </c>
      <c r="ACL3" t="e">
        <f>+SUMIF([1]Cartera!$R:$R,$A3&amp;"_"&amp;ACL$11,[1]Cartera!$J:$J)+SUMIF([1]Futuros!$AD:$AD,$A3&amp;"_"&amp;ACL$11,[1]Futuros!$AK:$AK)+SUMIF([1]Opciones!$AF:$AF,$A3&amp;"_"&amp;ACL$11,[1]Opciones!$AO:$AO)</f>
        <v>#VALUE!</v>
      </c>
      <c r="ACM3" t="e">
        <f>+SUMIF([1]Cartera!$R:$R,$A3&amp;"_"&amp;ACM$11,[1]Cartera!$J:$J)+SUMIF([1]Futuros!$AD:$AD,$A3&amp;"_"&amp;ACM$11,[1]Futuros!$AK:$AK)+SUMIF([1]Opciones!$AF:$AF,$A3&amp;"_"&amp;ACM$11,[1]Opciones!$AO:$AO)</f>
        <v>#VALUE!</v>
      </c>
      <c r="ACN3" t="e">
        <f>+SUMIF([1]Cartera!$R:$R,$A3&amp;"_"&amp;ACN$11,[1]Cartera!$J:$J)+SUMIF([1]Futuros!$AD:$AD,$A3&amp;"_"&amp;ACN$11,[1]Futuros!$AK:$AK)+SUMIF([1]Opciones!$AF:$AF,$A3&amp;"_"&amp;ACN$11,[1]Opciones!$AO:$AO)</f>
        <v>#VALUE!</v>
      </c>
      <c r="ACO3" t="e">
        <f>+SUMIF([1]Cartera!$R:$R,$A3&amp;"_"&amp;ACO$11,[1]Cartera!$J:$J)+SUMIF([1]Futuros!$AD:$AD,$A3&amp;"_"&amp;ACO$11,[1]Futuros!$AK:$AK)+SUMIF([1]Opciones!$AF:$AF,$A3&amp;"_"&amp;ACO$11,[1]Opciones!$AO:$AO)</f>
        <v>#VALUE!</v>
      </c>
      <c r="ACP3" t="e">
        <f>+SUMIF([1]Cartera!$R:$R,$A3&amp;"_"&amp;ACP$11,[1]Cartera!$J:$J)+SUMIF([1]Futuros!$AD:$AD,$A3&amp;"_"&amp;ACP$11,[1]Futuros!$AK:$AK)+SUMIF([1]Opciones!$AF:$AF,$A3&amp;"_"&amp;ACP$11,[1]Opciones!$AO:$AO)</f>
        <v>#VALUE!</v>
      </c>
      <c r="ACQ3" t="e">
        <f>+SUMIF([1]Cartera!$R:$R,$A3&amp;"_"&amp;ACQ$11,[1]Cartera!$J:$J)+SUMIF([1]Futuros!$AD:$AD,$A3&amp;"_"&amp;ACQ$11,[1]Futuros!$AK:$AK)+SUMIF([1]Opciones!$AF:$AF,$A3&amp;"_"&amp;ACQ$11,[1]Opciones!$AO:$AO)</f>
        <v>#VALUE!</v>
      </c>
      <c r="ACR3" t="e">
        <f>+SUMIF([1]Cartera!$R:$R,$A3&amp;"_"&amp;ACR$11,[1]Cartera!$J:$J)+SUMIF([1]Futuros!$AD:$AD,$A3&amp;"_"&amp;ACR$11,[1]Futuros!$AK:$AK)+SUMIF([1]Opciones!$AF:$AF,$A3&amp;"_"&amp;ACR$11,[1]Opciones!$AO:$AO)</f>
        <v>#VALUE!</v>
      </c>
      <c r="ACS3" t="e">
        <f>+SUMIF([1]Cartera!$R:$R,$A3&amp;"_"&amp;ACS$11,[1]Cartera!$J:$J)+SUMIF([1]Futuros!$AD:$AD,$A3&amp;"_"&amp;ACS$11,[1]Futuros!$AK:$AK)+SUMIF([1]Opciones!$AF:$AF,$A3&amp;"_"&amp;ACS$11,[1]Opciones!$AO:$AO)</f>
        <v>#VALUE!</v>
      </c>
      <c r="ACT3" t="e">
        <f>+SUMIF([1]Cartera!$R:$R,$A3&amp;"_"&amp;ACT$11,[1]Cartera!$J:$J)+SUMIF([1]Futuros!$AD:$AD,$A3&amp;"_"&amp;ACT$11,[1]Futuros!$AK:$AK)+SUMIF([1]Opciones!$AF:$AF,$A3&amp;"_"&amp;ACT$11,[1]Opciones!$AO:$AO)</f>
        <v>#VALUE!</v>
      </c>
      <c r="ACU3" t="e">
        <f>+SUMIF([1]Cartera!$R:$R,$A3&amp;"_"&amp;ACU$11,[1]Cartera!$J:$J)+SUMIF([1]Futuros!$AD:$AD,$A3&amp;"_"&amp;ACU$11,[1]Futuros!$AK:$AK)+SUMIF([1]Opciones!$AF:$AF,$A3&amp;"_"&amp;ACU$11,[1]Opciones!$AO:$AO)</f>
        <v>#VALUE!</v>
      </c>
      <c r="ACV3" t="e">
        <f>+SUMIF([1]Cartera!$R:$R,$A3&amp;"_"&amp;ACV$11,[1]Cartera!$J:$J)+SUMIF([1]Futuros!$AD:$AD,$A3&amp;"_"&amp;ACV$11,[1]Futuros!$AK:$AK)+SUMIF([1]Opciones!$AF:$AF,$A3&amp;"_"&amp;ACV$11,[1]Opciones!$AO:$AO)</f>
        <v>#VALUE!</v>
      </c>
      <c r="ACW3" t="e">
        <f>+SUMIF([1]Cartera!$R:$R,$A3&amp;"_"&amp;ACW$11,[1]Cartera!$J:$J)+SUMIF([1]Futuros!$AD:$AD,$A3&amp;"_"&amp;ACW$11,[1]Futuros!$AK:$AK)+SUMIF([1]Opciones!$AF:$AF,$A3&amp;"_"&amp;ACW$11,[1]Opciones!$AO:$AO)</f>
        <v>#VALUE!</v>
      </c>
      <c r="ACX3" t="e">
        <f>+SUMIF([1]Cartera!$R:$R,$A3&amp;"_"&amp;ACX$11,[1]Cartera!$J:$J)+SUMIF([1]Futuros!$AD:$AD,$A3&amp;"_"&amp;ACX$11,[1]Futuros!$AK:$AK)+SUMIF([1]Opciones!$AF:$AF,$A3&amp;"_"&amp;ACX$11,[1]Opciones!$AO:$AO)</f>
        <v>#VALUE!</v>
      </c>
      <c r="ACY3" t="e">
        <f>+SUMIF([1]Cartera!$R:$R,$A3&amp;"_"&amp;ACY$11,[1]Cartera!$J:$J)+SUMIF([1]Futuros!$AD:$AD,$A3&amp;"_"&amp;ACY$11,[1]Futuros!$AK:$AK)+SUMIF([1]Opciones!$AF:$AF,$A3&amp;"_"&amp;ACY$11,[1]Opciones!$AO:$AO)</f>
        <v>#VALUE!</v>
      </c>
      <c r="ACZ3" t="e">
        <f>+SUMIF([1]Cartera!$R:$R,$A3&amp;"_"&amp;ACZ$11,[1]Cartera!$J:$J)+SUMIF([1]Futuros!$AD:$AD,$A3&amp;"_"&amp;ACZ$11,[1]Futuros!$AK:$AK)+SUMIF([1]Opciones!$AF:$AF,$A3&amp;"_"&amp;ACZ$11,[1]Opciones!$AO:$AO)</f>
        <v>#VALUE!</v>
      </c>
      <c r="ADA3" t="e">
        <f>+SUMIF([1]Cartera!$R:$R,$A3&amp;"_"&amp;ADA$11,[1]Cartera!$J:$J)+SUMIF([1]Futuros!$AD:$AD,$A3&amp;"_"&amp;ADA$11,[1]Futuros!$AK:$AK)+SUMIF([1]Opciones!$AF:$AF,$A3&amp;"_"&amp;ADA$11,[1]Opciones!$AO:$AO)</f>
        <v>#VALUE!</v>
      </c>
      <c r="ADB3" t="e">
        <f>+SUMIF([1]Cartera!$R:$R,$A3&amp;"_"&amp;ADB$11,[1]Cartera!$J:$J)+SUMIF([1]Futuros!$AD:$AD,$A3&amp;"_"&amp;ADB$11,[1]Futuros!$AK:$AK)+SUMIF([1]Opciones!$AF:$AF,$A3&amp;"_"&amp;ADB$11,[1]Opciones!$AO:$AO)</f>
        <v>#VALUE!</v>
      </c>
      <c r="ADC3" t="e">
        <f>+SUMIF([1]Cartera!$R:$R,$A3&amp;"_"&amp;ADC$11,[1]Cartera!$J:$J)+SUMIF([1]Futuros!$AD:$AD,$A3&amp;"_"&amp;ADC$11,[1]Futuros!$AK:$AK)+SUMIF([1]Opciones!$AF:$AF,$A3&amp;"_"&amp;ADC$11,[1]Opciones!$AO:$AO)</f>
        <v>#VALUE!</v>
      </c>
      <c r="ADD3" t="e">
        <f>+SUMIF([1]Cartera!$R:$R,$A3&amp;"_"&amp;ADD$11,[1]Cartera!$J:$J)+SUMIF([1]Futuros!$AD:$AD,$A3&amp;"_"&amp;ADD$11,[1]Futuros!$AK:$AK)+SUMIF([1]Opciones!$AF:$AF,$A3&amp;"_"&amp;ADD$11,[1]Opciones!$AO:$AO)</f>
        <v>#VALUE!</v>
      </c>
      <c r="ADE3" t="e">
        <f>+SUMIF([1]Cartera!$R:$R,$A3&amp;"_"&amp;ADE$11,[1]Cartera!$J:$J)+SUMIF([1]Futuros!$AD:$AD,$A3&amp;"_"&amp;ADE$11,[1]Futuros!$AK:$AK)+SUMIF([1]Opciones!$AF:$AF,$A3&amp;"_"&amp;ADE$11,[1]Opciones!$AO:$AO)</f>
        <v>#VALUE!</v>
      </c>
      <c r="ADF3" t="e">
        <f>+SUMIF([1]Cartera!$R:$R,$A3&amp;"_"&amp;ADF$11,[1]Cartera!$J:$J)+SUMIF([1]Futuros!$AD:$AD,$A3&amp;"_"&amp;ADF$11,[1]Futuros!$AK:$AK)+SUMIF([1]Opciones!$AF:$AF,$A3&amp;"_"&amp;ADF$11,[1]Opciones!$AO:$AO)</f>
        <v>#VALUE!</v>
      </c>
      <c r="ADG3" t="e">
        <f>+SUMIF([1]Cartera!$R:$R,$A3&amp;"_"&amp;ADG$11,[1]Cartera!$J:$J)+SUMIF([1]Futuros!$AD:$AD,$A3&amp;"_"&amp;ADG$11,[1]Futuros!$AK:$AK)+SUMIF([1]Opciones!$AF:$AF,$A3&amp;"_"&amp;ADG$11,[1]Opciones!$AO:$AO)</f>
        <v>#VALUE!</v>
      </c>
      <c r="ADH3" t="e">
        <f>+SUMIF([1]Cartera!$R:$R,$A3&amp;"_"&amp;ADH$11,[1]Cartera!$J:$J)+SUMIF([1]Futuros!$AD:$AD,$A3&amp;"_"&amp;ADH$11,[1]Futuros!$AK:$AK)+SUMIF([1]Opciones!$AF:$AF,$A3&amp;"_"&amp;ADH$11,[1]Opciones!$AO:$AO)</f>
        <v>#VALUE!</v>
      </c>
      <c r="ADI3" t="e">
        <f>+SUMIF([1]Cartera!$R:$R,$A3&amp;"_"&amp;ADI$11,[1]Cartera!$J:$J)+SUMIF([1]Futuros!$AD:$AD,$A3&amp;"_"&amp;ADI$11,[1]Futuros!$AK:$AK)+SUMIF([1]Opciones!$AF:$AF,$A3&amp;"_"&amp;ADI$11,[1]Opciones!$AO:$AO)</f>
        <v>#VALUE!</v>
      </c>
      <c r="ADJ3" t="e">
        <f>+SUMIF([1]Cartera!$R:$R,$A3&amp;"_"&amp;ADJ$11,[1]Cartera!$J:$J)+SUMIF([1]Futuros!$AD:$AD,$A3&amp;"_"&amp;ADJ$11,[1]Futuros!$AK:$AK)+SUMIF([1]Opciones!$AF:$AF,$A3&amp;"_"&amp;ADJ$11,[1]Opciones!$AO:$AO)</f>
        <v>#VALUE!</v>
      </c>
      <c r="ADK3" t="e">
        <f>+SUMIF([1]Cartera!$R:$R,$A3&amp;"_"&amp;ADK$11,[1]Cartera!$J:$J)+SUMIF([1]Futuros!$AD:$AD,$A3&amp;"_"&amp;ADK$11,[1]Futuros!$AK:$AK)+SUMIF([1]Opciones!$AF:$AF,$A3&amp;"_"&amp;ADK$11,[1]Opciones!$AO:$AO)</f>
        <v>#VALUE!</v>
      </c>
      <c r="ADL3" t="e">
        <f>+SUMIF([1]Cartera!$R:$R,$A3&amp;"_"&amp;ADL$11,[1]Cartera!$J:$J)+SUMIF([1]Futuros!$AD:$AD,$A3&amp;"_"&amp;ADL$11,[1]Futuros!$AK:$AK)+SUMIF([1]Opciones!$AF:$AF,$A3&amp;"_"&amp;ADL$11,[1]Opciones!$AO:$AO)</f>
        <v>#VALUE!</v>
      </c>
      <c r="ADM3" t="e">
        <f>+SUMIF([1]Cartera!$R:$R,$A3&amp;"_"&amp;ADM$11,[1]Cartera!$J:$J)+SUMIF([1]Futuros!$AD:$AD,$A3&amp;"_"&amp;ADM$11,[1]Futuros!$AK:$AK)+SUMIF([1]Opciones!$AF:$AF,$A3&amp;"_"&amp;ADM$11,[1]Opciones!$AO:$AO)</f>
        <v>#VALUE!</v>
      </c>
      <c r="ADN3" t="e">
        <f>+SUMIF([1]Cartera!$R:$R,$A3&amp;"_"&amp;ADN$11,[1]Cartera!$J:$J)+SUMIF([1]Futuros!$AD:$AD,$A3&amp;"_"&amp;ADN$11,[1]Futuros!$AK:$AK)+SUMIF([1]Opciones!$AF:$AF,$A3&amp;"_"&amp;ADN$11,[1]Opciones!$AO:$AO)</f>
        <v>#VALUE!</v>
      </c>
      <c r="ADO3" t="e">
        <f>+SUMIF([1]Cartera!$R:$R,$A3&amp;"_"&amp;ADO$11,[1]Cartera!$J:$J)+SUMIF([1]Futuros!$AD:$AD,$A3&amp;"_"&amp;ADO$11,[1]Futuros!$AK:$AK)+SUMIF([1]Opciones!$AF:$AF,$A3&amp;"_"&amp;ADO$11,[1]Opciones!$AO:$AO)</f>
        <v>#VALUE!</v>
      </c>
      <c r="ADP3" t="e">
        <f>+SUMIF([1]Cartera!$R:$R,$A3&amp;"_"&amp;ADP$11,[1]Cartera!$J:$J)+SUMIF([1]Futuros!$AD:$AD,$A3&amp;"_"&amp;ADP$11,[1]Futuros!$AK:$AK)+SUMIF([1]Opciones!$AF:$AF,$A3&amp;"_"&amp;ADP$11,[1]Opciones!$AO:$AO)</f>
        <v>#VALUE!</v>
      </c>
      <c r="ADQ3" t="e">
        <f>+SUMIF([1]Cartera!$R:$R,$A3&amp;"_"&amp;ADQ$11,[1]Cartera!$J:$J)+SUMIF([1]Futuros!$AD:$AD,$A3&amp;"_"&amp;ADQ$11,[1]Futuros!$AK:$AK)+SUMIF([1]Opciones!$AF:$AF,$A3&amp;"_"&amp;ADQ$11,[1]Opciones!$AO:$AO)</f>
        <v>#VALUE!</v>
      </c>
      <c r="ADR3" t="e">
        <f>+SUMIF([1]Cartera!$R:$R,$A3&amp;"_"&amp;ADR$11,[1]Cartera!$J:$J)+SUMIF([1]Futuros!$AD:$AD,$A3&amp;"_"&amp;ADR$11,[1]Futuros!$AK:$AK)+SUMIF([1]Opciones!$AF:$AF,$A3&amp;"_"&amp;ADR$11,[1]Opciones!$AO:$AO)</f>
        <v>#VALUE!</v>
      </c>
      <c r="ADS3" t="e">
        <f>+SUMIF([1]Cartera!$R:$R,$A3&amp;"_"&amp;ADS$11,[1]Cartera!$J:$J)+SUMIF([1]Futuros!$AD:$AD,$A3&amp;"_"&amp;ADS$11,[1]Futuros!$AK:$AK)+SUMIF([1]Opciones!$AF:$AF,$A3&amp;"_"&amp;ADS$11,[1]Opciones!$AO:$AO)</f>
        <v>#VALUE!</v>
      </c>
      <c r="ADT3" t="e">
        <f>+SUMIF([1]Cartera!$R:$R,$A3&amp;"_"&amp;ADT$11,[1]Cartera!$J:$J)+SUMIF([1]Futuros!$AD:$AD,$A3&amp;"_"&amp;ADT$11,[1]Futuros!$AK:$AK)+SUMIF([1]Opciones!$AF:$AF,$A3&amp;"_"&amp;ADT$11,[1]Opciones!$AO:$AO)</f>
        <v>#VALUE!</v>
      </c>
      <c r="ADU3" t="e">
        <f>+SUMIF([1]Cartera!$R:$R,$A3&amp;"_"&amp;ADU$11,[1]Cartera!$J:$J)+SUMIF([1]Futuros!$AD:$AD,$A3&amp;"_"&amp;ADU$11,[1]Futuros!$AK:$AK)+SUMIF([1]Opciones!$AF:$AF,$A3&amp;"_"&amp;ADU$11,[1]Opciones!$AO:$AO)</f>
        <v>#VALUE!</v>
      </c>
      <c r="ADV3" t="e">
        <f>+SUMIF([1]Cartera!$R:$R,$A3&amp;"_"&amp;ADV$11,[1]Cartera!$J:$J)+SUMIF([1]Futuros!$AD:$AD,$A3&amp;"_"&amp;ADV$11,[1]Futuros!$AK:$AK)+SUMIF([1]Opciones!$AF:$AF,$A3&amp;"_"&amp;ADV$11,[1]Opciones!$AO:$AO)</f>
        <v>#VALUE!</v>
      </c>
      <c r="ADW3" t="e">
        <f>+SUMIF([1]Cartera!$R:$R,$A3&amp;"_"&amp;ADW$11,[1]Cartera!$J:$J)+SUMIF([1]Futuros!$AD:$AD,$A3&amp;"_"&amp;ADW$11,[1]Futuros!$AK:$AK)+SUMIF([1]Opciones!$AF:$AF,$A3&amp;"_"&amp;ADW$11,[1]Opciones!$AO:$AO)</f>
        <v>#VALUE!</v>
      </c>
      <c r="ADX3" t="e">
        <f>+SUMIF([1]Cartera!$R:$R,$A3&amp;"_"&amp;ADX$11,[1]Cartera!$J:$J)+SUMIF([1]Futuros!$AD:$AD,$A3&amp;"_"&amp;ADX$11,[1]Futuros!$AK:$AK)+SUMIF([1]Opciones!$AF:$AF,$A3&amp;"_"&amp;ADX$11,[1]Opciones!$AO:$AO)</f>
        <v>#VALUE!</v>
      </c>
      <c r="ADY3" t="e">
        <f>+SUMIF([1]Cartera!$R:$R,$A3&amp;"_"&amp;ADY$11,[1]Cartera!$J:$J)+SUMIF([1]Futuros!$AD:$AD,$A3&amp;"_"&amp;ADY$11,[1]Futuros!$AK:$AK)+SUMIF([1]Opciones!$AF:$AF,$A3&amp;"_"&amp;ADY$11,[1]Opciones!$AO:$AO)</f>
        <v>#VALUE!</v>
      </c>
      <c r="ADZ3" t="e">
        <f>+SUMIF([1]Cartera!$R:$R,$A3&amp;"_"&amp;ADZ$11,[1]Cartera!$J:$J)+SUMIF([1]Futuros!$AD:$AD,$A3&amp;"_"&amp;ADZ$11,[1]Futuros!$AK:$AK)+SUMIF([1]Opciones!$AF:$AF,$A3&amp;"_"&amp;ADZ$11,[1]Opciones!$AO:$AO)</f>
        <v>#VALUE!</v>
      </c>
      <c r="AEA3" t="e">
        <f>+SUMIF([1]Cartera!$R:$R,$A3&amp;"_"&amp;AEA$11,[1]Cartera!$J:$J)+SUMIF([1]Futuros!$AD:$AD,$A3&amp;"_"&amp;AEA$11,[1]Futuros!$AK:$AK)+SUMIF([1]Opciones!$AF:$AF,$A3&amp;"_"&amp;AEA$11,[1]Opciones!$AO:$AO)</f>
        <v>#VALUE!</v>
      </c>
      <c r="AEB3" t="e">
        <f>+SUMIF([1]Cartera!$R:$R,$A3&amp;"_"&amp;AEB$11,[1]Cartera!$J:$J)+SUMIF([1]Futuros!$AD:$AD,$A3&amp;"_"&amp;AEB$11,[1]Futuros!$AK:$AK)+SUMIF([1]Opciones!$AF:$AF,$A3&amp;"_"&amp;AEB$11,[1]Opciones!$AO:$AO)</f>
        <v>#VALUE!</v>
      </c>
      <c r="AEC3" t="e">
        <f>+SUMIF([1]Cartera!$R:$R,$A3&amp;"_"&amp;AEC$11,[1]Cartera!$J:$J)+SUMIF([1]Futuros!$AD:$AD,$A3&amp;"_"&amp;AEC$11,[1]Futuros!$AK:$AK)+SUMIF([1]Opciones!$AF:$AF,$A3&amp;"_"&amp;AEC$11,[1]Opciones!$AO:$AO)</f>
        <v>#VALUE!</v>
      </c>
      <c r="AED3" t="e">
        <f>+SUMIF([1]Cartera!$R:$R,$A3&amp;"_"&amp;AED$11,[1]Cartera!$J:$J)+SUMIF([1]Futuros!$AD:$AD,$A3&amp;"_"&amp;AED$11,[1]Futuros!$AK:$AK)+SUMIF([1]Opciones!$AF:$AF,$A3&amp;"_"&amp;AED$11,[1]Opciones!$AO:$AO)</f>
        <v>#VALUE!</v>
      </c>
      <c r="AEE3" t="e">
        <f>+SUMIF([1]Cartera!$R:$R,$A3&amp;"_"&amp;AEE$11,[1]Cartera!$J:$J)+SUMIF([1]Futuros!$AD:$AD,$A3&amp;"_"&amp;AEE$11,[1]Futuros!$AK:$AK)+SUMIF([1]Opciones!$AF:$AF,$A3&amp;"_"&amp;AEE$11,[1]Opciones!$AO:$AO)</f>
        <v>#VALUE!</v>
      </c>
      <c r="AEF3" t="e">
        <f>+SUMIF([1]Cartera!$R:$R,$A3&amp;"_"&amp;AEF$11,[1]Cartera!$J:$J)+SUMIF([1]Futuros!$AD:$AD,$A3&amp;"_"&amp;AEF$11,[1]Futuros!$AK:$AK)+SUMIF([1]Opciones!$AF:$AF,$A3&amp;"_"&amp;AEF$11,[1]Opciones!$AO:$AO)</f>
        <v>#VALUE!</v>
      </c>
      <c r="AEG3" t="e">
        <f>+SUMIF([1]Cartera!$R:$R,$A3&amp;"_"&amp;AEG$11,[1]Cartera!$J:$J)+SUMIF([1]Futuros!$AD:$AD,$A3&amp;"_"&amp;AEG$11,[1]Futuros!$AK:$AK)+SUMIF([1]Opciones!$AF:$AF,$A3&amp;"_"&amp;AEG$11,[1]Opciones!$AO:$AO)</f>
        <v>#VALUE!</v>
      </c>
      <c r="AEH3" t="e">
        <f>+SUMIF([1]Cartera!$R:$R,$A3&amp;"_"&amp;AEH$11,[1]Cartera!$J:$J)+SUMIF([1]Futuros!$AD:$AD,$A3&amp;"_"&amp;AEH$11,[1]Futuros!$AK:$AK)+SUMIF([1]Opciones!$AF:$AF,$A3&amp;"_"&amp;AEH$11,[1]Opciones!$AO:$AO)</f>
        <v>#VALUE!</v>
      </c>
      <c r="AEI3" t="e">
        <f>+SUMIF([1]Cartera!$R:$R,$A3&amp;"_"&amp;AEI$11,[1]Cartera!$J:$J)+SUMIF([1]Futuros!$AD:$AD,$A3&amp;"_"&amp;AEI$11,[1]Futuros!$AK:$AK)+SUMIF([1]Opciones!$AF:$AF,$A3&amp;"_"&amp;AEI$11,[1]Opciones!$AO:$AO)</f>
        <v>#VALUE!</v>
      </c>
      <c r="AEJ3" t="e">
        <f>+SUMIF([1]Cartera!$R:$R,$A3&amp;"_"&amp;AEJ$11,[1]Cartera!$J:$J)+SUMIF([1]Futuros!$AD:$AD,$A3&amp;"_"&amp;AEJ$11,[1]Futuros!$AK:$AK)+SUMIF([1]Opciones!$AF:$AF,$A3&amp;"_"&amp;AEJ$11,[1]Opciones!$AO:$AO)</f>
        <v>#VALUE!</v>
      </c>
      <c r="AEK3" t="e">
        <f>+SUMIF([1]Cartera!$R:$R,$A3&amp;"_"&amp;AEK$11,[1]Cartera!$J:$J)+SUMIF([1]Futuros!$AD:$AD,$A3&amp;"_"&amp;AEK$11,[1]Futuros!$AK:$AK)+SUMIF([1]Opciones!$AF:$AF,$A3&amp;"_"&amp;AEK$11,[1]Opciones!$AO:$AO)</f>
        <v>#VALUE!</v>
      </c>
      <c r="AEL3" t="e">
        <f>+SUMIF([1]Cartera!$R:$R,$A3&amp;"_"&amp;AEL$11,[1]Cartera!$J:$J)+SUMIF([1]Futuros!$AD:$AD,$A3&amp;"_"&amp;AEL$11,[1]Futuros!$AK:$AK)+SUMIF([1]Opciones!$AF:$AF,$A3&amp;"_"&amp;AEL$11,[1]Opciones!$AO:$AO)</f>
        <v>#VALUE!</v>
      </c>
      <c r="AEM3" t="e">
        <f>+SUMIF([1]Cartera!$R:$R,$A3&amp;"_"&amp;AEM$11,[1]Cartera!$J:$J)+SUMIF([1]Futuros!$AD:$AD,$A3&amp;"_"&amp;AEM$11,[1]Futuros!$AK:$AK)+SUMIF([1]Opciones!$AF:$AF,$A3&amp;"_"&amp;AEM$11,[1]Opciones!$AO:$AO)</f>
        <v>#VALUE!</v>
      </c>
      <c r="AEN3" t="e">
        <f>+SUMIF([1]Cartera!$R:$R,$A3&amp;"_"&amp;AEN$11,[1]Cartera!$J:$J)+SUMIF([1]Futuros!$AD:$AD,$A3&amp;"_"&amp;AEN$11,[1]Futuros!$AK:$AK)+SUMIF([1]Opciones!$AF:$AF,$A3&amp;"_"&amp;AEN$11,[1]Opciones!$AO:$AO)</f>
        <v>#VALUE!</v>
      </c>
      <c r="AEO3" t="e">
        <f>+SUMIF([1]Cartera!$R:$R,$A3&amp;"_"&amp;AEO$11,[1]Cartera!$J:$J)+SUMIF([1]Futuros!$AD:$AD,$A3&amp;"_"&amp;AEO$11,[1]Futuros!$AK:$AK)+SUMIF([1]Opciones!$AF:$AF,$A3&amp;"_"&amp;AEO$11,[1]Opciones!$AO:$AO)</f>
        <v>#VALUE!</v>
      </c>
      <c r="AEP3" t="e">
        <f>+SUMIF([1]Cartera!$R:$R,$A3&amp;"_"&amp;AEP$11,[1]Cartera!$J:$J)+SUMIF([1]Futuros!$AD:$AD,$A3&amp;"_"&amp;AEP$11,[1]Futuros!$AK:$AK)+SUMIF([1]Opciones!$AF:$AF,$A3&amp;"_"&amp;AEP$11,[1]Opciones!$AO:$AO)</f>
        <v>#VALUE!</v>
      </c>
      <c r="AEQ3" t="e">
        <f>+SUMIF([1]Cartera!$R:$R,$A3&amp;"_"&amp;AEQ$11,[1]Cartera!$J:$J)+SUMIF([1]Futuros!$AD:$AD,$A3&amp;"_"&amp;AEQ$11,[1]Futuros!$AK:$AK)+SUMIF([1]Opciones!$AF:$AF,$A3&amp;"_"&amp;AEQ$11,[1]Opciones!$AO:$AO)</f>
        <v>#VALUE!</v>
      </c>
      <c r="AER3" t="e">
        <f>+SUMIF([1]Cartera!$R:$R,$A3&amp;"_"&amp;AER$11,[1]Cartera!$J:$J)+SUMIF([1]Futuros!$AD:$AD,$A3&amp;"_"&amp;AER$11,[1]Futuros!$AK:$AK)+SUMIF([1]Opciones!$AF:$AF,$A3&amp;"_"&amp;AER$11,[1]Opciones!$AO:$AO)</f>
        <v>#VALUE!</v>
      </c>
      <c r="AES3" t="e">
        <f>+SUMIF([1]Cartera!$R:$R,$A3&amp;"_"&amp;AES$11,[1]Cartera!$J:$J)+SUMIF([1]Futuros!$AD:$AD,$A3&amp;"_"&amp;AES$11,[1]Futuros!$AK:$AK)+SUMIF([1]Opciones!$AF:$AF,$A3&amp;"_"&amp;AES$11,[1]Opciones!$AO:$AO)</f>
        <v>#VALUE!</v>
      </c>
      <c r="AET3" t="e">
        <f>+SUMIF([1]Cartera!$R:$R,$A3&amp;"_"&amp;AET$11,[1]Cartera!$J:$J)+SUMIF([1]Futuros!$AD:$AD,$A3&amp;"_"&amp;AET$11,[1]Futuros!$AK:$AK)+SUMIF([1]Opciones!$AF:$AF,$A3&amp;"_"&amp;AET$11,[1]Opciones!$AO:$AO)</f>
        <v>#VALUE!</v>
      </c>
      <c r="AEU3" t="e">
        <f>+SUMIF([1]Cartera!$R:$R,$A3&amp;"_"&amp;AEU$11,[1]Cartera!$J:$J)+SUMIF([1]Futuros!$AD:$AD,$A3&amp;"_"&amp;AEU$11,[1]Futuros!$AK:$AK)+SUMIF([1]Opciones!$AF:$AF,$A3&amp;"_"&amp;AEU$11,[1]Opciones!$AO:$AO)</f>
        <v>#VALUE!</v>
      </c>
      <c r="AEV3" t="e">
        <f>+SUMIF([1]Cartera!$R:$R,$A3&amp;"_"&amp;AEV$11,[1]Cartera!$J:$J)+SUMIF([1]Futuros!$AD:$AD,$A3&amp;"_"&amp;AEV$11,[1]Futuros!$AK:$AK)+SUMIF([1]Opciones!$AF:$AF,$A3&amp;"_"&amp;AEV$11,[1]Opciones!$AO:$AO)</f>
        <v>#VALUE!</v>
      </c>
      <c r="AEW3" t="e">
        <f>+SUMIF([1]Cartera!$R:$R,$A3&amp;"_"&amp;AEW$11,[1]Cartera!$J:$J)+SUMIF([1]Futuros!$AD:$AD,$A3&amp;"_"&amp;AEW$11,[1]Futuros!$AK:$AK)+SUMIF([1]Opciones!$AF:$AF,$A3&amp;"_"&amp;AEW$11,[1]Opciones!$AO:$AO)</f>
        <v>#VALUE!</v>
      </c>
      <c r="AEX3" t="e">
        <f>+SUMIF([1]Cartera!$R:$R,$A3&amp;"_"&amp;AEX$11,[1]Cartera!$J:$J)+SUMIF([1]Futuros!$AD:$AD,$A3&amp;"_"&amp;AEX$11,[1]Futuros!$AK:$AK)+SUMIF([1]Opciones!$AF:$AF,$A3&amp;"_"&amp;AEX$11,[1]Opciones!$AO:$AO)</f>
        <v>#VALUE!</v>
      </c>
      <c r="AEY3" t="e">
        <f>+SUMIF([1]Cartera!$R:$R,$A3&amp;"_"&amp;AEY$11,[1]Cartera!$J:$J)+SUMIF([1]Futuros!$AD:$AD,$A3&amp;"_"&amp;AEY$11,[1]Futuros!$AK:$AK)+SUMIF([1]Opciones!$AF:$AF,$A3&amp;"_"&amp;AEY$11,[1]Opciones!$AO:$AO)</f>
        <v>#VALUE!</v>
      </c>
      <c r="AEZ3" t="e">
        <f>+SUMIF([1]Cartera!$R:$R,$A3&amp;"_"&amp;AEZ$11,[1]Cartera!$J:$J)+SUMIF([1]Futuros!$AD:$AD,$A3&amp;"_"&amp;AEZ$11,[1]Futuros!$AK:$AK)+SUMIF([1]Opciones!$AF:$AF,$A3&amp;"_"&amp;AEZ$11,[1]Opciones!$AO:$AO)</f>
        <v>#VALUE!</v>
      </c>
      <c r="AFA3" t="e">
        <f>+SUMIF([1]Cartera!$R:$R,$A3&amp;"_"&amp;AFA$11,[1]Cartera!$J:$J)+SUMIF([1]Futuros!$AD:$AD,$A3&amp;"_"&amp;AFA$11,[1]Futuros!$AK:$AK)+SUMIF([1]Opciones!$AF:$AF,$A3&amp;"_"&amp;AFA$11,[1]Opciones!$AO:$AO)</f>
        <v>#VALUE!</v>
      </c>
      <c r="AFB3" t="e">
        <f>+SUMIF([1]Cartera!$R:$R,$A3&amp;"_"&amp;AFB$11,[1]Cartera!$J:$J)+SUMIF([1]Futuros!$AD:$AD,$A3&amp;"_"&amp;AFB$11,[1]Futuros!$AK:$AK)+SUMIF([1]Opciones!$AF:$AF,$A3&amp;"_"&amp;AFB$11,[1]Opciones!$AO:$AO)</f>
        <v>#VALUE!</v>
      </c>
      <c r="AFC3" t="e">
        <f>+SUMIF([1]Cartera!$R:$R,$A3&amp;"_"&amp;AFC$11,[1]Cartera!$J:$J)+SUMIF([1]Futuros!$AD:$AD,$A3&amp;"_"&amp;AFC$11,[1]Futuros!$AK:$AK)+SUMIF([1]Opciones!$AF:$AF,$A3&amp;"_"&amp;AFC$11,[1]Opciones!$AO:$AO)</f>
        <v>#VALUE!</v>
      </c>
      <c r="AFD3" t="e">
        <f>+SUMIF([1]Cartera!$R:$R,$A3&amp;"_"&amp;AFD$11,[1]Cartera!$J:$J)+SUMIF([1]Futuros!$AD:$AD,$A3&amp;"_"&amp;AFD$11,[1]Futuros!$AK:$AK)+SUMIF([1]Opciones!$AF:$AF,$A3&amp;"_"&amp;AFD$11,[1]Opciones!$AO:$AO)</f>
        <v>#VALUE!</v>
      </c>
      <c r="AFE3" t="e">
        <f>+SUMIF([1]Cartera!$R:$R,$A3&amp;"_"&amp;AFE$11,[1]Cartera!$J:$J)+SUMIF([1]Futuros!$AD:$AD,$A3&amp;"_"&amp;AFE$11,[1]Futuros!$AK:$AK)+SUMIF([1]Opciones!$AF:$AF,$A3&amp;"_"&amp;AFE$11,[1]Opciones!$AO:$AO)</f>
        <v>#VALUE!</v>
      </c>
      <c r="AFF3" t="e">
        <f>+SUMIF([1]Cartera!$R:$R,$A3&amp;"_"&amp;AFF$11,[1]Cartera!$J:$J)+SUMIF([1]Futuros!$AD:$AD,$A3&amp;"_"&amp;AFF$11,[1]Futuros!$AK:$AK)+SUMIF([1]Opciones!$AF:$AF,$A3&amp;"_"&amp;AFF$11,[1]Opciones!$AO:$AO)</f>
        <v>#VALUE!</v>
      </c>
      <c r="AFG3" t="e">
        <f>+SUMIF([1]Cartera!$R:$R,$A3&amp;"_"&amp;AFG$11,[1]Cartera!$J:$J)+SUMIF([1]Futuros!$AD:$AD,$A3&amp;"_"&amp;AFG$11,[1]Futuros!$AK:$AK)+SUMIF([1]Opciones!$AF:$AF,$A3&amp;"_"&amp;AFG$11,[1]Opciones!$AO:$AO)</f>
        <v>#VALUE!</v>
      </c>
      <c r="AFH3" t="e">
        <f>+SUMIF([1]Cartera!$R:$R,$A3&amp;"_"&amp;AFH$11,[1]Cartera!$J:$J)+SUMIF([1]Futuros!$AD:$AD,$A3&amp;"_"&amp;AFH$11,[1]Futuros!$AK:$AK)+SUMIF([1]Opciones!$AF:$AF,$A3&amp;"_"&amp;AFH$11,[1]Opciones!$AO:$AO)</f>
        <v>#VALUE!</v>
      </c>
      <c r="AFI3" t="e">
        <f>+SUMIF([1]Cartera!$R:$R,$A3&amp;"_"&amp;AFI$11,[1]Cartera!$J:$J)+SUMIF([1]Futuros!$AD:$AD,$A3&amp;"_"&amp;AFI$11,[1]Futuros!$AK:$AK)+SUMIF([1]Opciones!$AF:$AF,$A3&amp;"_"&amp;AFI$11,[1]Opciones!$AO:$AO)</f>
        <v>#VALUE!</v>
      </c>
      <c r="AFJ3" t="e">
        <f>+SUMIF([1]Cartera!$R:$R,$A3&amp;"_"&amp;AFJ$11,[1]Cartera!$J:$J)+SUMIF([1]Futuros!$AD:$AD,$A3&amp;"_"&amp;AFJ$11,[1]Futuros!$AK:$AK)+SUMIF([1]Opciones!$AF:$AF,$A3&amp;"_"&amp;AFJ$11,[1]Opciones!$AO:$AO)</f>
        <v>#VALUE!</v>
      </c>
      <c r="AFK3" t="e">
        <f>+SUMIF([1]Cartera!$R:$R,$A3&amp;"_"&amp;AFK$11,[1]Cartera!$J:$J)+SUMIF([1]Futuros!$AD:$AD,$A3&amp;"_"&amp;AFK$11,[1]Futuros!$AK:$AK)+SUMIF([1]Opciones!$AF:$AF,$A3&amp;"_"&amp;AFK$11,[1]Opciones!$AO:$AO)</f>
        <v>#VALUE!</v>
      </c>
      <c r="AFL3" t="e">
        <f>+SUMIF([1]Cartera!$R:$R,$A3&amp;"_"&amp;AFL$11,[1]Cartera!$J:$J)+SUMIF([1]Futuros!$AD:$AD,$A3&amp;"_"&amp;AFL$11,[1]Futuros!$AK:$AK)+SUMIF([1]Opciones!$AF:$AF,$A3&amp;"_"&amp;AFL$11,[1]Opciones!$AO:$AO)</f>
        <v>#VALUE!</v>
      </c>
      <c r="AFM3" t="e">
        <f>+SUMIF([1]Cartera!$R:$R,$A3&amp;"_"&amp;AFM$11,[1]Cartera!$J:$J)+SUMIF([1]Futuros!$AD:$AD,$A3&amp;"_"&amp;AFM$11,[1]Futuros!$AK:$AK)+SUMIF([1]Opciones!$AF:$AF,$A3&amp;"_"&amp;AFM$11,[1]Opciones!$AO:$AO)</f>
        <v>#VALUE!</v>
      </c>
      <c r="AFN3" t="e">
        <f>+SUMIF([1]Cartera!$R:$R,$A3&amp;"_"&amp;AFN$11,[1]Cartera!$J:$J)+SUMIF([1]Futuros!$AD:$AD,$A3&amp;"_"&amp;AFN$11,[1]Futuros!$AK:$AK)+SUMIF([1]Opciones!$AF:$AF,$A3&amp;"_"&amp;AFN$11,[1]Opciones!$AO:$AO)</f>
        <v>#VALUE!</v>
      </c>
      <c r="AFO3" t="e">
        <f>+SUMIF([1]Cartera!$R:$R,$A3&amp;"_"&amp;AFO$11,[1]Cartera!$J:$J)+SUMIF([1]Futuros!$AD:$AD,$A3&amp;"_"&amp;AFO$11,[1]Futuros!$AK:$AK)+SUMIF([1]Opciones!$AF:$AF,$A3&amp;"_"&amp;AFO$11,[1]Opciones!$AO:$AO)</f>
        <v>#VALUE!</v>
      </c>
      <c r="AFP3" t="e">
        <f>+SUMIF([1]Cartera!$R:$R,$A3&amp;"_"&amp;AFP$11,[1]Cartera!$J:$J)+SUMIF([1]Futuros!$AD:$AD,$A3&amp;"_"&amp;AFP$11,[1]Futuros!$AK:$AK)+SUMIF([1]Opciones!$AF:$AF,$A3&amp;"_"&amp;AFP$11,[1]Opciones!$AO:$AO)</f>
        <v>#VALUE!</v>
      </c>
      <c r="AFQ3" t="e">
        <f>+SUMIF([1]Cartera!$R:$R,$A3&amp;"_"&amp;AFQ$11,[1]Cartera!$J:$J)+SUMIF([1]Futuros!$AD:$AD,$A3&amp;"_"&amp;AFQ$11,[1]Futuros!$AK:$AK)+SUMIF([1]Opciones!$AF:$AF,$A3&amp;"_"&amp;AFQ$11,[1]Opciones!$AO:$AO)</f>
        <v>#VALUE!</v>
      </c>
      <c r="AFR3" t="e">
        <f>+SUMIF([1]Cartera!$R:$R,$A3&amp;"_"&amp;AFR$11,[1]Cartera!$J:$J)+SUMIF([1]Futuros!$AD:$AD,$A3&amp;"_"&amp;AFR$11,[1]Futuros!$AK:$AK)+SUMIF([1]Opciones!$AF:$AF,$A3&amp;"_"&amp;AFR$11,[1]Opciones!$AO:$AO)</f>
        <v>#VALUE!</v>
      </c>
      <c r="AFS3" t="e">
        <f>+SUMIF([1]Cartera!$R:$R,$A3&amp;"_"&amp;AFS$11,[1]Cartera!$J:$J)+SUMIF([1]Futuros!$AD:$AD,$A3&amp;"_"&amp;AFS$11,[1]Futuros!$AK:$AK)+SUMIF([1]Opciones!$AF:$AF,$A3&amp;"_"&amp;AFS$11,[1]Opciones!$AO:$AO)</f>
        <v>#VALUE!</v>
      </c>
      <c r="AFT3" t="e">
        <f>+SUMIF([1]Cartera!$R:$R,$A3&amp;"_"&amp;AFT$11,[1]Cartera!$J:$J)+SUMIF([1]Futuros!$AD:$AD,$A3&amp;"_"&amp;AFT$11,[1]Futuros!$AK:$AK)+SUMIF([1]Opciones!$AF:$AF,$A3&amp;"_"&amp;AFT$11,[1]Opciones!$AO:$AO)</f>
        <v>#VALUE!</v>
      </c>
      <c r="AFU3" t="e">
        <f>+SUMIF([1]Cartera!$R:$R,$A3&amp;"_"&amp;AFU$11,[1]Cartera!$J:$J)+SUMIF([1]Futuros!$AD:$AD,$A3&amp;"_"&amp;AFU$11,[1]Futuros!$AK:$AK)+SUMIF([1]Opciones!$AF:$AF,$A3&amp;"_"&amp;AFU$11,[1]Opciones!$AO:$AO)</f>
        <v>#VALUE!</v>
      </c>
      <c r="AFV3" t="e">
        <f>+SUMIF([1]Cartera!$R:$R,$A3&amp;"_"&amp;AFV$11,[1]Cartera!$J:$J)+SUMIF([1]Futuros!$AD:$AD,$A3&amp;"_"&amp;AFV$11,[1]Futuros!$AK:$AK)+SUMIF([1]Opciones!$AF:$AF,$A3&amp;"_"&amp;AFV$11,[1]Opciones!$AO:$AO)</f>
        <v>#VALUE!</v>
      </c>
      <c r="AFW3" t="e">
        <f>+SUMIF([1]Cartera!$R:$R,$A3&amp;"_"&amp;AFW$11,[1]Cartera!$J:$J)+SUMIF([1]Futuros!$AD:$AD,$A3&amp;"_"&amp;AFW$11,[1]Futuros!$AK:$AK)+SUMIF([1]Opciones!$AF:$AF,$A3&amp;"_"&amp;AFW$11,[1]Opciones!$AO:$AO)</f>
        <v>#VALUE!</v>
      </c>
      <c r="AFX3" t="e">
        <f>+SUMIF([1]Cartera!$R:$R,$A3&amp;"_"&amp;AFX$11,[1]Cartera!$J:$J)+SUMIF([1]Futuros!$AD:$AD,$A3&amp;"_"&amp;AFX$11,[1]Futuros!$AK:$AK)+SUMIF([1]Opciones!$AF:$AF,$A3&amp;"_"&amp;AFX$11,[1]Opciones!$AO:$AO)</f>
        <v>#VALUE!</v>
      </c>
      <c r="AFY3" t="e">
        <f>+SUMIF([1]Cartera!$R:$R,$A3&amp;"_"&amp;AFY$11,[1]Cartera!$J:$J)+SUMIF([1]Futuros!$AD:$AD,$A3&amp;"_"&amp;AFY$11,[1]Futuros!$AK:$AK)+SUMIF([1]Opciones!$AF:$AF,$A3&amp;"_"&amp;AFY$11,[1]Opciones!$AO:$AO)</f>
        <v>#VALUE!</v>
      </c>
      <c r="AFZ3" t="e">
        <f>+SUMIF([1]Cartera!$R:$R,$A3&amp;"_"&amp;AFZ$11,[1]Cartera!$J:$J)+SUMIF([1]Futuros!$AD:$AD,$A3&amp;"_"&amp;AFZ$11,[1]Futuros!$AK:$AK)+SUMIF([1]Opciones!$AF:$AF,$A3&amp;"_"&amp;AFZ$11,[1]Opciones!$AO:$AO)</f>
        <v>#VALUE!</v>
      </c>
      <c r="AGA3" t="e">
        <f>+SUMIF([1]Cartera!$R:$R,$A3&amp;"_"&amp;AGA$11,[1]Cartera!$J:$J)+SUMIF([1]Futuros!$AD:$AD,$A3&amp;"_"&amp;AGA$11,[1]Futuros!$AK:$AK)+SUMIF([1]Opciones!$AF:$AF,$A3&amp;"_"&amp;AGA$11,[1]Opciones!$AO:$AO)</f>
        <v>#VALUE!</v>
      </c>
      <c r="AGB3" t="e">
        <f>+SUMIF([1]Cartera!$R:$R,$A3&amp;"_"&amp;AGB$11,[1]Cartera!$J:$J)+SUMIF([1]Futuros!$AD:$AD,$A3&amp;"_"&amp;AGB$11,[1]Futuros!$AK:$AK)+SUMIF([1]Opciones!$AF:$AF,$A3&amp;"_"&amp;AGB$11,[1]Opciones!$AO:$AO)</f>
        <v>#VALUE!</v>
      </c>
      <c r="AGC3" t="e">
        <f>+SUMIF([1]Cartera!$R:$R,$A3&amp;"_"&amp;AGC$11,[1]Cartera!$J:$J)+SUMIF([1]Futuros!$AD:$AD,$A3&amp;"_"&amp;AGC$11,[1]Futuros!$AK:$AK)+SUMIF([1]Opciones!$AF:$AF,$A3&amp;"_"&amp;AGC$11,[1]Opciones!$AO:$AO)</f>
        <v>#VALUE!</v>
      </c>
      <c r="AGD3" t="e">
        <f>+SUMIF([1]Cartera!$R:$R,$A3&amp;"_"&amp;AGD$11,[1]Cartera!$J:$J)+SUMIF([1]Futuros!$AD:$AD,$A3&amp;"_"&amp;AGD$11,[1]Futuros!$AK:$AK)+SUMIF([1]Opciones!$AF:$AF,$A3&amp;"_"&amp;AGD$11,[1]Opciones!$AO:$AO)</f>
        <v>#VALUE!</v>
      </c>
      <c r="AGE3" t="e">
        <f>+SUMIF([1]Cartera!$R:$R,$A3&amp;"_"&amp;AGE$11,[1]Cartera!$J:$J)+SUMIF([1]Futuros!$AD:$AD,$A3&amp;"_"&amp;AGE$11,[1]Futuros!$AK:$AK)+SUMIF([1]Opciones!$AF:$AF,$A3&amp;"_"&amp;AGE$11,[1]Opciones!$AO:$AO)</f>
        <v>#VALUE!</v>
      </c>
      <c r="AGF3" t="e">
        <f>+SUMIF([1]Cartera!$R:$R,$A3&amp;"_"&amp;AGF$11,[1]Cartera!$J:$J)+SUMIF([1]Futuros!$AD:$AD,$A3&amp;"_"&amp;AGF$11,[1]Futuros!$AK:$AK)+SUMIF([1]Opciones!$AF:$AF,$A3&amp;"_"&amp;AGF$11,[1]Opciones!$AO:$AO)</f>
        <v>#VALUE!</v>
      </c>
      <c r="AGG3" t="e">
        <f>+SUMIF([1]Cartera!$R:$R,$A3&amp;"_"&amp;AGG$11,[1]Cartera!$J:$J)+SUMIF([1]Futuros!$AD:$AD,$A3&amp;"_"&amp;AGG$11,[1]Futuros!$AK:$AK)+SUMIF([1]Opciones!$AF:$AF,$A3&amp;"_"&amp;AGG$11,[1]Opciones!$AO:$AO)</f>
        <v>#VALUE!</v>
      </c>
      <c r="AGH3" t="e">
        <f>+SUMIF([1]Cartera!$R:$R,$A3&amp;"_"&amp;AGH$11,[1]Cartera!$J:$J)+SUMIF([1]Futuros!$AD:$AD,$A3&amp;"_"&amp;AGH$11,[1]Futuros!$AK:$AK)+SUMIF([1]Opciones!$AF:$AF,$A3&amp;"_"&amp;AGH$11,[1]Opciones!$AO:$AO)</f>
        <v>#VALUE!</v>
      </c>
      <c r="AGI3" t="e">
        <f>+SUMIF([1]Cartera!$R:$R,$A3&amp;"_"&amp;AGI$11,[1]Cartera!$J:$J)+SUMIF([1]Futuros!$AD:$AD,$A3&amp;"_"&amp;AGI$11,[1]Futuros!$AK:$AK)+SUMIF([1]Opciones!$AF:$AF,$A3&amp;"_"&amp;AGI$11,[1]Opciones!$AO:$AO)</f>
        <v>#VALUE!</v>
      </c>
      <c r="AGJ3" t="e">
        <f>+SUMIF([1]Cartera!$R:$R,$A3&amp;"_"&amp;AGJ$11,[1]Cartera!$J:$J)+SUMIF([1]Futuros!$AD:$AD,$A3&amp;"_"&amp;AGJ$11,[1]Futuros!$AK:$AK)+SUMIF([1]Opciones!$AF:$AF,$A3&amp;"_"&amp;AGJ$11,[1]Opciones!$AO:$AO)</f>
        <v>#VALUE!</v>
      </c>
      <c r="AGK3" t="e">
        <f>+SUMIF([1]Cartera!$R:$R,$A3&amp;"_"&amp;AGK$11,[1]Cartera!$J:$J)+SUMIF([1]Futuros!$AD:$AD,$A3&amp;"_"&amp;AGK$11,[1]Futuros!$AK:$AK)+SUMIF([1]Opciones!$AF:$AF,$A3&amp;"_"&amp;AGK$11,[1]Opciones!$AO:$AO)</f>
        <v>#VALUE!</v>
      </c>
      <c r="AGL3" t="e">
        <f>+SUMIF([1]Cartera!$R:$R,$A3&amp;"_"&amp;AGL$11,[1]Cartera!$J:$J)+SUMIF([1]Futuros!$AD:$AD,$A3&amp;"_"&amp;AGL$11,[1]Futuros!$AK:$AK)+SUMIF([1]Opciones!$AF:$AF,$A3&amp;"_"&amp;AGL$11,[1]Opciones!$AO:$AO)</f>
        <v>#VALUE!</v>
      </c>
      <c r="AGM3" t="e">
        <f>+SUMIF([1]Cartera!$R:$R,$A3&amp;"_"&amp;AGM$11,[1]Cartera!$J:$J)+SUMIF([1]Futuros!$AD:$AD,$A3&amp;"_"&amp;AGM$11,[1]Futuros!$AK:$AK)+SUMIF([1]Opciones!$AF:$AF,$A3&amp;"_"&amp;AGM$11,[1]Opciones!$AO:$AO)</f>
        <v>#VALUE!</v>
      </c>
      <c r="AGN3" t="e">
        <f>+SUMIF([1]Cartera!$R:$R,$A3&amp;"_"&amp;AGN$11,[1]Cartera!$J:$J)+SUMIF([1]Futuros!$AD:$AD,$A3&amp;"_"&amp;AGN$11,[1]Futuros!$AK:$AK)+SUMIF([1]Opciones!$AF:$AF,$A3&amp;"_"&amp;AGN$11,[1]Opciones!$AO:$AO)</f>
        <v>#VALUE!</v>
      </c>
      <c r="AGO3" t="e">
        <f>+SUMIF([1]Cartera!$R:$R,$A3&amp;"_"&amp;AGO$11,[1]Cartera!$J:$J)+SUMIF([1]Futuros!$AD:$AD,$A3&amp;"_"&amp;AGO$11,[1]Futuros!$AK:$AK)+SUMIF([1]Opciones!$AF:$AF,$A3&amp;"_"&amp;AGO$11,[1]Opciones!$AO:$AO)</f>
        <v>#VALUE!</v>
      </c>
      <c r="AGP3" t="e">
        <f>+SUMIF([1]Cartera!$R:$R,$A3&amp;"_"&amp;AGP$11,[1]Cartera!$J:$J)+SUMIF([1]Futuros!$AD:$AD,$A3&amp;"_"&amp;AGP$11,[1]Futuros!$AK:$AK)+SUMIF([1]Opciones!$AF:$AF,$A3&amp;"_"&amp;AGP$11,[1]Opciones!$AO:$AO)</f>
        <v>#VALUE!</v>
      </c>
      <c r="AGQ3" t="e">
        <f>+SUMIF([1]Cartera!$R:$R,$A3&amp;"_"&amp;AGQ$11,[1]Cartera!$J:$J)+SUMIF([1]Futuros!$AD:$AD,$A3&amp;"_"&amp;AGQ$11,[1]Futuros!$AK:$AK)+SUMIF([1]Opciones!$AF:$AF,$A3&amp;"_"&amp;AGQ$11,[1]Opciones!$AO:$AO)</f>
        <v>#VALUE!</v>
      </c>
      <c r="AGR3" t="e">
        <f>+SUMIF([1]Cartera!$R:$R,$A3&amp;"_"&amp;AGR$11,[1]Cartera!$J:$J)+SUMIF([1]Futuros!$AD:$AD,$A3&amp;"_"&amp;AGR$11,[1]Futuros!$AK:$AK)+SUMIF([1]Opciones!$AF:$AF,$A3&amp;"_"&amp;AGR$11,[1]Opciones!$AO:$AO)</f>
        <v>#VALUE!</v>
      </c>
      <c r="AGS3" t="e">
        <f>+SUMIF([1]Cartera!$R:$R,$A3&amp;"_"&amp;AGS$11,[1]Cartera!$J:$J)+SUMIF([1]Futuros!$AD:$AD,$A3&amp;"_"&amp;AGS$11,[1]Futuros!$AK:$AK)+SUMIF([1]Opciones!$AF:$AF,$A3&amp;"_"&amp;AGS$11,[1]Opciones!$AO:$AO)</f>
        <v>#VALUE!</v>
      </c>
      <c r="AGT3" t="e">
        <f>+SUMIF([1]Cartera!$R:$R,$A3&amp;"_"&amp;AGT$11,[1]Cartera!$J:$J)+SUMIF([1]Futuros!$AD:$AD,$A3&amp;"_"&amp;AGT$11,[1]Futuros!$AK:$AK)+SUMIF([1]Opciones!$AF:$AF,$A3&amp;"_"&amp;AGT$11,[1]Opciones!$AO:$AO)</f>
        <v>#VALUE!</v>
      </c>
      <c r="AGU3" t="e">
        <f>+SUMIF([1]Cartera!$R:$R,$A3&amp;"_"&amp;AGU$11,[1]Cartera!$J:$J)+SUMIF([1]Futuros!$AD:$AD,$A3&amp;"_"&amp;AGU$11,[1]Futuros!$AK:$AK)+SUMIF([1]Opciones!$AF:$AF,$A3&amp;"_"&amp;AGU$11,[1]Opciones!$AO:$AO)</f>
        <v>#VALUE!</v>
      </c>
      <c r="AGV3" t="e">
        <f>+SUMIF([1]Cartera!$R:$R,$A3&amp;"_"&amp;AGV$11,[1]Cartera!$J:$J)+SUMIF([1]Futuros!$AD:$AD,$A3&amp;"_"&amp;AGV$11,[1]Futuros!$AK:$AK)+SUMIF([1]Opciones!$AF:$AF,$A3&amp;"_"&amp;AGV$11,[1]Opciones!$AO:$AO)</f>
        <v>#VALUE!</v>
      </c>
      <c r="AGW3" t="e">
        <f>+SUMIF([1]Cartera!$R:$R,$A3&amp;"_"&amp;AGW$11,[1]Cartera!$J:$J)+SUMIF([1]Futuros!$AD:$AD,$A3&amp;"_"&amp;AGW$11,[1]Futuros!$AK:$AK)+SUMIF([1]Opciones!$AF:$AF,$A3&amp;"_"&amp;AGW$11,[1]Opciones!$AO:$AO)</f>
        <v>#VALUE!</v>
      </c>
      <c r="AGX3" t="e">
        <f>+SUMIF([1]Cartera!$R:$R,$A3&amp;"_"&amp;AGX$11,[1]Cartera!$J:$J)+SUMIF([1]Futuros!$AD:$AD,$A3&amp;"_"&amp;AGX$11,[1]Futuros!$AK:$AK)+SUMIF([1]Opciones!$AF:$AF,$A3&amp;"_"&amp;AGX$11,[1]Opciones!$AO:$AO)</f>
        <v>#VALUE!</v>
      </c>
      <c r="AGY3" t="e">
        <f>+SUMIF([1]Cartera!$R:$R,$A3&amp;"_"&amp;AGY$11,[1]Cartera!$J:$J)+SUMIF([1]Futuros!$AD:$AD,$A3&amp;"_"&amp;AGY$11,[1]Futuros!$AK:$AK)+SUMIF([1]Opciones!$AF:$AF,$A3&amp;"_"&amp;AGY$11,[1]Opciones!$AO:$AO)</f>
        <v>#VALUE!</v>
      </c>
      <c r="AGZ3" t="e">
        <f>+SUMIF([1]Cartera!$R:$R,$A3&amp;"_"&amp;AGZ$11,[1]Cartera!$J:$J)+SUMIF([1]Futuros!$AD:$AD,$A3&amp;"_"&amp;AGZ$11,[1]Futuros!$AK:$AK)+SUMIF([1]Opciones!$AF:$AF,$A3&amp;"_"&amp;AGZ$11,[1]Opciones!$AO:$AO)</f>
        <v>#VALUE!</v>
      </c>
      <c r="AHA3" t="e">
        <f>+SUMIF([1]Cartera!$R:$R,$A3&amp;"_"&amp;AHA$11,[1]Cartera!$J:$J)+SUMIF([1]Futuros!$AD:$AD,$A3&amp;"_"&amp;AHA$11,[1]Futuros!$AK:$AK)+SUMIF([1]Opciones!$AF:$AF,$A3&amp;"_"&amp;AHA$11,[1]Opciones!$AO:$AO)</f>
        <v>#VALUE!</v>
      </c>
      <c r="AHB3" t="e">
        <f>+SUMIF([1]Cartera!$R:$R,$A3&amp;"_"&amp;AHB$11,[1]Cartera!$J:$J)+SUMIF([1]Futuros!$AD:$AD,$A3&amp;"_"&amp;AHB$11,[1]Futuros!$AK:$AK)+SUMIF([1]Opciones!$AF:$AF,$A3&amp;"_"&amp;AHB$11,[1]Opciones!$AO:$AO)</f>
        <v>#VALUE!</v>
      </c>
      <c r="AHC3" t="e">
        <f>+SUMIF([1]Cartera!$R:$R,$A3&amp;"_"&amp;AHC$11,[1]Cartera!$J:$J)+SUMIF([1]Futuros!$AD:$AD,$A3&amp;"_"&amp;AHC$11,[1]Futuros!$AK:$AK)+SUMIF([1]Opciones!$AF:$AF,$A3&amp;"_"&amp;AHC$11,[1]Opciones!$AO:$AO)</f>
        <v>#VALUE!</v>
      </c>
      <c r="AHD3" t="e">
        <f>+SUMIF([1]Cartera!$R:$R,$A3&amp;"_"&amp;AHD$11,[1]Cartera!$J:$J)+SUMIF([1]Futuros!$AD:$AD,$A3&amp;"_"&amp;AHD$11,[1]Futuros!$AK:$AK)+SUMIF([1]Opciones!$AF:$AF,$A3&amp;"_"&amp;AHD$11,[1]Opciones!$AO:$AO)</f>
        <v>#VALUE!</v>
      </c>
      <c r="AHE3" t="e">
        <f>+SUMIF([1]Cartera!$R:$R,$A3&amp;"_"&amp;AHE$11,[1]Cartera!$J:$J)+SUMIF([1]Futuros!$AD:$AD,$A3&amp;"_"&amp;AHE$11,[1]Futuros!$AK:$AK)+SUMIF([1]Opciones!$AF:$AF,$A3&amp;"_"&amp;AHE$11,[1]Opciones!$AO:$AO)</f>
        <v>#VALUE!</v>
      </c>
      <c r="AHF3" t="e">
        <f>+SUMIF([1]Cartera!$R:$R,$A3&amp;"_"&amp;AHF$11,[1]Cartera!$J:$J)+SUMIF([1]Futuros!$AD:$AD,$A3&amp;"_"&amp;AHF$11,[1]Futuros!$AK:$AK)+SUMIF([1]Opciones!$AF:$AF,$A3&amp;"_"&amp;AHF$11,[1]Opciones!$AO:$AO)</f>
        <v>#VALUE!</v>
      </c>
      <c r="AHG3" t="e">
        <f>+SUMIF([1]Cartera!$R:$R,$A3&amp;"_"&amp;AHG$11,[1]Cartera!$J:$J)+SUMIF([1]Futuros!$AD:$AD,$A3&amp;"_"&amp;AHG$11,[1]Futuros!$AK:$AK)+SUMIF([1]Opciones!$AF:$AF,$A3&amp;"_"&amp;AHG$11,[1]Opciones!$AO:$AO)</f>
        <v>#VALUE!</v>
      </c>
      <c r="AHH3" t="e">
        <f>+SUMIF([1]Cartera!$R:$R,$A3&amp;"_"&amp;AHH$11,[1]Cartera!$J:$J)+SUMIF([1]Futuros!$AD:$AD,$A3&amp;"_"&amp;AHH$11,[1]Futuros!$AK:$AK)+SUMIF([1]Opciones!$AF:$AF,$A3&amp;"_"&amp;AHH$11,[1]Opciones!$AO:$AO)</f>
        <v>#VALUE!</v>
      </c>
      <c r="AHI3" t="e">
        <f>+SUMIF([1]Cartera!$R:$R,$A3&amp;"_"&amp;AHI$11,[1]Cartera!$J:$J)+SUMIF([1]Futuros!$AD:$AD,$A3&amp;"_"&amp;AHI$11,[1]Futuros!$AK:$AK)+SUMIF([1]Opciones!$AF:$AF,$A3&amp;"_"&amp;AHI$11,[1]Opciones!$AO:$AO)</f>
        <v>#VALUE!</v>
      </c>
      <c r="AHJ3" t="e">
        <f>+SUMIF([1]Cartera!$R:$R,$A3&amp;"_"&amp;AHJ$11,[1]Cartera!$J:$J)+SUMIF([1]Futuros!$AD:$AD,$A3&amp;"_"&amp;AHJ$11,[1]Futuros!$AK:$AK)+SUMIF([1]Opciones!$AF:$AF,$A3&amp;"_"&amp;AHJ$11,[1]Opciones!$AO:$AO)</f>
        <v>#VALUE!</v>
      </c>
      <c r="AHK3" t="e">
        <f>+SUMIF([1]Cartera!$R:$R,$A3&amp;"_"&amp;AHK$11,[1]Cartera!$J:$J)+SUMIF([1]Futuros!$AD:$AD,$A3&amp;"_"&amp;AHK$11,[1]Futuros!$AK:$AK)+SUMIF([1]Opciones!$AF:$AF,$A3&amp;"_"&amp;AHK$11,[1]Opciones!$AO:$AO)</f>
        <v>#VALUE!</v>
      </c>
      <c r="AHL3" t="e">
        <f>+SUMIF([1]Cartera!$R:$R,$A3&amp;"_"&amp;AHL$11,[1]Cartera!$J:$J)+SUMIF([1]Futuros!$AD:$AD,$A3&amp;"_"&amp;AHL$11,[1]Futuros!$AK:$AK)+SUMIF([1]Opciones!$AF:$AF,$A3&amp;"_"&amp;AHL$11,[1]Opciones!$AO:$AO)</f>
        <v>#VALUE!</v>
      </c>
      <c r="AHM3" t="e">
        <f>+SUMIF([1]Cartera!$R:$R,$A3&amp;"_"&amp;AHM$11,[1]Cartera!$J:$J)+SUMIF([1]Futuros!$AD:$AD,$A3&amp;"_"&amp;AHM$11,[1]Futuros!$AK:$AK)+SUMIF([1]Opciones!$AF:$AF,$A3&amp;"_"&amp;AHM$11,[1]Opciones!$AO:$AO)</f>
        <v>#VALUE!</v>
      </c>
      <c r="AHN3" t="e">
        <f>+SUMIF([1]Cartera!$R:$R,$A3&amp;"_"&amp;AHN$11,[1]Cartera!$J:$J)+SUMIF([1]Futuros!$AD:$AD,$A3&amp;"_"&amp;AHN$11,[1]Futuros!$AK:$AK)+SUMIF([1]Opciones!$AF:$AF,$A3&amp;"_"&amp;AHN$11,[1]Opciones!$AO:$AO)</f>
        <v>#VALUE!</v>
      </c>
      <c r="AHO3" t="e">
        <f>+SUMIF([1]Cartera!$R:$R,$A3&amp;"_"&amp;AHO$11,[1]Cartera!$J:$J)+SUMIF([1]Futuros!$AD:$AD,$A3&amp;"_"&amp;AHO$11,[1]Futuros!$AK:$AK)+SUMIF([1]Opciones!$AF:$AF,$A3&amp;"_"&amp;AHO$11,[1]Opciones!$AO:$AO)</f>
        <v>#VALUE!</v>
      </c>
      <c r="AHP3" t="e">
        <f>+SUMIF([1]Cartera!$R:$R,$A3&amp;"_"&amp;AHP$11,[1]Cartera!$J:$J)+SUMIF([1]Futuros!$AD:$AD,$A3&amp;"_"&amp;AHP$11,[1]Futuros!$AK:$AK)+SUMIF([1]Opciones!$AF:$AF,$A3&amp;"_"&amp;AHP$11,[1]Opciones!$AO:$AO)</f>
        <v>#VALUE!</v>
      </c>
      <c r="AHQ3" t="e">
        <f>+SUMIF([1]Cartera!$R:$R,$A3&amp;"_"&amp;AHQ$11,[1]Cartera!$J:$J)+SUMIF([1]Futuros!$AD:$AD,$A3&amp;"_"&amp;AHQ$11,[1]Futuros!$AK:$AK)+SUMIF([1]Opciones!$AF:$AF,$A3&amp;"_"&amp;AHQ$11,[1]Opciones!$AO:$AO)</f>
        <v>#VALUE!</v>
      </c>
      <c r="AHR3" t="e">
        <f>+SUMIF([1]Cartera!$R:$R,$A3&amp;"_"&amp;AHR$11,[1]Cartera!$J:$J)+SUMIF([1]Futuros!$AD:$AD,$A3&amp;"_"&amp;AHR$11,[1]Futuros!$AK:$AK)+SUMIF([1]Opciones!$AF:$AF,$A3&amp;"_"&amp;AHR$11,[1]Opciones!$AO:$AO)</f>
        <v>#VALUE!</v>
      </c>
      <c r="AHS3" t="e">
        <f>+SUMIF([1]Cartera!$R:$R,$A3&amp;"_"&amp;AHS$11,[1]Cartera!$J:$J)+SUMIF([1]Futuros!$AD:$AD,$A3&amp;"_"&amp;AHS$11,[1]Futuros!$AK:$AK)+SUMIF([1]Opciones!$AF:$AF,$A3&amp;"_"&amp;AHS$11,[1]Opciones!$AO:$AO)</f>
        <v>#VALUE!</v>
      </c>
      <c r="AHT3" t="e">
        <f>+SUMIF([1]Cartera!$R:$R,$A3&amp;"_"&amp;AHT$11,[1]Cartera!$J:$J)+SUMIF([1]Futuros!$AD:$AD,$A3&amp;"_"&amp;AHT$11,[1]Futuros!$AK:$AK)+SUMIF([1]Opciones!$AF:$AF,$A3&amp;"_"&amp;AHT$11,[1]Opciones!$AO:$AO)</f>
        <v>#VALUE!</v>
      </c>
      <c r="AHU3" t="e">
        <f>+SUMIF([1]Cartera!$R:$R,$A3&amp;"_"&amp;AHU$11,[1]Cartera!$J:$J)+SUMIF([1]Futuros!$AD:$AD,$A3&amp;"_"&amp;AHU$11,[1]Futuros!$AK:$AK)+SUMIF([1]Opciones!$AF:$AF,$A3&amp;"_"&amp;AHU$11,[1]Opciones!$AO:$AO)</f>
        <v>#VALUE!</v>
      </c>
      <c r="AHV3" t="e">
        <f>+SUMIF([1]Cartera!$R:$R,$A3&amp;"_"&amp;AHV$11,[1]Cartera!$J:$J)+SUMIF([1]Futuros!$AD:$AD,$A3&amp;"_"&amp;AHV$11,[1]Futuros!$AK:$AK)+SUMIF([1]Opciones!$AF:$AF,$A3&amp;"_"&amp;AHV$11,[1]Opciones!$AO:$AO)</f>
        <v>#VALUE!</v>
      </c>
      <c r="AHW3" t="e">
        <f>+SUMIF([1]Cartera!$R:$R,$A3&amp;"_"&amp;AHW$11,[1]Cartera!$J:$J)+SUMIF([1]Futuros!$AD:$AD,$A3&amp;"_"&amp;AHW$11,[1]Futuros!$AK:$AK)+SUMIF([1]Opciones!$AF:$AF,$A3&amp;"_"&amp;AHW$11,[1]Opciones!$AO:$AO)</f>
        <v>#VALUE!</v>
      </c>
      <c r="AHX3" t="e">
        <f>+SUMIF([1]Cartera!$R:$R,$A3&amp;"_"&amp;AHX$11,[1]Cartera!$J:$J)+SUMIF([1]Futuros!$AD:$AD,$A3&amp;"_"&amp;AHX$11,[1]Futuros!$AK:$AK)+SUMIF([1]Opciones!$AF:$AF,$A3&amp;"_"&amp;AHX$11,[1]Opciones!$AO:$AO)</f>
        <v>#VALUE!</v>
      </c>
      <c r="AHY3" t="e">
        <f>+SUMIF([1]Cartera!$R:$R,$A3&amp;"_"&amp;AHY$11,[1]Cartera!$J:$J)+SUMIF([1]Futuros!$AD:$AD,$A3&amp;"_"&amp;AHY$11,[1]Futuros!$AK:$AK)+SUMIF([1]Opciones!$AF:$AF,$A3&amp;"_"&amp;AHY$11,[1]Opciones!$AO:$AO)</f>
        <v>#VALUE!</v>
      </c>
      <c r="AHZ3" t="e">
        <f>+SUMIF([1]Cartera!$R:$R,$A3&amp;"_"&amp;AHZ$11,[1]Cartera!$J:$J)+SUMIF([1]Futuros!$AD:$AD,$A3&amp;"_"&amp;AHZ$11,[1]Futuros!$AK:$AK)+SUMIF([1]Opciones!$AF:$AF,$A3&amp;"_"&amp;AHZ$11,[1]Opciones!$AO:$AO)</f>
        <v>#VALUE!</v>
      </c>
      <c r="AIA3" t="e">
        <f>+SUMIF([1]Cartera!$R:$R,$A3&amp;"_"&amp;AIA$11,[1]Cartera!$J:$J)+SUMIF([1]Futuros!$AD:$AD,$A3&amp;"_"&amp;AIA$11,[1]Futuros!$AK:$AK)+SUMIF([1]Opciones!$AF:$AF,$A3&amp;"_"&amp;AIA$11,[1]Opciones!$AO:$AO)</f>
        <v>#VALUE!</v>
      </c>
      <c r="AIB3" t="e">
        <f>+SUMIF([1]Cartera!$R:$R,$A3&amp;"_"&amp;AIB$11,[1]Cartera!$J:$J)+SUMIF([1]Futuros!$AD:$AD,$A3&amp;"_"&amp;AIB$11,[1]Futuros!$AK:$AK)+SUMIF([1]Opciones!$AF:$AF,$A3&amp;"_"&amp;AIB$11,[1]Opciones!$AO:$AO)</f>
        <v>#VALUE!</v>
      </c>
      <c r="AIC3" t="e">
        <f>+SUMIF([1]Cartera!$R:$R,$A3&amp;"_"&amp;AIC$11,[1]Cartera!$J:$J)+SUMIF([1]Futuros!$AD:$AD,$A3&amp;"_"&amp;AIC$11,[1]Futuros!$AK:$AK)+SUMIF([1]Opciones!$AF:$AF,$A3&amp;"_"&amp;AIC$11,[1]Opciones!$AO:$AO)</f>
        <v>#VALUE!</v>
      </c>
      <c r="AID3" t="e">
        <f>+SUMIF([1]Cartera!$R:$R,$A3&amp;"_"&amp;AID$11,[1]Cartera!$J:$J)+SUMIF([1]Futuros!$AD:$AD,$A3&amp;"_"&amp;AID$11,[1]Futuros!$AK:$AK)+SUMIF([1]Opciones!$AF:$AF,$A3&amp;"_"&amp;AID$11,[1]Opciones!$AO:$AO)</f>
        <v>#VALUE!</v>
      </c>
      <c r="AIE3" t="e">
        <f>+SUMIF([1]Cartera!$R:$R,$A3&amp;"_"&amp;AIE$11,[1]Cartera!$J:$J)+SUMIF([1]Futuros!$AD:$AD,$A3&amp;"_"&amp;AIE$11,[1]Futuros!$AK:$AK)+SUMIF([1]Opciones!$AF:$AF,$A3&amp;"_"&amp;AIE$11,[1]Opciones!$AO:$AO)</f>
        <v>#VALUE!</v>
      </c>
      <c r="AIF3" t="e">
        <f>+SUMIF([1]Cartera!$R:$R,$A3&amp;"_"&amp;AIF$11,[1]Cartera!$J:$J)+SUMIF([1]Futuros!$AD:$AD,$A3&amp;"_"&amp;AIF$11,[1]Futuros!$AK:$AK)+SUMIF([1]Opciones!$AF:$AF,$A3&amp;"_"&amp;AIF$11,[1]Opciones!$AO:$AO)</f>
        <v>#VALUE!</v>
      </c>
      <c r="AIG3" t="e">
        <f>+SUMIF([1]Cartera!$R:$R,$A3&amp;"_"&amp;AIG$11,[1]Cartera!$J:$J)+SUMIF([1]Futuros!$AD:$AD,$A3&amp;"_"&amp;AIG$11,[1]Futuros!$AK:$AK)+SUMIF([1]Opciones!$AF:$AF,$A3&amp;"_"&amp;AIG$11,[1]Opciones!$AO:$AO)</f>
        <v>#VALUE!</v>
      </c>
      <c r="AIH3" t="e">
        <f>+SUMIF([1]Cartera!$R:$R,$A3&amp;"_"&amp;AIH$11,[1]Cartera!$J:$J)+SUMIF([1]Futuros!$AD:$AD,$A3&amp;"_"&amp;AIH$11,[1]Futuros!$AK:$AK)+SUMIF([1]Opciones!$AF:$AF,$A3&amp;"_"&amp;AIH$11,[1]Opciones!$AO:$AO)</f>
        <v>#VALUE!</v>
      </c>
      <c r="AII3" t="e">
        <f>+SUMIF([1]Cartera!$R:$R,$A3&amp;"_"&amp;AII$11,[1]Cartera!$J:$J)+SUMIF([1]Futuros!$AD:$AD,$A3&amp;"_"&amp;AII$11,[1]Futuros!$AK:$AK)+SUMIF([1]Opciones!$AF:$AF,$A3&amp;"_"&amp;AII$11,[1]Opciones!$AO:$AO)</f>
        <v>#VALUE!</v>
      </c>
      <c r="AIJ3" t="e">
        <f>+SUMIF([1]Cartera!$R:$R,$A3&amp;"_"&amp;AIJ$11,[1]Cartera!$J:$J)+SUMIF([1]Futuros!$AD:$AD,$A3&amp;"_"&amp;AIJ$11,[1]Futuros!$AK:$AK)+SUMIF([1]Opciones!$AF:$AF,$A3&amp;"_"&amp;AIJ$11,[1]Opciones!$AO:$AO)</f>
        <v>#VALUE!</v>
      </c>
      <c r="AIK3" t="e">
        <f>+SUMIF([1]Cartera!$R:$R,$A3&amp;"_"&amp;AIK$11,[1]Cartera!$J:$J)+SUMIF([1]Futuros!$AD:$AD,$A3&amp;"_"&amp;AIK$11,[1]Futuros!$AK:$AK)+SUMIF([1]Opciones!$AF:$AF,$A3&amp;"_"&amp;AIK$11,[1]Opciones!$AO:$AO)</f>
        <v>#VALUE!</v>
      </c>
      <c r="AIL3" t="e">
        <f>+SUMIF([1]Cartera!$R:$R,$A3&amp;"_"&amp;AIL$11,[1]Cartera!$J:$J)+SUMIF([1]Futuros!$AD:$AD,$A3&amp;"_"&amp;AIL$11,[1]Futuros!$AK:$AK)+SUMIF([1]Opciones!$AF:$AF,$A3&amp;"_"&amp;AIL$11,[1]Opciones!$AO:$AO)</f>
        <v>#VALUE!</v>
      </c>
      <c r="AIM3" t="e">
        <f>+SUMIF([1]Cartera!$R:$R,$A3&amp;"_"&amp;AIM$11,[1]Cartera!$J:$J)+SUMIF([1]Futuros!$AD:$AD,$A3&amp;"_"&amp;AIM$11,[1]Futuros!$AK:$AK)+SUMIF([1]Opciones!$AF:$AF,$A3&amp;"_"&amp;AIM$11,[1]Opciones!$AO:$AO)</f>
        <v>#VALUE!</v>
      </c>
      <c r="AIN3" t="e">
        <f>+SUMIF([1]Cartera!$R:$R,$A3&amp;"_"&amp;AIN$11,[1]Cartera!$J:$J)+SUMIF([1]Futuros!$AD:$AD,$A3&amp;"_"&amp;AIN$11,[1]Futuros!$AK:$AK)+SUMIF([1]Opciones!$AF:$AF,$A3&amp;"_"&amp;AIN$11,[1]Opciones!$AO:$AO)</f>
        <v>#VALUE!</v>
      </c>
      <c r="AIO3" t="e">
        <f>+SUMIF([1]Cartera!$R:$R,$A3&amp;"_"&amp;AIO$11,[1]Cartera!$J:$J)+SUMIF([1]Futuros!$AD:$AD,$A3&amp;"_"&amp;AIO$11,[1]Futuros!$AK:$AK)+SUMIF([1]Opciones!$AF:$AF,$A3&amp;"_"&amp;AIO$11,[1]Opciones!$AO:$AO)</f>
        <v>#VALUE!</v>
      </c>
      <c r="AIP3" t="e">
        <f>+SUMIF([1]Cartera!$R:$R,$A3&amp;"_"&amp;AIP$11,[1]Cartera!$J:$J)+SUMIF([1]Futuros!$AD:$AD,$A3&amp;"_"&amp;AIP$11,[1]Futuros!$AK:$AK)+SUMIF([1]Opciones!$AF:$AF,$A3&amp;"_"&amp;AIP$11,[1]Opciones!$AO:$AO)</f>
        <v>#VALUE!</v>
      </c>
      <c r="AIQ3" t="e">
        <f>+SUMIF([1]Cartera!$R:$R,$A3&amp;"_"&amp;AIQ$11,[1]Cartera!$J:$J)+SUMIF([1]Futuros!$AD:$AD,$A3&amp;"_"&amp;AIQ$11,[1]Futuros!$AK:$AK)+SUMIF([1]Opciones!$AF:$AF,$A3&amp;"_"&amp;AIQ$11,[1]Opciones!$AO:$AO)</f>
        <v>#VALUE!</v>
      </c>
      <c r="AIR3" s="2" t="e">
        <f>+SUMIF([1]Cartera!$R:$R,$A3&amp;"_"&amp;AIR$11,[1]Cartera!$J:$J)+SUMIF([1]Futuros!$AD:$AD,$A3&amp;"_"&amp;AIR$11,[1]Futuros!$AK:$AK)+SUMIF([1]Opciones!$AF:$AF,$A3&amp;"_"&amp;AIR$11,[1]Opciones!$AO:$AO)</f>
        <v>#VALUE!</v>
      </c>
      <c r="AIS3" t="e">
        <f>+SUMIF([1]Cartera!$R:$R,$A3&amp;"_"&amp;AIS$11,[1]Cartera!$J:$J)+SUMIF([1]Futuros!$AD:$AD,$A3&amp;"_"&amp;AIS$11,[1]Futuros!$AK:$AK)+SUMIF([1]Opciones!$AF:$AF,$A3&amp;"_"&amp;AIS$11,[1]Opciones!$AO:$AO)</f>
        <v>#VALUE!</v>
      </c>
      <c r="AIT3" t="e">
        <f>+SUMIF([1]Cartera!$R:$R,$A3&amp;"_"&amp;AIT$11,[1]Cartera!$J:$J)+SUMIF([1]Futuros!$AD:$AD,$A3&amp;"_"&amp;AIT$11,[1]Futuros!$AK:$AK)+SUMIF([1]Opciones!$AF:$AF,$A3&amp;"_"&amp;AIT$11,[1]Opciones!$AO:$AO)</f>
        <v>#VALUE!</v>
      </c>
      <c r="AIU3" t="e">
        <f>+SUMIF([1]Cartera!$R:$R,$A3&amp;"_"&amp;AIU$11,[1]Cartera!$J:$J)+SUMIF([1]Futuros!$AD:$AD,$A3&amp;"_"&amp;AIU$11,[1]Futuros!$AK:$AK)+SUMIF([1]Opciones!$AF:$AF,$A3&amp;"_"&amp;AIU$11,[1]Opciones!$AO:$AO)</f>
        <v>#VALUE!</v>
      </c>
      <c r="AIV3" t="e">
        <f>+SUMIF([1]Cartera!$R:$R,$A3&amp;"_"&amp;AIV$11,[1]Cartera!$J:$J)+SUMIF([1]Futuros!$AD:$AD,$A3&amp;"_"&amp;AIV$11,[1]Futuros!$AK:$AK)+SUMIF([1]Opciones!$AF:$AF,$A3&amp;"_"&amp;AIV$11,[1]Opciones!$AO:$AO)</f>
        <v>#VALUE!</v>
      </c>
      <c r="AIW3" t="e">
        <f>+SUMIF([1]Cartera!$R:$R,$A3&amp;"_"&amp;AIW$11,[1]Cartera!$J:$J)+SUMIF([1]Futuros!$AD:$AD,$A3&amp;"_"&amp;AIW$11,[1]Futuros!$AK:$AK)+SUMIF([1]Opciones!$AF:$AF,$A3&amp;"_"&amp;AIW$11,[1]Opciones!$AO:$AO)</f>
        <v>#VALUE!</v>
      </c>
      <c r="AIX3" t="e">
        <f>+SUMIF([1]Cartera!$R:$R,$A3&amp;"_"&amp;AIX$11,[1]Cartera!$J:$J)+SUMIF([1]Futuros!$AD:$AD,$A3&amp;"_"&amp;AIX$11,[1]Futuros!$AK:$AK)+SUMIF([1]Opciones!$AF:$AF,$A3&amp;"_"&amp;AIX$11,[1]Opciones!$AO:$AO)</f>
        <v>#VALUE!</v>
      </c>
      <c r="AIY3" t="e">
        <f>+SUMIF([1]Cartera!$R:$R,$A3&amp;"_"&amp;AIY$11,[1]Cartera!$J:$J)+SUMIF([1]Futuros!$AD:$AD,$A3&amp;"_"&amp;AIY$11,[1]Futuros!$AK:$AK)+SUMIF([1]Opciones!$AF:$AF,$A3&amp;"_"&amp;AIY$11,[1]Opciones!$AO:$AO)</f>
        <v>#VALUE!</v>
      </c>
      <c r="AIZ3" t="e">
        <f>+SUMIF([1]Cartera!$R:$R,$A3&amp;"_"&amp;AIZ$11,[1]Cartera!$J:$J)+SUMIF([1]Futuros!$AD:$AD,$A3&amp;"_"&amp;AIZ$11,[1]Futuros!$AK:$AK)+SUMIF([1]Opciones!$AF:$AF,$A3&amp;"_"&amp;AIZ$11,[1]Opciones!$AO:$AO)</f>
        <v>#VALUE!</v>
      </c>
      <c r="AJA3" t="e">
        <f>+SUMIF([1]Cartera!$R:$R,$A3&amp;"_"&amp;AJA$11,[1]Cartera!$J:$J)+SUMIF([1]Futuros!$AD:$AD,$A3&amp;"_"&amp;AJA$11,[1]Futuros!$AK:$AK)+SUMIF([1]Opciones!$AF:$AF,$A3&amp;"_"&amp;AJA$11,[1]Opciones!$AO:$AO)</f>
        <v>#VALUE!</v>
      </c>
      <c r="AJB3" t="e">
        <f>+SUMIF([1]Cartera!$R:$R,$A3&amp;"_"&amp;AJB$11,[1]Cartera!$J:$J)+SUMIF([1]Futuros!$AD:$AD,$A3&amp;"_"&amp;AJB$11,[1]Futuros!$AK:$AK)+SUMIF([1]Opciones!$AF:$AF,$A3&amp;"_"&amp;AJB$11,[1]Opciones!$AO:$AO)</f>
        <v>#VALUE!</v>
      </c>
      <c r="AJC3" t="e">
        <f>+SUMIF([1]Cartera!$R:$R,$A3&amp;"_"&amp;AJC$11,[1]Cartera!$J:$J)+SUMIF([1]Futuros!$AD:$AD,$A3&amp;"_"&amp;AJC$11,[1]Futuros!$AK:$AK)+SUMIF([1]Opciones!$AF:$AF,$A3&amp;"_"&amp;AJC$11,[1]Opciones!$AO:$AO)</f>
        <v>#VALUE!</v>
      </c>
      <c r="AJD3" t="e">
        <f>+SUMIF([1]Cartera!$R:$R,$A3&amp;"_"&amp;AJD$11,[1]Cartera!$J:$J)+SUMIF([1]Futuros!$AD:$AD,$A3&amp;"_"&amp;AJD$11,[1]Futuros!$AK:$AK)+SUMIF([1]Opciones!$AF:$AF,$A3&amp;"_"&amp;AJD$11,[1]Opciones!$AO:$AO)</f>
        <v>#VALUE!</v>
      </c>
      <c r="AJE3" t="e">
        <f>+SUMIF([1]Cartera!$R:$R,$A3&amp;"_"&amp;AJE$11,[1]Cartera!$J:$J)+SUMIF([1]Futuros!$AD:$AD,$A3&amp;"_"&amp;AJE$11,[1]Futuros!$AK:$AK)+SUMIF([1]Opciones!$AF:$AF,$A3&amp;"_"&amp;AJE$11,[1]Opciones!$AO:$AO)</f>
        <v>#VALUE!</v>
      </c>
      <c r="AJF3" t="e">
        <f>+SUMIF([1]Cartera!$R:$R,$A3&amp;"_"&amp;AJF$11,[1]Cartera!$J:$J)+SUMIF([1]Futuros!$AD:$AD,$A3&amp;"_"&amp;AJF$11,[1]Futuros!$AK:$AK)+SUMIF([1]Opciones!$AF:$AF,$A3&amp;"_"&amp;AJF$11,[1]Opciones!$AO:$AO)</f>
        <v>#VALUE!</v>
      </c>
      <c r="AJG3" t="e">
        <f>+SUMIF([1]Cartera!$R:$R,$A3&amp;"_"&amp;AJG$11,[1]Cartera!$J:$J)+SUMIF([1]Futuros!$AD:$AD,$A3&amp;"_"&amp;AJG$11,[1]Futuros!$AK:$AK)+SUMIF([1]Opciones!$AF:$AF,$A3&amp;"_"&amp;AJG$11,[1]Opciones!$AO:$AO)</f>
        <v>#VALUE!</v>
      </c>
      <c r="AJH3" t="e">
        <f>+SUMIF([1]Cartera!$R:$R,$A3&amp;"_"&amp;AJH$11,[1]Cartera!$J:$J)+SUMIF([1]Futuros!$AD:$AD,$A3&amp;"_"&amp;AJH$11,[1]Futuros!$AK:$AK)+SUMIF([1]Opciones!$AF:$AF,$A3&amp;"_"&amp;AJH$11,[1]Opciones!$AO:$AO)</f>
        <v>#VALUE!</v>
      </c>
      <c r="AJI3" t="e">
        <f>+SUMIF([1]Cartera!$R:$R,$A3&amp;"_"&amp;AJI$11,[1]Cartera!$J:$J)+SUMIF([1]Futuros!$AD:$AD,$A3&amp;"_"&amp;AJI$11,[1]Futuros!$AK:$AK)+SUMIF([1]Opciones!$AF:$AF,$A3&amp;"_"&amp;AJI$11,[1]Opciones!$AO:$AO)</f>
        <v>#VALUE!</v>
      </c>
      <c r="AJJ3" t="e">
        <f>+SUMIF([1]Cartera!$R:$R,$A3&amp;"_"&amp;AJJ$11,[1]Cartera!$J:$J)+SUMIF([1]Futuros!$AD:$AD,$A3&amp;"_"&amp;AJJ$11,[1]Futuros!$AK:$AK)+SUMIF([1]Opciones!$AF:$AF,$A3&amp;"_"&amp;AJJ$11,[1]Opciones!$AO:$AO)</f>
        <v>#VALUE!</v>
      </c>
      <c r="AJK3" t="e">
        <f>+SUMIF([1]Cartera!$R:$R,$A3&amp;"_"&amp;AJK$11,[1]Cartera!$J:$J)+SUMIF([1]Futuros!$AD:$AD,$A3&amp;"_"&amp;AJK$11,[1]Futuros!$AK:$AK)+SUMIF([1]Opciones!$AF:$AF,$A3&amp;"_"&amp;AJK$11,[1]Opciones!$AO:$AO)</f>
        <v>#VALUE!</v>
      </c>
      <c r="AJL3" t="e">
        <f>+SUMIF([1]Cartera!$R:$R,$A3&amp;"_"&amp;AJL$11,[1]Cartera!$J:$J)+SUMIF([1]Futuros!$AD:$AD,$A3&amp;"_"&amp;AJL$11,[1]Futuros!$AK:$AK)+SUMIF([1]Opciones!$AF:$AF,$A3&amp;"_"&amp;AJL$11,[1]Opciones!$AO:$AO)</f>
        <v>#VALUE!</v>
      </c>
      <c r="AJM3" t="e">
        <f>+SUMIF([1]Cartera!$R:$R,$A3&amp;"_"&amp;AJM$11,[1]Cartera!$J:$J)+SUMIF([1]Futuros!$AD:$AD,$A3&amp;"_"&amp;AJM$11,[1]Futuros!$AK:$AK)+SUMIF([1]Opciones!$AF:$AF,$A3&amp;"_"&amp;AJM$11,[1]Opciones!$AO:$AO)</f>
        <v>#VALUE!</v>
      </c>
      <c r="AJN3" t="e">
        <f>+SUMIF([1]Cartera!$R:$R,$A3&amp;"_"&amp;AJN$11,[1]Cartera!$J:$J)+SUMIF([1]Futuros!$AD:$AD,$A3&amp;"_"&amp;AJN$11,[1]Futuros!$AK:$AK)+SUMIF([1]Opciones!$AF:$AF,$A3&amp;"_"&amp;AJN$11,[1]Opciones!$AO:$AO)</f>
        <v>#VALUE!</v>
      </c>
      <c r="AJO3" t="e">
        <f>+SUMIF([1]Cartera!$R:$R,$A3&amp;"_"&amp;AJO$11,[1]Cartera!$J:$J)+SUMIF([1]Futuros!$AD:$AD,$A3&amp;"_"&amp;AJO$11,[1]Futuros!$AK:$AK)+SUMIF([1]Opciones!$AF:$AF,$A3&amp;"_"&amp;AJO$11,[1]Opciones!$AO:$AO)</f>
        <v>#VALUE!</v>
      </c>
      <c r="AJP3" t="e">
        <f>+SUMIF([1]Cartera!$R:$R,$A3&amp;"_"&amp;AJP$11,[1]Cartera!$J:$J)+SUMIF([1]Futuros!$AD:$AD,$A3&amp;"_"&amp;AJP$11,[1]Futuros!$AK:$AK)+SUMIF([1]Opciones!$AF:$AF,$A3&amp;"_"&amp;AJP$11,[1]Opciones!$AO:$AO)</f>
        <v>#VALUE!</v>
      </c>
      <c r="AJQ3" t="e">
        <f>+SUMIF([1]Cartera!$R:$R,$A3&amp;"_"&amp;AJQ$11,[1]Cartera!$J:$J)+SUMIF([1]Futuros!$AD:$AD,$A3&amp;"_"&amp;AJQ$11,[1]Futuros!$AK:$AK)+SUMIF([1]Opciones!$AF:$AF,$A3&amp;"_"&amp;AJQ$11,[1]Opciones!$AO:$AO)</f>
        <v>#VALUE!</v>
      </c>
      <c r="AJR3" t="e">
        <f>+SUMIF([1]Cartera!$R:$R,$A3&amp;"_"&amp;AJR$11,[1]Cartera!$J:$J)+SUMIF([1]Futuros!$AD:$AD,$A3&amp;"_"&amp;AJR$11,[1]Futuros!$AK:$AK)+SUMIF([1]Opciones!$AF:$AF,$A3&amp;"_"&amp;AJR$11,[1]Opciones!$AO:$AO)</f>
        <v>#VALUE!</v>
      </c>
      <c r="AJS3" t="e">
        <f>+SUMIF([1]Cartera!$R:$R,$A3&amp;"_"&amp;AJS$11,[1]Cartera!$J:$J)+SUMIF([1]Futuros!$AD:$AD,$A3&amp;"_"&amp;AJS$11,[1]Futuros!$AK:$AK)+SUMIF([1]Opciones!$AF:$AF,$A3&amp;"_"&amp;AJS$11,[1]Opciones!$AO:$AO)</f>
        <v>#VALUE!</v>
      </c>
      <c r="AJT3" t="e">
        <f>+SUMIF([1]Cartera!$R:$R,$A3&amp;"_"&amp;AJT$11,[1]Cartera!$J:$J)+SUMIF([1]Futuros!$AD:$AD,$A3&amp;"_"&amp;AJT$11,[1]Futuros!$AK:$AK)+SUMIF([1]Opciones!$AF:$AF,$A3&amp;"_"&amp;AJT$11,[1]Opciones!$AO:$AO)</f>
        <v>#VALUE!</v>
      </c>
      <c r="AJU3" t="e">
        <f>+SUMIF([1]Cartera!$R:$R,$A3&amp;"_"&amp;AJU$11,[1]Cartera!$J:$J)+SUMIF([1]Futuros!$AD:$AD,$A3&amp;"_"&amp;AJU$11,[1]Futuros!$AK:$AK)+SUMIF([1]Opciones!$AF:$AF,$A3&amp;"_"&amp;AJU$11,[1]Opciones!$AO:$AO)</f>
        <v>#VALUE!</v>
      </c>
      <c r="AJV3" t="e">
        <f>+SUMIF([1]Cartera!$R:$R,$A3&amp;"_"&amp;AJV$11,[1]Cartera!$J:$J)+SUMIF([1]Futuros!$AD:$AD,$A3&amp;"_"&amp;AJV$11,[1]Futuros!$AK:$AK)+SUMIF([1]Opciones!$AF:$AF,$A3&amp;"_"&amp;AJV$11,[1]Opciones!$AO:$AO)</f>
        <v>#VALUE!</v>
      </c>
      <c r="AJW3" t="e">
        <f>+SUMIF([1]Cartera!$R:$R,$A3&amp;"_"&amp;AJW$11,[1]Cartera!$J:$J)+SUMIF([1]Futuros!$AD:$AD,$A3&amp;"_"&amp;AJW$11,[1]Futuros!$AK:$AK)+SUMIF([1]Opciones!$AF:$AF,$A3&amp;"_"&amp;AJW$11,[1]Opciones!$AO:$AO)</f>
        <v>#VALUE!</v>
      </c>
      <c r="AJX3" t="e">
        <f>+SUMIF([1]Cartera!$R:$R,$A3&amp;"_"&amp;AJX$11,[1]Cartera!$J:$J)+SUMIF([1]Futuros!$AD:$AD,$A3&amp;"_"&amp;AJX$11,[1]Futuros!$AK:$AK)+SUMIF([1]Opciones!$AF:$AF,$A3&amp;"_"&amp;AJX$11,[1]Opciones!$AO:$AO)</f>
        <v>#VALUE!</v>
      </c>
      <c r="AJY3" t="e">
        <f>+SUMIF([1]Cartera!$R:$R,$A3&amp;"_"&amp;AJY$11,[1]Cartera!$J:$J)+SUMIF([1]Futuros!$AD:$AD,$A3&amp;"_"&amp;AJY$11,[1]Futuros!$AK:$AK)+SUMIF([1]Opciones!$AF:$AF,$A3&amp;"_"&amp;AJY$11,[1]Opciones!$AO:$AO)</f>
        <v>#VALUE!</v>
      </c>
      <c r="AJZ3" t="e">
        <f>+SUMIF([1]Cartera!$R:$R,$A3&amp;"_"&amp;AJZ$11,[1]Cartera!$J:$J)+SUMIF([1]Futuros!$AD:$AD,$A3&amp;"_"&amp;AJZ$11,[1]Futuros!$AK:$AK)+SUMIF([1]Opciones!$AF:$AF,$A3&amp;"_"&amp;AJZ$11,[1]Opciones!$AO:$AO)</f>
        <v>#VALUE!</v>
      </c>
      <c r="AKA3" t="e">
        <f>+SUMIF([1]Cartera!$R:$R,$A3&amp;"_"&amp;AKA$11,[1]Cartera!$J:$J)+SUMIF([1]Futuros!$AD:$AD,$A3&amp;"_"&amp;AKA$11,[1]Futuros!$AK:$AK)+SUMIF([1]Opciones!$AF:$AF,$A3&amp;"_"&amp;AKA$11,[1]Opciones!$AO:$AO)</f>
        <v>#VALUE!</v>
      </c>
      <c r="AKB3" t="e">
        <f>+SUMIF([1]Cartera!$R:$R,$A3&amp;"_"&amp;AKB$11,[1]Cartera!$J:$J)+SUMIF([1]Futuros!$AD:$AD,$A3&amp;"_"&amp;AKB$11,[1]Futuros!$AK:$AK)+SUMIF([1]Opciones!$AF:$AF,$A3&amp;"_"&amp;AKB$11,[1]Opciones!$AO:$AO)</f>
        <v>#VALUE!</v>
      </c>
      <c r="AKC3" t="e">
        <f>+SUMIF([1]Cartera!$R:$R,$A3&amp;"_"&amp;AKC$11,[1]Cartera!$J:$J)+SUMIF([1]Futuros!$AD:$AD,$A3&amp;"_"&amp;AKC$11,[1]Futuros!$AK:$AK)+SUMIF([1]Opciones!$AF:$AF,$A3&amp;"_"&amp;AKC$11,[1]Opciones!$AO:$AO)</f>
        <v>#VALUE!</v>
      </c>
      <c r="AKD3" t="e">
        <f>+SUMIF([1]Cartera!$R:$R,$A3&amp;"_"&amp;AKD$11,[1]Cartera!$J:$J)+SUMIF([1]Futuros!$AD:$AD,$A3&amp;"_"&amp;AKD$11,[1]Futuros!$AK:$AK)+SUMIF([1]Opciones!$AF:$AF,$A3&amp;"_"&amp;AKD$11,[1]Opciones!$AO:$AO)</f>
        <v>#VALUE!</v>
      </c>
      <c r="AKE3" t="e">
        <f>+SUMIF([1]Cartera!$R:$R,$A3&amp;"_"&amp;AKE$11,[1]Cartera!$J:$J)+SUMIF([1]Futuros!$AD:$AD,$A3&amp;"_"&amp;AKE$11,[1]Futuros!$AK:$AK)+SUMIF([1]Opciones!$AF:$AF,$A3&amp;"_"&amp;AKE$11,[1]Opciones!$AO:$AO)</f>
        <v>#VALUE!</v>
      </c>
      <c r="AKF3" t="e">
        <f>+SUMIF([1]Cartera!$R:$R,$A3&amp;"_"&amp;AKF$11,[1]Cartera!$J:$J)+SUMIF([1]Futuros!$AD:$AD,$A3&amp;"_"&amp;AKF$11,[1]Futuros!$AK:$AK)+SUMIF([1]Opciones!$AF:$AF,$A3&amp;"_"&amp;AKF$11,[1]Opciones!$AO:$AO)</f>
        <v>#VALUE!</v>
      </c>
      <c r="AKG3" t="e">
        <f>+SUMIF([1]Cartera!$R:$R,$A3&amp;"_"&amp;AKG$11,[1]Cartera!$J:$J)+SUMIF([1]Futuros!$AD:$AD,$A3&amp;"_"&amp;AKG$11,[1]Futuros!$AK:$AK)+SUMIF([1]Opciones!$AF:$AF,$A3&amp;"_"&amp;AKG$11,[1]Opciones!$AO:$AO)</f>
        <v>#VALUE!</v>
      </c>
      <c r="AKH3" t="e">
        <f>+SUMIF([1]Cartera!$R:$R,$A3&amp;"_"&amp;AKH$11,[1]Cartera!$J:$J)+SUMIF([1]Futuros!$AD:$AD,$A3&amp;"_"&amp;AKH$11,[1]Futuros!$AK:$AK)+SUMIF([1]Opciones!$AF:$AF,$A3&amp;"_"&amp;AKH$11,[1]Opciones!$AO:$AO)</f>
        <v>#VALUE!</v>
      </c>
      <c r="AKI3" t="e">
        <f>+SUMIF([1]Cartera!$R:$R,$A3&amp;"_"&amp;AKI$11,[1]Cartera!$J:$J)+SUMIF([1]Futuros!$AD:$AD,$A3&amp;"_"&amp;AKI$11,[1]Futuros!$AK:$AK)+SUMIF([1]Opciones!$AF:$AF,$A3&amp;"_"&amp;AKI$11,[1]Opciones!$AO:$AO)</f>
        <v>#VALUE!</v>
      </c>
      <c r="AKJ3" t="e">
        <f>+SUMIF([1]Cartera!$R:$R,$A3&amp;"_"&amp;AKJ$11,[1]Cartera!$J:$J)+SUMIF([1]Futuros!$AD:$AD,$A3&amp;"_"&amp;AKJ$11,[1]Futuros!$AK:$AK)+SUMIF([1]Opciones!$AF:$AF,$A3&amp;"_"&amp;AKJ$11,[1]Opciones!$AO:$AO)</f>
        <v>#VALUE!</v>
      </c>
      <c r="AKK3" t="e">
        <f>+SUMIF([1]Cartera!$R:$R,$A3&amp;"_"&amp;AKK$11,[1]Cartera!$J:$J)+SUMIF([1]Futuros!$AD:$AD,$A3&amp;"_"&amp;AKK$11,[1]Futuros!$AK:$AK)+SUMIF([1]Opciones!$AF:$AF,$A3&amp;"_"&amp;AKK$11,[1]Opciones!$AO:$AO)</f>
        <v>#VALUE!</v>
      </c>
      <c r="AKL3" t="e">
        <f>+SUMIF([1]Cartera!$R:$R,$A3&amp;"_"&amp;AKL$11,[1]Cartera!$J:$J)+SUMIF([1]Futuros!$AD:$AD,$A3&amp;"_"&amp;AKL$11,[1]Futuros!$AK:$AK)+SUMIF([1]Opciones!$AF:$AF,$A3&amp;"_"&amp;AKL$11,[1]Opciones!$AO:$AO)</f>
        <v>#VALUE!</v>
      </c>
      <c r="AKM3" t="e">
        <f>+SUMIF([1]Cartera!$R:$R,$A3&amp;"_"&amp;AKM$11,[1]Cartera!$J:$J)+SUMIF([1]Futuros!$AD:$AD,$A3&amp;"_"&amp;AKM$11,[1]Futuros!$AK:$AK)+SUMIF([1]Opciones!$AF:$AF,$A3&amp;"_"&amp;AKM$11,[1]Opciones!$AO:$AO)</f>
        <v>#VALUE!</v>
      </c>
      <c r="AKN3" t="e">
        <f>+SUMIF([1]Cartera!$R:$R,$A3&amp;"_"&amp;AKN$11,[1]Cartera!$J:$J)+SUMIF([1]Futuros!$AD:$AD,$A3&amp;"_"&amp;AKN$11,[1]Futuros!$AK:$AK)+SUMIF([1]Opciones!$AF:$AF,$A3&amp;"_"&amp;AKN$11,[1]Opciones!$AO:$AO)</f>
        <v>#VALUE!</v>
      </c>
      <c r="AKO3" t="e">
        <f>+SUMIF([1]Cartera!$R:$R,$A3&amp;"_"&amp;AKO$11,[1]Cartera!$J:$J)+SUMIF([1]Futuros!$AD:$AD,$A3&amp;"_"&amp;AKO$11,[1]Futuros!$AK:$AK)+SUMIF([1]Opciones!$AF:$AF,$A3&amp;"_"&amp;AKO$11,[1]Opciones!$AO:$AO)</f>
        <v>#VALUE!</v>
      </c>
      <c r="AKP3" t="e">
        <f>+SUMIF([1]Cartera!$R:$R,$A3&amp;"_"&amp;AKP$11,[1]Cartera!$J:$J)+SUMIF([1]Futuros!$AD:$AD,$A3&amp;"_"&amp;AKP$11,[1]Futuros!$AK:$AK)+SUMIF([1]Opciones!$AF:$AF,$A3&amp;"_"&amp;AKP$11,[1]Opciones!$AO:$AO)</f>
        <v>#VALUE!</v>
      </c>
      <c r="AKQ3" t="e">
        <f>+SUMIF([1]Cartera!$R:$R,$A3&amp;"_"&amp;AKQ$11,[1]Cartera!$J:$J)+SUMIF([1]Futuros!$AD:$AD,$A3&amp;"_"&amp;AKQ$11,[1]Futuros!$AK:$AK)+SUMIF([1]Opciones!$AF:$AF,$A3&amp;"_"&amp;AKQ$11,[1]Opciones!$AO:$AO)</f>
        <v>#VALUE!</v>
      </c>
      <c r="AKR3" t="e">
        <f>+SUMIF([1]Cartera!$R:$R,$A3&amp;"_"&amp;AKR$11,[1]Cartera!$J:$J)+SUMIF([1]Futuros!$AD:$AD,$A3&amp;"_"&amp;AKR$11,[1]Futuros!$AK:$AK)+SUMIF([1]Opciones!$AF:$AF,$A3&amp;"_"&amp;AKR$11,[1]Opciones!$AO:$AO)</f>
        <v>#VALUE!</v>
      </c>
      <c r="AKS3" t="e">
        <f>+SUMIF([1]Cartera!$R:$R,$A3&amp;"_"&amp;AKS$11,[1]Cartera!$J:$J)+SUMIF([1]Futuros!$AD:$AD,$A3&amp;"_"&amp;AKS$11,[1]Futuros!$AK:$AK)+SUMIF([1]Opciones!$AF:$AF,$A3&amp;"_"&amp;AKS$11,[1]Opciones!$AO:$AO)</f>
        <v>#VALUE!</v>
      </c>
      <c r="AKT3" t="e">
        <f>+SUMIF([1]Cartera!$R:$R,$A3&amp;"_"&amp;AKT$11,[1]Cartera!$J:$J)+SUMIF([1]Futuros!$AD:$AD,$A3&amp;"_"&amp;AKT$11,[1]Futuros!$AK:$AK)+SUMIF([1]Opciones!$AF:$AF,$A3&amp;"_"&amp;AKT$11,[1]Opciones!$AO:$AO)</f>
        <v>#VALUE!</v>
      </c>
      <c r="AKU3" t="e">
        <f>+SUMIF([1]Cartera!$R:$R,$A3&amp;"_"&amp;AKU$11,[1]Cartera!$J:$J)+SUMIF([1]Futuros!$AD:$AD,$A3&amp;"_"&amp;AKU$11,[1]Futuros!$AK:$AK)+SUMIF([1]Opciones!$AF:$AF,$A3&amp;"_"&amp;AKU$11,[1]Opciones!$AO:$AO)</f>
        <v>#VALUE!</v>
      </c>
      <c r="AKV3" t="e">
        <f>+SUMIF([1]Cartera!$R:$R,$A3&amp;"_"&amp;AKV$11,[1]Cartera!$J:$J)+SUMIF([1]Futuros!$AD:$AD,$A3&amp;"_"&amp;AKV$11,[1]Futuros!$AK:$AK)+SUMIF([1]Opciones!$AF:$AF,$A3&amp;"_"&amp;AKV$11,[1]Opciones!$AO:$AO)</f>
        <v>#VALUE!</v>
      </c>
      <c r="AKW3" t="e">
        <f>+SUMIF([1]Cartera!$R:$R,$A3&amp;"_"&amp;AKW$11,[1]Cartera!$J:$J)+SUMIF([1]Futuros!$AD:$AD,$A3&amp;"_"&amp;AKW$11,[1]Futuros!$AK:$AK)+SUMIF([1]Opciones!$AF:$AF,$A3&amp;"_"&amp;AKW$11,[1]Opciones!$AO:$AO)</f>
        <v>#VALUE!</v>
      </c>
      <c r="AKX3" t="e">
        <f>+SUMIF([1]Cartera!$R:$R,$A3&amp;"_"&amp;AKX$11,[1]Cartera!$J:$J)+SUMIF([1]Futuros!$AD:$AD,$A3&amp;"_"&amp;AKX$11,[1]Futuros!$AK:$AK)+SUMIF([1]Opciones!$AF:$AF,$A3&amp;"_"&amp;AKX$11,[1]Opciones!$AO:$AO)</f>
        <v>#VALUE!</v>
      </c>
      <c r="AKY3" t="e">
        <f>+SUMIF([1]Cartera!$R:$R,$A3&amp;"_"&amp;AKY$11,[1]Cartera!$J:$J)+SUMIF([1]Futuros!$AD:$AD,$A3&amp;"_"&amp;AKY$11,[1]Futuros!$AK:$AK)+SUMIF([1]Opciones!$AF:$AF,$A3&amp;"_"&amp;AKY$11,[1]Opciones!$AO:$AO)</f>
        <v>#VALUE!</v>
      </c>
      <c r="AKZ3" t="e">
        <f>+SUMIF([1]Cartera!$R:$R,$A3&amp;"_"&amp;AKZ$11,[1]Cartera!$J:$J)+SUMIF([1]Futuros!$AD:$AD,$A3&amp;"_"&amp;AKZ$11,[1]Futuros!$AK:$AK)+SUMIF([1]Opciones!$AF:$AF,$A3&amp;"_"&amp;AKZ$11,[1]Opciones!$AO:$AO)</f>
        <v>#VALUE!</v>
      </c>
      <c r="ALA3" t="e">
        <f>+SUMIF([1]Cartera!$R:$R,$A3&amp;"_"&amp;ALA$11,[1]Cartera!$J:$J)+SUMIF([1]Futuros!$AD:$AD,$A3&amp;"_"&amp;ALA$11,[1]Futuros!$AK:$AK)+SUMIF([1]Opciones!$AF:$AF,$A3&amp;"_"&amp;ALA$11,[1]Opciones!$AO:$AO)</f>
        <v>#VALUE!</v>
      </c>
      <c r="ALB3" t="e">
        <f>+SUMIF([1]Cartera!$R:$R,$A3&amp;"_"&amp;ALB$11,[1]Cartera!$J:$J)+SUMIF([1]Futuros!$AD:$AD,$A3&amp;"_"&amp;ALB$11,[1]Futuros!$AK:$AK)+SUMIF([1]Opciones!$AF:$AF,$A3&amp;"_"&amp;ALB$11,[1]Opciones!$AO:$AO)</f>
        <v>#VALUE!</v>
      </c>
      <c r="ALC3" t="e">
        <f>+SUMIF([1]Cartera!$R:$R,$A3&amp;"_"&amp;ALC$11,[1]Cartera!$J:$J)+SUMIF([1]Futuros!$AD:$AD,$A3&amp;"_"&amp;ALC$11,[1]Futuros!$AK:$AK)+SUMIF([1]Opciones!$AF:$AF,$A3&amp;"_"&amp;ALC$11,[1]Opciones!$AO:$AO)</f>
        <v>#VALUE!</v>
      </c>
      <c r="ALD3" t="e">
        <f>+SUMIF([1]Cartera!$R:$R,$A3&amp;"_"&amp;ALD$11,[1]Cartera!$J:$J)+SUMIF([1]Futuros!$AD:$AD,$A3&amp;"_"&amp;ALD$11,[1]Futuros!$AK:$AK)+SUMIF([1]Opciones!$AF:$AF,$A3&amp;"_"&amp;ALD$11,[1]Opciones!$AO:$AO)</f>
        <v>#VALUE!</v>
      </c>
      <c r="ALE3" t="e">
        <f>+SUMIF([1]Cartera!$R:$R,$A3&amp;"_"&amp;ALE$11,[1]Cartera!$J:$J)+SUMIF([1]Futuros!$AD:$AD,$A3&amp;"_"&amp;ALE$11,[1]Futuros!$AK:$AK)+SUMIF([1]Opciones!$AF:$AF,$A3&amp;"_"&amp;ALE$11,[1]Opciones!$AO:$AO)</f>
        <v>#VALUE!</v>
      </c>
      <c r="ALF3" t="e">
        <f>+SUMIF([1]Cartera!$R:$R,$A3&amp;"_"&amp;ALF$11,[1]Cartera!$J:$J)+SUMIF([1]Futuros!$AD:$AD,$A3&amp;"_"&amp;ALF$11,[1]Futuros!$AK:$AK)+SUMIF([1]Opciones!$AF:$AF,$A3&amp;"_"&amp;ALF$11,[1]Opciones!$AO:$AO)</f>
        <v>#VALUE!</v>
      </c>
      <c r="ALG3" t="e">
        <f>+SUMIF([1]Cartera!$R:$R,$A3&amp;"_"&amp;ALG$11,[1]Cartera!$J:$J)+SUMIF([1]Futuros!$AD:$AD,$A3&amp;"_"&amp;ALG$11,[1]Futuros!$AK:$AK)+SUMIF([1]Opciones!$AF:$AF,$A3&amp;"_"&amp;ALG$11,[1]Opciones!$AO:$AO)</f>
        <v>#VALUE!</v>
      </c>
      <c r="ALH3" t="e">
        <f>+SUMIF([1]Cartera!$R:$R,$A3&amp;"_"&amp;ALH$11,[1]Cartera!$J:$J)+SUMIF([1]Futuros!$AD:$AD,$A3&amp;"_"&amp;ALH$11,[1]Futuros!$AK:$AK)+SUMIF([1]Opciones!$AF:$AF,$A3&amp;"_"&amp;ALH$11,[1]Opciones!$AO:$AO)</f>
        <v>#VALUE!</v>
      </c>
      <c r="ALI3" t="e">
        <f>+SUMIF([1]Cartera!$R:$R,$A3&amp;"_"&amp;ALI$11,[1]Cartera!$J:$J)+SUMIF([1]Futuros!$AD:$AD,$A3&amp;"_"&amp;ALI$11,[1]Futuros!$AK:$AK)+SUMIF([1]Opciones!$AF:$AF,$A3&amp;"_"&amp;ALI$11,[1]Opciones!$AO:$AO)</f>
        <v>#VALUE!</v>
      </c>
      <c r="ALJ3" t="e">
        <f>+SUMIF([1]Cartera!$R:$R,$A3&amp;"_"&amp;ALJ$11,[1]Cartera!$J:$J)+SUMIF([1]Futuros!$AD:$AD,$A3&amp;"_"&amp;ALJ$11,[1]Futuros!$AK:$AK)+SUMIF([1]Opciones!$AF:$AF,$A3&amp;"_"&amp;ALJ$11,[1]Opciones!$AO:$AO)</f>
        <v>#VALUE!</v>
      </c>
      <c r="ALK3" t="e">
        <f>+SUMIF([1]Cartera!$R:$R,$A3&amp;"_"&amp;ALK$11,[1]Cartera!$J:$J)+SUMIF([1]Futuros!$AD:$AD,$A3&amp;"_"&amp;ALK$11,[1]Futuros!$AK:$AK)+SUMIF([1]Opciones!$AF:$AF,$A3&amp;"_"&amp;ALK$11,[1]Opciones!$AO:$AO)</f>
        <v>#VALUE!</v>
      </c>
      <c r="ALL3" t="e">
        <f>+SUMIF([1]Cartera!$R:$R,$A3&amp;"_"&amp;ALL$11,[1]Cartera!$J:$J)+SUMIF([1]Futuros!$AD:$AD,$A3&amp;"_"&amp;ALL$11,[1]Futuros!$AK:$AK)+SUMIF([1]Opciones!$AF:$AF,$A3&amp;"_"&amp;ALL$11,[1]Opciones!$AO:$AO)</f>
        <v>#VALUE!</v>
      </c>
      <c r="ALM3" t="e">
        <f>+SUMIF([1]Cartera!$R:$R,$A3&amp;"_"&amp;ALM$11,[1]Cartera!$J:$J)+SUMIF([1]Futuros!$AD:$AD,$A3&amp;"_"&amp;ALM$11,[1]Futuros!$AK:$AK)+SUMIF([1]Opciones!$AF:$AF,$A3&amp;"_"&amp;ALM$11,[1]Opciones!$AO:$AO)</f>
        <v>#VALUE!</v>
      </c>
      <c r="ALN3" t="e">
        <f>+SUMIF([1]Cartera!$R:$R,$A3&amp;"_"&amp;ALN$11,[1]Cartera!$J:$J)+SUMIF([1]Futuros!$AD:$AD,$A3&amp;"_"&amp;ALN$11,[1]Futuros!$AK:$AK)+SUMIF([1]Opciones!$AF:$AF,$A3&amp;"_"&amp;ALN$11,[1]Opciones!$AO:$AO)</f>
        <v>#VALUE!</v>
      </c>
      <c r="ALO3" t="e">
        <f>+SUMIF([1]Cartera!$R:$R,$A3&amp;"_"&amp;ALO$11,[1]Cartera!$J:$J)+SUMIF([1]Futuros!$AD:$AD,$A3&amp;"_"&amp;ALO$11,[1]Futuros!$AK:$AK)+SUMIF([1]Opciones!$AF:$AF,$A3&amp;"_"&amp;ALO$11,[1]Opciones!$AO:$AO)</f>
        <v>#VALUE!</v>
      </c>
      <c r="ALP3" t="e">
        <f>+SUMIF([1]Cartera!$R:$R,$A3&amp;"_"&amp;ALP$11,[1]Cartera!$J:$J)+SUMIF([1]Futuros!$AD:$AD,$A3&amp;"_"&amp;ALP$11,[1]Futuros!$AK:$AK)+SUMIF([1]Opciones!$AF:$AF,$A3&amp;"_"&amp;ALP$11,[1]Opciones!$AO:$AO)</f>
        <v>#VALUE!</v>
      </c>
      <c r="ALQ3" t="e">
        <f>+SUMIF([1]Cartera!$R:$R,$A3&amp;"_"&amp;ALQ$11,[1]Cartera!$J:$J)+SUMIF([1]Futuros!$AD:$AD,$A3&amp;"_"&amp;ALQ$11,[1]Futuros!$AK:$AK)+SUMIF([1]Opciones!$AF:$AF,$A3&amp;"_"&amp;ALQ$11,[1]Opciones!$AO:$AO)</f>
        <v>#VALUE!</v>
      </c>
      <c r="ALR3" t="e">
        <f>+SUMIF([1]Cartera!$R:$R,$A3&amp;"_"&amp;ALR$11,[1]Cartera!$J:$J)+SUMIF([1]Futuros!$AD:$AD,$A3&amp;"_"&amp;ALR$11,[1]Futuros!$AK:$AK)+SUMIF([1]Opciones!$AF:$AF,$A3&amp;"_"&amp;ALR$11,[1]Opciones!$AO:$AO)</f>
        <v>#VALUE!</v>
      </c>
      <c r="ALS3" t="e">
        <f>+SUMIF([1]Cartera!$R:$R,$A3&amp;"_"&amp;ALS$11,[1]Cartera!$J:$J)+SUMIF([1]Futuros!$AD:$AD,$A3&amp;"_"&amp;ALS$11,[1]Futuros!$AK:$AK)+SUMIF([1]Opciones!$AF:$AF,$A3&amp;"_"&amp;ALS$11,[1]Opciones!$AO:$AO)</f>
        <v>#VALUE!</v>
      </c>
      <c r="ALT3" t="e">
        <f>+SUMIF([1]Cartera!$R:$R,$A3&amp;"_"&amp;ALT$11,[1]Cartera!$J:$J)+SUMIF([1]Futuros!$AD:$AD,$A3&amp;"_"&amp;ALT$11,[1]Futuros!$AK:$AK)+SUMIF([1]Opciones!$AF:$AF,$A3&amp;"_"&amp;ALT$11,[1]Opciones!$AO:$AO)</f>
        <v>#VALUE!</v>
      </c>
      <c r="ALU3" t="e">
        <f>+SUMIF([1]Cartera!$R:$R,$A3&amp;"_"&amp;ALU$11,[1]Cartera!$J:$J)+SUMIF([1]Futuros!$AD:$AD,$A3&amp;"_"&amp;ALU$11,[1]Futuros!$AK:$AK)+SUMIF([1]Opciones!$AF:$AF,$A3&amp;"_"&amp;ALU$11,[1]Opciones!$AO:$AO)</f>
        <v>#VALUE!</v>
      </c>
      <c r="ALV3" t="e">
        <f>+SUMIF([1]Cartera!$R:$R,$A3&amp;"_"&amp;ALV$11,[1]Cartera!$J:$J)+SUMIF([1]Futuros!$AD:$AD,$A3&amp;"_"&amp;ALV$11,[1]Futuros!$AK:$AK)+SUMIF([1]Opciones!$AF:$AF,$A3&amp;"_"&amp;ALV$11,[1]Opciones!$AO:$AO)</f>
        <v>#VALUE!</v>
      </c>
      <c r="ALW3" t="e">
        <f>+SUMIF([1]Cartera!$R:$R,$A3&amp;"_"&amp;ALW$11,[1]Cartera!$J:$J)+SUMIF([1]Futuros!$AD:$AD,$A3&amp;"_"&amp;ALW$11,[1]Futuros!$AK:$AK)+SUMIF([1]Opciones!$AF:$AF,$A3&amp;"_"&amp;ALW$11,[1]Opciones!$AO:$AO)</f>
        <v>#VALUE!</v>
      </c>
      <c r="ALX3" t="e">
        <f>+SUMIF([1]Cartera!$R:$R,$A3&amp;"_"&amp;ALX$11,[1]Cartera!$J:$J)+SUMIF([1]Futuros!$AD:$AD,$A3&amp;"_"&amp;ALX$11,[1]Futuros!$AK:$AK)+SUMIF([1]Opciones!$AF:$AF,$A3&amp;"_"&amp;ALX$11,[1]Opciones!$AO:$AO)</f>
        <v>#VALUE!</v>
      </c>
      <c r="ALY3" t="e">
        <f>+SUMIF([1]Cartera!$R:$R,$A3&amp;"_"&amp;ALY$11,[1]Cartera!$J:$J)+SUMIF([1]Futuros!$AD:$AD,$A3&amp;"_"&amp;ALY$11,[1]Futuros!$AK:$AK)+SUMIF([1]Opciones!$AF:$AF,$A3&amp;"_"&amp;ALY$11,[1]Opciones!$AO:$AO)</f>
        <v>#VALUE!</v>
      </c>
      <c r="ALZ3" t="e">
        <f>+SUMIF([1]Cartera!$R:$R,$A3&amp;"_"&amp;ALZ$11,[1]Cartera!$J:$J)+SUMIF([1]Futuros!$AD:$AD,$A3&amp;"_"&amp;ALZ$11,[1]Futuros!$AK:$AK)+SUMIF([1]Opciones!$AF:$AF,$A3&amp;"_"&amp;ALZ$11,[1]Opciones!$AO:$AO)</f>
        <v>#VALUE!</v>
      </c>
      <c r="AMA3" t="e">
        <f>+SUMIF([1]Cartera!$R:$R,$A3&amp;"_"&amp;AMA$11,[1]Cartera!$J:$J)+SUMIF([1]Futuros!$AD:$AD,$A3&amp;"_"&amp;AMA$11,[1]Futuros!$AK:$AK)+SUMIF([1]Opciones!$AF:$AF,$A3&amp;"_"&amp;AMA$11,[1]Opciones!$AO:$AO)</f>
        <v>#VALUE!</v>
      </c>
      <c r="AMB3" t="e">
        <f>+SUMIF([1]Cartera!$R:$R,$A3&amp;"_"&amp;AMB$11,[1]Cartera!$J:$J)+SUMIF([1]Futuros!$AD:$AD,$A3&amp;"_"&amp;AMB$11,[1]Futuros!$AK:$AK)+SUMIF([1]Opciones!$AF:$AF,$A3&amp;"_"&amp;AMB$11,[1]Opciones!$AO:$AO)</f>
        <v>#VALUE!</v>
      </c>
      <c r="AMC3" t="e">
        <f>+SUMIF([1]Cartera!$R:$R,$A3&amp;"_"&amp;AMC$11,[1]Cartera!$J:$J)+SUMIF([1]Futuros!$AD:$AD,$A3&amp;"_"&amp;AMC$11,[1]Futuros!$AK:$AK)+SUMIF([1]Opciones!$AF:$AF,$A3&amp;"_"&amp;AMC$11,[1]Opciones!$AO:$AO)</f>
        <v>#VALUE!</v>
      </c>
      <c r="AMD3" t="e">
        <f>+SUMIF([1]Cartera!$R:$R,$A3&amp;"_"&amp;AMD$11,[1]Cartera!$J:$J)+SUMIF([1]Futuros!$AD:$AD,$A3&amp;"_"&amp;AMD$11,[1]Futuros!$AK:$AK)+SUMIF([1]Opciones!$AF:$AF,$A3&amp;"_"&amp;AMD$11,[1]Opciones!$AO:$AO)</f>
        <v>#VALUE!</v>
      </c>
      <c r="AME3" t="e">
        <f>+SUMIF([1]Cartera!$R:$R,$A3&amp;"_"&amp;AME$11,[1]Cartera!$J:$J)+SUMIF([1]Futuros!$AD:$AD,$A3&amp;"_"&amp;AME$11,[1]Futuros!$AK:$AK)+SUMIF([1]Opciones!$AF:$AF,$A3&amp;"_"&amp;AME$11,[1]Opciones!$AO:$AO)</f>
        <v>#VALUE!</v>
      </c>
      <c r="AMF3" t="e">
        <f>+SUMIF([1]Cartera!$R:$R,$A3&amp;"_"&amp;AMF$11,[1]Cartera!$J:$J)+SUMIF([1]Futuros!$AD:$AD,$A3&amp;"_"&amp;AMF$11,[1]Futuros!$AK:$AK)+SUMIF([1]Opciones!$AF:$AF,$A3&amp;"_"&amp;AMF$11,[1]Opciones!$AO:$AO)</f>
        <v>#VALUE!</v>
      </c>
      <c r="AMG3" t="e">
        <f>+SUMIF([1]Cartera!$R:$R,$A3&amp;"_"&amp;AMG$11,[1]Cartera!$J:$J)+SUMIF([1]Futuros!$AD:$AD,$A3&amp;"_"&amp;AMG$11,[1]Futuros!$AK:$AK)+SUMIF([1]Opciones!$AF:$AF,$A3&amp;"_"&amp;AMG$11,[1]Opciones!$AO:$AO)</f>
        <v>#VALUE!</v>
      </c>
      <c r="AMH3" t="e">
        <f>+SUMIF([1]Cartera!$R:$R,$A3&amp;"_"&amp;AMH$11,[1]Cartera!$J:$J)+SUMIF([1]Futuros!$AD:$AD,$A3&amp;"_"&amp;AMH$11,[1]Futuros!$AK:$AK)+SUMIF([1]Opciones!$AF:$AF,$A3&amp;"_"&amp;AMH$11,[1]Opciones!$AO:$AO)</f>
        <v>#VALUE!</v>
      </c>
      <c r="AMI3" t="e">
        <f>+SUMIF([1]Cartera!$R:$R,$A3&amp;"_"&amp;AMI$11,[1]Cartera!$J:$J)+SUMIF([1]Futuros!$AD:$AD,$A3&amp;"_"&amp;AMI$11,[1]Futuros!$AK:$AK)+SUMIF([1]Opciones!$AF:$AF,$A3&amp;"_"&amp;AMI$11,[1]Opciones!$AO:$AO)</f>
        <v>#VALUE!</v>
      </c>
      <c r="AMJ3" t="e">
        <f>+SUMIF([1]Cartera!$R:$R,$A3&amp;"_"&amp;AMJ$11,[1]Cartera!$J:$J)+SUMIF([1]Futuros!$AD:$AD,$A3&amp;"_"&amp;AMJ$11,[1]Futuros!$AK:$AK)+SUMIF([1]Opciones!$AF:$AF,$A3&amp;"_"&amp;AMJ$11,[1]Opciones!$AO:$AO)</f>
        <v>#VALUE!</v>
      </c>
      <c r="AMK3" t="e">
        <f>+SUMIF([1]Cartera!$R:$R,$A3&amp;"_"&amp;AMK$11,[1]Cartera!$J:$J)+SUMIF([1]Futuros!$AD:$AD,$A3&amp;"_"&amp;AMK$11,[1]Futuros!$AK:$AK)+SUMIF([1]Opciones!$AF:$AF,$A3&amp;"_"&amp;AMK$11,[1]Opciones!$AO:$AO)</f>
        <v>#VALUE!</v>
      </c>
      <c r="AML3" t="e">
        <f>+SUMIF([1]Cartera!$R:$R,$A3&amp;"_"&amp;AML$11,[1]Cartera!$J:$J)+SUMIF([1]Futuros!$AD:$AD,$A3&amp;"_"&amp;AML$11,[1]Futuros!$AK:$AK)+SUMIF([1]Opciones!$AF:$AF,$A3&amp;"_"&amp;AML$11,[1]Opciones!$AO:$AO)</f>
        <v>#VALUE!</v>
      </c>
      <c r="AMM3" t="e">
        <f>+SUMIF([1]Cartera!$R:$R,$A3&amp;"_"&amp;AMM$11,[1]Cartera!$J:$J)+SUMIF([1]Futuros!$AD:$AD,$A3&amp;"_"&amp;AMM$11,[1]Futuros!$AK:$AK)+SUMIF([1]Opciones!$AF:$AF,$A3&amp;"_"&amp;AMM$11,[1]Opciones!$AO:$AO)</f>
        <v>#VALUE!</v>
      </c>
      <c r="AMN3" t="e">
        <f>+SUMIF([1]Cartera!$R:$R,$A3&amp;"_"&amp;AMN$11,[1]Cartera!$J:$J)+SUMIF([1]Futuros!$AD:$AD,$A3&amp;"_"&amp;AMN$11,[1]Futuros!$AK:$AK)+SUMIF([1]Opciones!$AF:$AF,$A3&amp;"_"&amp;AMN$11,[1]Opciones!$AO:$AO)</f>
        <v>#VALUE!</v>
      </c>
      <c r="AMO3" t="e">
        <f>+SUMIF([1]Cartera!$R:$R,$A3&amp;"_"&amp;AMO$11,[1]Cartera!$J:$J)+SUMIF([1]Futuros!$AD:$AD,$A3&amp;"_"&amp;AMO$11,[1]Futuros!$AK:$AK)+SUMIF([1]Opciones!$AF:$AF,$A3&amp;"_"&amp;AMO$11,[1]Opciones!$AO:$AO)</f>
        <v>#VALUE!</v>
      </c>
      <c r="AMP3" t="e">
        <f>+SUMIF([1]Cartera!$R:$R,$A3&amp;"_"&amp;AMP$11,[1]Cartera!$J:$J)+SUMIF([1]Futuros!$AD:$AD,$A3&amp;"_"&amp;AMP$11,[1]Futuros!$AK:$AK)+SUMIF([1]Opciones!$AF:$AF,$A3&amp;"_"&amp;AMP$11,[1]Opciones!$AO:$AO)</f>
        <v>#VALUE!</v>
      </c>
      <c r="AMQ3" t="e">
        <f>+SUMIF([1]Cartera!$R:$R,$A3&amp;"_"&amp;AMQ$11,[1]Cartera!$J:$J)+SUMIF([1]Futuros!$AD:$AD,$A3&amp;"_"&amp;AMQ$11,[1]Futuros!$AK:$AK)+SUMIF([1]Opciones!$AF:$AF,$A3&amp;"_"&amp;AMQ$11,[1]Opciones!$AO:$AO)</f>
        <v>#VALUE!</v>
      </c>
      <c r="AMR3" t="e">
        <f>+SUMIF([1]Cartera!$R:$R,$A3&amp;"_"&amp;AMR$11,[1]Cartera!$J:$J)+SUMIF([1]Futuros!$AD:$AD,$A3&amp;"_"&amp;AMR$11,[1]Futuros!$AK:$AK)+SUMIF([1]Opciones!$AF:$AF,$A3&amp;"_"&amp;AMR$11,[1]Opciones!$AO:$AO)</f>
        <v>#VALUE!</v>
      </c>
      <c r="AMS3" t="e">
        <f>+SUMIF([1]Cartera!$R:$R,$A3&amp;"_"&amp;AMS$11,[1]Cartera!$J:$J)+SUMIF([1]Futuros!$AD:$AD,$A3&amp;"_"&amp;AMS$11,[1]Futuros!$AK:$AK)+SUMIF([1]Opciones!$AF:$AF,$A3&amp;"_"&amp;AMS$11,[1]Opciones!$AO:$AO)</f>
        <v>#VALUE!</v>
      </c>
      <c r="AMT3" t="e">
        <f>+SUMIF([1]Cartera!$R:$R,$A3&amp;"_"&amp;AMT$11,[1]Cartera!$J:$J)+SUMIF([1]Futuros!$AD:$AD,$A3&amp;"_"&amp;AMT$11,[1]Futuros!$AK:$AK)+SUMIF([1]Opciones!$AF:$AF,$A3&amp;"_"&amp;AMT$11,[1]Opciones!$AO:$AO)</f>
        <v>#VALUE!</v>
      </c>
      <c r="AMU3" t="e">
        <f>+SUMIF([1]Cartera!$R:$R,$A3&amp;"_"&amp;AMU$11,[1]Cartera!$J:$J)+SUMIF([1]Futuros!$AD:$AD,$A3&amp;"_"&amp;AMU$11,[1]Futuros!$AK:$AK)+SUMIF([1]Opciones!$AF:$AF,$A3&amp;"_"&amp;AMU$11,[1]Opciones!$AO:$AO)</f>
        <v>#VALUE!</v>
      </c>
      <c r="AMV3" t="e">
        <f>+SUMIF([1]Cartera!$R:$R,$A3&amp;"_"&amp;AMV$11,[1]Cartera!$J:$J)+SUMIF([1]Futuros!$AD:$AD,$A3&amp;"_"&amp;AMV$11,[1]Futuros!$AK:$AK)+SUMIF([1]Opciones!$AF:$AF,$A3&amp;"_"&amp;AMV$11,[1]Opciones!$AO:$AO)</f>
        <v>#VALUE!</v>
      </c>
      <c r="AMW3" t="e">
        <f>+SUMIF([1]Cartera!$R:$R,$A3&amp;"_"&amp;AMW$11,[1]Cartera!$J:$J)+SUMIF([1]Futuros!$AD:$AD,$A3&amp;"_"&amp;AMW$11,[1]Futuros!$AK:$AK)+SUMIF([1]Opciones!$AF:$AF,$A3&amp;"_"&amp;AMW$11,[1]Opciones!$AO:$AO)</f>
        <v>#VALUE!</v>
      </c>
      <c r="AMX3" t="e">
        <f>+SUMIF([1]Cartera!$R:$R,$A3&amp;"_"&amp;AMX$11,[1]Cartera!$J:$J)+SUMIF([1]Futuros!$AD:$AD,$A3&amp;"_"&amp;AMX$11,[1]Futuros!$AK:$AK)+SUMIF([1]Opciones!$AF:$AF,$A3&amp;"_"&amp;AMX$11,[1]Opciones!$AO:$AO)</f>
        <v>#VALUE!</v>
      </c>
      <c r="AMY3" t="e">
        <f>+SUMIF([1]Cartera!$R:$R,$A3&amp;"_"&amp;AMY$11,[1]Cartera!$J:$J)+SUMIF([1]Futuros!$AD:$AD,$A3&amp;"_"&amp;AMY$11,[1]Futuros!$AK:$AK)+SUMIF([1]Opciones!$AF:$AF,$A3&amp;"_"&amp;AMY$11,[1]Opciones!$AO:$AO)</f>
        <v>#VALUE!</v>
      </c>
      <c r="AMZ3" t="e">
        <f>+SUMIF([1]Cartera!$R:$R,$A3&amp;"_"&amp;AMZ$11,[1]Cartera!$J:$J)+SUMIF([1]Futuros!$AD:$AD,$A3&amp;"_"&amp;AMZ$11,[1]Futuros!$AK:$AK)+SUMIF([1]Opciones!$AF:$AF,$A3&amp;"_"&amp;AMZ$11,[1]Opciones!$AO:$AO)</f>
        <v>#VALUE!</v>
      </c>
      <c r="ANA3" t="e">
        <f>+SUMIF([1]Cartera!$R:$R,$A3&amp;"_"&amp;ANA$11,[1]Cartera!$J:$J)+SUMIF([1]Futuros!$AD:$AD,$A3&amp;"_"&amp;ANA$11,[1]Futuros!$AK:$AK)+SUMIF([1]Opciones!$AF:$AF,$A3&amp;"_"&amp;ANA$11,[1]Opciones!$AO:$AO)</f>
        <v>#VALUE!</v>
      </c>
      <c r="ANB3" t="e">
        <f>+SUMIF([1]Cartera!$R:$R,$A3&amp;"_"&amp;ANB$11,[1]Cartera!$J:$J)+SUMIF([1]Futuros!$AD:$AD,$A3&amp;"_"&amp;ANB$11,[1]Futuros!$AK:$AK)+SUMIF([1]Opciones!$AF:$AF,$A3&amp;"_"&amp;ANB$11,[1]Opciones!$AO:$AO)</f>
        <v>#VALUE!</v>
      </c>
      <c r="ANC3" t="e">
        <f>+SUMIF([1]Cartera!$R:$R,$A3&amp;"_"&amp;ANC$11,[1]Cartera!$J:$J)+SUMIF([1]Futuros!$AD:$AD,$A3&amp;"_"&amp;ANC$11,[1]Futuros!$AK:$AK)+SUMIF([1]Opciones!$AF:$AF,$A3&amp;"_"&amp;ANC$11,[1]Opciones!$AO:$AO)</f>
        <v>#VALUE!</v>
      </c>
      <c r="AND3" t="e">
        <f>+SUMIF([1]Cartera!$R:$R,$A3&amp;"_"&amp;AND$11,[1]Cartera!$J:$J)+SUMIF([1]Futuros!$AD:$AD,$A3&amp;"_"&amp;AND$11,[1]Futuros!$AK:$AK)+SUMIF([1]Opciones!$AF:$AF,$A3&amp;"_"&amp;AND$11,[1]Opciones!$AO:$AO)</f>
        <v>#VALUE!</v>
      </c>
      <c r="ANE3" t="e">
        <f>+SUMIF([1]Cartera!$R:$R,$A3&amp;"_"&amp;ANE$11,[1]Cartera!$J:$J)+SUMIF([1]Futuros!$AD:$AD,$A3&amp;"_"&amp;ANE$11,[1]Futuros!$AK:$AK)+SUMIF([1]Opciones!$AF:$AF,$A3&amp;"_"&amp;ANE$11,[1]Opciones!$AO:$AO)</f>
        <v>#VALUE!</v>
      </c>
      <c r="ANF3" t="e">
        <f>+SUMIF([1]Cartera!$R:$R,$A3&amp;"_"&amp;ANF$11,[1]Cartera!$J:$J)+SUMIF([1]Futuros!$AD:$AD,$A3&amp;"_"&amp;ANF$11,[1]Futuros!$AK:$AK)+SUMIF([1]Opciones!$AF:$AF,$A3&amp;"_"&amp;ANF$11,[1]Opciones!$AO:$AO)</f>
        <v>#VALUE!</v>
      </c>
      <c r="ANG3" t="e">
        <f>+SUMIF([1]Cartera!$R:$R,$A3&amp;"_"&amp;ANG$11,[1]Cartera!$J:$J)+SUMIF([1]Futuros!$AD:$AD,$A3&amp;"_"&amp;ANG$11,[1]Futuros!$AK:$AK)+SUMIF([1]Opciones!$AF:$AF,$A3&amp;"_"&amp;ANG$11,[1]Opciones!$AO:$AO)</f>
        <v>#VALUE!</v>
      </c>
      <c r="ANH3" t="e">
        <f>+SUMIF([1]Cartera!$R:$R,$A3&amp;"_"&amp;ANH$11,[1]Cartera!$J:$J)+SUMIF([1]Futuros!$AD:$AD,$A3&amp;"_"&amp;ANH$11,[1]Futuros!$AK:$AK)+SUMIF([1]Opciones!$AF:$AF,$A3&amp;"_"&amp;ANH$11,[1]Opciones!$AO:$AO)</f>
        <v>#VALUE!</v>
      </c>
      <c r="ANI3" t="e">
        <f>+SUMIF([1]Cartera!$R:$R,$A3&amp;"_"&amp;ANI$11,[1]Cartera!$J:$J)+SUMIF([1]Futuros!$AD:$AD,$A3&amp;"_"&amp;ANI$11,[1]Futuros!$AK:$AK)+SUMIF([1]Opciones!$AF:$AF,$A3&amp;"_"&amp;ANI$11,[1]Opciones!$AO:$AO)</f>
        <v>#VALUE!</v>
      </c>
      <c r="ANJ3" t="e">
        <f>+SUMIF([1]Cartera!$R:$R,$A3&amp;"_"&amp;ANJ$11,[1]Cartera!$J:$J)+SUMIF([1]Futuros!$AD:$AD,$A3&amp;"_"&amp;ANJ$11,[1]Futuros!$AK:$AK)+SUMIF([1]Opciones!$AF:$AF,$A3&amp;"_"&amp;ANJ$11,[1]Opciones!$AO:$AO)</f>
        <v>#VALUE!</v>
      </c>
      <c r="ANK3" t="e">
        <f>+SUMIF([1]Cartera!$R:$R,$A3&amp;"_"&amp;ANK$11,[1]Cartera!$J:$J)+SUMIF([1]Futuros!$AD:$AD,$A3&amp;"_"&amp;ANK$11,[1]Futuros!$AK:$AK)+SUMIF([1]Opciones!$AF:$AF,$A3&amp;"_"&amp;ANK$11,[1]Opciones!$AO:$AO)</f>
        <v>#VALUE!</v>
      </c>
      <c r="ANL3" t="e">
        <f>+SUMIF([1]Cartera!$R:$R,$A3&amp;"_"&amp;ANL$11,[1]Cartera!$J:$J)+SUMIF([1]Futuros!$AD:$AD,$A3&amp;"_"&amp;ANL$11,[1]Futuros!$AK:$AK)+SUMIF([1]Opciones!$AF:$AF,$A3&amp;"_"&amp;ANL$11,[1]Opciones!$AO:$AO)</f>
        <v>#VALUE!</v>
      </c>
      <c r="ANM3" t="e">
        <f>+SUMIF([1]Cartera!$R:$R,$A3&amp;"_"&amp;ANM$11,[1]Cartera!$J:$J)+SUMIF([1]Futuros!$AD:$AD,$A3&amp;"_"&amp;ANM$11,[1]Futuros!$AK:$AK)+SUMIF([1]Opciones!$AF:$AF,$A3&amp;"_"&amp;ANM$11,[1]Opciones!$AO:$AO)</f>
        <v>#VALUE!</v>
      </c>
      <c r="ANN3" t="e">
        <f>+SUMIF([1]Cartera!$R:$R,$A3&amp;"_"&amp;ANN$11,[1]Cartera!$J:$J)+SUMIF([1]Futuros!$AD:$AD,$A3&amp;"_"&amp;ANN$11,[1]Futuros!$AK:$AK)+SUMIF([1]Opciones!$AF:$AF,$A3&amp;"_"&amp;ANN$11,[1]Opciones!$AO:$AO)</f>
        <v>#VALUE!</v>
      </c>
      <c r="ANO3" t="e">
        <f>+SUMIF([1]Cartera!$R:$R,$A3&amp;"_"&amp;ANO$11,[1]Cartera!$J:$J)+SUMIF([1]Futuros!$AD:$AD,$A3&amp;"_"&amp;ANO$11,[1]Futuros!$AK:$AK)+SUMIF([1]Opciones!$AF:$AF,$A3&amp;"_"&amp;ANO$11,[1]Opciones!$AO:$AO)</f>
        <v>#VALUE!</v>
      </c>
      <c r="ANP3" t="e">
        <f>+SUMIF([1]Cartera!$R:$R,$A3&amp;"_"&amp;ANP$11,[1]Cartera!$J:$J)+SUMIF([1]Futuros!$AD:$AD,$A3&amp;"_"&amp;ANP$11,[1]Futuros!$AK:$AK)+SUMIF([1]Opciones!$AF:$AF,$A3&amp;"_"&amp;ANP$11,[1]Opciones!$AO:$AO)</f>
        <v>#VALUE!</v>
      </c>
      <c r="ANQ3" t="e">
        <f>+SUMIF([1]Cartera!$R:$R,$A3&amp;"_"&amp;ANQ$11,[1]Cartera!$J:$J)+SUMIF([1]Futuros!$AD:$AD,$A3&amp;"_"&amp;ANQ$11,[1]Futuros!$AK:$AK)+SUMIF([1]Opciones!$AF:$AF,$A3&amp;"_"&amp;ANQ$11,[1]Opciones!$AO:$AO)</f>
        <v>#VALUE!</v>
      </c>
      <c r="ANR3" t="e">
        <f>+SUMIF([1]Cartera!$R:$R,$A3&amp;"_"&amp;ANR$11,[1]Cartera!$J:$J)+SUMIF([1]Futuros!$AD:$AD,$A3&amp;"_"&amp;ANR$11,[1]Futuros!$AK:$AK)+SUMIF([1]Opciones!$AF:$AF,$A3&amp;"_"&amp;ANR$11,[1]Opciones!$AO:$AO)</f>
        <v>#VALUE!</v>
      </c>
      <c r="ANS3" t="e">
        <f>+SUMIF([1]Cartera!$R:$R,$A3&amp;"_"&amp;ANS$11,[1]Cartera!$J:$J)+SUMIF([1]Futuros!$AD:$AD,$A3&amp;"_"&amp;ANS$11,[1]Futuros!$AK:$AK)+SUMIF([1]Opciones!$AF:$AF,$A3&amp;"_"&amp;ANS$11,[1]Opciones!$AO:$AO)</f>
        <v>#VALUE!</v>
      </c>
      <c r="ANT3" t="e">
        <f>+SUMIF([1]Cartera!$R:$R,$A3&amp;"_"&amp;ANT$11,[1]Cartera!$J:$J)+SUMIF([1]Futuros!$AD:$AD,$A3&amp;"_"&amp;ANT$11,[1]Futuros!$AK:$AK)+SUMIF([1]Opciones!$AF:$AF,$A3&amp;"_"&amp;ANT$11,[1]Opciones!$AO:$AO)</f>
        <v>#VALUE!</v>
      </c>
      <c r="ANU3" t="e">
        <f>+SUMIF([1]Cartera!$R:$R,$A3&amp;"_"&amp;ANU$11,[1]Cartera!$J:$J)+SUMIF([1]Futuros!$AD:$AD,$A3&amp;"_"&amp;ANU$11,[1]Futuros!$AK:$AK)+SUMIF([1]Opciones!$AF:$AF,$A3&amp;"_"&amp;ANU$11,[1]Opciones!$AO:$AO)</f>
        <v>#VALUE!</v>
      </c>
      <c r="ANV3" t="e">
        <f>+SUMIF([1]Cartera!$R:$R,$A3&amp;"_"&amp;ANV$11,[1]Cartera!$J:$J)+SUMIF([1]Futuros!$AD:$AD,$A3&amp;"_"&amp;ANV$11,[1]Futuros!$AK:$AK)+SUMIF([1]Opciones!$AF:$AF,$A3&amp;"_"&amp;ANV$11,[1]Opciones!$AO:$AO)</f>
        <v>#VALUE!</v>
      </c>
      <c r="ANW3" t="e">
        <f>+SUMIF([1]Cartera!$R:$R,$A3&amp;"_"&amp;ANW$11,[1]Cartera!$J:$J)+SUMIF([1]Futuros!$AD:$AD,$A3&amp;"_"&amp;ANW$11,[1]Futuros!$AK:$AK)+SUMIF([1]Opciones!$AF:$AF,$A3&amp;"_"&amp;ANW$11,[1]Opciones!$AO:$AO)</f>
        <v>#VALUE!</v>
      </c>
      <c r="ANX3" t="e">
        <f>+SUMIF([1]Cartera!$R:$R,$A3&amp;"_"&amp;ANX$11,[1]Cartera!$J:$J)+SUMIF([1]Futuros!$AD:$AD,$A3&amp;"_"&amp;ANX$11,[1]Futuros!$AK:$AK)+SUMIF([1]Opciones!$AF:$AF,$A3&amp;"_"&amp;ANX$11,[1]Opciones!$AO:$AO)</f>
        <v>#VALUE!</v>
      </c>
      <c r="ANY3" t="e">
        <f>+SUMIF([1]Cartera!$R:$R,$A3&amp;"_"&amp;ANY$11,[1]Cartera!$J:$J)+SUMIF([1]Futuros!$AD:$AD,$A3&amp;"_"&amp;ANY$11,[1]Futuros!$AK:$AK)+SUMIF([1]Opciones!$AF:$AF,$A3&amp;"_"&amp;ANY$11,[1]Opciones!$AO:$AO)</f>
        <v>#VALUE!</v>
      </c>
      <c r="ANZ3" t="e">
        <f>+SUMIF([1]Cartera!$R:$R,$A3&amp;"_"&amp;ANZ$11,[1]Cartera!$J:$J)+SUMIF([1]Futuros!$AD:$AD,$A3&amp;"_"&amp;ANZ$11,[1]Futuros!$AK:$AK)+SUMIF([1]Opciones!$AF:$AF,$A3&amp;"_"&amp;ANZ$11,[1]Opciones!$AO:$AO)</f>
        <v>#VALUE!</v>
      </c>
      <c r="AOA3" t="e">
        <f>+SUMIF([1]Cartera!$R:$R,$A3&amp;"_"&amp;AOA$11,[1]Cartera!$J:$J)+SUMIF([1]Futuros!$AD:$AD,$A3&amp;"_"&amp;AOA$11,[1]Futuros!$AK:$AK)+SUMIF([1]Opciones!$AF:$AF,$A3&amp;"_"&amp;AOA$11,[1]Opciones!$AO:$AO)</f>
        <v>#VALUE!</v>
      </c>
      <c r="AOB3" t="e">
        <f>+SUMIF([1]Cartera!$R:$R,$A3&amp;"_"&amp;AOB$11,[1]Cartera!$J:$J)+SUMIF([1]Futuros!$AD:$AD,$A3&amp;"_"&amp;AOB$11,[1]Futuros!$AK:$AK)+SUMIF([1]Opciones!$AF:$AF,$A3&amp;"_"&amp;AOB$11,[1]Opciones!$AO:$AO)</f>
        <v>#VALUE!</v>
      </c>
      <c r="AOC3" t="e">
        <f>+SUMIF([1]Cartera!$R:$R,$A3&amp;"_"&amp;AOC$11,[1]Cartera!$J:$J)+SUMIF([1]Futuros!$AD:$AD,$A3&amp;"_"&amp;AOC$11,[1]Futuros!$AK:$AK)+SUMIF([1]Opciones!$AF:$AF,$A3&amp;"_"&amp;AOC$11,[1]Opciones!$AO:$AO)</f>
        <v>#VALUE!</v>
      </c>
      <c r="AOD3" t="e">
        <f>+SUMIF([1]Cartera!$R:$R,$A3&amp;"_"&amp;AOD$11,[1]Cartera!$J:$J)+SUMIF([1]Futuros!$AD:$AD,$A3&amp;"_"&amp;AOD$11,[1]Futuros!$AK:$AK)+SUMIF([1]Opciones!$AF:$AF,$A3&amp;"_"&amp;AOD$11,[1]Opciones!$AO:$AO)</f>
        <v>#VALUE!</v>
      </c>
      <c r="AOE3" t="e">
        <f>+SUMIF([1]Cartera!$R:$R,$A3&amp;"_"&amp;AOE$11,[1]Cartera!$J:$J)+SUMIF([1]Futuros!$AD:$AD,$A3&amp;"_"&amp;AOE$11,[1]Futuros!$AK:$AK)+SUMIF([1]Opciones!$AF:$AF,$A3&amp;"_"&amp;AOE$11,[1]Opciones!$AO:$AO)</f>
        <v>#VALUE!</v>
      </c>
      <c r="AOF3" t="e">
        <f>+SUMIF([1]Cartera!$R:$R,$A3&amp;"_"&amp;AOF$11,[1]Cartera!$J:$J)+SUMIF([1]Futuros!$AD:$AD,$A3&amp;"_"&amp;AOF$11,[1]Futuros!$AK:$AK)+SUMIF([1]Opciones!$AF:$AF,$A3&amp;"_"&amp;AOF$11,[1]Opciones!$AO:$AO)</f>
        <v>#VALUE!</v>
      </c>
      <c r="AOG3" t="e">
        <f>+SUMIF([1]Cartera!$R:$R,$A3&amp;"_"&amp;AOG$11,[1]Cartera!$J:$J)+SUMIF([1]Futuros!$AD:$AD,$A3&amp;"_"&amp;AOG$11,[1]Futuros!$AK:$AK)+SUMIF([1]Opciones!$AF:$AF,$A3&amp;"_"&amp;AOG$11,[1]Opciones!$AO:$AO)</f>
        <v>#VALUE!</v>
      </c>
      <c r="AOH3" t="e">
        <f>+SUMIF([1]Cartera!$R:$R,$A3&amp;"_"&amp;AOH$11,[1]Cartera!$J:$J)+SUMIF([1]Futuros!$AD:$AD,$A3&amp;"_"&amp;AOH$11,[1]Futuros!$AK:$AK)+SUMIF([1]Opciones!$AF:$AF,$A3&amp;"_"&amp;AOH$11,[1]Opciones!$AO:$AO)</f>
        <v>#VALUE!</v>
      </c>
      <c r="AOI3" t="e">
        <f>+SUMIF([1]Cartera!$R:$R,$A3&amp;"_"&amp;AOI$11,[1]Cartera!$J:$J)+SUMIF([1]Futuros!$AD:$AD,$A3&amp;"_"&amp;AOI$11,[1]Futuros!$AK:$AK)+SUMIF([1]Opciones!$AF:$AF,$A3&amp;"_"&amp;AOI$11,[1]Opciones!$AO:$AO)</f>
        <v>#VALUE!</v>
      </c>
      <c r="AOJ3" t="e">
        <f>+SUMIF([1]Cartera!$R:$R,$A3&amp;"_"&amp;AOJ$11,[1]Cartera!$J:$J)+SUMIF([1]Futuros!$AD:$AD,$A3&amp;"_"&amp;AOJ$11,[1]Futuros!$AK:$AK)+SUMIF([1]Opciones!$AF:$AF,$A3&amp;"_"&amp;AOJ$11,[1]Opciones!$AO:$AO)</f>
        <v>#VALUE!</v>
      </c>
      <c r="AOK3" t="e">
        <f>+SUMIF([1]Cartera!$R:$R,$A3&amp;"_"&amp;AOK$11,[1]Cartera!$J:$J)+SUMIF([1]Futuros!$AD:$AD,$A3&amp;"_"&amp;AOK$11,[1]Futuros!$AK:$AK)+SUMIF([1]Opciones!$AF:$AF,$A3&amp;"_"&amp;AOK$11,[1]Opciones!$AO:$AO)</f>
        <v>#VALUE!</v>
      </c>
      <c r="AOL3" t="e">
        <f>+SUMIF([1]Cartera!$R:$R,$A3&amp;"_"&amp;AOL$11,[1]Cartera!$J:$J)+SUMIF([1]Futuros!$AD:$AD,$A3&amp;"_"&amp;AOL$11,[1]Futuros!$AK:$AK)+SUMIF([1]Opciones!$AF:$AF,$A3&amp;"_"&amp;AOL$11,[1]Opciones!$AO:$AO)</f>
        <v>#VALUE!</v>
      </c>
      <c r="AOM3" t="e">
        <f>+SUMIF([1]Cartera!$R:$R,$A3&amp;"_"&amp;AOM$11,[1]Cartera!$J:$J)+SUMIF([1]Futuros!$AD:$AD,$A3&amp;"_"&amp;AOM$11,[1]Futuros!$AK:$AK)+SUMIF([1]Opciones!$AF:$AF,$A3&amp;"_"&amp;AOM$11,[1]Opciones!$AO:$AO)</f>
        <v>#VALUE!</v>
      </c>
      <c r="AON3" t="e">
        <f>+SUMIF([1]Cartera!$R:$R,$A3&amp;"_"&amp;AON$11,[1]Cartera!$J:$J)+SUMIF([1]Futuros!$AD:$AD,$A3&amp;"_"&amp;AON$11,[1]Futuros!$AK:$AK)+SUMIF([1]Opciones!$AF:$AF,$A3&amp;"_"&amp;AON$11,[1]Opciones!$AO:$AO)</f>
        <v>#VALUE!</v>
      </c>
      <c r="AOO3" t="e">
        <f>+SUMIF([1]Cartera!$R:$R,$A3&amp;"_"&amp;AOO$11,[1]Cartera!$J:$J)+SUMIF([1]Futuros!$AD:$AD,$A3&amp;"_"&amp;AOO$11,[1]Futuros!$AK:$AK)+SUMIF([1]Opciones!$AF:$AF,$A3&amp;"_"&amp;AOO$11,[1]Opciones!$AO:$AO)</f>
        <v>#VALUE!</v>
      </c>
      <c r="AOP3" t="e">
        <f>+SUMIF([1]Cartera!$R:$R,$A3&amp;"_"&amp;AOP$11,[1]Cartera!$J:$J)+SUMIF([1]Futuros!$AD:$AD,$A3&amp;"_"&amp;AOP$11,[1]Futuros!$AK:$AK)+SUMIF([1]Opciones!$AF:$AF,$A3&amp;"_"&amp;AOP$11,[1]Opciones!$AO:$AO)</f>
        <v>#VALUE!</v>
      </c>
      <c r="AOQ3" t="e">
        <f>+SUMIF([1]Cartera!$R:$R,$A3&amp;"_"&amp;AOQ$11,[1]Cartera!$J:$J)+SUMIF([1]Futuros!$AD:$AD,$A3&amp;"_"&amp;AOQ$11,[1]Futuros!$AK:$AK)+SUMIF([1]Opciones!$AF:$AF,$A3&amp;"_"&amp;AOQ$11,[1]Opciones!$AO:$AO)</f>
        <v>#VALUE!</v>
      </c>
      <c r="AOR3" t="e">
        <f>+SUMIF([1]Cartera!$R:$R,$A3&amp;"_"&amp;AOR$11,[1]Cartera!$J:$J)+SUMIF([1]Futuros!$AD:$AD,$A3&amp;"_"&amp;AOR$11,[1]Futuros!$AK:$AK)+SUMIF([1]Opciones!$AF:$AF,$A3&amp;"_"&amp;AOR$11,[1]Opciones!$AO:$AO)</f>
        <v>#VALUE!</v>
      </c>
      <c r="AOS3" t="e">
        <f>+SUMIF([1]Cartera!$R:$R,$A3&amp;"_"&amp;AOS$11,[1]Cartera!$J:$J)+SUMIF([1]Futuros!$AD:$AD,$A3&amp;"_"&amp;AOS$11,[1]Futuros!$AK:$AK)+SUMIF([1]Opciones!$AF:$AF,$A3&amp;"_"&amp;AOS$11,[1]Opciones!$AO:$AO)</f>
        <v>#VALUE!</v>
      </c>
      <c r="AOT3" t="e">
        <f>+SUMIF([1]Cartera!$R:$R,$A3&amp;"_"&amp;AOT$11,[1]Cartera!$J:$J)+SUMIF([1]Futuros!$AD:$AD,$A3&amp;"_"&amp;AOT$11,[1]Futuros!$AK:$AK)+SUMIF([1]Opciones!$AF:$AF,$A3&amp;"_"&amp;AOT$11,[1]Opciones!$AO:$AO)</f>
        <v>#VALUE!</v>
      </c>
      <c r="AOU3" t="e">
        <f>+SUMIF([1]Cartera!$R:$R,$A3&amp;"_"&amp;AOU$11,[1]Cartera!$J:$J)+SUMIF([1]Futuros!$AD:$AD,$A3&amp;"_"&amp;AOU$11,[1]Futuros!$AK:$AK)+SUMIF([1]Opciones!$AF:$AF,$A3&amp;"_"&amp;AOU$11,[1]Opciones!$AO:$AO)</f>
        <v>#VALUE!</v>
      </c>
      <c r="AOV3" t="e">
        <f>+SUMIF([1]Cartera!$R:$R,$A3&amp;"_"&amp;AOV$11,[1]Cartera!$J:$J)+SUMIF([1]Futuros!$AD:$AD,$A3&amp;"_"&amp;AOV$11,[1]Futuros!$AK:$AK)+SUMIF([1]Opciones!$AF:$AF,$A3&amp;"_"&amp;AOV$11,[1]Opciones!$AO:$AO)</f>
        <v>#VALUE!</v>
      </c>
      <c r="AOW3" t="e">
        <f>+SUMIF([1]Cartera!$R:$R,$A3&amp;"_"&amp;AOW$11,[1]Cartera!$J:$J)+SUMIF([1]Futuros!$AD:$AD,$A3&amp;"_"&amp;AOW$11,[1]Futuros!$AK:$AK)+SUMIF([1]Opciones!$AF:$AF,$A3&amp;"_"&amp;AOW$11,[1]Opciones!$AO:$AO)</f>
        <v>#VALUE!</v>
      </c>
      <c r="AOX3" t="e">
        <f>+SUMIF([1]Cartera!$R:$R,$A3&amp;"_"&amp;AOX$11,[1]Cartera!$J:$J)+SUMIF([1]Futuros!$AD:$AD,$A3&amp;"_"&amp;AOX$11,[1]Futuros!$AK:$AK)+SUMIF([1]Opciones!$AF:$AF,$A3&amp;"_"&amp;AOX$11,[1]Opciones!$AO:$AO)</f>
        <v>#VALUE!</v>
      </c>
      <c r="AOY3" t="e">
        <f>+SUMIF([1]Cartera!$R:$R,$A3&amp;"_"&amp;AOY$11,[1]Cartera!$J:$J)+SUMIF([1]Futuros!$AD:$AD,$A3&amp;"_"&amp;AOY$11,[1]Futuros!$AK:$AK)+SUMIF([1]Opciones!$AF:$AF,$A3&amp;"_"&amp;AOY$11,[1]Opciones!$AO:$AO)</f>
        <v>#VALUE!</v>
      </c>
      <c r="AOZ3" t="e">
        <f>+SUMIF([1]Cartera!$R:$R,$A3&amp;"_"&amp;AOZ$11,[1]Cartera!$J:$J)+SUMIF([1]Futuros!$AD:$AD,$A3&amp;"_"&amp;AOZ$11,[1]Futuros!$AK:$AK)+SUMIF([1]Opciones!$AF:$AF,$A3&amp;"_"&amp;AOZ$11,[1]Opciones!$AO:$AO)</f>
        <v>#VALUE!</v>
      </c>
      <c r="APA3" t="e">
        <f>+SUMIF([1]Cartera!$R:$R,$A3&amp;"_"&amp;APA$11,[1]Cartera!$J:$J)+SUMIF([1]Futuros!$AD:$AD,$A3&amp;"_"&amp;APA$11,[1]Futuros!$AK:$AK)+SUMIF([1]Opciones!$AF:$AF,$A3&amp;"_"&amp;APA$11,[1]Opciones!$AO:$AO)</f>
        <v>#VALUE!</v>
      </c>
      <c r="APB3" t="e">
        <f>+SUMIF([1]Cartera!$R:$R,$A3&amp;"_"&amp;APB$11,[1]Cartera!$J:$J)+SUMIF([1]Futuros!$AD:$AD,$A3&amp;"_"&amp;APB$11,[1]Futuros!$AK:$AK)+SUMIF([1]Opciones!$AF:$AF,$A3&amp;"_"&amp;APB$11,[1]Opciones!$AO:$AO)</f>
        <v>#VALUE!</v>
      </c>
      <c r="APC3" t="e">
        <f>+SUMIF([1]Cartera!$R:$R,$A3&amp;"_"&amp;APC$11,[1]Cartera!$J:$J)+SUMIF([1]Futuros!$AD:$AD,$A3&amp;"_"&amp;APC$11,[1]Futuros!$AK:$AK)+SUMIF([1]Opciones!$AF:$AF,$A3&amp;"_"&amp;APC$11,[1]Opciones!$AO:$AO)</f>
        <v>#VALUE!</v>
      </c>
      <c r="APD3" t="e">
        <f>+SUMIF([1]Cartera!$R:$R,$A3&amp;"_"&amp;APD$11,[1]Cartera!$J:$J)+SUMIF([1]Futuros!$AD:$AD,$A3&amp;"_"&amp;APD$11,[1]Futuros!$AK:$AK)+SUMIF([1]Opciones!$AF:$AF,$A3&amp;"_"&amp;APD$11,[1]Opciones!$AO:$AO)</f>
        <v>#VALUE!</v>
      </c>
      <c r="APE3" t="e">
        <f>+SUMIF([1]Cartera!$R:$R,$A3&amp;"_"&amp;APE$11,[1]Cartera!$J:$J)+SUMIF([1]Futuros!$AD:$AD,$A3&amp;"_"&amp;APE$11,[1]Futuros!$AK:$AK)+SUMIF([1]Opciones!$AF:$AF,$A3&amp;"_"&amp;APE$11,[1]Opciones!$AO:$AO)</f>
        <v>#VALUE!</v>
      </c>
      <c r="APF3" t="e">
        <f>+SUMIF([1]Cartera!$R:$R,$A3&amp;"_"&amp;APF$11,[1]Cartera!$J:$J)+SUMIF([1]Futuros!$AD:$AD,$A3&amp;"_"&amp;APF$11,[1]Futuros!$AK:$AK)+SUMIF([1]Opciones!$AF:$AF,$A3&amp;"_"&amp;APF$11,[1]Opciones!$AO:$AO)</f>
        <v>#VALUE!</v>
      </c>
      <c r="APG3" t="e">
        <f>+SUMIF([1]Cartera!$R:$R,$A3&amp;"_"&amp;APG$11,[1]Cartera!$J:$J)+SUMIF([1]Futuros!$AD:$AD,$A3&amp;"_"&amp;APG$11,[1]Futuros!$AK:$AK)+SUMIF([1]Opciones!$AF:$AF,$A3&amp;"_"&amp;APG$11,[1]Opciones!$AO:$AO)</f>
        <v>#VALUE!</v>
      </c>
      <c r="APH3" t="e">
        <f>+SUMIF([1]Cartera!$R:$R,$A3&amp;"_"&amp;APH$11,[1]Cartera!$J:$J)+SUMIF([1]Futuros!$AD:$AD,$A3&amp;"_"&amp;APH$11,[1]Futuros!$AK:$AK)+SUMIF([1]Opciones!$AF:$AF,$A3&amp;"_"&amp;APH$11,[1]Opciones!$AO:$AO)</f>
        <v>#VALUE!</v>
      </c>
      <c r="API3" t="e">
        <f>+SUMIF([1]Cartera!$R:$R,$A3&amp;"_"&amp;API$11,[1]Cartera!$J:$J)+SUMIF([1]Futuros!$AD:$AD,$A3&amp;"_"&amp;API$11,[1]Futuros!$AK:$AK)+SUMIF([1]Opciones!$AF:$AF,$A3&amp;"_"&amp;API$11,[1]Opciones!$AO:$AO)</f>
        <v>#VALUE!</v>
      </c>
      <c r="APJ3" t="e">
        <f>+SUMIF([1]Cartera!$R:$R,$A3&amp;"_"&amp;APJ$11,[1]Cartera!$J:$J)+SUMIF([1]Futuros!$AD:$AD,$A3&amp;"_"&amp;APJ$11,[1]Futuros!$AK:$AK)+SUMIF([1]Opciones!$AF:$AF,$A3&amp;"_"&amp;APJ$11,[1]Opciones!$AO:$AO)</f>
        <v>#VALUE!</v>
      </c>
      <c r="APK3" t="e">
        <f>+SUMIF([1]Cartera!$R:$R,$A3&amp;"_"&amp;APK$11,[1]Cartera!$J:$J)+SUMIF([1]Futuros!$AD:$AD,$A3&amp;"_"&amp;APK$11,[1]Futuros!$AK:$AK)+SUMIF([1]Opciones!$AF:$AF,$A3&amp;"_"&amp;APK$11,[1]Opciones!$AO:$AO)</f>
        <v>#VALUE!</v>
      </c>
      <c r="APL3" t="e">
        <f>+SUMIF([1]Cartera!$R:$R,$A3&amp;"_"&amp;APL$11,[1]Cartera!$J:$J)+SUMIF([1]Futuros!$AD:$AD,$A3&amp;"_"&amp;APL$11,[1]Futuros!$AK:$AK)+SUMIF([1]Opciones!$AF:$AF,$A3&amp;"_"&amp;APL$11,[1]Opciones!$AO:$AO)</f>
        <v>#VALUE!</v>
      </c>
      <c r="APM3" t="e">
        <f>+SUMIF([1]Cartera!$R:$R,$A3&amp;"_"&amp;APM$11,[1]Cartera!$J:$J)+SUMIF([1]Futuros!$AD:$AD,$A3&amp;"_"&amp;APM$11,[1]Futuros!$AK:$AK)+SUMIF([1]Opciones!$AF:$AF,$A3&amp;"_"&amp;APM$11,[1]Opciones!$AO:$AO)</f>
        <v>#VALUE!</v>
      </c>
      <c r="APN3" t="e">
        <f>+SUMIF([1]Cartera!$R:$R,$A3&amp;"_"&amp;APN$11,[1]Cartera!$J:$J)+SUMIF([1]Futuros!$AD:$AD,$A3&amp;"_"&amp;APN$11,[1]Futuros!$AK:$AK)+SUMIF([1]Opciones!$AF:$AF,$A3&amp;"_"&amp;APN$11,[1]Opciones!$AO:$AO)</f>
        <v>#VALUE!</v>
      </c>
      <c r="APO3" t="e">
        <f>+SUMIF([1]Cartera!$R:$R,$A3&amp;"_"&amp;APO$11,[1]Cartera!$J:$J)+SUMIF([1]Futuros!$AD:$AD,$A3&amp;"_"&amp;APO$11,[1]Futuros!$AK:$AK)+SUMIF([1]Opciones!$AF:$AF,$A3&amp;"_"&amp;APO$11,[1]Opciones!$AO:$AO)</f>
        <v>#VALUE!</v>
      </c>
      <c r="APP3" t="e">
        <f>+SUMIF([1]Cartera!$R:$R,$A3&amp;"_"&amp;APP$11,[1]Cartera!$J:$J)+SUMIF([1]Futuros!$AD:$AD,$A3&amp;"_"&amp;APP$11,[1]Futuros!$AK:$AK)+SUMIF([1]Opciones!$AF:$AF,$A3&amp;"_"&amp;APP$11,[1]Opciones!$AO:$AO)</f>
        <v>#VALUE!</v>
      </c>
      <c r="APQ3" t="e">
        <f>+SUMIF([1]Cartera!$R:$R,$A3&amp;"_"&amp;APQ$11,[1]Cartera!$J:$J)+SUMIF([1]Futuros!$AD:$AD,$A3&amp;"_"&amp;APQ$11,[1]Futuros!$AK:$AK)+SUMIF([1]Opciones!$AF:$AF,$A3&amp;"_"&amp;APQ$11,[1]Opciones!$AO:$AO)</f>
        <v>#VALUE!</v>
      </c>
      <c r="APR3" t="e">
        <f>+SUMIF([1]Cartera!$R:$R,$A3&amp;"_"&amp;APR$11,[1]Cartera!$J:$J)+SUMIF([1]Futuros!$AD:$AD,$A3&amp;"_"&amp;APR$11,[1]Futuros!$AK:$AK)+SUMIF([1]Opciones!$AF:$AF,$A3&amp;"_"&amp;APR$11,[1]Opciones!$AO:$AO)</f>
        <v>#VALUE!</v>
      </c>
      <c r="APS3" t="e">
        <f>+SUMIF([1]Cartera!$R:$R,$A3&amp;"_"&amp;APS$11,[1]Cartera!$J:$J)+SUMIF([1]Futuros!$AD:$AD,$A3&amp;"_"&amp;APS$11,[1]Futuros!$AK:$AK)+SUMIF([1]Opciones!$AF:$AF,$A3&amp;"_"&amp;APS$11,[1]Opciones!$AO:$AO)</f>
        <v>#VALUE!</v>
      </c>
      <c r="APT3" t="e">
        <f>+SUMIF([1]Cartera!$R:$R,$A3&amp;"_"&amp;APT$11,[1]Cartera!$J:$J)+SUMIF([1]Futuros!$AD:$AD,$A3&amp;"_"&amp;APT$11,[1]Futuros!$AK:$AK)+SUMIF([1]Opciones!$AF:$AF,$A3&amp;"_"&amp;APT$11,[1]Opciones!$AO:$AO)</f>
        <v>#VALUE!</v>
      </c>
      <c r="APU3" t="e">
        <f>+SUMIF([1]Cartera!$R:$R,$A3&amp;"_"&amp;APU$11,[1]Cartera!$J:$J)+SUMIF([1]Futuros!$AD:$AD,$A3&amp;"_"&amp;APU$11,[1]Futuros!$AK:$AK)+SUMIF([1]Opciones!$AF:$AF,$A3&amp;"_"&amp;APU$11,[1]Opciones!$AO:$AO)</f>
        <v>#VALUE!</v>
      </c>
      <c r="APV3" t="e">
        <f>+SUMIF([1]Cartera!$R:$R,$A3&amp;"_"&amp;APV$11,[1]Cartera!$J:$J)+SUMIF([1]Futuros!$AD:$AD,$A3&amp;"_"&amp;APV$11,[1]Futuros!$AK:$AK)+SUMIF([1]Opciones!$AF:$AF,$A3&amp;"_"&amp;APV$11,[1]Opciones!$AO:$AO)</f>
        <v>#VALUE!</v>
      </c>
      <c r="APW3" t="e">
        <f>+SUMIF([1]Cartera!$R:$R,$A3&amp;"_"&amp;APW$11,[1]Cartera!$J:$J)+SUMIF([1]Futuros!$AD:$AD,$A3&amp;"_"&amp;APW$11,[1]Futuros!$AK:$AK)+SUMIF([1]Opciones!$AF:$AF,$A3&amp;"_"&amp;APW$11,[1]Opciones!$AO:$AO)</f>
        <v>#VALUE!</v>
      </c>
      <c r="APX3" t="e">
        <f>+SUMIF([1]Cartera!$R:$R,$A3&amp;"_"&amp;APX$11,[1]Cartera!$J:$J)+SUMIF([1]Futuros!$AD:$AD,$A3&amp;"_"&amp;APX$11,[1]Futuros!$AK:$AK)+SUMIF([1]Opciones!$AF:$AF,$A3&amp;"_"&amp;APX$11,[1]Opciones!$AO:$AO)</f>
        <v>#VALUE!</v>
      </c>
      <c r="APY3" t="e">
        <f>+SUMIF([1]Cartera!$R:$R,$A3&amp;"_"&amp;APY$11,[1]Cartera!$J:$J)+SUMIF([1]Futuros!$AD:$AD,$A3&amp;"_"&amp;APY$11,[1]Futuros!$AK:$AK)+SUMIF([1]Opciones!$AF:$AF,$A3&amp;"_"&amp;APY$11,[1]Opciones!$AO:$AO)</f>
        <v>#VALUE!</v>
      </c>
      <c r="APZ3" t="e">
        <f>+SUMIF([1]Cartera!$R:$R,$A3&amp;"_"&amp;APZ$11,[1]Cartera!$J:$J)+SUMIF([1]Futuros!$AD:$AD,$A3&amp;"_"&amp;APZ$11,[1]Futuros!$AK:$AK)+SUMIF([1]Opciones!$AF:$AF,$A3&amp;"_"&amp;APZ$11,[1]Opciones!$AO:$AO)</f>
        <v>#VALUE!</v>
      </c>
      <c r="AQA3" t="e">
        <f>+SUMIF([1]Cartera!$R:$R,$A3&amp;"_"&amp;AQA$11,[1]Cartera!$J:$J)+SUMIF([1]Futuros!$AD:$AD,$A3&amp;"_"&amp;AQA$11,[1]Futuros!$AK:$AK)+SUMIF([1]Opciones!$AF:$AF,$A3&amp;"_"&amp;AQA$11,[1]Opciones!$AO:$AO)</f>
        <v>#VALUE!</v>
      </c>
      <c r="AQB3" t="e">
        <f>+SUMIF([1]Cartera!$R:$R,$A3&amp;"_"&amp;AQB$11,[1]Cartera!$J:$J)+SUMIF([1]Futuros!$AD:$AD,$A3&amp;"_"&amp;AQB$11,[1]Futuros!$AK:$AK)+SUMIF([1]Opciones!$AF:$AF,$A3&amp;"_"&amp;AQB$11,[1]Opciones!$AO:$AO)</f>
        <v>#VALUE!</v>
      </c>
      <c r="AQC3" t="e">
        <f>+SUMIF([1]Cartera!$R:$R,$A3&amp;"_"&amp;AQC$11,[1]Cartera!$J:$J)+SUMIF([1]Futuros!$AD:$AD,$A3&amp;"_"&amp;AQC$11,[1]Futuros!$AK:$AK)+SUMIF([1]Opciones!$AF:$AF,$A3&amp;"_"&amp;AQC$11,[1]Opciones!$AO:$AO)</f>
        <v>#VALUE!</v>
      </c>
      <c r="AQD3" t="e">
        <f>+SUMIF([1]Cartera!$R:$R,$A3&amp;"_"&amp;AQD$11,[1]Cartera!$J:$J)+SUMIF([1]Futuros!$AD:$AD,$A3&amp;"_"&amp;AQD$11,[1]Futuros!$AK:$AK)+SUMIF([1]Opciones!$AF:$AF,$A3&amp;"_"&amp;AQD$11,[1]Opciones!$AO:$AO)</f>
        <v>#VALUE!</v>
      </c>
      <c r="AQE3" t="e">
        <f>+SUMIF([1]Cartera!$R:$R,$A3&amp;"_"&amp;AQE$11,[1]Cartera!$J:$J)+SUMIF([1]Futuros!$AD:$AD,$A3&amp;"_"&amp;AQE$11,[1]Futuros!$AK:$AK)+SUMIF([1]Opciones!$AF:$AF,$A3&amp;"_"&amp;AQE$11,[1]Opciones!$AO:$AO)</f>
        <v>#VALUE!</v>
      </c>
      <c r="AQF3" t="e">
        <f>+SUMIF([1]Cartera!$R:$R,$A3&amp;"_"&amp;AQF$11,[1]Cartera!$J:$J)+SUMIF([1]Futuros!$AD:$AD,$A3&amp;"_"&amp;AQF$11,[1]Futuros!$AK:$AK)+SUMIF([1]Opciones!$AF:$AF,$A3&amp;"_"&amp;AQF$11,[1]Opciones!$AO:$AO)</f>
        <v>#VALUE!</v>
      </c>
      <c r="AQG3" t="e">
        <f>+SUMIF([1]Cartera!$R:$R,$A3&amp;"_"&amp;AQG$11,[1]Cartera!$J:$J)+SUMIF([1]Futuros!$AD:$AD,$A3&amp;"_"&amp;AQG$11,[1]Futuros!$AK:$AK)+SUMIF([1]Opciones!$AF:$AF,$A3&amp;"_"&amp;AQG$11,[1]Opciones!$AO:$AO)</f>
        <v>#VALUE!</v>
      </c>
      <c r="AQH3" t="e">
        <f>+SUMIF([1]Cartera!$R:$R,$A3&amp;"_"&amp;AQH$11,[1]Cartera!$J:$J)+SUMIF([1]Futuros!$AD:$AD,$A3&amp;"_"&amp;AQH$11,[1]Futuros!$AK:$AK)+SUMIF([1]Opciones!$AF:$AF,$A3&amp;"_"&amp;AQH$11,[1]Opciones!$AO:$AO)</f>
        <v>#VALUE!</v>
      </c>
      <c r="AQI3" t="e">
        <f>+SUMIF([1]Cartera!$R:$R,$A3&amp;"_"&amp;AQI$11,[1]Cartera!$J:$J)+SUMIF([1]Futuros!$AD:$AD,$A3&amp;"_"&amp;AQI$11,[1]Futuros!$AK:$AK)+SUMIF([1]Opciones!$AF:$AF,$A3&amp;"_"&amp;AQI$11,[1]Opciones!$AO:$AO)</f>
        <v>#VALUE!</v>
      </c>
      <c r="AQJ3" t="e">
        <f>+SUMIF([1]Cartera!$R:$R,$A3&amp;"_"&amp;AQJ$11,[1]Cartera!$J:$J)+SUMIF([1]Futuros!$AD:$AD,$A3&amp;"_"&amp;AQJ$11,[1]Futuros!$AK:$AK)+SUMIF([1]Opciones!$AF:$AF,$A3&amp;"_"&amp;AQJ$11,[1]Opciones!$AO:$AO)</f>
        <v>#VALUE!</v>
      </c>
      <c r="AQK3" t="e">
        <f>+SUMIF([1]Cartera!$R:$R,$A3&amp;"_"&amp;AQK$11,[1]Cartera!$J:$J)+SUMIF([1]Futuros!$AD:$AD,$A3&amp;"_"&amp;AQK$11,[1]Futuros!$AK:$AK)+SUMIF([1]Opciones!$AF:$AF,$A3&amp;"_"&amp;AQK$11,[1]Opciones!$AO:$AO)</f>
        <v>#VALUE!</v>
      </c>
      <c r="AQL3" t="e">
        <f>+SUMIF([1]Cartera!$R:$R,$A3&amp;"_"&amp;AQL$11,[1]Cartera!$J:$J)+SUMIF([1]Futuros!$AD:$AD,$A3&amp;"_"&amp;AQL$11,[1]Futuros!$AK:$AK)+SUMIF([1]Opciones!$AF:$AF,$A3&amp;"_"&amp;AQL$11,[1]Opciones!$AO:$AO)</f>
        <v>#VALUE!</v>
      </c>
      <c r="AQM3" t="e">
        <f>+SUMIF([1]Cartera!$R:$R,$A3&amp;"_"&amp;AQM$11,[1]Cartera!$J:$J)+SUMIF([1]Futuros!$AD:$AD,$A3&amp;"_"&amp;AQM$11,[1]Futuros!$AK:$AK)+SUMIF([1]Opciones!$AF:$AF,$A3&amp;"_"&amp;AQM$11,[1]Opciones!$AO:$AO)</f>
        <v>#VALUE!</v>
      </c>
      <c r="AQN3" t="e">
        <f>+SUMIF([1]Cartera!$R:$R,$A3&amp;"_"&amp;AQN$11,[1]Cartera!$J:$J)+SUMIF([1]Futuros!$AD:$AD,$A3&amp;"_"&amp;AQN$11,[1]Futuros!$AK:$AK)+SUMIF([1]Opciones!$AF:$AF,$A3&amp;"_"&amp;AQN$11,[1]Opciones!$AO:$AO)</f>
        <v>#VALUE!</v>
      </c>
      <c r="AQO3" t="e">
        <f>+SUMIF([1]Cartera!$R:$R,$A3&amp;"_"&amp;AQO$11,[1]Cartera!$J:$J)+SUMIF([1]Futuros!$AD:$AD,$A3&amp;"_"&amp;AQO$11,[1]Futuros!$AK:$AK)+SUMIF([1]Opciones!$AF:$AF,$A3&amp;"_"&amp;AQO$11,[1]Opciones!$AO:$AO)</f>
        <v>#VALUE!</v>
      </c>
      <c r="AQP3" t="e">
        <f>+SUMIF([1]Cartera!$R:$R,$A3&amp;"_"&amp;AQP$11,[1]Cartera!$J:$J)+SUMIF([1]Futuros!$AD:$AD,$A3&amp;"_"&amp;AQP$11,[1]Futuros!$AK:$AK)+SUMIF([1]Opciones!$AF:$AF,$A3&amp;"_"&amp;AQP$11,[1]Opciones!$AO:$AO)</f>
        <v>#VALUE!</v>
      </c>
      <c r="AQQ3" t="e">
        <f>+SUMIF([1]Cartera!$R:$R,$A3&amp;"_"&amp;AQQ$11,[1]Cartera!$J:$J)+SUMIF([1]Futuros!$AD:$AD,$A3&amp;"_"&amp;AQQ$11,[1]Futuros!$AK:$AK)+SUMIF([1]Opciones!$AF:$AF,$A3&amp;"_"&amp;AQQ$11,[1]Opciones!$AO:$AO)</f>
        <v>#VALUE!</v>
      </c>
      <c r="AQR3" t="e">
        <f>+SUMIF([1]Cartera!$R:$R,$A3&amp;"_"&amp;AQR$11,[1]Cartera!$J:$J)+SUMIF([1]Futuros!$AD:$AD,$A3&amp;"_"&amp;AQR$11,[1]Futuros!$AK:$AK)+SUMIF([1]Opciones!$AF:$AF,$A3&amp;"_"&amp;AQR$11,[1]Opciones!$AO:$AO)</f>
        <v>#VALUE!</v>
      </c>
      <c r="AQS3" t="e">
        <f>+SUMIF([1]Cartera!$R:$R,$A3&amp;"_"&amp;AQS$11,[1]Cartera!$J:$J)+SUMIF([1]Futuros!$AD:$AD,$A3&amp;"_"&amp;AQS$11,[1]Futuros!$AK:$AK)+SUMIF([1]Opciones!$AF:$AF,$A3&amp;"_"&amp;AQS$11,[1]Opciones!$AO:$AO)</f>
        <v>#VALUE!</v>
      </c>
      <c r="AQT3" t="e">
        <f>+SUMIF([1]Cartera!$R:$R,$A3&amp;"_"&amp;AQT$11,[1]Cartera!$J:$J)+SUMIF([1]Futuros!$AD:$AD,$A3&amp;"_"&amp;AQT$11,[1]Futuros!$AK:$AK)+SUMIF([1]Opciones!$AF:$AF,$A3&amp;"_"&amp;AQT$11,[1]Opciones!$AO:$AO)</f>
        <v>#VALUE!</v>
      </c>
      <c r="AQU3" t="e">
        <f>+SUMIF([1]Cartera!$R:$R,$A3&amp;"_"&amp;AQU$11,[1]Cartera!$J:$J)+SUMIF([1]Futuros!$AD:$AD,$A3&amp;"_"&amp;AQU$11,[1]Futuros!$AK:$AK)+SUMIF([1]Opciones!$AF:$AF,$A3&amp;"_"&amp;AQU$11,[1]Opciones!$AO:$AO)</f>
        <v>#VALUE!</v>
      </c>
      <c r="AQV3" t="e">
        <f>+SUMIF([1]Cartera!$R:$R,$A3&amp;"_"&amp;AQV$11,[1]Cartera!$J:$J)+SUMIF([1]Futuros!$AD:$AD,$A3&amp;"_"&amp;AQV$11,[1]Futuros!$AK:$AK)+SUMIF([1]Opciones!$AF:$AF,$A3&amp;"_"&amp;AQV$11,[1]Opciones!$AO:$AO)</f>
        <v>#VALUE!</v>
      </c>
      <c r="AQW3" t="e">
        <f>+SUMIF([1]Cartera!$R:$R,$A3&amp;"_"&amp;AQW$11,[1]Cartera!$J:$J)+SUMIF([1]Futuros!$AD:$AD,$A3&amp;"_"&amp;AQW$11,[1]Futuros!$AK:$AK)+SUMIF([1]Opciones!$AF:$AF,$A3&amp;"_"&amp;AQW$11,[1]Opciones!$AO:$AO)</f>
        <v>#VALUE!</v>
      </c>
      <c r="AQX3" t="e">
        <f>+SUMIF([1]Cartera!$R:$R,$A3&amp;"_"&amp;AQX$11,[1]Cartera!$J:$J)+SUMIF([1]Futuros!$AD:$AD,$A3&amp;"_"&amp;AQX$11,[1]Futuros!$AK:$AK)+SUMIF([1]Opciones!$AF:$AF,$A3&amp;"_"&amp;AQX$11,[1]Opciones!$AO:$AO)</f>
        <v>#VALUE!</v>
      </c>
      <c r="AQY3" t="e">
        <f>+SUMIF([1]Cartera!$R:$R,$A3&amp;"_"&amp;AQY$11,[1]Cartera!$J:$J)+SUMIF([1]Futuros!$AD:$AD,$A3&amp;"_"&amp;AQY$11,[1]Futuros!$AK:$AK)+SUMIF([1]Opciones!$AF:$AF,$A3&amp;"_"&amp;AQY$11,[1]Opciones!$AO:$AO)</f>
        <v>#VALUE!</v>
      </c>
      <c r="AQZ3" t="e">
        <f>+SUMIF([1]Cartera!$R:$R,$A3&amp;"_"&amp;AQZ$11,[1]Cartera!$J:$J)+SUMIF([1]Futuros!$AD:$AD,$A3&amp;"_"&amp;AQZ$11,[1]Futuros!$AK:$AK)+SUMIF([1]Opciones!$AF:$AF,$A3&amp;"_"&amp;AQZ$11,[1]Opciones!$AO:$AO)</f>
        <v>#VALUE!</v>
      </c>
      <c r="ARA3" t="e">
        <f>+SUMIF([1]Cartera!$R:$R,$A3&amp;"_"&amp;ARA$11,[1]Cartera!$J:$J)+SUMIF([1]Futuros!$AD:$AD,$A3&amp;"_"&amp;ARA$11,[1]Futuros!$AK:$AK)+SUMIF([1]Opciones!$AF:$AF,$A3&amp;"_"&amp;ARA$11,[1]Opciones!$AO:$AO)</f>
        <v>#VALUE!</v>
      </c>
      <c r="ARB3" t="e">
        <f>+SUMIF([1]Cartera!$R:$R,$A3&amp;"_"&amp;ARB$11,[1]Cartera!$J:$J)+SUMIF([1]Futuros!$AD:$AD,$A3&amp;"_"&amp;ARB$11,[1]Futuros!$AK:$AK)+SUMIF([1]Opciones!$AF:$AF,$A3&amp;"_"&amp;ARB$11,[1]Opciones!$AO:$AO)</f>
        <v>#VALUE!</v>
      </c>
      <c r="ARC3" t="e">
        <f>+SUMIF([1]Cartera!$R:$R,$A3&amp;"_"&amp;ARC$11,[1]Cartera!$J:$J)+SUMIF([1]Futuros!$AD:$AD,$A3&amp;"_"&amp;ARC$11,[1]Futuros!$AK:$AK)+SUMIF([1]Opciones!$AF:$AF,$A3&amp;"_"&amp;ARC$11,[1]Opciones!$AO:$AO)</f>
        <v>#VALUE!</v>
      </c>
      <c r="ARD3" t="e">
        <f>+SUMIF([1]Cartera!$R:$R,$A3&amp;"_"&amp;ARD$11,[1]Cartera!$J:$J)+SUMIF([1]Futuros!$AD:$AD,$A3&amp;"_"&amp;ARD$11,[1]Futuros!$AK:$AK)+SUMIF([1]Opciones!$AF:$AF,$A3&amp;"_"&amp;ARD$11,[1]Opciones!$AO:$AO)</f>
        <v>#VALUE!</v>
      </c>
      <c r="ARE3" t="e">
        <f>+SUMIF([1]Cartera!$R:$R,$A3&amp;"_"&amp;ARE$11,[1]Cartera!$J:$J)+SUMIF([1]Futuros!$AD:$AD,$A3&amp;"_"&amp;ARE$11,[1]Futuros!$AK:$AK)+SUMIF([1]Opciones!$AF:$AF,$A3&amp;"_"&amp;ARE$11,[1]Opciones!$AO:$AO)</f>
        <v>#VALUE!</v>
      </c>
      <c r="ARF3" t="e">
        <f>+SUMIF([1]Cartera!$R:$R,$A3&amp;"_"&amp;ARF$11,[1]Cartera!$J:$J)+SUMIF([1]Futuros!$AD:$AD,$A3&amp;"_"&amp;ARF$11,[1]Futuros!$AK:$AK)+SUMIF([1]Opciones!$AF:$AF,$A3&amp;"_"&amp;ARF$11,[1]Opciones!$AO:$AO)</f>
        <v>#VALUE!</v>
      </c>
      <c r="ARG3" t="e">
        <f>+SUMIF([1]Cartera!$R:$R,$A3&amp;"_"&amp;ARG$11,[1]Cartera!$J:$J)+SUMIF([1]Futuros!$AD:$AD,$A3&amp;"_"&amp;ARG$11,[1]Futuros!$AK:$AK)+SUMIF([1]Opciones!$AF:$AF,$A3&amp;"_"&amp;ARG$11,[1]Opciones!$AO:$AO)</f>
        <v>#VALUE!</v>
      </c>
      <c r="ARH3" t="e">
        <f>+SUMIF([1]Cartera!$R:$R,$A3&amp;"_"&amp;ARH$11,[1]Cartera!$J:$J)+SUMIF([1]Futuros!$AD:$AD,$A3&amp;"_"&amp;ARH$11,[1]Futuros!$AK:$AK)+SUMIF([1]Opciones!$AF:$AF,$A3&amp;"_"&amp;ARH$11,[1]Opciones!$AO:$AO)</f>
        <v>#VALUE!</v>
      </c>
      <c r="ARI3" t="e">
        <f>+SUMIF([1]Cartera!$R:$R,$A3&amp;"_"&amp;ARI$11,[1]Cartera!$J:$J)+SUMIF([1]Futuros!$AD:$AD,$A3&amp;"_"&amp;ARI$11,[1]Futuros!$AK:$AK)+SUMIF([1]Opciones!$AF:$AF,$A3&amp;"_"&amp;ARI$11,[1]Opciones!$AO:$AO)</f>
        <v>#VALUE!</v>
      </c>
      <c r="ARJ3" t="e">
        <f>+SUMIF([1]Cartera!$R:$R,$A3&amp;"_"&amp;ARJ$11,[1]Cartera!$J:$J)+SUMIF([1]Futuros!$AD:$AD,$A3&amp;"_"&amp;ARJ$11,[1]Futuros!$AK:$AK)+SUMIF([1]Opciones!$AF:$AF,$A3&amp;"_"&amp;ARJ$11,[1]Opciones!$AO:$AO)</f>
        <v>#VALUE!</v>
      </c>
      <c r="ARK3" t="e">
        <f>+SUMIF([1]Cartera!$R:$R,$A3&amp;"_"&amp;ARK$11,[1]Cartera!$J:$J)+SUMIF([1]Futuros!$AD:$AD,$A3&amp;"_"&amp;ARK$11,[1]Futuros!$AK:$AK)+SUMIF([1]Opciones!$AF:$AF,$A3&amp;"_"&amp;ARK$11,[1]Opciones!$AO:$AO)</f>
        <v>#VALUE!</v>
      </c>
      <c r="ARL3" t="e">
        <f>+SUMIF([1]Cartera!$R:$R,$A3&amp;"_"&amp;ARL$11,[1]Cartera!$J:$J)+SUMIF([1]Futuros!$AD:$AD,$A3&amp;"_"&amp;ARL$11,[1]Futuros!$AK:$AK)+SUMIF([1]Opciones!$AF:$AF,$A3&amp;"_"&amp;ARL$11,[1]Opciones!$AO:$AO)</f>
        <v>#VALUE!</v>
      </c>
      <c r="ARM3" t="e">
        <f>+SUMIF([1]Cartera!$R:$R,$A3&amp;"_"&amp;ARM$11,[1]Cartera!$J:$J)+SUMIF([1]Futuros!$AD:$AD,$A3&amp;"_"&amp;ARM$11,[1]Futuros!$AK:$AK)+SUMIF([1]Opciones!$AF:$AF,$A3&amp;"_"&amp;ARM$11,[1]Opciones!$AO:$AO)</f>
        <v>#VALUE!</v>
      </c>
      <c r="ARN3" t="e">
        <f>+SUMIF([1]Cartera!$R:$R,$A3&amp;"_"&amp;ARN$11,[1]Cartera!$J:$J)+SUMIF([1]Futuros!$AD:$AD,$A3&amp;"_"&amp;ARN$11,[1]Futuros!$AK:$AK)+SUMIF([1]Opciones!$AF:$AF,$A3&amp;"_"&amp;ARN$11,[1]Opciones!$AO:$AO)</f>
        <v>#VALUE!</v>
      </c>
      <c r="ARO3" t="e">
        <f>+SUMIF([1]Cartera!$R:$R,$A3&amp;"_"&amp;ARO$11,[1]Cartera!$J:$J)+SUMIF([1]Futuros!$AD:$AD,$A3&amp;"_"&amp;ARO$11,[1]Futuros!$AK:$AK)+SUMIF([1]Opciones!$AF:$AF,$A3&amp;"_"&amp;ARO$11,[1]Opciones!$AO:$AO)</f>
        <v>#VALUE!</v>
      </c>
      <c r="ARP3" t="e">
        <f>+SUMIF([1]Cartera!$R:$R,$A3&amp;"_"&amp;ARP$11,[1]Cartera!$J:$J)+SUMIF([1]Futuros!$AD:$AD,$A3&amp;"_"&amp;ARP$11,[1]Futuros!$AK:$AK)+SUMIF([1]Opciones!$AF:$AF,$A3&amp;"_"&amp;ARP$11,[1]Opciones!$AO:$AO)</f>
        <v>#VALUE!</v>
      </c>
      <c r="ARQ3" t="e">
        <f>+SUMIF([1]Cartera!$R:$R,$A3&amp;"_"&amp;ARQ$11,[1]Cartera!$J:$J)+SUMIF([1]Futuros!$AD:$AD,$A3&amp;"_"&amp;ARQ$11,[1]Futuros!$AK:$AK)+SUMIF([1]Opciones!$AF:$AF,$A3&amp;"_"&amp;ARQ$11,[1]Opciones!$AO:$AO)</f>
        <v>#VALUE!</v>
      </c>
      <c r="ARR3" t="e">
        <f>+SUMIF([1]Cartera!$R:$R,$A3&amp;"_"&amp;ARR$11,[1]Cartera!$J:$J)+SUMIF([1]Futuros!$AD:$AD,$A3&amp;"_"&amp;ARR$11,[1]Futuros!$AK:$AK)+SUMIF([1]Opciones!$AF:$AF,$A3&amp;"_"&amp;ARR$11,[1]Opciones!$AO:$AO)</f>
        <v>#VALUE!</v>
      </c>
      <c r="ARS3" t="e">
        <f>+SUMIF([1]Cartera!$R:$R,$A3&amp;"_"&amp;ARS$11,[1]Cartera!$J:$J)+SUMIF([1]Futuros!$AD:$AD,$A3&amp;"_"&amp;ARS$11,[1]Futuros!$AK:$AK)+SUMIF([1]Opciones!$AF:$AF,$A3&amp;"_"&amp;ARS$11,[1]Opciones!$AO:$AO)</f>
        <v>#VALUE!</v>
      </c>
      <c r="ART3" t="e">
        <f>+SUMIF([1]Cartera!$R:$R,$A3&amp;"_"&amp;ART$11,[1]Cartera!$J:$J)+SUMIF([1]Futuros!$AD:$AD,$A3&amp;"_"&amp;ART$11,[1]Futuros!$AK:$AK)+SUMIF([1]Opciones!$AF:$AF,$A3&amp;"_"&amp;ART$11,[1]Opciones!$AO:$AO)</f>
        <v>#VALUE!</v>
      </c>
      <c r="ARU3" t="e">
        <f>+SUMIF([1]Cartera!$R:$R,$A3&amp;"_"&amp;ARU$11,[1]Cartera!$J:$J)+SUMIF([1]Futuros!$AD:$AD,$A3&amp;"_"&amp;ARU$11,[1]Futuros!$AK:$AK)+SUMIF([1]Opciones!$AF:$AF,$A3&amp;"_"&amp;ARU$11,[1]Opciones!$AO:$AO)</f>
        <v>#VALUE!</v>
      </c>
      <c r="ARV3" t="e">
        <f>+SUMIF([1]Cartera!$R:$R,$A3&amp;"_"&amp;ARV$11,[1]Cartera!$J:$J)+SUMIF([1]Futuros!$AD:$AD,$A3&amp;"_"&amp;ARV$11,[1]Futuros!$AK:$AK)+SUMIF([1]Opciones!$AF:$AF,$A3&amp;"_"&amp;ARV$11,[1]Opciones!$AO:$AO)</f>
        <v>#VALUE!</v>
      </c>
      <c r="ARW3" t="e">
        <f>+SUMIF([1]Cartera!$R:$R,$A3&amp;"_"&amp;ARW$11,[1]Cartera!$J:$J)+SUMIF([1]Futuros!$AD:$AD,$A3&amp;"_"&amp;ARW$11,[1]Futuros!$AK:$AK)+SUMIF([1]Opciones!$AF:$AF,$A3&amp;"_"&amp;ARW$11,[1]Opciones!$AO:$AO)</f>
        <v>#VALUE!</v>
      </c>
      <c r="ARX3" t="e">
        <f>+SUMIF([1]Cartera!$R:$R,$A3&amp;"_"&amp;ARX$11,[1]Cartera!$J:$J)+SUMIF([1]Futuros!$AD:$AD,$A3&amp;"_"&amp;ARX$11,[1]Futuros!$AK:$AK)+SUMIF([1]Opciones!$AF:$AF,$A3&amp;"_"&amp;ARX$11,[1]Opciones!$AO:$AO)</f>
        <v>#VALUE!</v>
      </c>
      <c r="ARY3" t="e">
        <f>+SUMIF([1]Cartera!$R:$R,$A3&amp;"_"&amp;ARY$11,[1]Cartera!$J:$J)+SUMIF([1]Futuros!$AD:$AD,$A3&amp;"_"&amp;ARY$11,[1]Futuros!$AK:$AK)+SUMIF([1]Opciones!$AF:$AF,$A3&amp;"_"&amp;ARY$11,[1]Opciones!$AO:$AO)</f>
        <v>#VALUE!</v>
      </c>
      <c r="ARZ3" t="e">
        <f>+SUMIF([1]Cartera!$R:$R,$A3&amp;"_"&amp;ARZ$11,[1]Cartera!$J:$J)+SUMIF([1]Futuros!$AD:$AD,$A3&amp;"_"&amp;ARZ$11,[1]Futuros!$AK:$AK)+SUMIF([1]Opciones!$AF:$AF,$A3&amp;"_"&amp;ARZ$11,[1]Opciones!$AO:$AO)</f>
        <v>#VALUE!</v>
      </c>
      <c r="ASA3" t="e">
        <f>+SUMIF([1]Cartera!$R:$R,$A3&amp;"_"&amp;ASA$11,[1]Cartera!$J:$J)+SUMIF([1]Futuros!$AD:$AD,$A3&amp;"_"&amp;ASA$11,[1]Futuros!$AK:$AK)+SUMIF([1]Opciones!$AF:$AF,$A3&amp;"_"&amp;ASA$11,[1]Opciones!$AO:$AO)</f>
        <v>#VALUE!</v>
      </c>
      <c r="ASB3" t="e">
        <f>+SUMIF([1]Cartera!$R:$R,$A3&amp;"_"&amp;ASB$11,[1]Cartera!$J:$J)+SUMIF([1]Futuros!$AD:$AD,$A3&amp;"_"&amp;ASB$11,[1]Futuros!$AK:$AK)+SUMIF([1]Opciones!$AF:$AF,$A3&amp;"_"&amp;ASB$11,[1]Opciones!$AO:$AO)</f>
        <v>#VALUE!</v>
      </c>
      <c r="ASC3" t="e">
        <f>+SUMIF([1]Cartera!$R:$R,$A3&amp;"_"&amp;ASC$11,[1]Cartera!$J:$J)+SUMIF([1]Futuros!$AD:$AD,$A3&amp;"_"&amp;ASC$11,[1]Futuros!$AK:$AK)+SUMIF([1]Opciones!$AF:$AF,$A3&amp;"_"&amp;ASC$11,[1]Opciones!$AO:$AO)</f>
        <v>#VALUE!</v>
      </c>
      <c r="ASD3" t="e">
        <f>+SUMIF([1]Cartera!$R:$R,$A3&amp;"_"&amp;ASD$11,[1]Cartera!$J:$J)+SUMIF([1]Futuros!$AD:$AD,$A3&amp;"_"&amp;ASD$11,[1]Futuros!$AK:$AK)+SUMIF([1]Opciones!$AF:$AF,$A3&amp;"_"&amp;ASD$11,[1]Opciones!$AO:$AO)</f>
        <v>#VALUE!</v>
      </c>
      <c r="ASE3" t="e">
        <f>+SUMIF([1]Cartera!$R:$R,$A3&amp;"_"&amp;ASE$11,[1]Cartera!$J:$J)+SUMIF([1]Futuros!$AD:$AD,$A3&amp;"_"&amp;ASE$11,[1]Futuros!$AK:$AK)+SUMIF([1]Opciones!$AF:$AF,$A3&amp;"_"&amp;ASE$11,[1]Opciones!$AO:$AO)</f>
        <v>#VALUE!</v>
      </c>
      <c r="ASF3" t="e">
        <f>+SUMIF([1]Cartera!$R:$R,$A3&amp;"_"&amp;ASF$11,[1]Cartera!$J:$J)+SUMIF([1]Futuros!$AD:$AD,$A3&amp;"_"&amp;ASF$11,[1]Futuros!$AK:$AK)+SUMIF([1]Opciones!$AF:$AF,$A3&amp;"_"&amp;ASF$11,[1]Opciones!$AO:$AO)</f>
        <v>#VALUE!</v>
      </c>
      <c r="ASG3" t="e">
        <f>+SUMIF([1]Cartera!$R:$R,$A3&amp;"_"&amp;ASG$11,[1]Cartera!$J:$J)+SUMIF([1]Futuros!$AD:$AD,$A3&amp;"_"&amp;ASG$11,[1]Futuros!$AK:$AK)+SUMIF([1]Opciones!$AF:$AF,$A3&amp;"_"&amp;ASG$11,[1]Opciones!$AO:$AO)</f>
        <v>#VALUE!</v>
      </c>
      <c r="ASH3" t="e">
        <f>+SUMIF([1]Cartera!$R:$R,$A3&amp;"_"&amp;ASH$11,[1]Cartera!$J:$J)+SUMIF([1]Futuros!$AD:$AD,$A3&amp;"_"&amp;ASH$11,[1]Futuros!$AK:$AK)+SUMIF([1]Opciones!$AF:$AF,$A3&amp;"_"&amp;ASH$11,[1]Opciones!$AO:$AO)</f>
        <v>#VALUE!</v>
      </c>
      <c r="ASI3" t="e">
        <f>+SUMIF([1]Cartera!$R:$R,$A3&amp;"_"&amp;ASI$11,[1]Cartera!$J:$J)+SUMIF([1]Futuros!$AD:$AD,$A3&amp;"_"&amp;ASI$11,[1]Futuros!$AK:$AK)+SUMIF([1]Opciones!$AF:$AF,$A3&amp;"_"&amp;ASI$11,[1]Opciones!$AO:$AO)</f>
        <v>#VALUE!</v>
      </c>
      <c r="ASJ3" t="e">
        <f>+SUMIF([1]Cartera!$R:$R,$A3&amp;"_"&amp;ASJ$11,[1]Cartera!$J:$J)+SUMIF([1]Futuros!$AD:$AD,$A3&amp;"_"&amp;ASJ$11,[1]Futuros!$AK:$AK)+SUMIF([1]Opciones!$AF:$AF,$A3&amp;"_"&amp;ASJ$11,[1]Opciones!$AO:$AO)</f>
        <v>#VALUE!</v>
      </c>
      <c r="ASK3" t="e">
        <f>+SUMIF([1]Cartera!$R:$R,$A3&amp;"_"&amp;ASK$11,[1]Cartera!$J:$J)+SUMIF([1]Futuros!$AD:$AD,$A3&amp;"_"&amp;ASK$11,[1]Futuros!$AK:$AK)+SUMIF([1]Opciones!$AF:$AF,$A3&amp;"_"&amp;ASK$11,[1]Opciones!$AO:$AO)</f>
        <v>#VALUE!</v>
      </c>
      <c r="ASL3" t="e">
        <f>+SUMIF([1]Cartera!$R:$R,$A3&amp;"_"&amp;ASL$11,[1]Cartera!$J:$J)+SUMIF([1]Futuros!$AD:$AD,$A3&amp;"_"&amp;ASL$11,[1]Futuros!$AK:$AK)+SUMIF([1]Opciones!$AF:$AF,$A3&amp;"_"&amp;ASL$11,[1]Opciones!$AO:$AO)</f>
        <v>#VALUE!</v>
      </c>
      <c r="ASM3" t="e">
        <f>+SUMIF([1]Cartera!$R:$R,$A3&amp;"_"&amp;ASM$11,[1]Cartera!$J:$J)+SUMIF([1]Futuros!$AD:$AD,$A3&amp;"_"&amp;ASM$11,[1]Futuros!$AK:$AK)+SUMIF([1]Opciones!$AF:$AF,$A3&amp;"_"&amp;ASM$11,[1]Opciones!$AO:$AO)</f>
        <v>#VALUE!</v>
      </c>
      <c r="ASN3" t="e">
        <f>+SUMIF([1]Cartera!$R:$R,$A3&amp;"_"&amp;ASN$11,[1]Cartera!$J:$J)+SUMIF([1]Futuros!$AD:$AD,$A3&amp;"_"&amp;ASN$11,[1]Futuros!$AK:$AK)+SUMIF([1]Opciones!$AF:$AF,$A3&amp;"_"&amp;ASN$11,[1]Opciones!$AO:$AO)</f>
        <v>#VALUE!</v>
      </c>
      <c r="ASO3" t="e">
        <f>+SUMIF([1]Cartera!$R:$R,$A3&amp;"_"&amp;ASO$11,[1]Cartera!$J:$J)+SUMIF([1]Futuros!$AD:$AD,$A3&amp;"_"&amp;ASO$11,[1]Futuros!$AK:$AK)+SUMIF([1]Opciones!$AF:$AF,$A3&amp;"_"&amp;ASO$11,[1]Opciones!$AO:$AO)</f>
        <v>#VALUE!</v>
      </c>
      <c r="ASP3" t="e">
        <f>+SUMIF([1]Cartera!$R:$R,$A3&amp;"_"&amp;ASP$11,[1]Cartera!$J:$J)+SUMIF([1]Futuros!$AD:$AD,$A3&amp;"_"&amp;ASP$11,[1]Futuros!$AK:$AK)+SUMIF([1]Opciones!$AF:$AF,$A3&amp;"_"&amp;ASP$11,[1]Opciones!$AO:$AO)</f>
        <v>#VALUE!</v>
      </c>
      <c r="ASQ3" t="e">
        <f>+SUMIF([1]Cartera!$R:$R,$A3&amp;"_"&amp;ASQ$11,[1]Cartera!$J:$J)+SUMIF([1]Futuros!$AD:$AD,$A3&amp;"_"&amp;ASQ$11,[1]Futuros!$AK:$AK)+SUMIF([1]Opciones!$AF:$AF,$A3&amp;"_"&amp;ASQ$11,[1]Opciones!$AO:$AO)</f>
        <v>#VALUE!</v>
      </c>
      <c r="ASR3" t="e">
        <f>+SUMIF([1]Cartera!$R:$R,$A3&amp;"_"&amp;ASR$11,[1]Cartera!$J:$J)+SUMIF([1]Futuros!$AD:$AD,$A3&amp;"_"&amp;ASR$11,[1]Futuros!$AK:$AK)+SUMIF([1]Opciones!$AF:$AF,$A3&amp;"_"&amp;ASR$11,[1]Opciones!$AO:$AO)</f>
        <v>#VALUE!</v>
      </c>
      <c r="ASS3" t="e">
        <f>+SUMIF([1]Cartera!$R:$R,$A3&amp;"_"&amp;ASS$11,[1]Cartera!$J:$J)+SUMIF([1]Futuros!$AD:$AD,$A3&amp;"_"&amp;ASS$11,[1]Futuros!$AK:$AK)+SUMIF([1]Opciones!$AF:$AF,$A3&amp;"_"&amp;ASS$11,[1]Opciones!$AO:$AO)</f>
        <v>#VALUE!</v>
      </c>
      <c r="AST3" t="e">
        <f>+SUMIF([1]Cartera!$R:$R,$A3&amp;"_"&amp;AST$11,[1]Cartera!$J:$J)+SUMIF([1]Futuros!$AD:$AD,$A3&amp;"_"&amp;AST$11,[1]Futuros!$AK:$AK)+SUMIF([1]Opciones!$AF:$AF,$A3&amp;"_"&amp;AST$11,[1]Opciones!$AO:$AO)</f>
        <v>#VALUE!</v>
      </c>
      <c r="ASU3" t="e">
        <f>+SUMIF([1]Cartera!$R:$R,$A3&amp;"_"&amp;ASU$11,[1]Cartera!$J:$J)+SUMIF([1]Futuros!$AD:$AD,$A3&amp;"_"&amp;ASU$11,[1]Futuros!$AK:$AK)+SUMIF([1]Opciones!$AF:$AF,$A3&amp;"_"&amp;ASU$11,[1]Opciones!$AO:$AO)</f>
        <v>#VALUE!</v>
      </c>
      <c r="ASV3" t="e">
        <f>+SUMIF([1]Cartera!$R:$R,$A3&amp;"_"&amp;ASV$11,[1]Cartera!$J:$J)+SUMIF([1]Futuros!$AD:$AD,$A3&amp;"_"&amp;ASV$11,[1]Futuros!$AK:$AK)+SUMIF([1]Opciones!$AF:$AF,$A3&amp;"_"&amp;ASV$11,[1]Opciones!$AO:$AO)</f>
        <v>#VALUE!</v>
      </c>
      <c r="ASW3" t="e">
        <f>+SUMIF([1]Cartera!$R:$R,$A3&amp;"_"&amp;ASW$11,[1]Cartera!$J:$J)+SUMIF([1]Futuros!$AD:$AD,$A3&amp;"_"&amp;ASW$11,[1]Futuros!$AK:$AK)+SUMIF([1]Opciones!$AF:$AF,$A3&amp;"_"&amp;ASW$11,[1]Opciones!$AO:$AO)</f>
        <v>#VALUE!</v>
      </c>
      <c r="ASX3" t="e">
        <f>+SUMIF([1]Cartera!$R:$R,$A3&amp;"_"&amp;ASX$11,[1]Cartera!$J:$J)+SUMIF([1]Futuros!$AD:$AD,$A3&amp;"_"&amp;ASX$11,[1]Futuros!$AK:$AK)+SUMIF([1]Opciones!$AF:$AF,$A3&amp;"_"&amp;ASX$11,[1]Opciones!$AO:$AO)</f>
        <v>#VALUE!</v>
      </c>
      <c r="ASY3" t="e">
        <f>+SUMIF([1]Cartera!$R:$R,$A3&amp;"_"&amp;ASY$11,[1]Cartera!$J:$J)+SUMIF([1]Futuros!$AD:$AD,$A3&amp;"_"&amp;ASY$11,[1]Futuros!$AK:$AK)+SUMIF([1]Opciones!$AF:$AF,$A3&amp;"_"&amp;ASY$11,[1]Opciones!$AO:$AO)</f>
        <v>#VALUE!</v>
      </c>
      <c r="ASZ3" t="e">
        <f>+SUMIF([1]Cartera!$R:$R,$A3&amp;"_"&amp;ASZ$11,[1]Cartera!$J:$J)+SUMIF([1]Futuros!$AD:$AD,$A3&amp;"_"&amp;ASZ$11,[1]Futuros!$AK:$AK)+SUMIF([1]Opciones!$AF:$AF,$A3&amp;"_"&amp;ASZ$11,[1]Opciones!$AO:$AO)</f>
        <v>#VALUE!</v>
      </c>
      <c r="ATA3" t="e">
        <f>+SUMIF([1]Cartera!$R:$R,$A3&amp;"_"&amp;ATA$11,[1]Cartera!$J:$J)+SUMIF([1]Futuros!$AD:$AD,$A3&amp;"_"&amp;ATA$11,[1]Futuros!$AK:$AK)+SUMIF([1]Opciones!$AF:$AF,$A3&amp;"_"&amp;ATA$11,[1]Opciones!$AO:$AO)</f>
        <v>#VALUE!</v>
      </c>
      <c r="ATB3" t="e">
        <f>+SUMIF([1]Cartera!$R:$R,$A3&amp;"_"&amp;ATB$11,[1]Cartera!$J:$J)+SUMIF([1]Futuros!$AD:$AD,$A3&amp;"_"&amp;ATB$11,[1]Futuros!$AK:$AK)+SUMIF([1]Opciones!$AF:$AF,$A3&amp;"_"&amp;ATB$11,[1]Opciones!$AO:$AO)</f>
        <v>#VALUE!</v>
      </c>
      <c r="ATC3" t="e">
        <f>+SUMIF([1]Cartera!$R:$R,$A3&amp;"_"&amp;ATC$11,[1]Cartera!$J:$J)+SUMIF([1]Futuros!$AD:$AD,$A3&amp;"_"&amp;ATC$11,[1]Futuros!$AK:$AK)+SUMIF([1]Opciones!$AF:$AF,$A3&amp;"_"&amp;ATC$11,[1]Opciones!$AO:$AO)</f>
        <v>#VALUE!</v>
      </c>
      <c r="ATD3" t="e">
        <f>+SUMIF([1]Cartera!$R:$R,$A3&amp;"_"&amp;ATD$11,[1]Cartera!$J:$J)+SUMIF([1]Futuros!$AD:$AD,$A3&amp;"_"&amp;ATD$11,[1]Futuros!$AK:$AK)+SUMIF([1]Opciones!$AF:$AF,$A3&amp;"_"&amp;ATD$11,[1]Opciones!$AO:$AO)</f>
        <v>#VALUE!</v>
      </c>
      <c r="ATE3" t="e">
        <f>+SUMIF([1]Cartera!$R:$R,$A3&amp;"_"&amp;ATE$11,[1]Cartera!$J:$J)+SUMIF([1]Futuros!$AD:$AD,$A3&amp;"_"&amp;ATE$11,[1]Futuros!$AK:$AK)+SUMIF([1]Opciones!$AF:$AF,$A3&amp;"_"&amp;ATE$11,[1]Opciones!$AO:$AO)</f>
        <v>#VALUE!</v>
      </c>
      <c r="ATF3" t="e">
        <f>+SUMIF([1]Cartera!$R:$R,$A3&amp;"_"&amp;ATF$11,[1]Cartera!$J:$J)+SUMIF([1]Futuros!$AD:$AD,$A3&amp;"_"&amp;ATF$11,[1]Futuros!$AK:$AK)+SUMIF([1]Opciones!$AF:$AF,$A3&amp;"_"&amp;ATF$11,[1]Opciones!$AO:$AO)</f>
        <v>#VALUE!</v>
      </c>
      <c r="ATG3" t="e">
        <f>+SUMIF([1]Cartera!$R:$R,$A3&amp;"_"&amp;ATG$11,[1]Cartera!$J:$J)+SUMIF([1]Futuros!$AD:$AD,$A3&amp;"_"&amp;ATG$11,[1]Futuros!$AK:$AK)+SUMIF([1]Opciones!$AF:$AF,$A3&amp;"_"&amp;ATG$11,[1]Opciones!$AO:$AO)</f>
        <v>#VALUE!</v>
      </c>
      <c r="ATH3" t="e">
        <f>+SUMIF([1]Cartera!$R:$R,$A3&amp;"_"&amp;ATH$11,[1]Cartera!$J:$J)+SUMIF([1]Futuros!$AD:$AD,$A3&amp;"_"&amp;ATH$11,[1]Futuros!$AK:$AK)+SUMIF([1]Opciones!$AF:$AF,$A3&amp;"_"&amp;ATH$11,[1]Opciones!$AO:$AO)</f>
        <v>#VALUE!</v>
      </c>
      <c r="ATI3" t="e">
        <f>+SUMIF([1]Cartera!$R:$R,$A3&amp;"_"&amp;ATI$11,[1]Cartera!$J:$J)+SUMIF([1]Futuros!$AD:$AD,$A3&amp;"_"&amp;ATI$11,[1]Futuros!$AK:$AK)+SUMIF([1]Opciones!$AF:$AF,$A3&amp;"_"&amp;ATI$11,[1]Opciones!$AO:$AO)</f>
        <v>#VALUE!</v>
      </c>
      <c r="ATJ3" t="e">
        <f>+SUMIF([1]Cartera!$R:$R,$A3&amp;"_"&amp;ATJ$11,[1]Cartera!$J:$J)+SUMIF([1]Futuros!$AD:$AD,$A3&amp;"_"&amp;ATJ$11,[1]Futuros!$AK:$AK)+SUMIF([1]Opciones!$AF:$AF,$A3&amp;"_"&amp;ATJ$11,[1]Opciones!$AO:$AO)</f>
        <v>#VALUE!</v>
      </c>
      <c r="ATK3" t="e">
        <f>+SUMIF([1]Cartera!$R:$R,$A3&amp;"_"&amp;ATK$11,[1]Cartera!$J:$J)+SUMIF([1]Futuros!$AD:$AD,$A3&amp;"_"&amp;ATK$11,[1]Futuros!$AK:$AK)+SUMIF([1]Opciones!$AF:$AF,$A3&amp;"_"&amp;ATK$11,[1]Opciones!$AO:$AO)</f>
        <v>#VALUE!</v>
      </c>
      <c r="ATL3" t="e">
        <f>+SUMIF([1]Cartera!$R:$R,$A3&amp;"_"&amp;ATL$11,[1]Cartera!$J:$J)+SUMIF([1]Futuros!$AD:$AD,$A3&amp;"_"&amp;ATL$11,[1]Futuros!$AK:$AK)+SUMIF([1]Opciones!$AF:$AF,$A3&amp;"_"&amp;ATL$11,[1]Opciones!$AO:$AO)</f>
        <v>#VALUE!</v>
      </c>
      <c r="ATM3" t="e">
        <f>+SUMIF([1]Cartera!$R:$R,$A3&amp;"_"&amp;ATM$11,[1]Cartera!$J:$J)+SUMIF([1]Futuros!$AD:$AD,$A3&amp;"_"&amp;ATM$11,[1]Futuros!$AK:$AK)+SUMIF([1]Opciones!$AF:$AF,$A3&amp;"_"&amp;ATM$11,[1]Opciones!$AO:$AO)</f>
        <v>#VALUE!</v>
      </c>
      <c r="ATN3" t="e">
        <f>+SUMIF([1]Cartera!$R:$R,$A3&amp;"_"&amp;ATN$11,[1]Cartera!$J:$J)+SUMIF([1]Futuros!$AD:$AD,$A3&amp;"_"&amp;ATN$11,[1]Futuros!$AK:$AK)+SUMIF([1]Opciones!$AF:$AF,$A3&amp;"_"&amp;ATN$11,[1]Opciones!$AO:$AO)</f>
        <v>#VALUE!</v>
      </c>
      <c r="ATO3" t="e">
        <f>+SUMIF([1]Cartera!$R:$R,$A3&amp;"_"&amp;ATO$11,[1]Cartera!$J:$J)+SUMIF([1]Futuros!$AD:$AD,$A3&amp;"_"&amp;ATO$11,[1]Futuros!$AK:$AK)+SUMIF([1]Opciones!$AF:$AF,$A3&amp;"_"&amp;ATO$11,[1]Opciones!$AO:$AO)</f>
        <v>#VALUE!</v>
      </c>
      <c r="ATP3" t="e">
        <f>+SUMIF([1]Cartera!$R:$R,$A3&amp;"_"&amp;ATP$11,[1]Cartera!$J:$J)+SUMIF([1]Futuros!$AD:$AD,$A3&amp;"_"&amp;ATP$11,[1]Futuros!$AK:$AK)+SUMIF([1]Opciones!$AF:$AF,$A3&amp;"_"&amp;ATP$11,[1]Opciones!$AO:$AO)</f>
        <v>#VALUE!</v>
      </c>
      <c r="ATQ3" t="e">
        <f>+SUMIF([1]Cartera!$R:$R,$A3&amp;"_"&amp;ATQ$11,[1]Cartera!$J:$J)+SUMIF([1]Futuros!$AD:$AD,$A3&amp;"_"&amp;ATQ$11,[1]Futuros!$AK:$AK)+SUMIF([1]Opciones!$AF:$AF,$A3&amp;"_"&amp;ATQ$11,[1]Opciones!$AO:$AO)</f>
        <v>#VALUE!</v>
      </c>
    </row>
    <row r="4" spans="1:1213" x14ac:dyDescent="0.25">
      <c r="A4" s="8" t="s">
        <v>0</v>
      </c>
      <c r="B4" s="38" t="s">
        <v>7</v>
      </c>
      <c r="C4" s="1">
        <f t="shared" si="1"/>
        <v>46241</v>
      </c>
      <c r="D4" s="8" t="str">
        <f t="shared" si="0"/>
        <v>IN-FONDO1_PxQ_07/08/2026</v>
      </c>
      <c r="E4">
        <f>+INDEX([1]Pat_Int!$G:$G,MATCH($A4,[1]Pat_Int!$B:$B,0))</f>
        <v>7953430668.2086716</v>
      </c>
      <c r="F4">
        <f>+INDEX([1]Pat_Int!$D:$D,MATCH($A4,[1]Pat_Int!$B:$B,0))</f>
        <v>12136575.0894836</v>
      </c>
      <c r="G4">
        <f>+INDEX([1]IN_Mon!$AT$7:$AV$52,MATCH(G$11,[1]IN_Mon!$AP$7:$AP$52,0),MATCH($A4,[1]IN_Mon!$AT$6:$AV$6,0))</f>
        <v>2422.4645</v>
      </c>
      <c r="H4">
        <f>+INDEX([1]IN_Mon!$AT$7:$AV$52,MATCH(H$11,[1]IN_Mon!$AP$7:$AP$52,0),MATCH($A4,[1]IN_Mon!$AT$6:$AV$6,0))</f>
        <v>0</v>
      </c>
      <c r="I4">
        <f>+INDEX([1]IN_Mon!$AT$7:$AV$52,MATCH(I$11,[1]IN_Mon!$AP$7:$AP$52,0),MATCH($A4,[1]IN_Mon!$AT$6:$AV$6,0))</f>
        <v>0</v>
      </c>
      <c r="J4">
        <f>+INDEX([1]IN_Mon!$AT$7:$AV$52,MATCH(J$11,[1]IN_Mon!$AP$7:$AP$52,0),MATCH($A4,[1]IN_Mon!$AT$6:$AV$6,0))</f>
        <v>0</v>
      </c>
      <c r="K4">
        <f>+INDEX([1]IN_Mon!$AT$7:$AV$52,MATCH(K$11,[1]IN_Mon!$AP$7:$AP$52,0),MATCH($A4,[1]IN_Mon!$AT$6:$AV$6,0))</f>
        <v>0</v>
      </c>
      <c r="L4">
        <f>+INDEX([1]IN_Mon!$AT$7:$AV$52,MATCH(L$11,[1]IN_Mon!$AP$7:$AP$52,0),MATCH($A4,[1]IN_Mon!$AT$6:$AV$6,0))</f>
        <v>7840673.8857720001</v>
      </c>
      <c r="M4">
        <f>+INDEX([1]IN_Mon!$AT$7:$AV$52,MATCH(M$11,[1]IN_Mon!$AP$7:$AP$52,0),MATCH($A4,[1]IN_Mon!$AT$6:$AV$6,0))</f>
        <v>7777.5005110000002</v>
      </c>
      <c r="N4">
        <f>+INDEX([1]IN_Mon!$AT$7:$AV$52,MATCH(N$11,[1]IN_Mon!$AP$7:$AP$52,0),MATCH($A4,[1]IN_Mon!$AT$6:$AV$6,0))</f>
        <v>4560.1655000000001</v>
      </c>
      <c r="O4">
        <f>+INDEX([1]IN_Mon!$AT$7:$AV$52,MATCH(O$11,[1]IN_Mon!$AP$7:$AP$52,0),MATCH($A4,[1]IN_Mon!$AT$6:$AV$6,0))</f>
        <v>23.591149999999999</v>
      </c>
      <c r="P4">
        <f>+INDEX([1]IN_Mon!$AT$7:$AV$52,MATCH(P$11,[1]IN_Mon!$AP$7:$AP$52,0),MATCH($A4,[1]IN_Mon!$AT$6:$AV$6,0))</f>
        <v>477.767</v>
      </c>
      <c r="Q4">
        <f>+INDEX([1]IN_Mon!$AT$7:$AV$52,MATCH(Q$11,[1]IN_Mon!$AP$7:$AP$52,0),MATCH($A4,[1]IN_Mon!$AT$6:$AV$6,0))</f>
        <v>0</v>
      </c>
      <c r="R4">
        <f>+INDEX([1]IN_Mon!$AT$7:$AV$52,MATCH(R$11,[1]IN_Mon!$AP$7:$AP$52,0),MATCH($A4,[1]IN_Mon!$AT$6:$AV$6,0))</f>
        <v>71.123379999999997</v>
      </c>
      <c r="S4">
        <f>+INDEX([1]IN_Mon!$AT$7:$AV$52,MATCH(S$11,[1]IN_Mon!$AP$7:$AP$52,0),MATCH($A4,[1]IN_Mon!$AT$6:$AV$6,0))</f>
        <v>0</v>
      </c>
      <c r="T4">
        <f>+INDEX([1]IN_Mon!$AT$7:$AV$52,MATCH(T$11,[1]IN_Mon!$AP$7:$AP$52,0),MATCH($A4,[1]IN_Mon!$AT$6:$AV$6,0))</f>
        <v>62.773829999999997</v>
      </c>
      <c r="U4">
        <f>+INDEX([1]IN_Mon!$AT$7:$AV$52,MATCH(U$11,[1]IN_Mon!$AP$7:$AP$52,0),MATCH($A4,[1]IN_Mon!$AT$6:$AV$6,0))</f>
        <v>107.0808</v>
      </c>
      <c r="V4">
        <f>+INDEX([1]IN_Mon!$AT$7:$AV$52,MATCH(V$11,[1]IN_Mon!$AP$7:$AP$52,0),MATCH($A4,[1]IN_Mon!$AT$6:$AV$6,0))</f>
        <v>4.1846120000000004</v>
      </c>
      <c r="W4">
        <f>+INDEX([1]IN_Mon!$AT$7:$AV$52,MATCH(W$11,[1]IN_Mon!$AP$7:$AP$52,0),MATCH($A4,[1]IN_Mon!$AT$6:$AV$6,0))</f>
        <v>98.552429000000004</v>
      </c>
      <c r="X4">
        <f>+INDEX([1]Pat_Int!$E:$E,MATCH($A4,[1]Pat_Int!$B:$B,0))</f>
        <v>514999971.6588701</v>
      </c>
      <c r="Y4">
        <f>+INDEX([1]Pat_Int!$F:$F,MATCH($A4,[1]Pat_Int!$B:$B,0))</f>
        <v>582322901.98570538</v>
      </c>
      <c r="Z4">
        <f>+F4-SUM(G4:W4)</f>
        <v>4280295.9999996005</v>
      </c>
      <c r="AA4" t="e">
        <f>+SUMIF([1]Cartera!$R:$R,$A4&amp;"_"&amp;AA$11,[1]Cartera!$I:$I)</f>
        <v>#VALUE!</v>
      </c>
      <c r="AB4" t="e">
        <f>+SUMIF([1]Cartera!$R:$R,$A4&amp;"_"&amp;AB$11,[1]Cartera!$I:$I)</f>
        <v>#VALUE!</v>
      </c>
      <c r="AC4" t="e">
        <f>+SUMIF([1]Cartera!$R:$R,$A4&amp;"_"&amp;AC$11,[1]Cartera!$I:$I)</f>
        <v>#VALUE!</v>
      </c>
      <c r="AD4" t="e">
        <f>+SUMIF([1]Cartera!$R:$R,$A4&amp;"_"&amp;AD$11,[1]Cartera!$I:$I)</f>
        <v>#VALUE!</v>
      </c>
      <c r="AE4" t="e">
        <f>+SUMIF([1]Cartera!$R:$R,$A4&amp;"_"&amp;AE$11,[1]Cartera!$I:$I)</f>
        <v>#VALUE!</v>
      </c>
      <c r="AF4" t="e">
        <f>+SUMIF([1]Cartera!$R:$R,$A4&amp;"_"&amp;AF$11,[1]Cartera!$I:$I)</f>
        <v>#VALUE!</v>
      </c>
      <c r="AG4" t="e">
        <f>+SUMIF([1]Cartera!$R:$R,$A4&amp;"_"&amp;AG$11,[1]Cartera!$I:$I)</f>
        <v>#VALUE!</v>
      </c>
      <c r="AH4" t="e">
        <f>+SUMIF([1]Cartera!$R:$R,$A4&amp;"_"&amp;AH$11,[1]Cartera!$I:$I)</f>
        <v>#VALUE!</v>
      </c>
      <c r="AI4" t="e">
        <f>+SUMIF([1]Cartera!$R:$R,$A4&amp;"_"&amp;AI$11,[1]Cartera!$I:$I)+SUMIF([1]Futuros!$AD:$AD,$A4&amp;"_"&amp;AI$11,[1]Futuros!$AK:$AK)+SUMIF([1]Opciones!$AF:$AF,$A4&amp;"_"&amp;AI$11,[1]Opciones!$AQ:$AQ)</f>
        <v>#VALUE!</v>
      </c>
      <c r="AJ4" t="e">
        <f>+SUMIF([1]Cartera!$R:$R,$A4&amp;"_"&amp;AJ$11,[1]Cartera!$I:$I)+SUMIF([1]Futuros!$AD:$AD,$A4&amp;"_"&amp;AJ$11,[1]Futuros!$AK:$AK)+SUMIF([1]Opciones!$AF:$AF,$A4&amp;"_"&amp;AJ$11,[1]Opciones!$AQ:$AQ)</f>
        <v>#VALUE!</v>
      </c>
      <c r="AK4" t="e">
        <f>+SUMIF([1]Cartera!$R:$R,$A4&amp;"_"&amp;AK$11,[1]Cartera!$I:$I)+SUMIF([1]Futuros!$AD:$AD,$A4&amp;"_"&amp;AK$11,[1]Futuros!$AK:$AK)+SUMIF([1]Opciones!$AF:$AF,$A4&amp;"_"&amp;AK$11,[1]Opciones!$AQ:$AQ)</f>
        <v>#VALUE!</v>
      </c>
      <c r="AL4" t="e">
        <f>+SUMIF([1]Cartera!$R:$R,$A4&amp;"_"&amp;AL$11,[1]Cartera!$I:$I)+SUMIF([1]Futuros!$AD:$AD,$A4&amp;"_"&amp;AL$11,[1]Futuros!$AK:$AK)+SUMIF([1]Opciones!$AF:$AF,$A4&amp;"_"&amp;AL$11,[1]Opciones!$AQ:$AQ)</f>
        <v>#VALUE!</v>
      </c>
      <c r="AM4" t="e">
        <f>+SUMIF([1]Cartera!$R:$R,$A4&amp;"_"&amp;AM$11,[1]Cartera!$I:$I)+SUMIF([1]Futuros!$AD:$AD,$A4&amp;"_"&amp;AM$11,[1]Futuros!$AK:$AK)+SUMIF([1]Opciones!$AF:$AF,$A4&amp;"_"&amp;AM$11,[1]Opciones!$AQ:$AQ)</f>
        <v>#VALUE!</v>
      </c>
      <c r="AN4" t="e">
        <f>+SUMIF([1]Cartera!$R:$R,$A4&amp;"_"&amp;AN$11,[1]Cartera!$I:$I)+SUMIF([1]Futuros!$AD:$AD,$A4&amp;"_"&amp;AN$11,[1]Futuros!$AK:$AK)+SUMIF([1]Opciones!$AF:$AF,$A4&amp;"_"&amp;AN$11,[1]Opciones!$AQ:$AQ)</f>
        <v>#VALUE!</v>
      </c>
      <c r="AO4" t="e">
        <f>+SUMIF([1]Cartera!$R:$R,$A4&amp;"_"&amp;AO$11,[1]Cartera!$I:$I)+SUMIF([1]Futuros!$AD:$AD,$A4&amp;"_"&amp;AO$11,[1]Futuros!$AK:$AK)+SUMIF([1]Opciones!$AF:$AF,$A4&amp;"_"&amp;AO$11,[1]Opciones!$AQ:$AQ)</f>
        <v>#VALUE!</v>
      </c>
      <c r="AP4" t="e">
        <f>+SUMIF([1]Cartera!$R:$R,$A4&amp;"_"&amp;AP$11,[1]Cartera!$I:$I)+SUMIF([1]Futuros!$AD:$AD,$A4&amp;"_"&amp;AP$11,[1]Futuros!$AK:$AK)+SUMIF([1]Opciones!$AF:$AF,$A4&amp;"_"&amp;AP$11,[1]Opciones!$AQ:$AQ)</f>
        <v>#VALUE!</v>
      </c>
      <c r="AQ4" t="e">
        <f>+SUMIF([1]Cartera!$R:$R,$A4&amp;"_"&amp;AQ$11,[1]Cartera!$I:$I)+SUMIF([1]Futuros!$AD:$AD,$A4&amp;"_"&amp;AQ$11,[1]Futuros!$AK:$AK)+SUMIF([1]Opciones!$AF:$AF,$A4&amp;"_"&amp;AQ$11,[1]Opciones!$AQ:$AQ)</f>
        <v>#VALUE!</v>
      </c>
      <c r="AR4" t="e">
        <f>+SUMIF([1]Cartera!$R:$R,$A4&amp;"_"&amp;AR$11,[1]Cartera!$I:$I)+SUMIF([1]Futuros!$AD:$AD,$A4&amp;"_"&amp;AR$11,[1]Futuros!$AK:$AK)+SUMIF([1]Opciones!$AF:$AF,$A4&amp;"_"&amp;AR$11,[1]Opciones!$AQ:$AQ)</f>
        <v>#VALUE!</v>
      </c>
      <c r="AS4" t="e">
        <f>+SUMIF([1]Cartera!$R:$R,$A4&amp;"_"&amp;AS$11,[1]Cartera!$I:$I)+SUMIF([1]Futuros!$AD:$AD,$A4&amp;"_"&amp;AS$11,[1]Futuros!$AK:$AK)+SUMIF([1]Opciones!$AF:$AF,$A4&amp;"_"&amp;AS$11,[1]Opciones!$AQ:$AQ)</f>
        <v>#VALUE!</v>
      </c>
      <c r="AT4" t="e">
        <f>+SUMIF([1]Cartera!$R:$R,$A4&amp;"_"&amp;AT$11,[1]Cartera!$I:$I)+SUMIF([1]Futuros!$AD:$AD,$A4&amp;"_"&amp;AT$11,[1]Futuros!$AK:$AK)+SUMIF([1]Opciones!$AF:$AF,$A4&amp;"_"&amp;AT$11,[1]Opciones!$AQ:$AQ)</f>
        <v>#VALUE!</v>
      </c>
      <c r="AU4" t="e">
        <f>+SUMIF([1]Cartera!$R:$R,$A4&amp;"_"&amp;AU$11,[1]Cartera!$I:$I)+SUMIF([1]Futuros!$AD:$AD,$A4&amp;"_"&amp;AU$11,[1]Futuros!$AK:$AK)+SUMIF([1]Opciones!$AF:$AF,$A4&amp;"_"&amp;AU$11,[1]Opciones!$AQ:$AQ)</f>
        <v>#VALUE!</v>
      </c>
      <c r="AV4" t="e">
        <f>+SUMIF([1]Cartera!$R:$R,$A4&amp;"_"&amp;AV$11,[1]Cartera!$I:$I)+SUMIF([1]Futuros!$AD:$AD,$A4&amp;"_"&amp;AV$11,[1]Futuros!$AK:$AK)+SUMIF([1]Opciones!$AF:$AF,$A4&amp;"_"&amp;AV$11,[1]Opciones!$AQ:$AQ)</f>
        <v>#VALUE!</v>
      </c>
      <c r="AW4" t="e">
        <f>+SUMIF([1]Cartera!$R:$R,$A4&amp;"_"&amp;AW$11,[1]Cartera!$I:$I)+SUMIF([1]Futuros!$AD:$AD,$A4&amp;"_"&amp;AW$11,[1]Futuros!$AK:$AK)+SUMIF([1]Opciones!$AF:$AF,$A4&amp;"_"&amp;AW$11,[1]Opciones!$AQ:$AQ)</f>
        <v>#VALUE!</v>
      </c>
      <c r="AX4" t="e">
        <f>+SUMIF([1]Cartera!$R:$R,$A4&amp;"_"&amp;AX$11,[1]Cartera!$I:$I)+SUMIF([1]Futuros!$AD:$AD,$A4&amp;"_"&amp;AX$11,[1]Futuros!$AK:$AK)+SUMIF([1]Opciones!$AF:$AF,$A4&amp;"_"&amp;AX$11,[1]Opciones!$AQ:$AQ)</f>
        <v>#VALUE!</v>
      </c>
      <c r="AY4" t="e">
        <f>+SUMIF([1]Cartera!$R:$R,$A4&amp;"_"&amp;AY$11,[1]Cartera!$I:$I)+SUMIF([1]Futuros!$AD:$AD,$A4&amp;"_"&amp;AY$11,[1]Futuros!$AK:$AK)+SUMIF([1]Opciones!$AF:$AF,$A4&amp;"_"&amp;AY$11,[1]Opciones!$AQ:$AQ)</f>
        <v>#VALUE!</v>
      </c>
      <c r="AZ4" t="e">
        <f>+SUMIF([1]Cartera!$R:$R,$A4&amp;"_"&amp;AZ$11,[1]Cartera!$I:$I)+SUMIF([1]Futuros!$AD:$AD,$A4&amp;"_"&amp;AZ$11,[1]Futuros!$AK:$AK)+SUMIF([1]Opciones!$AF:$AF,$A4&amp;"_"&amp;AZ$11,[1]Opciones!$AQ:$AQ)</f>
        <v>#VALUE!</v>
      </c>
      <c r="BA4" t="e">
        <f>+SUMIF([1]Cartera!$R:$R,$A4&amp;"_"&amp;BA$11,[1]Cartera!$I:$I)+SUMIF([1]Futuros!$AD:$AD,$A4&amp;"_"&amp;BA$11,[1]Futuros!$AK:$AK)+SUMIF([1]Opciones!$AF:$AF,$A4&amp;"_"&amp;BA$11,[1]Opciones!$AQ:$AQ)</f>
        <v>#VALUE!</v>
      </c>
      <c r="BB4" t="e">
        <f>+SUMIF([1]Cartera!$R:$R,$A4&amp;"_"&amp;BB$11,[1]Cartera!$I:$I)+SUMIF([1]Futuros!$AD:$AD,$A4&amp;"_"&amp;BB$11,[1]Futuros!$AK:$AK)+SUMIF([1]Opciones!$AF:$AF,$A4&amp;"_"&amp;BB$11,[1]Opciones!$AQ:$AQ)</f>
        <v>#VALUE!</v>
      </c>
      <c r="BC4" t="e">
        <f>+SUMIF([1]Cartera!$R:$R,$A4&amp;"_"&amp;BC$11,[1]Cartera!$I:$I)+SUMIF([1]Futuros!$AD:$AD,$A4&amp;"_"&amp;BC$11,[1]Futuros!$AK:$AK)+SUMIF([1]Opciones!$AF:$AF,$A4&amp;"_"&amp;BC$11,[1]Opciones!$AQ:$AQ)</f>
        <v>#VALUE!</v>
      </c>
      <c r="BD4" t="e">
        <f>+SUMIF([1]Cartera!$R:$R,$A4&amp;"_"&amp;BD$11,[1]Cartera!$I:$I)+SUMIF([1]Futuros!$AD:$AD,$A4&amp;"_"&amp;BD$11,[1]Futuros!$AK:$AK)+SUMIF([1]Opciones!$AF:$AF,$A4&amp;"_"&amp;BD$11,[1]Opciones!$AQ:$AQ)</f>
        <v>#VALUE!</v>
      </c>
      <c r="BE4" t="e">
        <f>+SUMIF([1]Cartera!$R:$R,$A4&amp;"_"&amp;BE$11,[1]Cartera!$I:$I)+SUMIF([1]Futuros!$AD:$AD,$A4&amp;"_"&amp;BE$11,[1]Futuros!$AK:$AK)+SUMIF([1]Opciones!$AF:$AF,$A4&amp;"_"&amp;BE$11,[1]Opciones!$AQ:$AQ)</f>
        <v>#VALUE!</v>
      </c>
      <c r="BF4" t="e">
        <f>+SUMIF([1]Cartera!$R:$R,$A4&amp;"_"&amp;BF$11,[1]Cartera!$I:$I)+SUMIF([1]Futuros!$AD:$AD,$A4&amp;"_"&amp;BF$11,[1]Futuros!$AK:$AK)+SUMIF([1]Opciones!$AF:$AF,$A4&amp;"_"&amp;BF$11,[1]Opciones!$AQ:$AQ)</f>
        <v>#VALUE!</v>
      </c>
      <c r="BG4" t="e">
        <f>+SUMIF([1]Cartera!$R:$R,$A4&amp;"_"&amp;BG$11,[1]Cartera!$I:$I)+SUMIF([1]Futuros!$AD:$AD,$A4&amp;"_"&amp;BG$11,[1]Futuros!$AK:$AK)+SUMIF([1]Opciones!$AF:$AF,$A4&amp;"_"&amp;BG$11,[1]Opciones!$AQ:$AQ)</f>
        <v>#VALUE!</v>
      </c>
      <c r="BH4" t="e">
        <f>+SUMIF([1]Cartera!$R:$R,$A4&amp;"_"&amp;BH$11,[1]Cartera!$I:$I)+SUMIF([1]Futuros!$AD:$AD,$A4&amp;"_"&amp;BH$11,[1]Futuros!$AK:$AK)+SUMIF([1]Opciones!$AF:$AF,$A4&amp;"_"&amp;BH$11,[1]Opciones!$AQ:$AQ)</f>
        <v>#VALUE!</v>
      </c>
      <c r="BI4" t="e">
        <f>+SUMIF([1]Cartera!$R:$R,$A4&amp;"_"&amp;BI$11,[1]Cartera!$I:$I)+SUMIF([1]Futuros!$AD:$AD,$A4&amp;"_"&amp;BI$11,[1]Futuros!$AK:$AK)+SUMIF([1]Opciones!$AF:$AF,$A4&amp;"_"&amp;BI$11,[1]Opciones!$AQ:$AQ)</f>
        <v>#VALUE!</v>
      </c>
      <c r="BJ4" t="e">
        <f>+SUMIF([1]Cartera!$R:$R,$A4&amp;"_"&amp;BJ$11,[1]Cartera!$I:$I)+SUMIF([1]Futuros!$AD:$AD,$A4&amp;"_"&amp;BJ$11,[1]Futuros!$AK:$AK)+SUMIF([1]Opciones!$AF:$AF,$A4&amp;"_"&amp;BJ$11,[1]Opciones!$AQ:$AQ)</f>
        <v>#VALUE!</v>
      </c>
      <c r="BK4" t="e">
        <f>+SUMIF([1]Cartera!$R:$R,$A4&amp;"_"&amp;BK$11,[1]Cartera!$I:$I)+SUMIF([1]Futuros!$AD:$AD,$A4&amp;"_"&amp;BK$11,[1]Futuros!$AK:$AK)+SUMIF([1]Opciones!$AF:$AF,$A4&amp;"_"&amp;BK$11,[1]Opciones!$AQ:$AQ)</f>
        <v>#VALUE!</v>
      </c>
      <c r="BL4" t="e">
        <f>+SUMIF([1]Cartera!$R:$R,$A4&amp;"_"&amp;BL$11,[1]Cartera!$I:$I)+SUMIF([1]Futuros!$AD:$AD,$A4&amp;"_"&amp;BL$11,[1]Futuros!$AK:$AK)+SUMIF([1]Opciones!$AF:$AF,$A4&amp;"_"&amp;BL$11,[1]Opciones!$AQ:$AQ)</f>
        <v>#VALUE!</v>
      </c>
      <c r="BM4" t="e">
        <f>+SUMIF([1]Cartera!$R:$R,$A4&amp;"_"&amp;BM$11,[1]Cartera!$I:$I)+SUMIF([1]Futuros!$AD:$AD,$A4&amp;"_"&amp;BM$11,[1]Futuros!$AK:$AK)+SUMIF([1]Opciones!$AF:$AF,$A4&amp;"_"&amp;BM$11,[1]Opciones!$AQ:$AQ)</f>
        <v>#VALUE!</v>
      </c>
      <c r="BN4" t="e">
        <f>+SUMIF([1]Cartera!$R:$R,$A4&amp;"_"&amp;BN$11,[1]Cartera!$I:$I)+SUMIF([1]Futuros!$AD:$AD,$A4&amp;"_"&amp;BN$11,[1]Futuros!$AK:$AK)+SUMIF([1]Opciones!$AF:$AF,$A4&amp;"_"&amp;BN$11,[1]Opciones!$AQ:$AQ)</f>
        <v>#VALUE!</v>
      </c>
      <c r="BO4" t="e">
        <f>+SUMIF([1]Cartera!$R:$R,$A4&amp;"_"&amp;BO$11,[1]Cartera!$I:$I)+SUMIF([1]Futuros!$AD:$AD,$A4&amp;"_"&amp;BO$11,[1]Futuros!$AK:$AK)+SUMIF([1]Opciones!$AF:$AF,$A4&amp;"_"&amp;BO$11,[1]Opciones!$AQ:$AQ)</f>
        <v>#VALUE!</v>
      </c>
      <c r="BP4" t="e">
        <f>+SUMIF([1]Cartera!$R:$R,$A4&amp;"_"&amp;BP$11,[1]Cartera!$I:$I)+SUMIF([1]Futuros!$AD:$AD,$A4&amp;"_"&amp;BP$11,[1]Futuros!$AK:$AK)+SUMIF([1]Opciones!$AF:$AF,$A4&amp;"_"&amp;BP$11,[1]Opciones!$AQ:$AQ)</f>
        <v>#VALUE!</v>
      </c>
      <c r="BQ4" t="e">
        <f>+SUMIF([1]Cartera!$R:$R,$A4&amp;"_"&amp;BQ$11,[1]Cartera!$I:$I)+SUMIF([1]Futuros!$AD:$AD,$A4&amp;"_"&amp;BQ$11,[1]Futuros!$AK:$AK)+SUMIF([1]Opciones!$AF:$AF,$A4&amp;"_"&amp;BQ$11,[1]Opciones!$AQ:$AQ)</f>
        <v>#VALUE!</v>
      </c>
      <c r="BR4" t="e">
        <f>+SUMIF([1]Cartera!$R:$R,$A4&amp;"_"&amp;BR$11,[1]Cartera!$I:$I)+SUMIF([1]Futuros!$AD:$AD,$A4&amp;"_"&amp;BR$11,[1]Futuros!$AK:$AK)+SUMIF([1]Opciones!$AF:$AF,$A4&amp;"_"&amp;BR$11,[1]Opciones!$AQ:$AQ)</f>
        <v>#VALUE!</v>
      </c>
      <c r="BS4" t="e">
        <f>+SUMIF([1]Cartera!$R:$R,$A4&amp;"_"&amp;BS$11,[1]Cartera!$I:$I)+SUMIF([1]Futuros!$AD:$AD,$A4&amp;"_"&amp;BS$11,[1]Futuros!$AK:$AK)+SUMIF([1]Opciones!$AF:$AF,$A4&amp;"_"&amp;BS$11,[1]Opciones!$AQ:$AQ)</f>
        <v>#VALUE!</v>
      </c>
      <c r="BT4" t="e">
        <f>+SUMIF([1]Cartera!$R:$R,$A4&amp;"_"&amp;BT$11,[1]Cartera!$I:$I)+SUMIF([1]Futuros!$AD:$AD,$A4&amp;"_"&amp;BT$11,[1]Futuros!$AK:$AK)+SUMIF([1]Opciones!$AF:$AF,$A4&amp;"_"&amp;BT$11,[1]Opciones!$AQ:$AQ)</f>
        <v>#VALUE!</v>
      </c>
      <c r="BU4" t="e">
        <f>+SUMIF([1]Cartera!$R:$R,$A4&amp;"_"&amp;BU$11,[1]Cartera!$I:$I)+SUMIF([1]Futuros!$AD:$AD,$A4&amp;"_"&amp;BU$11,[1]Futuros!$AK:$AK)+SUMIF([1]Opciones!$AF:$AF,$A4&amp;"_"&amp;BU$11,[1]Opciones!$AQ:$AQ)</f>
        <v>#VALUE!</v>
      </c>
      <c r="BV4" t="e">
        <f>+SUMIF([1]Cartera!$R:$R,$A4&amp;"_"&amp;BV$11,[1]Cartera!$I:$I)+SUMIF([1]Futuros!$AD:$AD,$A4&amp;"_"&amp;BV$11,[1]Futuros!$AK:$AK)+SUMIF([1]Opciones!$AF:$AF,$A4&amp;"_"&amp;BV$11,[1]Opciones!$AQ:$AQ)</f>
        <v>#VALUE!</v>
      </c>
      <c r="BW4" t="e">
        <f>+SUMIF([1]Cartera!$R:$R,$A4&amp;"_"&amp;BW$11,[1]Cartera!$I:$I)+SUMIF([1]Futuros!$AD:$AD,$A4&amp;"_"&amp;BW$11,[1]Futuros!$AK:$AK)+SUMIF([1]Opciones!$AF:$AF,$A4&amp;"_"&amp;BW$11,[1]Opciones!$AQ:$AQ)</f>
        <v>#VALUE!</v>
      </c>
      <c r="BX4" t="e">
        <f>+SUMIF([1]Cartera!$R:$R,$A4&amp;"_"&amp;BX$11,[1]Cartera!$I:$I)+SUMIF([1]Futuros!$AD:$AD,$A4&amp;"_"&amp;BX$11,[1]Futuros!$AK:$AK)+SUMIF([1]Opciones!$AF:$AF,$A4&amp;"_"&amp;BX$11,[1]Opciones!$AQ:$AQ)</f>
        <v>#VALUE!</v>
      </c>
      <c r="BY4" t="e">
        <f>+SUMIF([1]Cartera!$R:$R,$A4&amp;"_"&amp;BY$11,[1]Cartera!$I:$I)+SUMIF([1]Futuros!$AD:$AD,$A4&amp;"_"&amp;BY$11,[1]Futuros!$AK:$AK)+SUMIF([1]Opciones!$AF:$AF,$A4&amp;"_"&amp;BY$11,[1]Opciones!$AQ:$AQ)</f>
        <v>#VALUE!</v>
      </c>
      <c r="BZ4" t="e">
        <f>+SUMIF([1]Cartera!$R:$R,$A4&amp;"_"&amp;BZ$11,[1]Cartera!$I:$I)+SUMIF([1]Futuros!$AD:$AD,$A4&amp;"_"&amp;BZ$11,[1]Futuros!$AK:$AK)+SUMIF([1]Opciones!$AF:$AF,$A4&amp;"_"&amp;BZ$11,[1]Opciones!$AQ:$AQ)</f>
        <v>#VALUE!</v>
      </c>
      <c r="CA4" t="e">
        <f>+SUMIF([1]Cartera!$R:$R,$A4&amp;"_"&amp;CA$11,[1]Cartera!$I:$I)+SUMIF([1]Futuros!$AD:$AD,$A4&amp;"_"&amp;CA$11,[1]Futuros!$AK:$AK)+SUMIF([1]Opciones!$AF:$AF,$A4&amp;"_"&amp;CA$11,[1]Opciones!$AQ:$AQ)</f>
        <v>#VALUE!</v>
      </c>
      <c r="CB4" t="e">
        <f>+SUMIF([1]Cartera!$R:$R,$A4&amp;"_"&amp;CB$11,[1]Cartera!$I:$I)+SUMIF([1]Futuros!$AD:$AD,$A4&amp;"_"&amp;CB$11,[1]Futuros!$AK:$AK)+SUMIF([1]Opciones!$AF:$AF,$A4&amp;"_"&amp;CB$11,[1]Opciones!$AQ:$AQ)</f>
        <v>#VALUE!</v>
      </c>
      <c r="CC4" t="e">
        <f>+SUMIF([1]Cartera!$R:$R,$A4&amp;"_"&amp;CC$11,[1]Cartera!$I:$I)+SUMIF([1]Futuros!$AD:$AD,$A4&amp;"_"&amp;CC$11,[1]Futuros!$AK:$AK)+SUMIF([1]Opciones!$AF:$AF,$A4&amp;"_"&amp;CC$11,[1]Opciones!$AQ:$AQ)</f>
        <v>#VALUE!</v>
      </c>
      <c r="CD4" t="e">
        <f>+SUMIF([1]Cartera!$R:$R,$A4&amp;"_"&amp;CD$11,[1]Cartera!$I:$I)+SUMIF([1]Futuros!$AD:$AD,$A4&amp;"_"&amp;CD$11,[1]Futuros!$AK:$AK)+SUMIF([1]Opciones!$AF:$AF,$A4&amp;"_"&amp;CD$11,[1]Opciones!$AQ:$AQ)</f>
        <v>#VALUE!</v>
      </c>
      <c r="CE4" t="e">
        <f>+SUMIF([1]Cartera!$R:$R,$A4&amp;"_"&amp;CE$11,[1]Cartera!$I:$I)+SUMIF([1]Futuros!$AD:$AD,$A4&amp;"_"&amp;CE$11,[1]Futuros!$AK:$AK)+SUMIF([1]Opciones!$AF:$AF,$A4&amp;"_"&amp;CE$11,[1]Opciones!$AQ:$AQ)</f>
        <v>#VALUE!</v>
      </c>
      <c r="CF4" t="e">
        <f>+SUMIF([1]Cartera!$R:$R,$A4&amp;"_"&amp;CF$11,[1]Cartera!$I:$I)+SUMIF([1]Futuros!$AD:$AD,$A4&amp;"_"&amp;CF$11,[1]Futuros!$AK:$AK)+SUMIF([1]Opciones!$AF:$AF,$A4&amp;"_"&amp;CF$11,[1]Opciones!$AQ:$AQ)</f>
        <v>#VALUE!</v>
      </c>
      <c r="CG4" t="e">
        <f>+SUMIF([1]Cartera!$R:$R,$A4&amp;"_"&amp;CG$11,[1]Cartera!$I:$I)+SUMIF([1]Futuros!$AD:$AD,$A4&amp;"_"&amp;CG$11,[1]Futuros!$AK:$AK)+SUMIF([1]Opciones!$AF:$AF,$A4&amp;"_"&amp;CG$11,[1]Opciones!$AQ:$AQ)</f>
        <v>#VALUE!</v>
      </c>
      <c r="CH4" t="e">
        <f>+SUMIF([1]Cartera!$R:$R,$A4&amp;"_"&amp;CH$11,[1]Cartera!$I:$I)+SUMIF([1]Futuros!$AD:$AD,$A4&amp;"_"&amp;CH$11,[1]Futuros!$AK:$AK)+SUMIF([1]Opciones!$AF:$AF,$A4&amp;"_"&amp;CH$11,[1]Opciones!$AQ:$AQ)</f>
        <v>#VALUE!</v>
      </c>
      <c r="CI4" t="e">
        <f>+SUMIF([1]Cartera!$R:$R,$A4&amp;"_"&amp;CI$11,[1]Cartera!$I:$I)+SUMIF([1]Futuros!$AD:$AD,$A4&amp;"_"&amp;CI$11,[1]Futuros!$AK:$AK)+SUMIF([1]Opciones!$AF:$AF,$A4&amp;"_"&amp;CI$11,[1]Opciones!$AQ:$AQ)</f>
        <v>#VALUE!</v>
      </c>
      <c r="CJ4" t="e">
        <f>+SUMIF([1]Cartera!$R:$R,$A4&amp;"_"&amp;CJ$11,[1]Cartera!$I:$I)+SUMIF([1]Futuros!$AD:$AD,$A4&amp;"_"&amp;CJ$11,[1]Futuros!$AK:$AK)+SUMIF([1]Opciones!$AF:$AF,$A4&amp;"_"&amp;CJ$11,[1]Opciones!$AQ:$AQ)</f>
        <v>#VALUE!</v>
      </c>
      <c r="CK4" t="e">
        <f>+SUMIF([1]Cartera!$R:$R,$A4&amp;"_"&amp;CK$11,[1]Cartera!$I:$I)+SUMIF([1]Futuros!$AD:$AD,$A4&amp;"_"&amp;CK$11,[1]Futuros!$AK:$AK)+SUMIF([1]Opciones!$AF:$AF,$A4&amp;"_"&amp;CK$11,[1]Opciones!$AQ:$AQ)</f>
        <v>#VALUE!</v>
      </c>
      <c r="CL4" t="e">
        <f>+SUMIF([1]Cartera!$R:$R,$A4&amp;"_"&amp;CL$11,[1]Cartera!$I:$I)+SUMIF([1]Futuros!$AD:$AD,$A4&amp;"_"&amp;CL$11,[1]Futuros!$AK:$AK)+SUMIF([1]Opciones!$AF:$AF,$A4&amp;"_"&amp;CL$11,[1]Opciones!$AQ:$AQ)</f>
        <v>#VALUE!</v>
      </c>
      <c r="CM4" t="e">
        <f>+SUMIF([1]Cartera!$R:$R,$A4&amp;"_"&amp;CM$11,[1]Cartera!$I:$I)+SUMIF([1]Futuros!$AD:$AD,$A4&amp;"_"&amp;CM$11,[1]Futuros!$AK:$AK)+SUMIF([1]Opciones!$AF:$AF,$A4&amp;"_"&amp;CM$11,[1]Opciones!$AQ:$AQ)</f>
        <v>#VALUE!</v>
      </c>
      <c r="CN4" t="e">
        <f>+SUMIF([1]Cartera!$R:$R,$A4&amp;"_"&amp;CN$11,[1]Cartera!$I:$I)+SUMIF([1]Futuros!$AD:$AD,$A4&amp;"_"&amp;CN$11,[1]Futuros!$AK:$AK)+SUMIF([1]Opciones!$AF:$AF,$A4&amp;"_"&amp;CN$11,[1]Opciones!$AQ:$AQ)</f>
        <v>#VALUE!</v>
      </c>
      <c r="CO4" t="e">
        <f>+SUMIF([1]Cartera!$R:$R,$A4&amp;"_"&amp;CO$11,[1]Cartera!$I:$I)+SUMIF([1]Futuros!$AD:$AD,$A4&amp;"_"&amp;CO$11,[1]Futuros!$AK:$AK)+SUMIF([1]Opciones!$AF:$AF,$A4&amp;"_"&amp;CO$11,[1]Opciones!$AQ:$AQ)</f>
        <v>#VALUE!</v>
      </c>
      <c r="CP4" t="e">
        <f>+SUMIF([1]Cartera!$R:$R,$A4&amp;"_"&amp;CP$11,[1]Cartera!$I:$I)+SUMIF([1]Futuros!$AD:$AD,$A4&amp;"_"&amp;CP$11,[1]Futuros!$AK:$AK)+SUMIF([1]Opciones!$AF:$AF,$A4&amp;"_"&amp;CP$11,[1]Opciones!$AQ:$AQ)</f>
        <v>#VALUE!</v>
      </c>
      <c r="CQ4" t="e">
        <f>+SUMIF([1]Cartera!$R:$R,$A4&amp;"_"&amp;CQ$11,[1]Cartera!$I:$I)+SUMIF([1]Futuros!$AD:$AD,$A4&amp;"_"&amp;CQ$11,[1]Futuros!$AK:$AK)+SUMIF([1]Opciones!$AF:$AF,$A4&amp;"_"&amp;CQ$11,[1]Opciones!$AQ:$AQ)</f>
        <v>#VALUE!</v>
      </c>
      <c r="CR4" t="e">
        <f>+SUMIF([1]Cartera!$R:$R,$A4&amp;"_"&amp;CR$11,[1]Cartera!$I:$I)+SUMIF([1]Futuros!$AD:$AD,$A4&amp;"_"&amp;CR$11,[1]Futuros!$AK:$AK)+SUMIF([1]Opciones!$AF:$AF,$A4&amp;"_"&amp;CR$11,[1]Opciones!$AQ:$AQ)</f>
        <v>#VALUE!</v>
      </c>
      <c r="CS4" t="e">
        <f>+SUMIF([1]Cartera!$R:$R,$A4&amp;"_"&amp;CS$11,[1]Cartera!$I:$I)+SUMIF([1]Futuros!$AD:$AD,$A4&amp;"_"&amp;CS$11,[1]Futuros!$AK:$AK)+SUMIF([1]Opciones!$AF:$AF,$A4&amp;"_"&amp;CS$11,[1]Opciones!$AQ:$AQ)</f>
        <v>#VALUE!</v>
      </c>
      <c r="CT4" t="e">
        <f>+SUMIF([1]Cartera!$R:$R,$A4&amp;"_"&amp;CT$11,[1]Cartera!$I:$I)+SUMIF([1]Futuros!$AD:$AD,$A4&amp;"_"&amp;CT$11,[1]Futuros!$AK:$AK)+SUMIF([1]Opciones!$AF:$AF,$A4&amp;"_"&amp;CT$11,[1]Opciones!$AQ:$AQ)</f>
        <v>#VALUE!</v>
      </c>
      <c r="CU4" t="e">
        <f>+SUMIF([1]Cartera!$R:$R,$A4&amp;"_"&amp;CU$11,[1]Cartera!$I:$I)+SUMIF([1]Futuros!$AD:$AD,$A4&amp;"_"&amp;CU$11,[1]Futuros!$AK:$AK)+SUMIF([1]Opciones!$AF:$AF,$A4&amp;"_"&amp;CU$11,[1]Opciones!$AQ:$AQ)</f>
        <v>#VALUE!</v>
      </c>
      <c r="CV4" t="e">
        <f>+SUMIF([1]Cartera!$R:$R,$A4&amp;"_"&amp;CV$11,[1]Cartera!$I:$I)+SUMIF([1]Futuros!$AD:$AD,$A4&amp;"_"&amp;CV$11,[1]Futuros!$AK:$AK)+SUMIF([1]Opciones!$AF:$AF,$A4&amp;"_"&amp;CV$11,[1]Opciones!$AQ:$AQ)</f>
        <v>#VALUE!</v>
      </c>
      <c r="CW4" t="e">
        <f>+SUMIF([1]Cartera!$R:$R,$A4&amp;"_"&amp;CW$11,[1]Cartera!$I:$I)+SUMIF([1]Futuros!$AD:$AD,$A4&amp;"_"&amp;CW$11,[1]Futuros!$AK:$AK)+SUMIF([1]Opciones!$AF:$AF,$A4&amp;"_"&amp;CW$11,[1]Opciones!$AQ:$AQ)</f>
        <v>#VALUE!</v>
      </c>
      <c r="CX4" t="e">
        <f>+SUMIF([1]Cartera!$R:$R,$A4&amp;"_"&amp;CX$11,[1]Cartera!$I:$I)+SUMIF([1]Futuros!$AD:$AD,$A4&amp;"_"&amp;CX$11,[1]Futuros!$AK:$AK)+SUMIF([1]Opciones!$AF:$AF,$A4&amp;"_"&amp;CX$11,[1]Opciones!$AQ:$AQ)</f>
        <v>#VALUE!</v>
      </c>
      <c r="CY4" t="e">
        <f>+SUMIF([1]Cartera!$R:$R,$A4&amp;"_"&amp;CY$11,[1]Cartera!$I:$I)+SUMIF([1]Futuros!$AD:$AD,$A4&amp;"_"&amp;CY$11,[1]Futuros!$AK:$AK)+SUMIF([1]Opciones!$AF:$AF,$A4&amp;"_"&amp;CY$11,[1]Opciones!$AQ:$AQ)</f>
        <v>#VALUE!</v>
      </c>
      <c r="CZ4" t="e">
        <f>+SUMIF([1]Cartera!$R:$R,$A4&amp;"_"&amp;CZ$11,[1]Cartera!$I:$I)+SUMIF([1]Futuros!$AD:$AD,$A4&amp;"_"&amp;CZ$11,[1]Futuros!$AK:$AK)+SUMIF([1]Opciones!$AF:$AF,$A4&amp;"_"&amp;CZ$11,[1]Opciones!$AQ:$AQ)</f>
        <v>#VALUE!</v>
      </c>
      <c r="DA4" t="e">
        <f>+SUMIF([1]Cartera!$R:$R,$A4&amp;"_"&amp;DA$11,[1]Cartera!$I:$I)+SUMIF([1]Futuros!$AD:$AD,$A4&amp;"_"&amp;DA$11,[1]Futuros!$AK:$AK)+SUMIF([1]Opciones!$AF:$AF,$A4&amp;"_"&amp;DA$11,[1]Opciones!$AQ:$AQ)</f>
        <v>#VALUE!</v>
      </c>
      <c r="DB4" t="e">
        <f>+SUMIF([1]Cartera!$R:$R,$A4&amp;"_"&amp;DB$11,[1]Cartera!$I:$I)+SUMIF([1]Futuros!$AD:$AD,$A4&amp;"_"&amp;DB$11,[1]Futuros!$AK:$AK)+SUMIF([1]Opciones!$AF:$AF,$A4&amp;"_"&amp;DB$11,[1]Opciones!$AQ:$AQ)</f>
        <v>#VALUE!</v>
      </c>
      <c r="DC4" t="e">
        <f>+SUMIF([1]Cartera!$R:$R,$A4&amp;"_"&amp;DC$11,[1]Cartera!$I:$I)+SUMIF([1]Futuros!$AD:$AD,$A4&amp;"_"&amp;DC$11,[1]Futuros!$AK:$AK)+SUMIF([1]Opciones!$AF:$AF,$A4&amp;"_"&amp;DC$11,[1]Opciones!$AQ:$AQ)</f>
        <v>#VALUE!</v>
      </c>
      <c r="DD4" t="e">
        <f>+SUMIF([1]Cartera!$R:$R,$A4&amp;"_"&amp;DD$11,[1]Cartera!$I:$I)+SUMIF([1]Futuros!$AD:$AD,$A4&amp;"_"&amp;DD$11,[1]Futuros!$AK:$AK)+SUMIF([1]Opciones!$AF:$AF,$A4&amp;"_"&amp;DD$11,[1]Opciones!$AQ:$AQ)</f>
        <v>#VALUE!</v>
      </c>
      <c r="DE4" t="e">
        <f>+SUMIF([1]Cartera!$R:$R,$A4&amp;"_"&amp;DE$11,[1]Cartera!$I:$I)+SUMIF([1]Futuros!$AD:$AD,$A4&amp;"_"&amp;DE$11,[1]Futuros!$AK:$AK)+SUMIF([1]Opciones!$AF:$AF,$A4&amp;"_"&amp;DE$11,[1]Opciones!$AQ:$AQ)</f>
        <v>#VALUE!</v>
      </c>
      <c r="DF4" t="e">
        <f>+SUMIF([1]Cartera!$R:$R,$A4&amp;"_"&amp;DF$11,[1]Cartera!$I:$I)+SUMIF([1]Futuros!$AD:$AD,$A4&amp;"_"&amp;DF$11,[1]Futuros!$AK:$AK)+SUMIF([1]Opciones!$AF:$AF,$A4&amp;"_"&amp;DF$11,[1]Opciones!$AQ:$AQ)</f>
        <v>#VALUE!</v>
      </c>
      <c r="DG4" t="e">
        <f>+SUMIF([1]Cartera!$R:$R,$A4&amp;"_"&amp;DG$11,[1]Cartera!$I:$I)+SUMIF([1]Futuros!$AD:$AD,$A4&amp;"_"&amp;DG$11,[1]Futuros!$AK:$AK)+SUMIF([1]Opciones!$AF:$AF,$A4&amp;"_"&amp;DG$11,[1]Opciones!$AQ:$AQ)</f>
        <v>#VALUE!</v>
      </c>
      <c r="DH4" t="e">
        <f>+SUMIF([1]Cartera!$R:$R,$A4&amp;"_"&amp;DH$11,[1]Cartera!$I:$I)+SUMIF([1]Futuros!$AD:$AD,$A4&amp;"_"&amp;DH$11,[1]Futuros!$AK:$AK)+SUMIF([1]Opciones!$AF:$AF,$A4&amp;"_"&amp;DH$11,[1]Opciones!$AQ:$AQ)</f>
        <v>#VALUE!</v>
      </c>
      <c r="DI4" t="e">
        <f>+SUMIF([1]Cartera!$R:$R,$A4&amp;"_"&amp;DI$11,[1]Cartera!$I:$I)+SUMIF([1]Futuros!$AD:$AD,$A4&amp;"_"&amp;DI$11,[1]Futuros!$AK:$AK)+SUMIF([1]Opciones!$AF:$AF,$A4&amp;"_"&amp;DI$11,[1]Opciones!$AQ:$AQ)</f>
        <v>#VALUE!</v>
      </c>
      <c r="DJ4" t="e">
        <f>+SUMIF([1]Cartera!$R:$R,$A4&amp;"_"&amp;DJ$11,[1]Cartera!$I:$I)+SUMIF([1]Futuros!$AD:$AD,$A4&amp;"_"&amp;DJ$11,[1]Futuros!$AK:$AK)+SUMIF([1]Opciones!$AF:$AF,$A4&amp;"_"&amp;DJ$11,[1]Opciones!$AQ:$AQ)</f>
        <v>#VALUE!</v>
      </c>
      <c r="DK4" t="e">
        <f>+SUMIF([1]Cartera!$R:$R,$A4&amp;"_"&amp;DK$11,[1]Cartera!$I:$I)+SUMIF([1]Futuros!$AD:$AD,$A4&amp;"_"&amp;DK$11,[1]Futuros!$AK:$AK)+SUMIF([1]Opciones!$AF:$AF,$A4&amp;"_"&amp;DK$11,[1]Opciones!$AQ:$AQ)</f>
        <v>#VALUE!</v>
      </c>
      <c r="DL4" t="e">
        <f>+SUMIF([1]Cartera!$R:$R,$A4&amp;"_"&amp;DL$11,[1]Cartera!$I:$I)+SUMIF([1]Futuros!$AD:$AD,$A4&amp;"_"&amp;DL$11,[1]Futuros!$AK:$AK)+SUMIF([1]Opciones!$AF:$AF,$A4&amp;"_"&amp;DL$11,[1]Opciones!$AQ:$AQ)</f>
        <v>#VALUE!</v>
      </c>
      <c r="DM4" t="e">
        <f>+SUMIF([1]Cartera!$R:$R,$A4&amp;"_"&amp;DM$11,[1]Cartera!$I:$I)+SUMIF([1]Futuros!$AD:$AD,$A4&amp;"_"&amp;DM$11,[1]Futuros!$AK:$AK)+SUMIF([1]Opciones!$AF:$AF,$A4&amp;"_"&amp;DM$11,[1]Opciones!$AQ:$AQ)</f>
        <v>#VALUE!</v>
      </c>
      <c r="DN4" t="e">
        <f>+SUMIF([1]Cartera!$R:$R,$A4&amp;"_"&amp;DN$11,[1]Cartera!$I:$I)+SUMIF([1]Futuros!$AD:$AD,$A4&amp;"_"&amp;DN$11,[1]Futuros!$AK:$AK)+SUMIF([1]Opciones!$AF:$AF,$A4&amp;"_"&amp;DN$11,[1]Opciones!$AQ:$AQ)</f>
        <v>#VALUE!</v>
      </c>
      <c r="DO4" t="e">
        <f>+SUMIF([1]Cartera!$R:$R,$A4&amp;"_"&amp;DO$11,[1]Cartera!$I:$I)+SUMIF([1]Futuros!$AD:$AD,$A4&amp;"_"&amp;DO$11,[1]Futuros!$AK:$AK)+SUMIF([1]Opciones!$AF:$AF,$A4&amp;"_"&amp;DO$11,[1]Opciones!$AQ:$AQ)</f>
        <v>#VALUE!</v>
      </c>
      <c r="DP4" t="e">
        <f>+SUMIF([1]Cartera!$R:$R,$A4&amp;"_"&amp;DP$11,[1]Cartera!$I:$I)+SUMIF([1]Futuros!$AD:$AD,$A4&amp;"_"&amp;DP$11,[1]Futuros!$AK:$AK)+SUMIF([1]Opciones!$AF:$AF,$A4&amp;"_"&amp;DP$11,[1]Opciones!$AQ:$AQ)</f>
        <v>#VALUE!</v>
      </c>
      <c r="DQ4" t="e">
        <f>+SUMIF([1]Cartera!$R:$R,$A4&amp;"_"&amp;DQ$11,[1]Cartera!$I:$I)+SUMIF([1]Futuros!$AD:$AD,$A4&amp;"_"&amp;DQ$11,[1]Futuros!$AK:$AK)+SUMIF([1]Opciones!$AF:$AF,$A4&amp;"_"&amp;DQ$11,[1]Opciones!$AQ:$AQ)</f>
        <v>#VALUE!</v>
      </c>
      <c r="DR4" t="e">
        <f>+SUMIF([1]Cartera!$R:$R,$A4&amp;"_"&amp;DR$11,[1]Cartera!$I:$I)+SUMIF([1]Futuros!$AD:$AD,$A4&amp;"_"&amp;DR$11,[1]Futuros!$AK:$AK)+SUMIF([1]Opciones!$AF:$AF,$A4&amp;"_"&amp;DR$11,[1]Opciones!$AQ:$AQ)</f>
        <v>#VALUE!</v>
      </c>
      <c r="DS4" t="e">
        <f>+SUMIF([1]Cartera!$R:$R,$A4&amp;"_"&amp;DS$11,[1]Cartera!$I:$I)+SUMIF([1]Futuros!$AD:$AD,$A4&amp;"_"&amp;DS$11,[1]Futuros!$AK:$AK)+SUMIF([1]Opciones!$AF:$AF,$A4&amp;"_"&amp;DS$11,[1]Opciones!$AQ:$AQ)</f>
        <v>#VALUE!</v>
      </c>
      <c r="DT4" t="e">
        <f>+SUMIF([1]Cartera!$R:$R,$A4&amp;"_"&amp;DT$11,[1]Cartera!$I:$I)+SUMIF([1]Futuros!$AD:$AD,$A4&amp;"_"&amp;DT$11,[1]Futuros!$AK:$AK)+SUMIF([1]Opciones!$AF:$AF,$A4&amp;"_"&amp;DT$11,[1]Opciones!$AQ:$AQ)</f>
        <v>#VALUE!</v>
      </c>
      <c r="DU4" t="e">
        <f>+SUMIF([1]Cartera!$R:$R,$A4&amp;"_"&amp;DU$11,[1]Cartera!$I:$I)+SUMIF([1]Futuros!$AD:$AD,$A4&amp;"_"&amp;DU$11,[1]Futuros!$AK:$AK)+SUMIF([1]Opciones!$AF:$AF,$A4&amp;"_"&amp;DU$11,[1]Opciones!$AQ:$AQ)</f>
        <v>#VALUE!</v>
      </c>
      <c r="DV4" t="e">
        <f>+SUMIF([1]Cartera!$R:$R,$A4&amp;"_"&amp;DV$11,[1]Cartera!$I:$I)+SUMIF([1]Futuros!$AD:$AD,$A4&amp;"_"&amp;DV$11,[1]Futuros!$AK:$AK)+SUMIF([1]Opciones!$AF:$AF,$A4&amp;"_"&amp;DV$11,[1]Opciones!$AQ:$AQ)</f>
        <v>#VALUE!</v>
      </c>
      <c r="DW4" t="e">
        <f>+SUMIF([1]Cartera!$R:$R,$A4&amp;"_"&amp;DW$11,[1]Cartera!$I:$I)+SUMIF([1]Futuros!$AD:$AD,$A4&amp;"_"&amp;DW$11,[1]Futuros!$AK:$AK)+SUMIF([1]Opciones!$AF:$AF,$A4&amp;"_"&amp;DW$11,[1]Opciones!$AQ:$AQ)</f>
        <v>#VALUE!</v>
      </c>
      <c r="DX4" t="e">
        <f>+SUMIF([1]Cartera!$R:$R,$A4&amp;"_"&amp;DX$11,[1]Cartera!$I:$I)+SUMIF([1]Futuros!$AD:$AD,$A4&amp;"_"&amp;DX$11,[1]Futuros!$AK:$AK)+SUMIF([1]Opciones!$AF:$AF,$A4&amp;"_"&amp;DX$11,[1]Opciones!$AQ:$AQ)</f>
        <v>#VALUE!</v>
      </c>
      <c r="DY4" t="e">
        <f>+SUMIF([1]Cartera!$R:$R,$A4&amp;"_"&amp;DY$11,[1]Cartera!$I:$I)+SUMIF([1]Futuros!$AD:$AD,$A4&amp;"_"&amp;DY$11,[1]Futuros!$AK:$AK)+SUMIF([1]Opciones!$AF:$AF,$A4&amp;"_"&amp;DY$11,[1]Opciones!$AQ:$AQ)</f>
        <v>#VALUE!</v>
      </c>
      <c r="DZ4" t="e">
        <f>+SUMIF([1]Cartera!$R:$R,$A4&amp;"_"&amp;DZ$11,[1]Cartera!$I:$I)+SUMIF([1]Futuros!$AD:$AD,$A4&amp;"_"&amp;DZ$11,[1]Futuros!$AK:$AK)+SUMIF([1]Opciones!$AF:$AF,$A4&amp;"_"&amp;DZ$11,[1]Opciones!$AQ:$AQ)</f>
        <v>#VALUE!</v>
      </c>
      <c r="EA4" t="e">
        <f>+SUMIF([1]Cartera!$R:$R,$A4&amp;"_"&amp;EA$11,[1]Cartera!$I:$I)+SUMIF([1]Futuros!$AD:$AD,$A4&amp;"_"&amp;EA$11,[1]Futuros!$AK:$AK)+SUMIF([1]Opciones!$AF:$AF,$A4&amp;"_"&amp;EA$11,[1]Opciones!$AQ:$AQ)</f>
        <v>#VALUE!</v>
      </c>
      <c r="EB4" t="e">
        <f>+SUMIF([1]Cartera!$R:$R,$A4&amp;"_"&amp;EB$11,[1]Cartera!$I:$I)+SUMIF([1]Futuros!$AD:$AD,$A4&amp;"_"&amp;EB$11,[1]Futuros!$AK:$AK)+SUMIF([1]Opciones!$AF:$AF,$A4&amp;"_"&amp;EB$11,[1]Opciones!$AQ:$AQ)</f>
        <v>#VALUE!</v>
      </c>
      <c r="EC4" t="e">
        <f>+SUMIF([1]Cartera!$R:$R,$A4&amp;"_"&amp;EC$11,[1]Cartera!$I:$I)+SUMIF([1]Futuros!$AD:$AD,$A4&amp;"_"&amp;EC$11,[1]Futuros!$AK:$AK)+SUMIF([1]Opciones!$AF:$AF,$A4&amp;"_"&amp;EC$11,[1]Opciones!$AQ:$AQ)</f>
        <v>#VALUE!</v>
      </c>
      <c r="ED4" t="e">
        <f>+SUMIF([1]Cartera!$R:$R,$A4&amp;"_"&amp;ED$11,[1]Cartera!$I:$I)+SUMIF([1]Futuros!$AD:$AD,$A4&amp;"_"&amp;ED$11,[1]Futuros!$AK:$AK)+SUMIF([1]Opciones!$AF:$AF,$A4&amp;"_"&amp;ED$11,[1]Opciones!$AQ:$AQ)</f>
        <v>#VALUE!</v>
      </c>
      <c r="EE4" t="e">
        <f>+SUMIF([1]Cartera!$R:$R,$A4&amp;"_"&amp;EE$11,[1]Cartera!$I:$I)+SUMIF([1]Futuros!$AD:$AD,$A4&amp;"_"&amp;EE$11,[1]Futuros!$AK:$AK)+SUMIF([1]Opciones!$AF:$AF,$A4&amp;"_"&amp;EE$11,[1]Opciones!$AQ:$AQ)</f>
        <v>#VALUE!</v>
      </c>
      <c r="EF4" t="e">
        <f>+SUMIF([1]Cartera!$R:$R,$A4&amp;"_"&amp;EF$11,[1]Cartera!$I:$I)+SUMIF([1]Futuros!$AD:$AD,$A4&amp;"_"&amp;EF$11,[1]Futuros!$AK:$AK)+SUMIF([1]Opciones!$AF:$AF,$A4&amp;"_"&amp;EF$11,[1]Opciones!$AQ:$AQ)</f>
        <v>#VALUE!</v>
      </c>
      <c r="EG4" t="e">
        <f>+SUMIF([1]Cartera!$R:$R,$A4&amp;"_"&amp;EG$11,[1]Cartera!$I:$I)+SUMIF([1]Futuros!$AD:$AD,$A4&amp;"_"&amp;EG$11,[1]Futuros!$AK:$AK)+SUMIF([1]Opciones!$AF:$AF,$A4&amp;"_"&amp;EG$11,[1]Opciones!$AQ:$AQ)</f>
        <v>#VALUE!</v>
      </c>
      <c r="EH4" t="e">
        <f>+SUMIF([1]Cartera!$R:$R,$A4&amp;"_"&amp;EH$11,[1]Cartera!$I:$I)+SUMIF([1]Futuros!$AD:$AD,$A4&amp;"_"&amp;EH$11,[1]Futuros!$AK:$AK)+SUMIF([1]Opciones!$AF:$AF,$A4&amp;"_"&amp;EH$11,[1]Opciones!$AQ:$AQ)</f>
        <v>#VALUE!</v>
      </c>
      <c r="EI4" t="e">
        <f>+SUMIF([1]Cartera!$R:$R,$A4&amp;"_"&amp;EI$11,[1]Cartera!$I:$I)+SUMIF([1]Futuros!$AD:$AD,$A4&amp;"_"&amp;EI$11,[1]Futuros!$AK:$AK)+SUMIF([1]Opciones!$AF:$AF,$A4&amp;"_"&amp;EI$11,[1]Opciones!$AQ:$AQ)</f>
        <v>#VALUE!</v>
      </c>
      <c r="EJ4" t="e">
        <f>+SUMIF([1]Cartera!$R:$R,$A4&amp;"_"&amp;EJ$11,[1]Cartera!$I:$I)+SUMIF([1]Futuros!$AD:$AD,$A4&amp;"_"&amp;EJ$11,[1]Futuros!$AK:$AK)+SUMIF([1]Opciones!$AF:$AF,$A4&amp;"_"&amp;EJ$11,[1]Opciones!$AQ:$AQ)</f>
        <v>#VALUE!</v>
      </c>
      <c r="EK4" t="e">
        <f>+SUMIF([1]Cartera!$R:$R,$A4&amp;"_"&amp;EK$11,[1]Cartera!$I:$I)+SUMIF([1]Futuros!$AD:$AD,$A4&amp;"_"&amp;EK$11,[1]Futuros!$AK:$AK)+SUMIF([1]Opciones!$AF:$AF,$A4&amp;"_"&amp;EK$11,[1]Opciones!$AQ:$AQ)</f>
        <v>#VALUE!</v>
      </c>
      <c r="EL4" t="e">
        <f>+SUMIF([1]Cartera!$R:$R,$A4&amp;"_"&amp;EL$11,[1]Cartera!$I:$I)+SUMIF([1]Futuros!$AD:$AD,$A4&amp;"_"&amp;EL$11,[1]Futuros!$AK:$AK)+SUMIF([1]Opciones!$AF:$AF,$A4&amp;"_"&amp;EL$11,[1]Opciones!$AQ:$AQ)</f>
        <v>#VALUE!</v>
      </c>
      <c r="EM4" t="e">
        <f>+SUMIF([1]Cartera!$R:$R,$A4&amp;"_"&amp;EM$11,[1]Cartera!$I:$I)+SUMIF([1]Futuros!$AD:$AD,$A4&amp;"_"&amp;EM$11,[1]Futuros!$AK:$AK)+SUMIF([1]Opciones!$AF:$AF,$A4&amp;"_"&amp;EM$11,[1]Opciones!$AQ:$AQ)</f>
        <v>#VALUE!</v>
      </c>
      <c r="EN4" t="e">
        <f>+SUMIF([1]Cartera!$R:$R,$A4&amp;"_"&amp;EN$11,[1]Cartera!$I:$I)+SUMIF([1]Futuros!$AD:$AD,$A4&amp;"_"&amp;EN$11,[1]Futuros!$AK:$AK)+SUMIF([1]Opciones!$AF:$AF,$A4&amp;"_"&amp;EN$11,[1]Opciones!$AQ:$AQ)</f>
        <v>#VALUE!</v>
      </c>
      <c r="EO4" t="e">
        <f>+SUMIF([1]Cartera!$R:$R,$A4&amp;"_"&amp;EO$11,[1]Cartera!$I:$I)+SUMIF([1]Futuros!$AD:$AD,$A4&amp;"_"&amp;EO$11,[1]Futuros!$AK:$AK)+SUMIF([1]Opciones!$AF:$AF,$A4&amp;"_"&amp;EO$11,[1]Opciones!$AQ:$AQ)</f>
        <v>#VALUE!</v>
      </c>
      <c r="EP4" t="e">
        <f>+SUMIF([1]Cartera!$R:$R,$A4&amp;"_"&amp;EP$11,[1]Cartera!$I:$I)+SUMIF([1]Futuros!$AD:$AD,$A4&amp;"_"&amp;EP$11,[1]Futuros!$AK:$AK)+SUMIF([1]Opciones!$AF:$AF,$A4&amp;"_"&amp;EP$11,[1]Opciones!$AQ:$AQ)</f>
        <v>#VALUE!</v>
      </c>
      <c r="EQ4" t="e">
        <f>+SUMIF([1]Cartera!$R:$R,$A4&amp;"_"&amp;EQ$11,[1]Cartera!$I:$I)+SUMIF([1]Futuros!$AD:$AD,$A4&amp;"_"&amp;EQ$11,[1]Futuros!$AK:$AK)+SUMIF([1]Opciones!$AF:$AF,$A4&amp;"_"&amp;EQ$11,[1]Opciones!$AQ:$AQ)</f>
        <v>#VALUE!</v>
      </c>
      <c r="ER4" t="e">
        <f>+SUMIF([1]Cartera!$R:$R,$A4&amp;"_"&amp;ER$11,[1]Cartera!$I:$I)+SUMIF([1]Futuros!$AD:$AD,$A4&amp;"_"&amp;ER$11,[1]Futuros!$AK:$AK)+SUMIF([1]Opciones!$AF:$AF,$A4&amp;"_"&amp;ER$11,[1]Opciones!$AQ:$AQ)</f>
        <v>#VALUE!</v>
      </c>
      <c r="ES4" t="e">
        <f>+SUMIF([1]Cartera!$R:$R,$A4&amp;"_"&amp;ES$11,[1]Cartera!$I:$I)+SUMIF([1]Futuros!$AD:$AD,$A4&amp;"_"&amp;ES$11,[1]Futuros!$AK:$AK)+SUMIF([1]Opciones!$AF:$AF,$A4&amp;"_"&amp;ES$11,[1]Opciones!$AQ:$AQ)</f>
        <v>#VALUE!</v>
      </c>
      <c r="ET4" t="e">
        <f>+SUMIF([1]Cartera!$R:$R,$A4&amp;"_"&amp;ET$11,[1]Cartera!$I:$I)+SUMIF([1]Futuros!$AD:$AD,$A4&amp;"_"&amp;ET$11,[1]Futuros!$AK:$AK)+SUMIF([1]Opciones!$AF:$AF,$A4&amp;"_"&amp;ET$11,[1]Opciones!$AQ:$AQ)</f>
        <v>#VALUE!</v>
      </c>
      <c r="EU4" t="e">
        <f>+SUMIF([1]Cartera!$R:$R,$A4&amp;"_"&amp;EU$11,[1]Cartera!$I:$I)+SUMIF([1]Futuros!$AD:$AD,$A4&amp;"_"&amp;EU$11,[1]Futuros!$AK:$AK)+SUMIF([1]Opciones!$AF:$AF,$A4&amp;"_"&amp;EU$11,[1]Opciones!$AQ:$AQ)</f>
        <v>#VALUE!</v>
      </c>
      <c r="EV4" t="e">
        <f>+SUMIF([1]Cartera!$R:$R,$A4&amp;"_"&amp;EV$11,[1]Cartera!$I:$I)+SUMIF([1]Futuros!$AD:$AD,$A4&amp;"_"&amp;EV$11,[1]Futuros!$AK:$AK)+SUMIF([1]Opciones!$AF:$AF,$A4&amp;"_"&amp;EV$11,[1]Opciones!$AQ:$AQ)</f>
        <v>#VALUE!</v>
      </c>
      <c r="EW4" t="e">
        <f>+SUMIF([1]Cartera!$R:$R,$A4&amp;"_"&amp;EW$11,[1]Cartera!$I:$I)+SUMIF([1]Futuros!$AD:$AD,$A4&amp;"_"&amp;EW$11,[1]Futuros!$AK:$AK)+SUMIF([1]Opciones!$AF:$AF,$A4&amp;"_"&amp;EW$11,[1]Opciones!$AQ:$AQ)</f>
        <v>#VALUE!</v>
      </c>
      <c r="EX4" t="e">
        <f>+SUMIF([1]Cartera!$R:$R,$A4&amp;"_"&amp;EX$11,[1]Cartera!$I:$I)+SUMIF([1]Futuros!$AD:$AD,$A4&amp;"_"&amp;EX$11,[1]Futuros!$AK:$AK)+SUMIF([1]Opciones!$AF:$AF,$A4&amp;"_"&amp;EX$11,[1]Opciones!$AQ:$AQ)</f>
        <v>#VALUE!</v>
      </c>
      <c r="EY4" t="e">
        <f>+SUMIF([1]Cartera!$R:$R,$A4&amp;"_"&amp;EY$11,[1]Cartera!$I:$I)+SUMIF([1]Futuros!$AD:$AD,$A4&amp;"_"&amp;EY$11,[1]Futuros!$AK:$AK)+SUMIF([1]Opciones!$AF:$AF,$A4&amp;"_"&amp;EY$11,[1]Opciones!$AQ:$AQ)</f>
        <v>#VALUE!</v>
      </c>
      <c r="EZ4" t="e">
        <f>+SUMIF([1]Cartera!$R:$R,$A4&amp;"_"&amp;EZ$11,[1]Cartera!$I:$I)+SUMIF([1]Futuros!$AD:$AD,$A4&amp;"_"&amp;EZ$11,[1]Futuros!$AK:$AK)+SUMIF([1]Opciones!$AF:$AF,$A4&amp;"_"&amp;EZ$11,[1]Opciones!$AQ:$AQ)</f>
        <v>#VALUE!</v>
      </c>
      <c r="FA4" t="e">
        <f>+SUMIF([1]Cartera!$R:$R,$A4&amp;"_"&amp;FA$11,[1]Cartera!$I:$I)+SUMIF([1]Futuros!$AD:$AD,$A4&amp;"_"&amp;FA$11,[1]Futuros!$AK:$AK)+SUMIF([1]Opciones!$AF:$AF,$A4&amp;"_"&amp;FA$11,[1]Opciones!$AQ:$AQ)</f>
        <v>#VALUE!</v>
      </c>
      <c r="FB4" t="e">
        <f>+SUMIF([1]Cartera!$R:$R,$A4&amp;"_"&amp;FB$11,[1]Cartera!$I:$I)+SUMIF([1]Futuros!$AD:$AD,$A4&amp;"_"&amp;FB$11,[1]Futuros!$AK:$AK)+SUMIF([1]Opciones!$AF:$AF,$A4&amp;"_"&amp;FB$11,[1]Opciones!$AQ:$AQ)</f>
        <v>#VALUE!</v>
      </c>
      <c r="FC4" t="e">
        <f>+SUMIF([1]Cartera!$R:$R,$A4&amp;"_"&amp;FC$11,[1]Cartera!$I:$I)+SUMIF([1]Futuros!$AD:$AD,$A4&amp;"_"&amp;FC$11,[1]Futuros!$AK:$AK)+SUMIF([1]Opciones!$AF:$AF,$A4&amp;"_"&amp;FC$11,[1]Opciones!$AQ:$AQ)</f>
        <v>#VALUE!</v>
      </c>
      <c r="FD4" t="e">
        <f>+SUMIF([1]Cartera!$R:$R,$A4&amp;"_"&amp;FD$11,[1]Cartera!$I:$I)+SUMIF([1]Futuros!$AD:$AD,$A4&amp;"_"&amp;FD$11,[1]Futuros!$AK:$AK)+SUMIF([1]Opciones!$AF:$AF,$A4&amp;"_"&amp;FD$11,[1]Opciones!$AQ:$AQ)</f>
        <v>#VALUE!</v>
      </c>
      <c r="FE4" t="e">
        <f>+SUMIF([1]Cartera!$R:$R,$A4&amp;"_"&amp;FE$11,[1]Cartera!$I:$I)+SUMIF([1]Futuros!$AD:$AD,$A4&amp;"_"&amp;FE$11,[1]Futuros!$AK:$AK)+SUMIF([1]Opciones!$AF:$AF,$A4&amp;"_"&amp;FE$11,[1]Opciones!$AQ:$AQ)</f>
        <v>#VALUE!</v>
      </c>
      <c r="FF4" t="e">
        <f>+SUMIF([1]Cartera!$R:$R,$A4&amp;"_"&amp;FF$11,[1]Cartera!$I:$I)+SUMIF([1]Futuros!$AD:$AD,$A4&amp;"_"&amp;FF$11,[1]Futuros!$AK:$AK)+SUMIF([1]Opciones!$AF:$AF,$A4&amp;"_"&amp;FF$11,[1]Opciones!$AQ:$AQ)</f>
        <v>#VALUE!</v>
      </c>
      <c r="FG4" t="e">
        <f>+SUMIF([1]Cartera!$R:$R,$A4&amp;"_"&amp;FG$11,[1]Cartera!$I:$I)+SUMIF([1]Futuros!$AD:$AD,$A4&amp;"_"&amp;FG$11,[1]Futuros!$AK:$AK)+SUMIF([1]Opciones!$AF:$AF,$A4&amp;"_"&amp;FG$11,[1]Opciones!$AQ:$AQ)</f>
        <v>#VALUE!</v>
      </c>
      <c r="FH4" t="e">
        <f>+SUMIF([1]Cartera!$R:$R,$A4&amp;"_"&amp;FH$11,[1]Cartera!$I:$I)+SUMIF([1]Futuros!$AD:$AD,$A4&amp;"_"&amp;FH$11,[1]Futuros!$AK:$AK)+SUMIF([1]Opciones!$AF:$AF,$A4&amp;"_"&amp;FH$11,[1]Opciones!$AQ:$AQ)</f>
        <v>#VALUE!</v>
      </c>
      <c r="FI4" t="e">
        <f>+SUMIF([1]Cartera!$R:$R,$A4&amp;"_"&amp;FI$11,[1]Cartera!$I:$I)+SUMIF([1]Futuros!$AD:$AD,$A4&amp;"_"&amp;FI$11,[1]Futuros!$AK:$AK)+SUMIF([1]Opciones!$AF:$AF,$A4&amp;"_"&amp;FI$11,[1]Opciones!$AQ:$AQ)</f>
        <v>#VALUE!</v>
      </c>
      <c r="FJ4" t="e">
        <f>+SUMIF([1]Cartera!$R:$R,$A4&amp;"_"&amp;FJ$11,[1]Cartera!$I:$I)+SUMIF([1]Futuros!$AD:$AD,$A4&amp;"_"&amp;FJ$11,[1]Futuros!$AK:$AK)+SUMIF([1]Opciones!$AF:$AF,$A4&amp;"_"&amp;FJ$11,[1]Opciones!$AQ:$AQ)</f>
        <v>#VALUE!</v>
      </c>
      <c r="FK4" t="e">
        <f>+SUMIF([1]Cartera!$R:$R,$A4&amp;"_"&amp;FK$11,[1]Cartera!$I:$I)+SUMIF([1]Futuros!$AD:$AD,$A4&amp;"_"&amp;FK$11,[1]Futuros!$AK:$AK)+SUMIF([1]Opciones!$AF:$AF,$A4&amp;"_"&amp;FK$11,[1]Opciones!$AQ:$AQ)</f>
        <v>#VALUE!</v>
      </c>
      <c r="FL4" t="e">
        <f>+SUMIF([1]Cartera!$R:$R,$A4&amp;"_"&amp;FL$11,[1]Cartera!$I:$I)+SUMIF([1]Futuros!$AD:$AD,$A4&amp;"_"&amp;FL$11,[1]Futuros!$AK:$AK)+SUMIF([1]Opciones!$AF:$AF,$A4&amp;"_"&amp;FL$11,[1]Opciones!$AQ:$AQ)</f>
        <v>#VALUE!</v>
      </c>
      <c r="FM4" t="e">
        <f>+SUMIF([1]Cartera!$R:$R,$A4&amp;"_"&amp;FM$11,[1]Cartera!$I:$I)+SUMIF([1]Futuros!$AD:$AD,$A4&amp;"_"&amp;FM$11,[1]Futuros!$AK:$AK)+SUMIF([1]Opciones!$AF:$AF,$A4&amp;"_"&amp;FM$11,[1]Opciones!$AQ:$AQ)</f>
        <v>#VALUE!</v>
      </c>
      <c r="FN4" t="e">
        <f>+SUMIF([1]Cartera!$R:$R,$A4&amp;"_"&amp;FN$11,[1]Cartera!$I:$I)+SUMIF([1]Futuros!$AD:$AD,$A4&amp;"_"&amp;FN$11,[1]Futuros!$AK:$AK)+SUMIF([1]Opciones!$AF:$AF,$A4&amp;"_"&amp;FN$11,[1]Opciones!$AQ:$AQ)</f>
        <v>#VALUE!</v>
      </c>
      <c r="FO4" t="e">
        <f>+SUMIF([1]Cartera!$R:$R,$A4&amp;"_"&amp;FO$11,[1]Cartera!$I:$I)+SUMIF([1]Futuros!$AD:$AD,$A4&amp;"_"&amp;FO$11,[1]Futuros!$AK:$AK)+SUMIF([1]Opciones!$AF:$AF,$A4&amp;"_"&amp;FO$11,[1]Opciones!$AQ:$AQ)</f>
        <v>#VALUE!</v>
      </c>
      <c r="FP4" t="e">
        <f>+SUMIF([1]Cartera!$R:$R,$A4&amp;"_"&amp;FP$11,[1]Cartera!$I:$I)+SUMIF([1]Futuros!$AD:$AD,$A4&amp;"_"&amp;FP$11,[1]Futuros!$AK:$AK)+SUMIF([1]Opciones!$AF:$AF,$A4&amp;"_"&amp;FP$11,[1]Opciones!$AQ:$AQ)</f>
        <v>#VALUE!</v>
      </c>
      <c r="FQ4" t="e">
        <f>+SUMIF([1]Cartera!$R:$R,$A4&amp;"_"&amp;FQ$11,[1]Cartera!$I:$I)+SUMIF([1]Futuros!$AD:$AD,$A4&amp;"_"&amp;FQ$11,[1]Futuros!$AK:$AK)+SUMIF([1]Opciones!$AF:$AF,$A4&amp;"_"&amp;FQ$11,[1]Opciones!$AQ:$AQ)</f>
        <v>#VALUE!</v>
      </c>
      <c r="FR4" t="e">
        <f>+SUMIF([1]Cartera!$R:$R,$A4&amp;"_"&amp;FR$11,[1]Cartera!$I:$I)+SUMIF([1]Futuros!$AD:$AD,$A4&amp;"_"&amp;FR$11,[1]Futuros!$AK:$AK)+SUMIF([1]Opciones!$AF:$AF,$A4&amp;"_"&amp;FR$11,[1]Opciones!$AQ:$AQ)</f>
        <v>#VALUE!</v>
      </c>
      <c r="FS4" t="e">
        <f>+SUMIF([1]Cartera!$R:$R,$A4&amp;"_"&amp;FS$11,[1]Cartera!$I:$I)+SUMIF([1]Futuros!$AD:$AD,$A4&amp;"_"&amp;FS$11,[1]Futuros!$AK:$AK)+SUMIF([1]Opciones!$AF:$AF,$A4&amp;"_"&amp;FS$11,[1]Opciones!$AQ:$AQ)</f>
        <v>#VALUE!</v>
      </c>
      <c r="FT4" t="e">
        <f>+SUMIF([1]Cartera!$R:$R,$A4&amp;"_"&amp;FT$11,[1]Cartera!$I:$I)+SUMIF([1]Futuros!$AD:$AD,$A4&amp;"_"&amp;FT$11,[1]Futuros!$AK:$AK)+SUMIF([1]Opciones!$AF:$AF,$A4&amp;"_"&amp;FT$11,[1]Opciones!$AQ:$AQ)</f>
        <v>#VALUE!</v>
      </c>
      <c r="FU4" t="e">
        <f>+SUMIF([1]Cartera!$R:$R,$A4&amp;"_"&amp;FU$11,[1]Cartera!$I:$I)+SUMIF([1]Futuros!$AD:$AD,$A4&amp;"_"&amp;FU$11,[1]Futuros!$AK:$AK)+SUMIF([1]Opciones!$AF:$AF,$A4&amp;"_"&amp;FU$11,[1]Opciones!$AQ:$AQ)</f>
        <v>#VALUE!</v>
      </c>
      <c r="FV4" t="e">
        <f>+SUMIF([1]Cartera!$R:$R,$A4&amp;"_"&amp;FV$11,[1]Cartera!$I:$I)+SUMIF([1]Futuros!$AD:$AD,$A4&amp;"_"&amp;FV$11,[1]Futuros!$AK:$AK)+SUMIF([1]Opciones!$AF:$AF,$A4&amp;"_"&amp;FV$11,[1]Opciones!$AQ:$AQ)</f>
        <v>#VALUE!</v>
      </c>
      <c r="FW4" t="e">
        <f>+SUMIF([1]Cartera!$R:$R,$A4&amp;"_"&amp;FW$11,[1]Cartera!$I:$I)+SUMIF([1]Futuros!$AD:$AD,$A4&amp;"_"&amp;FW$11,[1]Futuros!$AK:$AK)+SUMIF([1]Opciones!$AF:$AF,$A4&amp;"_"&amp;FW$11,[1]Opciones!$AQ:$AQ)</f>
        <v>#VALUE!</v>
      </c>
      <c r="FX4" t="e">
        <f>+SUMIF([1]Cartera!$R:$R,$A4&amp;"_"&amp;FX$11,[1]Cartera!$I:$I)+SUMIF([1]Futuros!$AD:$AD,$A4&amp;"_"&amp;FX$11,[1]Futuros!$AK:$AK)+SUMIF([1]Opciones!$AF:$AF,$A4&amp;"_"&amp;FX$11,[1]Opciones!$AQ:$AQ)</f>
        <v>#VALUE!</v>
      </c>
      <c r="FY4" t="e">
        <f>+SUMIF([1]Cartera!$R:$R,$A4&amp;"_"&amp;FY$11,[1]Cartera!$I:$I)+SUMIF([1]Futuros!$AD:$AD,$A4&amp;"_"&amp;FY$11,[1]Futuros!$AK:$AK)+SUMIF([1]Opciones!$AF:$AF,$A4&amp;"_"&amp;FY$11,[1]Opciones!$AQ:$AQ)</f>
        <v>#VALUE!</v>
      </c>
      <c r="FZ4" t="e">
        <f>+SUMIF([1]Cartera!$R:$R,$A4&amp;"_"&amp;FZ$11,[1]Cartera!$I:$I)+SUMIF([1]Futuros!$AD:$AD,$A4&amp;"_"&amp;FZ$11,[1]Futuros!$AK:$AK)+SUMIF([1]Opciones!$AF:$AF,$A4&amp;"_"&amp;FZ$11,[1]Opciones!$AQ:$AQ)</f>
        <v>#VALUE!</v>
      </c>
      <c r="GA4" t="e">
        <f>+SUMIF([1]Cartera!$R:$R,$A4&amp;"_"&amp;GA$11,[1]Cartera!$I:$I)+SUMIF([1]Futuros!$AD:$AD,$A4&amp;"_"&amp;GA$11,[1]Futuros!$AK:$AK)+SUMIF([1]Opciones!$AF:$AF,$A4&amp;"_"&amp;GA$11,[1]Opciones!$AQ:$AQ)</f>
        <v>#VALUE!</v>
      </c>
      <c r="GB4" t="e">
        <f>+SUMIF([1]Cartera!$R:$R,$A4&amp;"_"&amp;GB$11,[1]Cartera!$I:$I)+SUMIF([1]Futuros!$AD:$AD,$A4&amp;"_"&amp;GB$11,[1]Futuros!$AK:$AK)+SUMIF([1]Opciones!$AF:$AF,$A4&amp;"_"&amp;GB$11,[1]Opciones!$AQ:$AQ)</f>
        <v>#VALUE!</v>
      </c>
      <c r="GC4" t="e">
        <f>+SUMIF([1]Cartera!$R:$R,$A4&amp;"_"&amp;GC$11,[1]Cartera!$I:$I)+SUMIF([1]Futuros!$AD:$AD,$A4&amp;"_"&amp;GC$11,[1]Futuros!$AK:$AK)+SUMIF([1]Opciones!$AF:$AF,$A4&amp;"_"&amp;GC$11,[1]Opciones!$AQ:$AQ)</f>
        <v>#VALUE!</v>
      </c>
      <c r="GD4" t="e">
        <f>+SUMIF([1]Cartera!$R:$R,$A4&amp;"_"&amp;GD$11,[1]Cartera!$I:$I)+SUMIF([1]Futuros!$AD:$AD,$A4&amp;"_"&amp;GD$11,[1]Futuros!$AK:$AK)+SUMIF([1]Opciones!$AF:$AF,$A4&amp;"_"&amp;GD$11,[1]Opciones!$AQ:$AQ)</f>
        <v>#VALUE!</v>
      </c>
      <c r="GE4" t="e">
        <f>+SUMIF([1]Cartera!$R:$R,$A4&amp;"_"&amp;GE$11,[1]Cartera!$I:$I)+SUMIF([1]Futuros!$AD:$AD,$A4&amp;"_"&amp;GE$11,[1]Futuros!$AK:$AK)+SUMIF([1]Opciones!$AF:$AF,$A4&amp;"_"&amp;GE$11,[1]Opciones!$AQ:$AQ)</f>
        <v>#VALUE!</v>
      </c>
      <c r="GF4" t="e">
        <f>+SUMIF([1]Cartera!$R:$R,$A4&amp;"_"&amp;GF$11,[1]Cartera!$I:$I)+SUMIF([1]Futuros!$AD:$AD,$A4&amp;"_"&amp;GF$11,[1]Futuros!$AK:$AK)+SUMIF([1]Opciones!$AF:$AF,$A4&amp;"_"&amp;GF$11,[1]Opciones!$AQ:$AQ)</f>
        <v>#VALUE!</v>
      </c>
      <c r="GG4" t="e">
        <f>+SUMIF([1]Cartera!$R:$R,$A4&amp;"_"&amp;GG$11,[1]Cartera!$I:$I)+SUMIF([1]Futuros!$AD:$AD,$A4&amp;"_"&amp;GG$11,[1]Futuros!$AK:$AK)+SUMIF([1]Opciones!$AF:$AF,$A4&amp;"_"&amp;GG$11,[1]Opciones!$AQ:$AQ)</f>
        <v>#VALUE!</v>
      </c>
      <c r="GH4" t="e">
        <f>+SUMIF([1]Cartera!$R:$R,$A4&amp;"_"&amp;GH$11,[1]Cartera!$I:$I)+SUMIF([1]Futuros!$AD:$AD,$A4&amp;"_"&amp;GH$11,[1]Futuros!$AK:$AK)+SUMIF([1]Opciones!$AF:$AF,$A4&amp;"_"&amp;GH$11,[1]Opciones!$AQ:$AQ)</f>
        <v>#VALUE!</v>
      </c>
      <c r="GI4" t="e">
        <f>+SUMIF([1]Cartera!$R:$R,$A4&amp;"_"&amp;GI$11,[1]Cartera!$I:$I)+SUMIF([1]Futuros!$AD:$AD,$A4&amp;"_"&amp;GI$11,[1]Futuros!$AK:$AK)+SUMIF([1]Opciones!$AF:$AF,$A4&amp;"_"&amp;GI$11,[1]Opciones!$AQ:$AQ)</f>
        <v>#VALUE!</v>
      </c>
      <c r="GJ4" t="e">
        <f>+SUMIF([1]Cartera!$R:$R,$A4&amp;"_"&amp;GJ$11,[1]Cartera!$I:$I)+SUMIF([1]Futuros!$AD:$AD,$A4&amp;"_"&amp;GJ$11,[1]Futuros!$AK:$AK)+SUMIF([1]Opciones!$AF:$AF,$A4&amp;"_"&amp;GJ$11,[1]Opciones!$AQ:$AQ)</f>
        <v>#VALUE!</v>
      </c>
      <c r="GK4" t="e">
        <f>+SUMIF([1]Cartera!$R:$R,$A4&amp;"_"&amp;GK$11,[1]Cartera!$I:$I)+SUMIF([1]Futuros!$AD:$AD,$A4&amp;"_"&amp;GK$11,[1]Futuros!$AK:$AK)+SUMIF([1]Opciones!$AF:$AF,$A4&amp;"_"&amp;GK$11,[1]Opciones!$AQ:$AQ)</f>
        <v>#VALUE!</v>
      </c>
      <c r="GL4" t="e">
        <f>+SUMIF([1]Cartera!$R:$R,$A4&amp;"_"&amp;GL$11,[1]Cartera!$I:$I)+SUMIF([1]Futuros!$AD:$AD,$A4&amp;"_"&amp;GL$11,[1]Futuros!$AK:$AK)+SUMIF([1]Opciones!$AF:$AF,$A4&amp;"_"&amp;GL$11,[1]Opciones!$AQ:$AQ)</f>
        <v>#VALUE!</v>
      </c>
      <c r="GM4" t="e">
        <f>+SUMIF([1]Cartera!$R:$R,$A4&amp;"_"&amp;GM$11,[1]Cartera!$I:$I)+SUMIF([1]Futuros!$AD:$AD,$A4&amp;"_"&amp;GM$11,[1]Futuros!$AK:$AK)+SUMIF([1]Opciones!$AF:$AF,$A4&amp;"_"&amp;GM$11,[1]Opciones!$AQ:$AQ)</f>
        <v>#VALUE!</v>
      </c>
      <c r="GN4" t="e">
        <f>+SUMIF([1]Cartera!$R:$R,$A4&amp;"_"&amp;GN$11,[1]Cartera!$I:$I)+SUMIF([1]Futuros!$AD:$AD,$A4&amp;"_"&amp;GN$11,[1]Futuros!$AK:$AK)+SUMIF([1]Opciones!$AF:$AF,$A4&amp;"_"&amp;GN$11,[1]Opciones!$AQ:$AQ)</f>
        <v>#VALUE!</v>
      </c>
      <c r="GO4" t="e">
        <f>+SUMIF([1]Cartera!$R:$R,$A4&amp;"_"&amp;GO$11,[1]Cartera!$I:$I)+SUMIF([1]Futuros!$AD:$AD,$A4&amp;"_"&amp;GO$11,[1]Futuros!$AK:$AK)+SUMIF([1]Opciones!$AF:$AF,$A4&amp;"_"&amp;GO$11,[1]Opciones!$AQ:$AQ)</f>
        <v>#VALUE!</v>
      </c>
      <c r="GP4" t="e">
        <f>+SUMIF([1]Cartera!$R:$R,$A4&amp;"_"&amp;GP$11,[1]Cartera!$I:$I)+SUMIF([1]Futuros!$AD:$AD,$A4&amp;"_"&amp;GP$11,[1]Futuros!$AK:$AK)+SUMIF([1]Opciones!$AF:$AF,$A4&amp;"_"&amp;GP$11,[1]Opciones!$AQ:$AQ)</f>
        <v>#VALUE!</v>
      </c>
      <c r="GQ4" t="e">
        <f>+SUMIF([1]Cartera!$R:$R,$A4&amp;"_"&amp;GQ$11,[1]Cartera!$I:$I)+SUMIF([1]Futuros!$AD:$AD,$A4&amp;"_"&amp;GQ$11,[1]Futuros!$AK:$AK)+SUMIF([1]Opciones!$AF:$AF,$A4&amp;"_"&amp;GQ$11,[1]Opciones!$AQ:$AQ)</f>
        <v>#VALUE!</v>
      </c>
      <c r="GR4" t="e">
        <f>+SUMIF([1]Cartera!$R:$R,$A4&amp;"_"&amp;GR$11,[1]Cartera!$I:$I)+SUMIF([1]Futuros!$AD:$AD,$A4&amp;"_"&amp;GR$11,[1]Futuros!$AK:$AK)+SUMIF([1]Opciones!$AF:$AF,$A4&amp;"_"&amp;GR$11,[1]Opciones!$AQ:$AQ)</f>
        <v>#VALUE!</v>
      </c>
      <c r="GS4" t="e">
        <f>+SUMIF([1]Cartera!$R:$R,$A4&amp;"_"&amp;GS$11,[1]Cartera!$I:$I)+SUMIF([1]Futuros!$AD:$AD,$A4&amp;"_"&amp;GS$11,[1]Futuros!$AK:$AK)+SUMIF([1]Opciones!$AF:$AF,$A4&amp;"_"&amp;GS$11,[1]Opciones!$AQ:$AQ)</f>
        <v>#VALUE!</v>
      </c>
      <c r="GT4" t="e">
        <f>+SUMIF([1]Cartera!$R:$R,$A4&amp;"_"&amp;GT$11,[1]Cartera!$I:$I)+SUMIF([1]Futuros!$AD:$AD,$A4&amp;"_"&amp;GT$11,[1]Futuros!$AK:$AK)+SUMIF([1]Opciones!$AF:$AF,$A4&amp;"_"&amp;GT$11,[1]Opciones!$AQ:$AQ)</f>
        <v>#VALUE!</v>
      </c>
      <c r="GU4" t="e">
        <f>+SUMIF([1]Cartera!$R:$R,$A4&amp;"_"&amp;GU$11,[1]Cartera!$I:$I)+SUMIF([1]Futuros!$AD:$AD,$A4&amp;"_"&amp;GU$11,[1]Futuros!$AK:$AK)+SUMIF([1]Opciones!$AF:$AF,$A4&amp;"_"&amp;GU$11,[1]Opciones!$AQ:$AQ)</f>
        <v>#VALUE!</v>
      </c>
      <c r="GV4" t="e">
        <f>+SUMIF([1]Cartera!$R:$R,$A4&amp;"_"&amp;GV$11,[1]Cartera!$I:$I)+SUMIF([1]Futuros!$AD:$AD,$A4&amp;"_"&amp;GV$11,[1]Futuros!$AK:$AK)+SUMIF([1]Opciones!$AF:$AF,$A4&amp;"_"&amp;GV$11,[1]Opciones!$AQ:$AQ)</f>
        <v>#VALUE!</v>
      </c>
      <c r="GW4" t="e">
        <f>+SUMIF([1]Cartera!$R:$R,$A4&amp;"_"&amp;GW$11,[1]Cartera!$I:$I)+SUMIF([1]Futuros!$AD:$AD,$A4&amp;"_"&amp;GW$11,[1]Futuros!$AK:$AK)+SUMIF([1]Opciones!$AF:$AF,$A4&amp;"_"&amp;GW$11,[1]Opciones!$AQ:$AQ)</f>
        <v>#VALUE!</v>
      </c>
      <c r="GX4" t="e">
        <f>+SUMIF([1]Cartera!$R:$R,$A4&amp;"_"&amp;GX$11,[1]Cartera!$I:$I)+SUMIF([1]Futuros!$AD:$AD,$A4&amp;"_"&amp;GX$11,[1]Futuros!$AK:$AK)+SUMIF([1]Opciones!$AF:$AF,$A4&amp;"_"&amp;GX$11,[1]Opciones!$AQ:$AQ)</f>
        <v>#VALUE!</v>
      </c>
      <c r="GY4" t="e">
        <f>+SUMIF([1]Cartera!$R:$R,$A4&amp;"_"&amp;GY$11,[1]Cartera!$I:$I)+SUMIF([1]Futuros!$AD:$AD,$A4&amp;"_"&amp;GY$11,[1]Futuros!$AK:$AK)+SUMIF([1]Opciones!$AF:$AF,$A4&amp;"_"&amp;GY$11,[1]Opciones!$AQ:$AQ)</f>
        <v>#VALUE!</v>
      </c>
      <c r="GZ4" t="e">
        <f>+SUMIF([1]Cartera!$R:$R,$A4&amp;"_"&amp;GZ$11,[1]Cartera!$I:$I)+SUMIF([1]Futuros!$AD:$AD,$A4&amp;"_"&amp;GZ$11,[1]Futuros!$AK:$AK)+SUMIF([1]Opciones!$AF:$AF,$A4&amp;"_"&amp;GZ$11,[1]Opciones!$AQ:$AQ)</f>
        <v>#VALUE!</v>
      </c>
      <c r="HA4" t="e">
        <f>+SUMIF([1]Cartera!$R:$R,$A4&amp;"_"&amp;HA$11,[1]Cartera!$I:$I)+SUMIF([1]Futuros!$AD:$AD,$A4&amp;"_"&amp;HA$11,[1]Futuros!$AK:$AK)+SUMIF([1]Opciones!$AF:$AF,$A4&amp;"_"&amp;HA$11,[1]Opciones!$AQ:$AQ)</f>
        <v>#VALUE!</v>
      </c>
      <c r="HB4" t="e">
        <f>+SUMIF([1]Cartera!$R:$R,$A4&amp;"_"&amp;HB$11,[1]Cartera!$I:$I)+SUMIF([1]Futuros!$AD:$AD,$A4&amp;"_"&amp;HB$11,[1]Futuros!$AK:$AK)+SUMIF([1]Opciones!$AF:$AF,$A4&amp;"_"&amp;HB$11,[1]Opciones!$AQ:$AQ)</f>
        <v>#VALUE!</v>
      </c>
      <c r="HC4" t="e">
        <f>+SUMIF([1]Cartera!$R:$R,$A4&amp;"_"&amp;HC$11,[1]Cartera!$I:$I)+SUMIF([1]Futuros!$AD:$AD,$A4&amp;"_"&amp;HC$11,[1]Futuros!$AK:$AK)+SUMIF([1]Opciones!$AF:$AF,$A4&amp;"_"&amp;HC$11,[1]Opciones!$AQ:$AQ)</f>
        <v>#VALUE!</v>
      </c>
      <c r="HD4" t="e">
        <f>+SUMIF([1]Cartera!$R:$R,$A4&amp;"_"&amp;HD$11,[1]Cartera!$I:$I)+SUMIF([1]Futuros!$AD:$AD,$A4&amp;"_"&amp;HD$11,[1]Futuros!$AK:$AK)+SUMIF([1]Opciones!$AF:$AF,$A4&amp;"_"&amp;HD$11,[1]Opciones!$AQ:$AQ)</f>
        <v>#VALUE!</v>
      </c>
      <c r="HE4" t="e">
        <f>+SUMIF([1]Cartera!$R:$R,$A4&amp;"_"&amp;HE$11,[1]Cartera!$I:$I)+SUMIF([1]Futuros!$AD:$AD,$A4&amp;"_"&amp;HE$11,[1]Futuros!$AK:$AK)+SUMIF([1]Opciones!$AF:$AF,$A4&amp;"_"&amp;HE$11,[1]Opciones!$AQ:$AQ)</f>
        <v>#VALUE!</v>
      </c>
      <c r="HF4" t="e">
        <f>+SUMIF([1]Cartera!$R:$R,$A4&amp;"_"&amp;HF$11,[1]Cartera!$I:$I)+SUMIF([1]Futuros!$AD:$AD,$A4&amp;"_"&amp;HF$11,[1]Futuros!$AK:$AK)+SUMIF([1]Opciones!$AF:$AF,$A4&amp;"_"&amp;HF$11,[1]Opciones!$AQ:$AQ)</f>
        <v>#VALUE!</v>
      </c>
      <c r="HG4" t="e">
        <f>+SUMIF([1]Cartera!$R:$R,$A4&amp;"_"&amp;HG$11,[1]Cartera!$I:$I)+SUMIF([1]Futuros!$AD:$AD,$A4&amp;"_"&amp;HG$11,[1]Futuros!$AK:$AK)+SUMIF([1]Opciones!$AF:$AF,$A4&amp;"_"&amp;HG$11,[1]Opciones!$AQ:$AQ)</f>
        <v>#VALUE!</v>
      </c>
      <c r="HH4" t="e">
        <f>+SUMIF([1]Cartera!$R:$R,$A4&amp;"_"&amp;HH$11,[1]Cartera!$I:$I)+SUMIF([1]Futuros!$AD:$AD,$A4&amp;"_"&amp;HH$11,[1]Futuros!$AK:$AK)+SUMIF([1]Opciones!$AF:$AF,$A4&amp;"_"&amp;HH$11,[1]Opciones!$AQ:$AQ)</f>
        <v>#VALUE!</v>
      </c>
      <c r="HI4" t="e">
        <f>+SUMIF([1]Cartera!$R:$R,$A4&amp;"_"&amp;HI$11,[1]Cartera!$I:$I)+SUMIF([1]Futuros!$AD:$AD,$A4&amp;"_"&amp;HI$11,[1]Futuros!$AK:$AK)+SUMIF([1]Opciones!$AF:$AF,$A4&amp;"_"&amp;HI$11,[1]Opciones!$AQ:$AQ)</f>
        <v>#VALUE!</v>
      </c>
      <c r="HJ4" t="e">
        <f>+SUMIF([1]Cartera!$R:$R,$A4&amp;"_"&amp;HJ$11,[1]Cartera!$I:$I)+SUMIF([1]Futuros!$AD:$AD,$A4&amp;"_"&amp;HJ$11,[1]Futuros!$AK:$AK)+SUMIF([1]Opciones!$AF:$AF,$A4&amp;"_"&amp;HJ$11,[1]Opciones!$AQ:$AQ)</f>
        <v>#VALUE!</v>
      </c>
      <c r="HK4" t="e">
        <f>+SUMIF([1]Cartera!$R:$R,$A4&amp;"_"&amp;HK$11,[1]Cartera!$I:$I)+SUMIF([1]Futuros!$AD:$AD,$A4&amp;"_"&amp;HK$11,[1]Futuros!$AK:$AK)+SUMIF([1]Opciones!$AF:$AF,$A4&amp;"_"&amp;HK$11,[1]Opciones!$AQ:$AQ)</f>
        <v>#VALUE!</v>
      </c>
      <c r="HL4" t="e">
        <f>+SUMIF([1]Cartera!$R:$R,$A4&amp;"_"&amp;HL$11,[1]Cartera!$I:$I)+SUMIF([1]Futuros!$AD:$AD,$A4&amp;"_"&amp;HL$11,[1]Futuros!$AK:$AK)+SUMIF([1]Opciones!$AF:$AF,$A4&amp;"_"&amp;HL$11,[1]Opciones!$AQ:$AQ)</f>
        <v>#VALUE!</v>
      </c>
      <c r="HM4" t="e">
        <f>+SUMIF([1]Cartera!$R:$R,$A4&amp;"_"&amp;HM$11,[1]Cartera!$I:$I)+SUMIF([1]Futuros!$AD:$AD,$A4&amp;"_"&amp;HM$11,[1]Futuros!$AK:$AK)+SUMIF([1]Opciones!$AF:$AF,$A4&amp;"_"&amp;HM$11,[1]Opciones!$AQ:$AQ)</f>
        <v>#VALUE!</v>
      </c>
      <c r="HN4" t="e">
        <f>+SUMIF([1]Cartera!$R:$R,$A4&amp;"_"&amp;HN$11,[1]Cartera!$I:$I)+SUMIF([1]Futuros!$AD:$AD,$A4&amp;"_"&amp;HN$11,[1]Futuros!$AK:$AK)+SUMIF([1]Opciones!$AF:$AF,$A4&amp;"_"&amp;HN$11,[1]Opciones!$AQ:$AQ)</f>
        <v>#VALUE!</v>
      </c>
      <c r="HO4" t="e">
        <f>+SUMIF([1]Cartera!$R:$R,$A4&amp;"_"&amp;HO$11,[1]Cartera!$I:$I)+SUMIF([1]Futuros!$AD:$AD,$A4&amp;"_"&amp;HO$11,[1]Futuros!$AK:$AK)+SUMIF([1]Opciones!$AF:$AF,$A4&amp;"_"&amp;HO$11,[1]Opciones!$AQ:$AQ)</f>
        <v>#VALUE!</v>
      </c>
      <c r="HP4" t="e">
        <f>+SUMIF([1]Cartera!$R:$R,$A4&amp;"_"&amp;HP$11,[1]Cartera!$I:$I)+SUMIF([1]Futuros!$AD:$AD,$A4&amp;"_"&amp;HP$11,[1]Futuros!$AK:$AK)+SUMIF([1]Opciones!$AF:$AF,$A4&amp;"_"&amp;HP$11,[1]Opciones!$AQ:$AQ)</f>
        <v>#VALUE!</v>
      </c>
      <c r="HQ4" t="e">
        <f>+SUMIF([1]Cartera!$R:$R,$A4&amp;"_"&amp;HQ$11,[1]Cartera!$I:$I)+SUMIF([1]Futuros!$AD:$AD,$A4&amp;"_"&amp;HQ$11,[1]Futuros!$AK:$AK)+SUMIF([1]Opciones!$AF:$AF,$A4&amp;"_"&amp;HQ$11,[1]Opciones!$AQ:$AQ)</f>
        <v>#VALUE!</v>
      </c>
      <c r="HR4" t="e">
        <f>+SUMIF([1]Cartera!$R:$R,$A4&amp;"_"&amp;HR$11,[1]Cartera!$I:$I)+SUMIF([1]Futuros!$AD:$AD,$A4&amp;"_"&amp;HR$11,[1]Futuros!$AK:$AK)+SUMIF([1]Opciones!$AF:$AF,$A4&amp;"_"&amp;HR$11,[1]Opciones!$AQ:$AQ)</f>
        <v>#VALUE!</v>
      </c>
      <c r="HS4" t="e">
        <f>+SUMIF([1]Cartera!$R:$R,$A4&amp;"_"&amp;HS$11,[1]Cartera!$I:$I)+SUMIF([1]Futuros!$AD:$AD,$A4&amp;"_"&amp;HS$11,[1]Futuros!$AK:$AK)+SUMIF([1]Opciones!$AF:$AF,$A4&amp;"_"&amp;HS$11,[1]Opciones!$AQ:$AQ)</f>
        <v>#VALUE!</v>
      </c>
      <c r="HT4" t="e">
        <f>+SUMIF([1]Cartera!$R:$R,$A4&amp;"_"&amp;HT$11,[1]Cartera!$I:$I)+SUMIF([1]Futuros!$AD:$AD,$A4&amp;"_"&amp;HT$11,[1]Futuros!$AK:$AK)+SUMIF([1]Opciones!$AF:$AF,$A4&amp;"_"&amp;HT$11,[1]Opciones!$AQ:$AQ)</f>
        <v>#VALUE!</v>
      </c>
      <c r="HU4" t="e">
        <f>+SUMIF([1]Cartera!$R:$R,$A4&amp;"_"&amp;HU$11,[1]Cartera!$I:$I)+SUMIF([1]Futuros!$AD:$AD,$A4&amp;"_"&amp;HU$11,[1]Futuros!$AK:$AK)+SUMIF([1]Opciones!$AF:$AF,$A4&amp;"_"&amp;HU$11,[1]Opciones!$AQ:$AQ)</f>
        <v>#VALUE!</v>
      </c>
      <c r="HV4" t="e">
        <f>+SUMIF([1]Cartera!$R:$R,$A4&amp;"_"&amp;HV$11,[1]Cartera!$I:$I)+SUMIF([1]Futuros!$AD:$AD,$A4&amp;"_"&amp;HV$11,[1]Futuros!$AK:$AK)+SUMIF([1]Opciones!$AF:$AF,$A4&amp;"_"&amp;HV$11,[1]Opciones!$AQ:$AQ)</f>
        <v>#VALUE!</v>
      </c>
      <c r="HW4" t="e">
        <f>+SUMIF([1]Cartera!$R:$R,$A4&amp;"_"&amp;HW$11,[1]Cartera!$I:$I)+SUMIF([1]Futuros!$AD:$AD,$A4&amp;"_"&amp;HW$11,[1]Futuros!$AK:$AK)+SUMIF([1]Opciones!$AF:$AF,$A4&amp;"_"&amp;HW$11,[1]Opciones!$AQ:$AQ)</f>
        <v>#VALUE!</v>
      </c>
      <c r="HX4" t="e">
        <f>+SUMIF([1]Cartera!$R:$R,$A4&amp;"_"&amp;HX$11,[1]Cartera!$I:$I)+SUMIF([1]Futuros!$AD:$AD,$A4&amp;"_"&amp;HX$11,[1]Futuros!$AK:$AK)+SUMIF([1]Opciones!$AF:$AF,$A4&amp;"_"&amp;HX$11,[1]Opciones!$AQ:$AQ)</f>
        <v>#VALUE!</v>
      </c>
      <c r="HY4" t="e">
        <f>+SUMIF([1]Cartera!$R:$R,$A4&amp;"_"&amp;HY$11,[1]Cartera!$I:$I)+SUMIF([1]Futuros!$AD:$AD,$A4&amp;"_"&amp;HY$11,[1]Futuros!$AK:$AK)+SUMIF([1]Opciones!$AF:$AF,$A4&amp;"_"&amp;HY$11,[1]Opciones!$AQ:$AQ)</f>
        <v>#VALUE!</v>
      </c>
      <c r="HZ4" t="e">
        <f>+SUMIF([1]Cartera!$R:$R,$A4&amp;"_"&amp;HZ$11,[1]Cartera!$I:$I)+SUMIF([1]Futuros!$AD:$AD,$A4&amp;"_"&amp;HZ$11,[1]Futuros!$AK:$AK)+SUMIF([1]Opciones!$AF:$AF,$A4&amp;"_"&amp;HZ$11,[1]Opciones!$AQ:$AQ)</f>
        <v>#VALUE!</v>
      </c>
      <c r="IA4" t="e">
        <f>+SUMIF([1]Cartera!$R:$R,$A4&amp;"_"&amp;IA$11,[1]Cartera!$I:$I)+SUMIF([1]Futuros!$AD:$AD,$A4&amp;"_"&amp;IA$11,[1]Futuros!$AK:$AK)+SUMIF([1]Opciones!$AF:$AF,$A4&amp;"_"&amp;IA$11,[1]Opciones!$AQ:$AQ)</f>
        <v>#VALUE!</v>
      </c>
      <c r="IB4" t="e">
        <f>+SUMIF([1]Cartera!$R:$R,$A4&amp;"_"&amp;IB$11,[1]Cartera!$I:$I)+SUMIF([1]Futuros!$AD:$AD,$A4&amp;"_"&amp;IB$11,[1]Futuros!$AK:$AK)+SUMIF([1]Opciones!$AF:$AF,$A4&amp;"_"&amp;IB$11,[1]Opciones!$AQ:$AQ)</f>
        <v>#VALUE!</v>
      </c>
      <c r="IC4" t="e">
        <f>+SUMIF([1]Cartera!$R:$R,$A4&amp;"_"&amp;IC$11,[1]Cartera!$I:$I)+SUMIF([1]Futuros!$AD:$AD,$A4&amp;"_"&amp;IC$11,[1]Futuros!$AK:$AK)+SUMIF([1]Opciones!$AF:$AF,$A4&amp;"_"&amp;IC$11,[1]Opciones!$AQ:$AQ)</f>
        <v>#VALUE!</v>
      </c>
      <c r="ID4" t="e">
        <f>+SUMIF([1]Cartera!$R:$R,$A4&amp;"_"&amp;ID$11,[1]Cartera!$I:$I)+SUMIF([1]Futuros!$AD:$AD,$A4&amp;"_"&amp;ID$11,[1]Futuros!$AK:$AK)+SUMIF([1]Opciones!$AF:$AF,$A4&amp;"_"&amp;ID$11,[1]Opciones!$AQ:$AQ)</f>
        <v>#VALUE!</v>
      </c>
      <c r="IE4" t="e">
        <f>+SUMIF([1]Cartera!$R:$R,$A4&amp;"_"&amp;IE$11,[1]Cartera!$I:$I)+SUMIF([1]Futuros!$AD:$AD,$A4&amp;"_"&amp;IE$11,[1]Futuros!$AK:$AK)+SUMIF([1]Opciones!$AF:$AF,$A4&amp;"_"&amp;IE$11,[1]Opciones!$AQ:$AQ)</f>
        <v>#VALUE!</v>
      </c>
      <c r="IF4" t="e">
        <f>+SUMIF([1]Cartera!$R:$R,$A4&amp;"_"&amp;IF$11,[1]Cartera!$I:$I)+SUMIF([1]Futuros!$AD:$AD,$A4&amp;"_"&amp;IF$11,[1]Futuros!$AK:$AK)+SUMIF([1]Opciones!$AF:$AF,$A4&amp;"_"&amp;IF$11,[1]Opciones!$AQ:$AQ)</f>
        <v>#VALUE!</v>
      </c>
      <c r="IG4" t="e">
        <f>+SUMIF([1]Cartera!$R:$R,$A4&amp;"_"&amp;IG$11,[1]Cartera!$I:$I)+SUMIF([1]Futuros!$AD:$AD,$A4&amp;"_"&amp;IG$11,[1]Futuros!$AK:$AK)+SUMIF([1]Opciones!$AF:$AF,$A4&amp;"_"&amp;IG$11,[1]Opciones!$AQ:$AQ)</f>
        <v>#VALUE!</v>
      </c>
      <c r="IH4" t="e">
        <f>+SUMIF([1]Cartera!$R:$R,$A4&amp;"_"&amp;IH$11,[1]Cartera!$I:$I)+SUMIF([1]Futuros!$AD:$AD,$A4&amp;"_"&amp;IH$11,[1]Futuros!$AK:$AK)+SUMIF([1]Opciones!$AF:$AF,$A4&amp;"_"&amp;IH$11,[1]Opciones!$AQ:$AQ)</f>
        <v>#VALUE!</v>
      </c>
      <c r="II4" t="e">
        <f>+SUMIF([1]Cartera!$R:$R,$A4&amp;"_"&amp;II$11,[1]Cartera!$I:$I)+SUMIF([1]Futuros!$AD:$AD,$A4&amp;"_"&amp;II$11,[1]Futuros!$AK:$AK)+SUMIF([1]Opciones!$AF:$AF,$A4&amp;"_"&amp;II$11,[1]Opciones!$AQ:$AQ)</f>
        <v>#VALUE!</v>
      </c>
      <c r="IJ4" t="e">
        <f>+SUMIF([1]Cartera!$R:$R,$A4&amp;"_"&amp;IJ$11,[1]Cartera!$I:$I)+SUMIF([1]Futuros!$AD:$AD,$A4&amp;"_"&amp;IJ$11,[1]Futuros!$AK:$AK)+SUMIF([1]Opciones!$AF:$AF,$A4&amp;"_"&amp;IJ$11,[1]Opciones!$AQ:$AQ)</f>
        <v>#VALUE!</v>
      </c>
      <c r="IK4" t="e">
        <f>+SUMIF([1]Cartera!$R:$R,$A4&amp;"_"&amp;IK$11,[1]Cartera!$I:$I)+SUMIF([1]Futuros!$AD:$AD,$A4&amp;"_"&amp;IK$11,[1]Futuros!$AK:$AK)+SUMIF([1]Opciones!$AF:$AF,$A4&amp;"_"&amp;IK$11,[1]Opciones!$AQ:$AQ)</f>
        <v>#VALUE!</v>
      </c>
      <c r="IL4" t="e">
        <f>+SUMIF([1]Cartera!$R:$R,$A4&amp;"_"&amp;IL$11,[1]Cartera!$I:$I)+SUMIF([1]Futuros!$AD:$AD,$A4&amp;"_"&amp;IL$11,[1]Futuros!$AK:$AK)+SUMIF([1]Opciones!$AF:$AF,$A4&amp;"_"&amp;IL$11,[1]Opciones!$AQ:$AQ)</f>
        <v>#VALUE!</v>
      </c>
      <c r="IM4" t="e">
        <f>+SUMIF([1]Cartera!$R:$R,$A4&amp;"_"&amp;IM$11,[1]Cartera!$I:$I)+SUMIF([1]Futuros!$AD:$AD,$A4&amp;"_"&amp;IM$11,[1]Futuros!$AK:$AK)+SUMIF([1]Opciones!$AF:$AF,$A4&amp;"_"&amp;IM$11,[1]Opciones!$AQ:$AQ)</f>
        <v>#VALUE!</v>
      </c>
      <c r="IN4" t="e">
        <f>+SUMIF([1]Cartera!$R:$R,$A4&amp;"_"&amp;IN$11,[1]Cartera!$I:$I)+SUMIF([1]Futuros!$AD:$AD,$A4&amp;"_"&amp;IN$11,[1]Futuros!$AK:$AK)+SUMIF([1]Opciones!$AF:$AF,$A4&amp;"_"&amp;IN$11,[1]Opciones!$AQ:$AQ)</f>
        <v>#VALUE!</v>
      </c>
      <c r="IO4" t="e">
        <f>+SUMIF([1]Cartera!$R:$R,$A4&amp;"_"&amp;IO$11,[1]Cartera!$I:$I)+SUMIF([1]Futuros!$AD:$AD,$A4&amp;"_"&amp;IO$11,[1]Futuros!$AK:$AK)+SUMIF([1]Opciones!$AF:$AF,$A4&amp;"_"&amp;IO$11,[1]Opciones!$AQ:$AQ)</f>
        <v>#VALUE!</v>
      </c>
      <c r="IP4" t="e">
        <f>+SUMIF([1]Cartera!$R:$R,$A4&amp;"_"&amp;IP$11,[1]Cartera!$I:$I)+SUMIF([1]Futuros!$AD:$AD,$A4&amp;"_"&amp;IP$11,[1]Futuros!$AK:$AK)+SUMIF([1]Opciones!$AF:$AF,$A4&amp;"_"&amp;IP$11,[1]Opciones!$AQ:$AQ)</f>
        <v>#VALUE!</v>
      </c>
      <c r="IQ4" t="e">
        <f>+SUMIF([1]Cartera!$R:$R,$A4&amp;"_"&amp;IQ$11,[1]Cartera!$I:$I)+SUMIF([1]Futuros!$AD:$AD,$A4&amp;"_"&amp;IQ$11,[1]Futuros!$AK:$AK)+SUMIF([1]Opciones!$AF:$AF,$A4&amp;"_"&amp;IQ$11,[1]Opciones!$AQ:$AQ)</f>
        <v>#VALUE!</v>
      </c>
      <c r="IR4" t="e">
        <f>+SUMIF([1]Cartera!$R:$R,$A4&amp;"_"&amp;IR$11,[1]Cartera!$I:$I)+SUMIF([1]Futuros!$AD:$AD,$A4&amp;"_"&amp;IR$11,[1]Futuros!$AK:$AK)+SUMIF([1]Opciones!$AF:$AF,$A4&amp;"_"&amp;IR$11,[1]Opciones!$AQ:$AQ)</f>
        <v>#VALUE!</v>
      </c>
      <c r="IS4" t="e">
        <f>+SUMIF([1]Cartera!$R:$R,$A4&amp;"_"&amp;IS$11,[1]Cartera!$I:$I)+SUMIF([1]Futuros!$AD:$AD,$A4&amp;"_"&amp;IS$11,[1]Futuros!$AK:$AK)+SUMIF([1]Opciones!$AF:$AF,$A4&amp;"_"&amp;IS$11,[1]Opciones!$AQ:$AQ)</f>
        <v>#VALUE!</v>
      </c>
      <c r="IT4" t="e">
        <f>+SUMIF([1]Cartera!$R:$R,$A4&amp;"_"&amp;IT$11,[1]Cartera!$I:$I)+SUMIF([1]Futuros!$AD:$AD,$A4&amp;"_"&amp;IT$11,[1]Futuros!$AK:$AK)+SUMIF([1]Opciones!$AF:$AF,$A4&amp;"_"&amp;IT$11,[1]Opciones!$AQ:$AQ)</f>
        <v>#VALUE!</v>
      </c>
      <c r="IU4" t="e">
        <f>+SUMIF([1]Cartera!$R:$R,$A4&amp;"_"&amp;IU$11,[1]Cartera!$I:$I)+SUMIF([1]Futuros!$AD:$AD,$A4&amp;"_"&amp;IU$11,[1]Futuros!$AK:$AK)+SUMIF([1]Opciones!$AF:$AF,$A4&amp;"_"&amp;IU$11,[1]Opciones!$AQ:$AQ)</f>
        <v>#VALUE!</v>
      </c>
      <c r="IV4" t="e">
        <f>+SUMIF([1]Cartera!$R:$R,$A4&amp;"_"&amp;IV$11,[1]Cartera!$I:$I)+SUMIF([1]Futuros!$AD:$AD,$A4&amp;"_"&amp;IV$11,[1]Futuros!$AK:$AK)+SUMIF([1]Opciones!$AF:$AF,$A4&amp;"_"&amp;IV$11,[1]Opciones!$AQ:$AQ)</f>
        <v>#VALUE!</v>
      </c>
      <c r="IW4" t="e">
        <f>+SUMIF([1]Cartera!$R:$R,$A4&amp;"_"&amp;IW$11,[1]Cartera!$I:$I)+SUMIF([1]Futuros!$AD:$AD,$A4&amp;"_"&amp;IW$11,[1]Futuros!$AK:$AK)+SUMIF([1]Opciones!$AF:$AF,$A4&amp;"_"&amp;IW$11,[1]Opciones!$AQ:$AQ)</f>
        <v>#VALUE!</v>
      </c>
      <c r="IX4" t="e">
        <f>+SUMIF([1]Cartera!$R:$R,$A4&amp;"_"&amp;IX$11,[1]Cartera!$I:$I)+SUMIF([1]Futuros!$AD:$AD,$A4&amp;"_"&amp;IX$11,[1]Futuros!$AK:$AK)+SUMIF([1]Opciones!$AF:$AF,$A4&amp;"_"&amp;IX$11,[1]Opciones!$AQ:$AQ)</f>
        <v>#VALUE!</v>
      </c>
      <c r="IY4" t="e">
        <f>+SUMIF([1]Cartera!$R:$R,$A4&amp;"_"&amp;IY$11,[1]Cartera!$I:$I)+SUMIF([1]Futuros!$AD:$AD,$A4&amp;"_"&amp;IY$11,[1]Futuros!$AK:$AK)+SUMIF([1]Opciones!$AF:$AF,$A4&amp;"_"&amp;IY$11,[1]Opciones!$AQ:$AQ)</f>
        <v>#VALUE!</v>
      </c>
      <c r="IZ4" t="e">
        <f>+SUMIF([1]Cartera!$R:$R,$A4&amp;"_"&amp;IZ$11,[1]Cartera!$I:$I)+SUMIF([1]Futuros!$AD:$AD,$A4&amp;"_"&amp;IZ$11,[1]Futuros!$AK:$AK)+SUMIF([1]Opciones!$AF:$AF,$A4&amp;"_"&amp;IZ$11,[1]Opciones!$AQ:$AQ)</f>
        <v>#VALUE!</v>
      </c>
      <c r="JA4" t="e">
        <f>+SUMIF([1]Cartera!$R:$R,$A4&amp;"_"&amp;JA$11,[1]Cartera!$I:$I)+SUMIF([1]Futuros!$AD:$AD,$A4&amp;"_"&amp;JA$11,[1]Futuros!$AK:$AK)+SUMIF([1]Opciones!$AF:$AF,$A4&amp;"_"&amp;JA$11,[1]Opciones!$AQ:$AQ)</f>
        <v>#VALUE!</v>
      </c>
      <c r="JB4" t="e">
        <f>+SUMIF([1]Cartera!$R:$R,$A4&amp;"_"&amp;JB$11,[1]Cartera!$I:$I)+SUMIF([1]Futuros!$AD:$AD,$A4&amp;"_"&amp;JB$11,[1]Futuros!$AK:$AK)+SUMIF([1]Opciones!$AF:$AF,$A4&amp;"_"&amp;JB$11,[1]Opciones!$AQ:$AQ)</f>
        <v>#VALUE!</v>
      </c>
      <c r="JC4" t="e">
        <f>+SUMIF([1]Cartera!$R:$R,$A4&amp;"_"&amp;JC$11,[1]Cartera!$I:$I)+SUMIF([1]Futuros!$AD:$AD,$A4&amp;"_"&amp;JC$11,[1]Futuros!$AK:$AK)+SUMIF([1]Opciones!$AF:$AF,$A4&amp;"_"&amp;JC$11,[1]Opciones!$AQ:$AQ)</f>
        <v>#VALUE!</v>
      </c>
      <c r="JD4" t="e">
        <f>+SUMIF([1]Cartera!$R:$R,$A4&amp;"_"&amp;JD$11,[1]Cartera!$I:$I)+SUMIF([1]Futuros!$AD:$AD,$A4&amp;"_"&amp;JD$11,[1]Futuros!$AK:$AK)+SUMIF([1]Opciones!$AF:$AF,$A4&amp;"_"&amp;JD$11,[1]Opciones!$AQ:$AQ)</f>
        <v>#VALUE!</v>
      </c>
      <c r="JE4" t="e">
        <f>+SUMIF([1]Cartera!$R:$R,$A4&amp;"_"&amp;JE$11,[1]Cartera!$I:$I)+SUMIF([1]Futuros!$AD:$AD,$A4&amp;"_"&amp;JE$11,[1]Futuros!$AK:$AK)+SUMIF([1]Opciones!$AF:$AF,$A4&amp;"_"&amp;JE$11,[1]Opciones!$AQ:$AQ)</f>
        <v>#VALUE!</v>
      </c>
      <c r="JF4" t="e">
        <f>+SUMIF([1]Cartera!$R:$R,$A4&amp;"_"&amp;JF$11,[1]Cartera!$I:$I)+SUMIF([1]Futuros!$AD:$AD,$A4&amp;"_"&amp;JF$11,[1]Futuros!$AK:$AK)+SUMIF([1]Opciones!$AF:$AF,$A4&amp;"_"&amp;JF$11,[1]Opciones!$AQ:$AQ)</f>
        <v>#VALUE!</v>
      </c>
      <c r="JG4" t="e">
        <f>+SUMIF([1]Cartera!$R:$R,$A4&amp;"_"&amp;JG$11,[1]Cartera!$I:$I)+SUMIF([1]Futuros!$AD:$AD,$A4&amp;"_"&amp;JG$11,[1]Futuros!$AK:$AK)+SUMIF([1]Opciones!$AF:$AF,$A4&amp;"_"&amp;JG$11,[1]Opciones!$AQ:$AQ)</f>
        <v>#VALUE!</v>
      </c>
      <c r="JH4" t="e">
        <f>+SUMIF([1]Cartera!$R:$R,$A4&amp;"_"&amp;JH$11,[1]Cartera!$I:$I)+SUMIF([1]Futuros!$AD:$AD,$A4&amp;"_"&amp;JH$11,[1]Futuros!$AK:$AK)+SUMIF([1]Opciones!$AF:$AF,$A4&amp;"_"&amp;JH$11,[1]Opciones!$AQ:$AQ)</f>
        <v>#VALUE!</v>
      </c>
      <c r="JI4" t="e">
        <f>+SUMIF([1]Cartera!$R:$R,$A4&amp;"_"&amp;JI$11,[1]Cartera!$I:$I)+SUMIF([1]Futuros!$AD:$AD,$A4&amp;"_"&amp;JI$11,[1]Futuros!$AK:$AK)+SUMIF([1]Opciones!$AF:$AF,$A4&amp;"_"&amp;JI$11,[1]Opciones!$AQ:$AQ)</f>
        <v>#VALUE!</v>
      </c>
      <c r="JJ4" t="e">
        <f>+SUMIF([1]Cartera!$R:$R,$A4&amp;"_"&amp;JJ$11,[1]Cartera!$I:$I)+SUMIF([1]Futuros!$AD:$AD,$A4&amp;"_"&amp;JJ$11,[1]Futuros!$AK:$AK)+SUMIF([1]Opciones!$AF:$AF,$A4&amp;"_"&amp;JJ$11,[1]Opciones!$AQ:$AQ)</f>
        <v>#VALUE!</v>
      </c>
      <c r="JK4" t="e">
        <f>+SUMIF([1]Cartera!$R:$R,$A4&amp;"_"&amp;JK$11,[1]Cartera!$I:$I)+SUMIF([1]Futuros!$AD:$AD,$A4&amp;"_"&amp;JK$11,[1]Futuros!$AK:$AK)+SUMIF([1]Opciones!$AF:$AF,$A4&amp;"_"&amp;JK$11,[1]Opciones!$AQ:$AQ)</f>
        <v>#VALUE!</v>
      </c>
      <c r="JL4" t="e">
        <f>+SUMIF([1]Cartera!$R:$R,$A4&amp;"_"&amp;JL$11,[1]Cartera!$I:$I)+SUMIF([1]Futuros!$AD:$AD,$A4&amp;"_"&amp;JL$11,[1]Futuros!$AK:$AK)+SUMIF([1]Opciones!$AF:$AF,$A4&amp;"_"&amp;JL$11,[1]Opciones!$AQ:$AQ)</f>
        <v>#VALUE!</v>
      </c>
      <c r="JM4" t="e">
        <f>+SUMIF([1]Cartera!$R:$R,$A4&amp;"_"&amp;JM$11,[1]Cartera!$I:$I)+SUMIF([1]Futuros!$AD:$AD,$A4&amp;"_"&amp;JM$11,[1]Futuros!$AK:$AK)+SUMIF([1]Opciones!$AF:$AF,$A4&amp;"_"&amp;JM$11,[1]Opciones!$AQ:$AQ)</f>
        <v>#VALUE!</v>
      </c>
      <c r="JN4" t="e">
        <f>+SUMIF([1]Cartera!$R:$R,$A4&amp;"_"&amp;JN$11,[1]Cartera!$I:$I)+SUMIF([1]Futuros!$AD:$AD,$A4&amp;"_"&amp;JN$11,[1]Futuros!$AK:$AK)+SUMIF([1]Opciones!$AF:$AF,$A4&amp;"_"&amp;JN$11,[1]Opciones!$AQ:$AQ)</f>
        <v>#VALUE!</v>
      </c>
      <c r="JO4" t="e">
        <f>+SUMIF([1]Cartera!$R:$R,$A4&amp;"_"&amp;JO$11,[1]Cartera!$I:$I)+SUMIF([1]Futuros!$AD:$AD,$A4&amp;"_"&amp;JO$11,[1]Futuros!$AK:$AK)+SUMIF([1]Opciones!$AF:$AF,$A4&amp;"_"&amp;JO$11,[1]Opciones!$AQ:$AQ)</f>
        <v>#VALUE!</v>
      </c>
      <c r="JP4" t="e">
        <f>+SUMIF([1]Cartera!$R:$R,$A4&amp;"_"&amp;JP$11,[1]Cartera!$I:$I)+SUMIF([1]Futuros!$AD:$AD,$A4&amp;"_"&amp;JP$11,[1]Futuros!$AK:$AK)+SUMIF([1]Opciones!$AF:$AF,$A4&amp;"_"&amp;JP$11,[1]Opciones!$AQ:$AQ)</f>
        <v>#VALUE!</v>
      </c>
      <c r="JQ4" t="e">
        <f>+SUMIF([1]Cartera!$R:$R,$A4&amp;"_"&amp;JQ$11,[1]Cartera!$I:$I)+SUMIF([1]Futuros!$AD:$AD,$A4&amp;"_"&amp;JQ$11,[1]Futuros!$AK:$AK)+SUMIF([1]Opciones!$AF:$AF,$A4&amp;"_"&amp;JQ$11,[1]Opciones!$AQ:$AQ)</f>
        <v>#VALUE!</v>
      </c>
      <c r="JR4" t="e">
        <f>+SUMIF([1]Cartera!$R:$R,$A4&amp;"_"&amp;JR$11,[1]Cartera!$I:$I)+SUMIF([1]Futuros!$AD:$AD,$A4&amp;"_"&amp;JR$11,[1]Futuros!$AK:$AK)+SUMIF([1]Opciones!$AF:$AF,$A4&amp;"_"&amp;JR$11,[1]Opciones!$AQ:$AQ)</f>
        <v>#VALUE!</v>
      </c>
      <c r="JS4" t="e">
        <f>+SUMIF([1]Cartera!$R:$R,$A4&amp;"_"&amp;JS$11,[1]Cartera!$I:$I)+SUMIF([1]Futuros!$AD:$AD,$A4&amp;"_"&amp;JS$11,[1]Futuros!$AK:$AK)+SUMIF([1]Opciones!$AF:$AF,$A4&amp;"_"&amp;JS$11,[1]Opciones!$AQ:$AQ)</f>
        <v>#VALUE!</v>
      </c>
      <c r="JT4" t="e">
        <f>+SUMIF([1]Cartera!$R:$R,$A4&amp;"_"&amp;JT$11,[1]Cartera!$I:$I)+SUMIF([1]Futuros!$AD:$AD,$A4&amp;"_"&amp;JT$11,[1]Futuros!$AK:$AK)+SUMIF([1]Opciones!$AF:$AF,$A4&amp;"_"&amp;JT$11,[1]Opciones!$AQ:$AQ)</f>
        <v>#VALUE!</v>
      </c>
      <c r="JU4" t="e">
        <f>+SUMIF([1]Cartera!$R:$R,$A4&amp;"_"&amp;JU$11,[1]Cartera!$I:$I)+SUMIF([1]Futuros!$AD:$AD,$A4&amp;"_"&amp;JU$11,[1]Futuros!$AK:$AK)+SUMIF([1]Opciones!$AF:$AF,$A4&amp;"_"&amp;JU$11,[1]Opciones!$AQ:$AQ)</f>
        <v>#VALUE!</v>
      </c>
      <c r="JV4" t="e">
        <f>+SUMIF([1]Cartera!$R:$R,$A4&amp;"_"&amp;JV$11,[1]Cartera!$I:$I)+SUMIF([1]Futuros!$AD:$AD,$A4&amp;"_"&amp;JV$11,[1]Futuros!$AK:$AK)+SUMIF([1]Opciones!$AF:$AF,$A4&amp;"_"&amp;JV$11,[1]Opciones!$AQ:$AQ)</f>
        <v>#VALUE!</v>
      </c>
      <c r="JW4" t="e">
        <f>+SUMIF([1]Cartera!$R:$R,$A4&amp;"_"&amp;JW$11,[1]Cartera!$I:$I)+SUMIF([1]Futuros!$AD:$AD,$A4&amp;"_"&amp;JW$11,[1]Futuros!$AK:$AK)+SUMIF([1]Opciones!$AF:$AF,$A4&amp;"_"&amp;JW$11,[1]Opciones!$AQ:$AQ)</f>
        <v>#VALUE!</v>
      </c>
      <c r="JX4" t="e">
        <f>+SUMIF([1]Cartera!$R:$R,$A4&amp;"_"&amp;JX$11,[1]Cartera!$I:$I)+SUMIF([1]Futuros!$AD:$AD,$A4&amp;"_"&amp;JX$11,[1]Futuros!$AK:$AK)+SUMIF([1]Opciones!$AF:$AF,$A4&amp;"_"&amp;JX$11,[1]Opciones!$AQ:$AQ)</f>
        <v>#VALUE!</v>
      </c>
      <c r="JY4" t="e">
        <f>+SUMIF([1]Cartera!$R:$R,$A4&amp;"_"&amp;JY$11,[1]Cartera!$I:$I)+SUMIF([1]Futuros!$AD:$AD,$A4&amp;"_"&amp;JY$11,[1]Futuros!$AK:$AK)+SUMIF([1]Opciones!$AF:$AF,$A4&amp;"_"&amp;JY$11,[1]Opciones!$AQ:$AQ)</f>
        <v>#VALUE!</v>
      </c>
      <c r="JZ4" t="e">
        <f>+SUMIF([1]Cartera!$R:$R,$A4&amp;"_"&amp;JZ$11,[1]Cartera!$I:$I)+SUMIF([1]Futuros!$AD:$AD,$A4&amp;"_"&amp;JZ$11,[1]Futuros!$AK:$AK)+SUMIF([1]Opciones!$AF:$AF,$A4&amp;"_"&amp;JZ$11,[1]Opciones!$AQ:$AQ)</f>
        <v>#VALUE!</v>
      </c>
      <c r="KA4" t="e">
        <f>+SUMIF([1]Cartera!$R:$R,$A4&amp;"_"&amp;KA$11,[1]Cartera!$I:$I)+SUMIF([1]Futuros!$AD:$AD,$A4&amp;"_"&amp;KA$11,[1]Futuros!$AK:$AK)+SUMIF([1]Opciones!$AF:$AF,$A4&amp;"_"&amp;KA$11,[1]Opciones!$AQ:$AQ)</f>
        <v>#VALUE!</v>
      </c>
      <c r="KB4" t="e">
        <f>+SUMIF([1]Cartera!$R:$R,$A4&amp;"_"&amp;KB$11,[1]Cartera!$I:$I)+SUMIF([1]Futuros!$AD:$AD,$A4&amp;"_"&amp;KB$11,[1]Futuros!$AK:$AK)+SUMIF([1]Opciones!$AF:$AF,$A4&amp;"_"&amp;KB$11,[1]Opciones!$AQ:$AQ)</f>
        <v>#VALUE!</v>
      </c>
      <c r="KC4" t="e">
        <f>+SUMIF([1]Cartera!$R:$R,$A4&amp;"_"&amp;KC$11,[1]Cartera!$I:$I)+SUMIF([1]Futuros!$AD:$AD,$A4&amp;"_"&amp;KC$11,[1]Futuros!$AK:$AK)+SUMIF([1]Opciones!$AF:$AF,$A4&amp;"_"&amp;KC$11,[1]Opciones!$AQ:$AQ)</f>
        <v>#VALUE!</v>
      </c>
      <c r="KD4" t="e">
        <f>+SUMIF([1]Cartera!$R:$R,$A4&amp;"_"&amp;KD$11,[1]Cartera!$I:$I)+SUMIF([1]Futuros!$AD:$AD,$A4&amp;"_"&amp;KD$11,[1]Futuros!$AK:$AK)+SUMIF([1]Opciones!$AF:$AF,$A4&amp;"_"&amp;KD$11,[1]Opciones!$AQ:$AQ)</f>
        <v>#VALUE!</v>
      </c>
      <c r="KE4" t="e">
        <f>+SUMIF([1]Cartera!$R:$R,$A4&amp;"_"&amp;KE$11,[1]Cartera!$I:$I)+SUMIF([1]Futuros!$AD:$AD,$A4&amp;"_"&amp;KE$11,[1]Futuros!$AK:$AK)+SUMIF([1]Opciones!$AF:$AF,$A4&amp;"_"&amp;KE$11,[1]Opciones!$AQ:$AQ)</f>
        <v>#VALUE!</v>
      </c>
      <c r="KF4" t="e">
        <f>+SUMIF([1]Cartera!$R:$R,$A4&amp;"_"&amp;KF$11,[1]Cartera!$I:$I)+SUMIF([1]Futuros!$AD:$AD,$A4&amp;"_"&amp;KF$11,[1]Futuros!$AK:$AK)+SUMIF([1]Opciones!$AF:$AF,$A4&amp;"_"&amp;KF$11,[1]Opciones!$AQ:$AQ)</f>
        <v>#VALUE!</v>
      </c>
      <c r="KG4" t="e">
        <f>+SUMIF([1]Cartera!$R:$R,$A4&amp;"_"&amp;KG$11,[1]Cartera!$I:$I)+SUMIF([1]Futuros!$AD:$AD,$A4&amp;"_"&amp;KG$11,[1]Futuros!$AK:$AK)+SUMIF([1]Opciones!$AF:$AF,$A4&amp;"_"&amp;KG$11,[1]Opciones!$AQ:$AQ)</f>
        <v>#VALUE!</v>
      </c>
      <c r="KH4" t="e">
        <f>+SUMIF([1]Cartera!$R:$R,$A4&amp;"_"&amp;KH$11,[1]Cartera!$I:$I)+SUMIF([1]Futuros!$AD:$AD,$A4&amp;"_"&amp;KH$11,[1]Futuros!$AK:$AK)+SUMIF([1]Opciones!$AF:$AF,$A4&amp;"_"&amp;KH$11,[1]Opciones!$AQ:$AQ)</f>
        <v>#VALUE!</v>
      </c>
      <c r="KI4" t="e">
        <f>+SUMIF([1]Cartera!$R:$R,$A4&amp;"_"&amp;KI$11,[1]Cartera!$I:$I)+SUMIF([1]Futuros!$AD:$AD,$A4&amp;"_"&amp;KI$11,[1]Futuros!$AK:$AK)+SUMIF([1]Opciones!$AF:$AF,$A4&amp;"_"&amp;KI$11,[1]Opciones!$AQ:$AQ)</f>
        <v>#VALUE!</v>
      </c>
      <c r="KJ4" t="e">
        <f>+SUMIF([1]Cartera!$R:$R,$A4&amp;"_"&amp;KJ$11,[1]Cartera!$I:$I)+SUMIF([1]Futuros!$AD:$AD,$A4&amp;"_"&amp;KJ$11,[1]Futuros!$AK:$AK)+SUMIF([1]Opciones!$AF:$AF,$A4&amp;"_"&amp;KJ$11,[1]Opciones!$AQ:$AQ)</f>
        <v>#VALUE!</v>
      </c>
      <c r="KK4" t="e">
        <f>+SUMIF([1]Cartera!$R:$R,$A4&amp;"_"&amp;KK$11,[1]Cartera!$I:$I)+SUMIF([1]Futuros!$AD:$AD,$A4&amp;"_"&amp;KK$11,[1]Futuros!$AK:$AK)+SUMIF([1]Opciones!$AF:$AF,$A4&amp;"_"&amp;KK$11,[1]Opciones!$AQ:$AQ)</f>
        <v>#VALUE!</v>
      </c>
      <c r="KL4" t="e">
        <f>+SUMIF([1]Cartera!$R:$R,$A4&amp;"_"&amp;KL$11,[1]Cartera!$I:$I)+SUMIF([1]Futuros!$AD:$AD,$A4&amp;"_"&amp;KL$11,[1]Futuros!$AK:$AK)+SUMIF([1]Opciones!$AF:$AF,$A4&amp;"_"&amp;KL$11,[1]Opciones!$AQ:$AQ)</f>
        <v>#VALUE!</v>
      </c>
      <c r="KM4" t="e">
        <f>+SUMIF([1]Cartera!$R:$R,$A4&amp;"_"&amp;KM$11,[1]Cartera!$I:$I)+SUMIF([1]Futuros!$AD:$AD,$A4&amp;"_"&amp;KM$11,[1]Futuros!$AK:$AK)+SUMIF([1]Opciones!$AF:$AF,$A4&amp;"_"&amp;KM$11,[1]Opciones!$AQ:$AQ)</f>
        <v>#VALUE!</v>
      </c>
      <c r="KN4" t="e">
        <f>+SUMIF([1]Cartera!$R:$R,$A4&amp;"_"&amp;KN$11,[1]Cartera!$I:$I)+SUMIF([1]Futuros!$AD:$AD,$A4&amp;"_"&amp;KN$11,[1]Futuros!$AK:$AK)+SUMIF([1]Opciones!$AF:$AF,$A4&amp;"_"&amp;KN$11,[1]Opciones!$AQ:$AQ)</f>
        <v>#VALUE!</v>
      </c>
      <c r="KO4" t="e">
        <f>+SUMIF([1]Cartera!$R:$R,$A4&amp;"_"&amp;KO$11,[1]Cartera!$I:$I)+SUMIF([1]Futuros!$AD:$AD,$A4&amp;"_"&amp;KO$11,[1]Futuros!$AK:$AK)+SUMIF([1]Opciones!$AF:$AF,$A4&amp;"_"&amp;KO$11,[1]Opciones!$AQ:$AQ)</f>
        <v>#VALUE!</v>
      </c>
      <c r="KP4" t="e">
        <f>+SUMIF([1]Cartera!$R:$R,$A4&amp;"_"&amp;KP$11,[1]Cartera!$I:$I)+SUMIF([1]Futuros!$AD:$AD,$A4&amp;"_"&amp;KP$11,[1]Futuros!$AK:$AK)+SUMIF([1]Opciones!$AF:$AF,$A4&amp;"_"&amp;KP$11,[1]Opciones!$AQ:$AQ)</f>
        <v>#VALUE!</v>
      </c>
      <c r="KQ4" t="e">
        <f>+SUMIF([1]Cartera!$R:$R,$A4&amp;"_"&amp;KQ$11,[1]Cartera!$I:$I)+SUMIF([1]Futuros!$AD:$AD,$A4&amp;"_"&amp;KQ$11,[1]Futuros!$AK:$AK)+SUMIF([1]Opciones!$AF:$AF,$A4&amp;"_"&amp;KQ$11,[1]Opciones!$AQ:$AQ)</f>
        <v>#VALUE!</v>
      </c>
      <c r="KR4" t="e">
        <f>+SUMIF([1]Cartera!$R:$R,$A4&amp;"_"&amp;KR$11,[1]Cartera!$I:$I)+SUMIF([1]Futuros!$AD:$AD,$A4&amp;"_"&amp;KR$11,[1]Futuros!$AK:$AK)+SUMIF([1]Opciones!$AF:$AF,$A4&amp;"_"&amp;KR$11,[1]Opciones!$AQ:$AQ)</f>
        <v>#VALUE!</v>
      </c>
      <c r="KS4" t="e">
        <f>+SUMIF([1]Cartera!$R:$R,$A4&amp;"_"&amp;KS$11,[1]Cartera!$I:$I)+SUMIF([1]Futuros!$AD:$AD,$A4&amp;"_"&amp;KS$11,[1]Futuros!$AK:$AK)+SUMIF([1]Opciones!$AF:$AF,$A4&amp;"_"&amp;KS$11,[1]Opciones!$AQ:$AQ)</f>
        <v>#VALUE!</v>
      </c>
      <c r="KT4" t="e">
        <f>+SUMIF([1]Cartera!$R:$R,$A4&amp;"_"&amp;KT$11,[1]Cartera!$I:$I)+SUMIF([1]Futuros!$AD:$AD,$A4&amp;"_"&amp;KT$11,[1]Futuros!$AK:$AK)+SUMIF([1]Opciones!$AF:$AF,$A4&amp;"_"&amp;KT$11,[1]Opciones!$AQ:$AQ)</f>
        <v>#VALUE!</v>
      </c>
      <c r="KU4" t="e">
        <f>+SUMIF([1]Cartera!$R:$R,$A4&amp;"_"&amp;KU$11,[1]Cartera!$I:$I)+SUMIF([1]Futuros!$AD:$AD,$A4&amp;"_"&amp;KU$11,[1]Futuros!$AK:$AK)+SUMIF([1]Opciones!$AF:$AF,$A4&amp;"_"&amp;KU$11,[1]Opciones!$AQ:$AQ)</f>
        <v>#VALUE!</v>
      </c>
      <c r="KV4" t="e">
        <f>+SUMIF([1]Cartera!$R:$R,$A4&amp;"_"&amp;KV$11,[1]Cartera!$I:$I)+SUMIF([1]Futuros!$AD:$AD,$A4&amp;"_"&amp;KV$11,[1]Futuros!$AK:$AK)+SUMIF([1]Opciones!$AF:$AF,$A4&amp;"_"&amp;KV$11,[1]Opciones!$AQ:$AQ)</f>
        <v>#VALUE!</v>
      </c>
      <c r="KW4" t="e">
        <f>+SUMIF([1]Cartera!$R:$R,$A4&amp;"_"&amp;KW$11,[1]Cartera!$I:$I)+SUMIF([1]Futuros!$AD:$AD,$A4&amp;"_"&amp;KW$11,[1]Futuros!$AK:$AK)+SUMIF([1]Opciones!$AF:$AF,$A4&amp;"_"&amp;KW$11,[1]Opciones!$AQ:$AQ)</f>
        <v>#VALUE!</v>
      </c>
      <c r="KX4" t="e">
        <f>+SUMIF([1]Cartera!$R:$R,$A4&amp;"_"&amp;KX$11,[1]Cartera!$I:$I)+SUMIF([1]Futuros!$AD:$AD,$A4&amp;"_"&amp;KX$11,[1]Futuros!$AK:$AK)+SUMIF([1]Opciones!$AF:$AF,$A4&amp;"_"&amp;KX$11,[1]Opciones!$AQ:$AQ)</f>
        <v>#VALUE!</v>
      </c>
      <c r="KY4" t="e">
        <f>+SUMIF([1]Cartera!$R:$R,$A4&amp;"_"&amp;KY$11,[1]Cartera!$I:$I)+SUMIF([1]Futuros!$AD:$AD,$A4&amp;"_"&amp;KY$11,[1]Futuros!$AK:$AK)+SUMIF([1]Opciones!$AF:$AF,$A4&amp;"_"&amp;KY$11,[1]Opciones!$AQ:$AQ)</f>
        <v>#VALUE!</v>
      </c>
      <c r="KZ4" t="e">
        <f>+SUMIF([1]Cartera!$R:$R,$A4&amp;"_"&amp;KZ$11,[1]Cartera!$I:$I)+SUMIF([1]Futuros!$AD:$AD,$A4&amp;"_"&amp;KZ$11,[1]Futuros!$AK:$AK)+SUMIF([1]Opciones!$AF:$AF,$A4&amp;"_"&amp;KZ$11,[1]Opciones!$AQ:$AQ)</f>
        <v>#VALUE!</v>
      </c>
      <c r="LA4" t="e">
        <f>+SUMIF([1]Cartera!$R:$R,$A4&amp;"_"&amp;LA$11,[1]Cartera!$I:$I)+SUMIF([1]Futuros!$AD:$AD,$A4&amp;"_"&amp;LA$11,[1]Futuros!$AK:$AK)+SUMIF([1]Opciones!$AF:$AF,$A4&amp;"_"&amp;LA$11,[1]Opciones!$AQ:$AQ)</f>
        <v>#VALUE!</v>
      </c>
      <c r="LB4" t="e">
        <f>+SUMIF([1]Cartera!$R:$R,$A4&amp;"_"&amp;LB$11,[1]Cartera!$I:$I)+SUMIF([1]Futuros!$AD:$AD,$A4&amp;"_"&amp;LB$11,[1]Futuros!$AK:$AK)+SUMIF([1]Opciones!$AF:$AF,$A4&amp;"_"&amp;LB$11,[1]Opciones!$AQ:$AQ)</f>
        <v>#VALUE!</v>
      </c>
      <c r="LC4" t="e">
        <f>+SUMIF([1]Cartera!$R:$R,$A4&amp;"_"&amp;LC$11,[1]Cartera!$I:$I)+SUMIF([1]Futuros!$AD:$AD,$A4&amp;"_"&amp;LC$11,[1]Futuros!$AK:$AK)+SUMIF([1]Opciones!$AF:$AF,$A4&amp;"_"&amp;LC$11,[1]Opciones!$AQ:$AQ)</f>
        <v>#VALUE!</v>
      </c>
      <c r="LD4" t="e">
        <f>+SUMIF([1]Cartera!$R:$R,$A4&amp;"_"&amp;LD$11,[1]Cartera!$I:$I)+SUMIF([1]Futuros!$AD:$AD,$A4&amp;"_"&amp;LD$11,[1]Futuros!$AK:$AK)+SUMIF([1]Opciones!$AF:$AF,$A4&amp;"_"&amp;LD$11,[1]Opciones!$AQ:$AQ)</f>
        <v>#VALUE!</v>
      </c>
      <c r="LE4" t="e">
        <f>+SUMIF([1]Cartera!$R:$R,$A4&amp;"_"&amp;LE$11,[1]Cartera!$I:$I)+SUMIF([1]Futuros!$AD:$AD,$A4&amp;"_"&amp;LE$11,[1]Futuros!$AK:$AK)+SUMIF([1]Opciones!$AF:$AF,$A4&amp;"_"&amp;LE$11,[1]Opciones!$AQ:$AQ)</f>
        <v>#VALUE!</v>
      </c>
      <c r="LF4" t="e">
        <f>+SUMIF([1]Cartera!$R:$R,$A4&amp;"_"&amp;LF$11,[1]Cartera!$I:$I)+SUMIF([1]Futuros!$AD:$AD,$A4&amp;"_"&amp;LF$11,[1]Futuros!$AK:$AK)+SUMIF([1]Opciones!$AF:$AF,$A4&amp;"_"&amp;LF$11,[1]Opciones!$AQ:$AQ)</f>
        <v>#VALUE!</v>
      </c>
      <c r="LG4" t="e">
        <f>+SUMIF([1]Cartera!$R:$R,$A4&amp;"_"&amp;LG$11,[1]Cartera!$I:$I)+SUMIF([1]Futuros!$AD:$AD,$A4&amp;"_"&amp;LG$11,[1]Futuros!$AK:$AK)+SUMIF([1]Opciones!$AF:$AF,$A4&amp;"_"&amp;LG$11,[1]Opciones!$AQ:$AQ)</f>
        <v>#VALUE!</v>
      </c>
      <c r="LH4" t="e">
        <f>+SUMIF([1]Cartera!$R:$R,$A4&amp;"_"&amp;LH$11,[1]Cartera!$I:$I)+SUMIF([1]Futuros!$AD:$AD,$A4&amp;"_"&amp;LH$11,[1]Futuros!$AK:$AK)+SUMIF([1]Opciones!$AF:$AF,$A4&amp;"_"&amp;LH$11,[1]Opciones!$AQ:$AQ)</f>
        <v>#VALUE!</v>
      </c>
      <c r="LI4" t="e">
        <f>+SUMIF([1]Cartera!$R:$R,$A4&amp;"_"&amp;LI$11,[1]Cartera!$I:$I)+SUMIF([1]Futuros!$AD:$AD,$A4&amp;"_"&amp;LI$11,[1]Futuros!$AK:$AK)+SUMIF([1]Opciones!$AF:$AF,$A4&amp;"_"&amp;LI$11,[1]Opciones!$AQ:$AQ)</f>
        <v>#VALUE!</v>
      </c>
      <c r="LJ4" t="e">
        <f>+SUMIF([1]Cartera!$R:$R,$A4&amp;"_"&amp;LJ$11,[1]Cartera!$I:$I)+SUMIF([1]Futuros!$AD:$AD,$A4&amp;"_"&amp;LJ$11,[1]Futuros!$AK:$AK)+SUMIF([1]Opciones!$AF:$AF,$A4&amp;"_"&amp;LJ$11,[1]Opciones!$AQ:$AQ)</f>
        <v>#VALUE!</v>
      </c>
      <c r="LK4" t="e">
        <f>+SUMIF([1]Cartera!$R:$R,$A4&amp;"_"&amp;LK$11,[1]Cartera!$I:$I)+SUMIF([1]Futuros!$AD:$AD,$A4&amp;"_"&amp;LK$11,[1]Futuros!$AK:$AK)+SUMIF([1]Opciones!$AF:$AF,$A4&amp;"_"&amp;LK$11,[1]Opciones!$AQ:$AQ)</f>
        <v>#VALUE!</v>
      </c>
      <c r="LL4" t="e">
        <f>+SUMIF([1]Cartera!$R:$R,$A4&amp;"_"&amp;LL$11,[1]Cartera!$I:$I)+SUMIF([1]Futuros!$AD:$AD,$A4&amp;"_"&amp;LL$11,[1]Futuros!$AK:$AK)+SUMIF([1]Opciones!$AF:$AF,$A4&amp;"_"&amp;LL$11,[1]Opciones!$AQ:$AQ)</f>
        <v>#VALUE!</v>
      </c>
      <c r="LM4" t="e">
        <f>+SUMIF([1]Cartera!$R:$R,$A4&amp;"_"&amp;LM$11,[1]Cartera!$I:$I)+SUMIF([1]Futuros!$AD:$AD,$A4&amp;"_"&amp;LM$11,[1]Futuros!$AK:$AK)+SUMIF([1]Opciones!$AF:$AF,$A4&amp;"_"&amp;LM$11,[1]Opciones!$AQ:$AQ)</f>
        <v>#VALUE!</v>
      </c>
      <c r="LN4" t="e">
        <f>+SUMIF([1]Cartera!$R:$R,$A4&amp;"_"&amp;LN$11,[1]Cartera!$I:$I)+SUMIF([1]Futuros!$AD:$AD,$A4&amp;"_"&amp;LN$11,[1]Futuros!$AK:$AK)+SUMIF([1]Opciones!$AF:$AF,$A4&amp;"_"&amp;LN$11,[1]Opciones!$AQ:$AQ)</f>
        <v>#VALUE!</v>
      </c>
      <c r="LO4" t="e">
        <f>+SUMIF([1]Cartera!$R:$R,$A4&amp;"_"&amp;LO$11,[1]Cartera!$I:$I)+SUMIF([1]Futuros!$AD:$AD,$A4&amp;"_"&amp;LO$11,[1]Futuros!$AK:$AK)+SUMIF([1]Opciones!$AF:$AF,$A4&amp;"_"&amp;LO$11,[1]Opciones!$AQ:$AQ)</f>
        <v>#VALUE!</v>
      </c>
      <c r="LP4" t="e">
        <f>+SUMIF([1]Cartera!$R:$R,$A4&amp;"_"&amp;LP$11,[1]Cartera!$I:$I)+SUMIF([1]Futuros!$AD:$AD,$A4&amp;"_"&amp;LP$11,[1]Futuros!$AK:$AK)+SUMIF([1]Opciones!$AF:$AF,$A4&amp;"_"&amp;LP$11,[1]Opciones!$AQ:$AQ)</f>
        <v>#VALUE!</v>
      </c>
      <c r="LQ4" t="e">
        <f>+SUMIF([1]Cartera!$R:$R,$A4&amp;"_"&amp;LQ$11,[1]Cartera!$I:$I)+SUMIF([1]Futuros!$AD:$AD,$A4&amp;"_"&amp;LQ$11,[1]Futuros!$AK:$AK)+SUMIF([1]Opciones!$AF:$AF,$A4&amp;"_"&amp;LQ$11,[1]Opciones!$AQ:$AQ)</f>
        <v>#VALUE!</v>
      </c>
      <c r="LR4" t="e">
        <f>+SUMIF([1]Cartera!$R:$R,$A4&amp;"_"&amp;LR$11,[1]Cartera!$I:$I)+SUMIF([1]Futuros!$AD:$AD,$A4&amp;"_"&amp;LR$11,[1]Futuros!$AK:$AK)+SUMIF([1]Opciones!$AF:$AF,$A4&amp;"_"&amp;LR$11,[1]Opciones!$AQ:$AQ)</f>
        <v>#VALUE!</v>
      </c>
      <c r="LS4" t="e">
        <f>+SUMIF([1]Cartera!$R:$R,$A4&amp;"_"&amp;LS$11,[1]Cartera!$I:$I)+SUMIF([1]Futuros!$AD:$AD,$A4&amp;"_"&amp;LS$11,[1]Futuros!$AK:$AK)+SUMIF([1]Opciones!$AF:$AF,$A4&amp;"_"&amp;LS$11,[1]Opciones!$AQ:$AQ)</f>
        <v>#VALUE!</v>
      </c>
      <c r="LT4" t="e">
        <f>+SUMIF([1]Cartera!$R:$R,$A4&amp;"_"&amp;LT$11,[1]Cartera!$I:$I)+SUMIF([1]Futuros!$AD:$AD,$A4&amp;"_"&amp;LT$11,[1]Futuros!$AK:$AK)+SUMIF([1]Opciones!$AF:$AF,$A4&amp;"_"&amp;LT$11,[1]Opciones!$AQ:$AQ)</f>
        <v>#VALUE!</v>
      </c>
      <c r="LU4" t="e">
        <f>+SUMIF([1]Cartera!$R:$R,$A4&amp;"_"&amp;LU$11,[1]Cartera!$I:$I)+SUMIF([1]Futuros!$AD:$AD,$A4&amp;"_"&amp;LU$11,[1]Futuros!$AK:$AK)+SUMIF([1]Opciones!$AF:$AF,$A4&amp;"_"&amp;LU$11,[1]Opciones!$AQ:$AQ)</f>
        <v>#VALUE!</v>
      </c>
      <c r="LV4" t="e">
        <f>+SUMIF([1]Cartera!$R:$R,$A4&amp;"_"&amp;LV$11,[1]Cartera!$I:$I)+SUMIF([1]Futuros!$AD:$AD,$A4&amp;"_"&amp;LV$11,[1]Futuros!$AK:$AK)+SUMIF([1]Opciones!$AF:$AF,$A4&amp;"_"&amp;LV$11,[1]Opciones!$AQ:$AQ)</f>
        <v>#VALUE!</v>
      </c>
      <c r="LW4" t="e">
        <f>+SUMIF([1]Cartera!$R:$R,$A4&amp;"_"&amp;LW$11,[1]Cartera!$I:$I)+SUMIF([1]Futuros!$AD:$AD,$A4&amp;"_"&amp;LW$11,[1]Futuros!$AK:$AK)+SUMIF([1]Opciones!$AF:$AF,$A4&amp;"_"&amp;LW$11,[1]Opciones!$AQ:$AQ)</f>
        <v>#VALUE!</v>
      </c>
      <c r="LX4" t="e">
        <f>+SUMIF([1]Cartera!$R:$R,$A4&amp;"_"&amp;LX$11,[1]Cartera!$I:$I)+SUMIF([1]Futuros!$AD:$AD,$A4&amp;"_"&amp;LX$11,[1]Futuros!$AK:$AK)+SUMIF([1]Opciones!$AF:$AF,$A4&amp;"_"&amp;LX$11,[1]Opciones!$AQ:$AQ)</f>
        <v>#VALUE!</v>
      </c>
      <c r="LY4" t="e">
        <f>+SUMIF([1]Cartera!$R:$R,$A4&amp;"_"&amp;LY$11,[1]Cartera!$I:$I)+SUMIF([1]Futuros!$AD:$AD,$A4&amp;"_"&amp;LY$11,[1]Futuros!$AK:$AK)+SUMIF([1]Opciones!$AF:$AF,$A4&amp;"_"&amp;LY$11,[1]Opciones!$AQ:$AQ)</f>
        <v>#VALUE!</v>
      </c>
      <c r="LZ4" t="e">
        <f>+SUMIF([1]Cartera!$R:$R,$A4&amp;"_"&amp;LZ$11,[1]Cartera!$I:$I)+SUMIF([1]Futuros!$AD:$AD,$A4&amp;"_"&amp;LZ$11,[1]Futuros!$AK:$AK)+SUMIF([1]Opciones!$AF:$AF,$A4&amp;"_"&amp;LZ$11,[1]Opciones!$AQ:$AQ)</f>
        <v>#VALUE!</v>
      </c>
      <c r="MA4" t="e">
        <f>+SUMIF([1]Cartera!$R:$R,$A4&amp;"_"&amp;MA$11,[1]Cartera!$I:$I)+SUMIF([1]Futuros!$AD:$AD,$A4&amp;"_"&amp;MA$11,[1]Futuros!$AK:$AK)+SUMIF([1]Opciones!$AF:$AF,$A4&amp;"_"&amp;MA$11,[1]Opciones!$AQ:$AQ)</f>
        <v>#VALUE!</v>
      </c>
      <c r="MB4" t="e">
        <f>+SUMIF([1]Cartera!$R:$R,$A4&amp;"_"&amp;MB$11,[1]Cartera!$I:$I)+SUMIF([1]Futuros!$AD:$AD,$A4&amp;"_"&amp;MB$11,[1]Futuros!$AK:$AK)+SUMIF([1]Opciones!$AF:$AF,$A4&amp;"_"&amp;MB$11,[1]Opciones!$AQ:$AQ)</f>
        <v>#VALUE!</v>
      </c>
      <c r="MC4" t="e">
        <f>+SUMIF([1]Cartera!$R:$R,$A4&amp;"_"&amp;MC$11,[1]Cartera!$I:$I)+SUMIF([1]Futuros!$AD:$AD,$A4&amp;"_"&amp;MC$11,[1]Futuros!$AK:$AK)+SUMIF([1]Opciones!$AF:$AF,$A4&amp;"_"&amp;MC$11,[1]Opciones!$AQ:$AQ)</f>
        <v>#VALUE!</v>
      </c>
      <c r="MD4" t="e">
        <f>+SUMIF([1]Cartera!$R:$R,$A4&amp;"_"&amp;MD$11,[1]Cartera!$I:$I)+SUMIF([1]Futuros!$AD:$AD,$A4&amp;"_"&amp;MD$11,[1]Futuros!$AK:$AK)+SUMIF([1]Opciones!$AF:$AF,$A4&amp;"_"&amp;MD$11,[1]Opciones!$AQ:$AQ)</f>
        <v>#VALUE!</v>
      </c>
      <c r="ME4" t="e">
        <f>+SUMIF([1]Cartera!$R:$R,$A4&amp;"_"&amp;ME$11,[1]Cartera!$I:$I)+SUMIF([1]Futuros!$AD:$AD,$A4&amp;"_"&amp;ME$11,[1]Futuros!$AK:$AK)+SUMIF([1]Opciones!$AF:$AF,$A4&amp;"_"&amp;ME$11,[1]Opciones!$AQ:$AQ)</f>
        <v>#VALUE!</v>
      </c>
      <c r="MF4" t="e">
        <f>+SUMIF([1]Cartera!$R:$R,$A4&amp;"_"&amp;MF$11,[1]Cartera!$I:$I)+SUMIF([1]Futuros!$AD:$AD,$A4&amp;"_"&amp;MF$11,[1]Futuros!$AK:$AK)+SUMIF([1]Opciones!$AF:$AF,$A4&amp;"_"&amp;MF$11,[1]Opciones!$AQ:$AQ)</f>
        <v>#VALUE!</v>
      </c>
      <c r="MG4" t="e">
        <f>+SUMIF([1]Cartera!$R:$R,$A4&amp;"_"&amp;MG$11,[1]Cartera!$I:$I)+SUMIF([1]Futuros!$AD:$AD,$A4&amp;"_"&amp;MG$11,[1]Futuros!$AK:$AK)+SUMIF([1]Opciones!$AF:$AF,$A4&amp;"_"&amp;MG$11,[1]Opciones!$AQ:$AQ)</f>
        <v>#VALUE!</v>
      </c>
      <c r="MH4" t="e">
        <f>+SUMIF([1]Cartera!$R:$R,$A4&amp;"_"&amp;MH$11,[1]Cartera!$I:$I)+SUMIF([1]Futuros!$AD:$AD,$A4&amp;"_"&amp;MH$11,[1]Futuros!$AK:$AK)+SUMIF([1]Opciones!$AF:$AF,$A4&amp;"_"&amp;MH$11,[1]Opciones!$AQ:$AQ)</f>
        <v>#VALUE!</v>
      </c>
      <c r="MI4" t="e">
        <f>+SUMIF([1]Cartera!$R:$R,$A4&amp;"_"&amp;MI$11,[1]Cartera!$I:$I)+SUMIF([1]Futuros!$AD:$AD,$A4&amp;"_"&amp;MI$11,[1]Futuros!$AK:$AK)+SUMIF([1]Opciones!$AF:$AF,$A4&amp;"_"&amp;MI$11,[1]Opciones!$AQ:$AQ)</f>
        <v>#VALUE!</v>
      </c>
      <c r="MJ4" t="e">
        <f>+SUMIF([1]Cartera!$R:$R,$A4&amp;"_"&amp;MJ$11,[1]Cartera!$I:$I)+SUMIF([1]Futuros!$AD:$AD,$A4&amp;"_"&amp;MJ$11,[1]Futuros!$AK:$AK)+SUMIF([1]Opciones!$AF:$AF,$A4&amp;"_"&amp;MJ$11,[1]Opciones!$AQ:$AQ)</f>
        <v>#VALUE!</v>
      </c>
      <c r="MK4" t="e">
        <f>+SUMIF([1]Cartera!$R:$R,$A4&amp;"_"&amp;MK$11,[1]Cartera!$I:$I)+SUMIF([1]Futuros!$AD:$AD,$A4&amp;"_"&amp;MK$11,[1]Futuros!$AK:$AK)+SUMIF([1]Opciones!$AF:$AF,$A4&amp;"_"&amp;MK$11,[1]Opciones!$AQ:$AQ)</f>
        <v>#VALUE!</v>
      </c>
      <c r="ML4" t="e">
        <f>+SUMIF([1]Cartera!$R:$R,$A4&amp;"_"&amp;ML$11,[1]Cartera!$I:$I)+SUMIF([1]Futuros!$AD:$AD,$A4&amp;"_"&amp;ML$11,[1]Futuros!$AK:$AK)+SUMIF([1]Opciones!$AF:$AF,$A4&amp;"_"&amp;ML$11,[1]Opciones!$AQ:$AQ)</f>
        <v>#VALUE!</v>
      </c>
      <c r="MM4" t="e">
        <f>+SUMIF([1]Cartera!$R:$R,$A4&amp;"_"&amp;MM$11,[1]Cartera!$I:$I)+SUMIF([1]Futuros!$AD:$AD,$A4&amp;"_"&amp;MM$11,[1]Futuros!$AK:$AK)+SUMIF([1]Opciones!$AF:$AF,$A4&amp;"_"&amp;MM$11,[1]Opciones!$AQ:$AQ)</f>
        <v>#VALUE!</v>
      </c>
      <c r="MN4" t="e">
        <f>+SUMIF([1]Cartera!$R:$R,$A4&amp;"_"&amp;MN$11,[1]Cartera!$I:$I)+SUMIF([1]Futuros!$AD:$AD,$A4&amp;"_"&amp;MN$11,[1]Futuros!$AK:$AK)+SUMIF([1]Opciones!$AF:$AF,$A4&amp;"_"&amp;MN$11,[1]Opciones!$AQ:$AQ)</f>
        <v>#VALUE!</v>
      </c>
      <c r="MO4" t="e">
        <f>+SUMIF([1]Cartera!$R:$R,$A4&amp;"_"&amp;MO$11,[1]Cartera!$I:$I)+SUMIF([1]Futuros!$AD:$AD,$A4&amp;"_"&amp;MO$11,[1]Futuros!$AK:$AK)+SUMIF([1]Opciones!$AF:$AF,$A4&amp;"_"&amp;MO$11,[1]Opciones!$AQ:$AQ)</f>
        <v>#VALUE!</v>
      </c>
      <c r="MP4" t="e">
        <f>+SUMIF([1]Cartera!$R:$R,$A4&amp;"_"&amp;MP$11,[1]Cartera!$I:$I)+SUMIF([1]Futuros!$AD:$AD,$A4&amp;"_"&amp;MP$11,[1]Futuros!$AK:$AK)+SUMIF([1]Opciones!$AF:$AF,$A4&amp;"_"&amp;MP$11,[1]Opciones!$AQ:$AQ)</f>
        <v>#VALUE!</v>
      </c>
      <c r="MQ4" t="e">
        <f>+SUMIF([1]Cartera!$R:$R,$A4&amp;"_"&amp;MQ$11,[1]Cartera!$I:$I)+SUMIF([1]Futuros!$AD:$AD,$A4&amp;"_"&amp;MQ$11,[1]Futuros!$AK:$AK)+SUMIF([1]Opciones!$AF:$AF,$A4&amp;"_"&amp;MQ$11,[1]Opciones!$AQ:$AQ)</f>
        <v>#VALUE!</v>
      </c>
      <c r="MR4" t="e">
        <f>+SUMIF([1]Cartera!$R:$R,$A4&amp;"_"&amp;MR$11,[1]Cartera!$I:$I)+SUMIF([1]Futuros!$AD:$AD,$A4&amp;"_"&amp;MR$11,[1]Futuros!$AK:$AK)+SUMIF([1]Opciones!$AF:$AF,$A4&amp;"_"&amp;MR$11,[1]Opciones!$AQ:$AQ)</f>
        <v>#VALUE!</v>
      </c>
      <c r="MS4" t="e">
        <f>+SUMIF([1]Cartera!$R:$R,$A4&amp;"_"&amp;MS$11,[1]Cartera!$I:$I)+SUMIF([1]Futuros!$AD:$AD,$A4&amp;"_"&amp;MS$11,[1]Futuros!$AK:$AK)+SUMIF([1]Opciones!$AF:$AF,$A4&amp;"_"&amp;MS$11,[1]Opciones!$AQ:$AQ)</f>
        <v>#VALUE!</v>
      </c>
      <c r="MT4" t="e">
        <f>+SUMIF([1]Cartera!$R:$R,$A4&amp;"_"&amp;MT$11,[1]Cartera!$I:$I)+SUMIF([1]Futuros!$AD:$AD,$A4&amp;"_"&amp;MT$11,[1]Futuros!$AK:$AK)+SUMIF([1]Opciones!$AF:$AF,$A4&amp;"_"&amp;MT$11,[1]Opciones!$AQ:$AQ)</f>
        <v>#VALUE!</v>
      </c>
      <c r="MU4" t="e">
        <f>+SUMIF([1]Cartera!$R:$R,$A4&amp;"_"&amp;MU$11,[1]Cartera!$I:$I)+SUMIF([1]Futuros!$AD:$AD,$A4&amp;"_"&amp;MU$11,[1]Futuros!$AK:$AK)+SUMIF([1]Opciones!$AF:$AF,$A4&amp;"_"&amp;MU$11,[1]Opciones!$AQ:$AQ)</f>
        <v>#VALUE!</v>
      </c>
      <c r="MV4" t="e">
        <f>+SUMIF([1]Cartera!$R:$R,$A4&amp;"_"&amp;MV$11,[1]Cartera!$I:$I)+SUMIF([1]Futuros!$AD:$AD,$A4&amp;"_"&amp;MV$11,[1]Futuros!$AK:$AK)+SUMIF([1]Opciones!$AF:$AF,$A4&amp;"_"&amp;MV$11,[1]Opciones!$AQ:$AQ)</f>
        <v>#VALUE!</v>
      </c>
      <c r="MW4" t="e">
        <f>+SUMIF([1]Cartera!$R:$R,$A4&amp;"_"&amp;MW$11,[1]Cartera!$I:$I)+SUMIF([1]Futuros!$AD:$AD,$A4&amp;"_"&amp;MW$11,[1]Futuros!$AK:$AK)+SUMIF([1]Opciones!$AF:$AF,$A4&amp;"_"&amp;MW$11,[1]Opciones!$AQ:$AQ)</f>
        <v>#VALUE!</v>
      </c>
      <c r="MX4" t="e">
        <f>+SUMIF([1]Cartera!$R:$R,$A4&amp;"_"&amp;MX$11,[1]Cartera!$I:$I)+SUMIF([1]Futuros!$AD:$AD,$A4&amp;"_"&amp;MX$11,[1]Futuros!$AK:$AK)+SUMIF([1]Opciones!$AF:$AF,$A4&amp;"_"&amp;MX$11,[1]Opciones!$AQ:$AQ)</f>
        <v>#VALUE!</v>
      </c>
      <c r="MY4" t="e">
        <f>+SUMIF([1]Cartera!$R:$R,$A4&amp;"_"&amp;MY$11,[1]Cartera!$I:$I)+SUMIF([1]Futuros!$AD:$AD,$A4&amp;"_"&amp;MY$11,[1]Futuros!$AK:$AK)+SUMIF([1]Opciones!$AF:$AF,$A4&amp;"_"&amp;MY$11,[1]Opciones!$AQ:$AQ)</f>
        <v>#VALUE!</v>
      </c>
      <c r="MZ4" t="e">
        <f>+SUMIF([1]Cartera!$R:$R,$A4&amp;"_"&amp;MZ$11,[1]Cartera!$I:$I)+SUMIF([1]Futuros!$AD:$AD,$A4&amp;"_"&amp;MZ$11,[1]Futuros!$AK:$AK)+SUMIF([1]Opciones!$AF:$AF,$A4&amp;"_"&amp;MZ$11,[1]Opciones!$AQ:$AQ)</f>
        <v>#VALUE!</v>
      </c>
      <c r="NA4" t="e">
        <f>+SUMIF([1]Cartera!$R:$R,$A4&amp;"_"&amp;NA$11,[1]Cartera!$I:$I)+SUMIF([1]Futuros!$AD:$AD,$A4&amp;"_"&amp;NA$11,[1]Futuros!$AK:$AK)+SUMIF([1]Opciones!$AF:$AF,$A4&amp;"_"&amp;NA$11,[1]Opciones!$AQ:$AQ)</f>
        <v>#VALUE!</v>
      </c>
      <c r="NB4" t="e">
        <f>+SUMIF([1]Cartera!$R:$R,$A4&amp;"_"&amp;NB$11,[1]Cartera!$I:$I)+SUMIF([1]Futuros!$AD:$AD,$A4&amp;"_"&amp;NB$11,[1]Futuros!$AK:$AK)+SUMIF([1]Opciones!$AF:$AF,$A4&amp;"_"&amp;NB$11,[1]Opciones!$AQ:$AQ)</f>
        <v>#VALUE!</v>
      </c>
      <c r="NC4" t="e">
        <f>+SUMIF([1]Cartera!$R:$R,$A4&amp;"_"&amp;NC$11,[1]Cartera!$I:$I)+SUMIF([1]Futuros!$AD:$AD,$A4&amp;"_"&amp;NC$11,[1]Futuros!$AK:$AK)+SUMIF([1]Opciones!$AF:$AF,$A4&amp;"_"&amp;NC$11,[1]Opciones!$AQ:$AQ)</f>
        <v>#VALUE!</v>
      </c>
      <c r="ND4" t="e">
        <f>+SUMIF([1]Cartera!$R:$R,$A4&amp;"_"&amp;ND$11,[1]Cartera!$I:$I)+SUMIF([1]Futuros!$AD:$AD,$A4&amp;"_"&amp;ND$11,[1]Futuros!$AK:$AK)+SUMIF([1]Opciones!$AF:$AF,$A4&amp;"_"&amp;ND$11,[1]Opciones!$AQ:$AQ)</f>
        <v>#VALUE!</v>
      </c>
      <c r="NE4" t="e">
        <f>+SUMIF([1]Cartera!$R:$R,$A4&amp;"_"&amp;NE$11,[1]Cartera!$I:$I)+SUMIF([1]Futuros!$AD:$AD,$A4&amp;"_"&amp;NE$11,[1]Futuros!$AK:$AK)+SUMIF([1]Opciones!$AF:$AF,$A4&amp;"_"&amp;NE$11,[1]Opciones!$AQ:$AQ)</f>
        <v>#VALUE!</v>
      </c>
      <c r="NF4" t="e">
        <f>+SUMIF([1]Cartera!$R:$R,$A4&amp;"_"&amp;NF$11,[1]Cartera!$I:$I)+SUMIF([1]Futuros!$AD:$AD,$A4&amp;"_"&amp;NF$11,[1]Futuros!$AK:$AK)+SUMIF([1]Opciones!$AF:$AF,$A4&amp;"_"&amp;NF$11,[1]Opciones!$AQ:$AQ)</f>
        <v>#VALUE!</v>
      </c>
      <c r="NG4" t="e">
        <f>+SUMIF([1]Cartera!$R:$R,$A4&amp;"_"&amp;NG$11,[1]Cartera!$I:$I)+SUMIF([1]Futuros!$AD:$AD,$A4&amp;"_"&amp;NG$11,[1]Futuros!$AK:$AK)+SUMIF([1]Opciones!$AF:$AF,$A4&amp;"_"&amp;NG$11,[1]Opciones!$AQ:$AQ)</f>
        <v>#VALUE!</v>
      </c>
      <c r="NH4" t="e">
        <f>+SUMIF([1]Cartera!$R:$R,$A4&amp;"_"&amp;NH$11,[1]Cartera!$I:$I)+SUMIF([1]Futuros!$AD:$AD,$A4&amp;"_"&amp;NH$11,[1]Futuros!$AK:$AK)+SUMIF([1]Opciones!$AF:$AF,$A4&amp;"_"&amp;NH$11,[1]Opciones!$AQ:$AQ)</f>
        <v>#VALUE!</v>
      </c>
      <c r="NI4" t="e">
        <f>+SUMIF([1]Cartera!$R:$R,$A4&amp;"_"&amp;NI$11,[1]Cartera!$I:$I)+SUMIF([1]Futuros!$AD:$AD,$A4&amp;"_"&amp;NI$11,[1]Futuros!$AK:$AK)+SUMIF([1]Opciones!$AF:$AF,$A4&amp;"_"&amp;NI$11,[1]Opciones!$AQ:$AQ)</f>
        <v>#VALUE!</v>
      </c>
      <c r="NJ4" t="e">
        <f>+SUMIF([1]Cartera!$R:$R,$A4&amp;"_"&amp;NJ$11,[1]Cartera!$I:$I)+SUMIF([1]Futuros!$AD:$AD,$A4&amp;"_"&amp;NJ$11,[1]Futuros!$AK:$AK)+SUMIF([1]Opciones!$AF:$AF,$A4&amp;"_"&amp;NJ$11,[1]Opciones!$AQ:$AQ)</f>
        <v>#VALUE!</v>
      </c>
      <c r="NK4" t="e">
        <f>+SUMIF([1]Cartera!$R:$R,$A4&amp;"_"&amp;NK$11,[1]Cartera!$I:$I)+SUMIF([1]Futuros!$AD:$AD,$A4&amp;"_"&amp;NK$11,[1]Futuros!$AK:$AK)+SUMIF([1]Opciones!$AF:$AF,$A4&amp;"_"&amp;NK$11,[1]Opciones!$AQ:$AQ)</f>
        <v>#VALUE!</v>
      </c>
      <c r="NL4" t="e">
        <f>+SUMIF([1]Cartera!$R:$R,$A4&amp;"_"&amp;NL$11,[1]Cartera!$I:$I)+SUMIF([1]Futuros!$AD:$AD,$A4&amp;"_"&amp;NL$11,[1]Futuros!$AK:$AK)+SUMIF([1]Opciones!$AF:$AF,$A4&amp;"_"&amp;NL$11,[1]Opciones!$AQ:$AQ)</f>
        <v>#VALUE!</v>
      </c>
      <c r="NM4" t="e">
        <f>+SUMIF([1]Cartera!$R:$R,$A4&amp;"_"&amp;NM$11,[1]Cartera!$I:$I)+SUMIF([1]Futuros!$AD:$AD,$A4&amp;"_"&amp;NM$11,[1]Futuros!$AK:$AK)+SUMIF([1]Opciones!$AF:$AF,$A4&amp;"_"&amp;NM$11,[1]Opciones!$AQ:$AQ)</f>
        <v>#VALUE!</v>
      </c>
      <c r="NN4" t="e">
        <f>+SUMIF([1]Cartera!$R:$R,$A4&amp;"_"&amp;NN$11,[1]Cartera!$I:$I)+SUMIF([1]Futuros!$AD:$AD,$A4&amp;"_"&amp;NN$11,[1]Futuros!$AK:$AK)+SUMIF([1]Opciones!$AF:$AF,$A4&amp;"_"&amp;NN$11,[1]Opciones!$AQ:$AQ)</f>
        <v>#VALUE!</v>
      </c>
      <c r="NO4" t="e">
        <f>+SUMIF([1]Cartera!$R:$R,$A4&amp;"_"&amp;NO$11,[1]Cartera!$I:$I)+SUMIF([1]Futuros!$AD:$AD,$A4&amp;"_"&amp;NO$11,[1]Futuros!$AK:$AK)+SUMIF([1]Opciones!$AF:$AF,$A4&amp;"_"&amp;NO$11,[1]Opciones!$AQ:$AQ)</f>
        <v>#VALUE!</v>
      </c>
      <c r="NP4" t="e">
        <f>+SUMIF([1]Cartera!$R:$R,$A4&amp;"_"&amp;NP$11,[1]Cartera!$I:$I)+SUMIF([1]Futuros!$AD:$AD,$A4&amp;"_"&amp;NP$11,[1]Futuros!$AK:$AK)+SUMIF([1]Opciones!$AF:$AF,$A4&amp;"_"&amp;NP$11,[1]Opciones!$AQ:$AQ)</f>
        <v>#VALUE!</v>
      </c>
      <c r="NQ4" t="e">
        <f>+SUMIF([1]Cartera!$R:$R,$A4&amp;"_"&amp;NQ$11,[1]Cartera!$I:$I)+SUMIF([1]Futuros!$AD:$AD,$A4&amp;"_"&amp;NQ$11,[1]Futuros!$AK:$AK)+SUMIF([1]Opciones!$AF:$AF,$A4&amp;"_"&amp;NQ$11,[1]Opciones!$AQ:$AQ)</f>
        <v>#VALUE!</v>
      </c>
      <c r="NR4" t="e">
        <f>+SUMIF([1]Cartera!$R:$R,$A4&amp;"_"&amp;NR$11,[1]Cartera!$I:$I)+SUMIF([1]Futuros!$AD:$AD,$A4&amp;"_"&amp;NR$11,[1]Futuros!$AK:$AK)+SUMIF([1]Opciones!$AF:$AF,$A4&amp;"_"&amp;NR$11,[1]Opciones!$AQ:$AQ)</f>
        <v>#VALUE!</v>
      </c>
      <c r="NS4" t="e">
        <f>+SUMIF([1]Cartera!$R:$R,$A4&amp;"_"&amp;NS$11,[1]Cartera!$I:$I)+SUMIF([1]Futuros!$AD:$AD,$A4&amp;"_"&amp;NS$11,[1]Futuros!$AK:$AK)+SUMIF([1]Opciones!$AF:$AF,$A4&amp;"_"&amp;NS$11,[1]Opciones!$AQ:$AQ)</f>
        <v>#VALUE!</v>
      </c>
      <c r="NT4" t="e">
        <f>+SUMIF([1]Cartera!$R:$R,$A4&amp;"_"&amp;NT$11,[1]Cartera!$I:$I)+SUMIF([1]Futuros!$AD:$AD,$A4&amp;"_"&amp;NT$11,[1]Futuros!$AK:$AK)+SUMIF([1]Opciones!$AF:$AF,$A4&amp;"_"&amp;NT$11,[1]Opciones!$AQ:$AQ)</f>
        <v>#VALUE!</v>
      </c>
      <c r="NU4" t="e">
        <f>+SUMIF([1]Cartera!$R:$R,$A4&amp;"_"&amp;NU$11,[1]Cartera!$I:$I)+SUMIF([1]Futuros!$AD:$AD,$A4&amp;"_"&amp;NU$11,[1]Futuros!$AK:$AK)+SUMIF([1]Opciones!$AF:$AF,$A4&amp;"_"&amp;NU$11,[1]Opciones!$AQ:$AQ)</f>
        <v>#VALUE!</v>
      </c>
      <c r="NV4" t="e">
        <f>+SUMIF([1]Cartera!$R:$R,$A4&amp;"_"&amp;NV$11,[1]Cartera!$I:$I)+SUMIF([1]Futuros!$AD:$AD,$A4&amp;"_"&amp;NV$11,[1]Futuros!$AK:$AK)+SUMIF([1]Opciones!$AF:$AF,$A4&amp;"_"&amp;NV$11,[1]Opciones!$AQ:$AQ)</f>
        <v>#VALUE!</v>
      </c>
      <c r="NW4" t="e">
        <f>+SUMIF([1]Cartera!$R:$R,$A4&amp;"_"&amp;NW$11,[1]Cartera!$I:$I)+SUMIF([1]Futuros!$AD:$AD,$A4&amp;"_"&amp;NW$11,[1]Futuros!$AK:$AK)+SUMIF([1]Opciones!$AF:$AF,$A4&amp;"_"&amp;NW$11,[1]Opciones!$AQ:$AQ)</f>
        <v>#VALUE!</v>
      </c>
      <c r="NX4" t="e">
        <f>+SUMIF([1]Cartera!$R:$R,$A4&amp;"_"&amp;NX$11,[1]Cartera!$I:$I)+SUMIF([1]Futuros!$AD:$AD,$A4&amp;"_"&amp;NX$11,[1]Futuros!$AK:$AK)+SUMIF([1]Opciones!$AF:$AF,$A4&amp;"_"&amp;NX$11,[1]Opciones!$AQ:$AQ)</f>
        <v>#VALUE!</v>
      </c>
      <c r="NY4" t="e">
        <f>+SUMIF([1]Cartera!$R:$R,$A4&amp;"_"&amp;NY$11,[1]Cartera!$I:$I)+SUMIF([1]Futuros!$AD:$AD,$A4&amp;"_"&amp;NY$11,[1]Futuros!$AK:$AK)+SUMIF([1]Opciones!$AF:$AF,$A4&amp;"_"&amp;NY$11,[1]Opciones!$AQ:$AQ)</f>
        <v>#VALUE!</v>
      </c>
      <c r="NZ4" t="e">
        <f>+SUMIF([1]Cartera!$R:$R,$A4&amp;"_"&amp;NZ$11,[1]Cartera!$I:$I)+SUMIF([1]Futuros!$AD:$AD,$A4&amp;"_"&amp;NZ$11,[1]Futuros!$AK:$AK)+SUMIF([1]Opciones!$AF:$AF,$A4&amp;"_"&amp;NZ$11,[1]Opciones!$AQ:$AQ)</f>
        <v>#VALUE!</v>
      </c>
      <c r="OA4" t="e">
        <f>+SUMIF([1]Cartera!$R:$R,$A4&amp;"_"&amp;OA$11,[1]Cartera!$I:$I)+SUMIF([1]Futuros!$AD:$AD,$A4&amp;"_"&amp;OA$11,[1]Futuros!$AK:$AK)+SUMIF([1]Opciones!$AF:$AF,$A4&amp;"_"&amp;OA$11,[1]Opciones!$AQ:$AQ)</f>
        <v>#VALUE!</v>
      </c>
      <c r="OB4" t="e">
        <f>+SUMIF([1]Cartera!$R:$R,$A4&amp;"_"&amp;OB$11,[1]Cartera!$I:$I)+SUMIF([1]Futuros!$AD:$AD,$A4&amp;"_"&amp;OB$11,[1]Futuros!$AK:$AK)+SUMIF([1]Opciones!$AF:$AF,$A4&amp;"_"&amp;OB$11,[1]Opciones!$AQ:$AQ)</f>
        <v>#VALUE!</v>
      </c>
      <c r="OC4" t="e">
        <f>+SUMIF([1]Cartera!$R:$R,$A4&amp;"_"&amp;OC$11,[1]Cartera!$I:$I)+SUMIF([1]Futuros!$AD:$AD,$A4&amp;"_"&amp;OC$11,[1]Futuros!$AK:$AK)+SUMIF([1]Opciones!$AF:$AF,$A4&amp;"_"&amp;OC$11,[1]Opciones!$AQ:$AQ)</f>
        <v>#VALUE!</v>
      </c>
      <c r="OD4" t="e">
        <f>+SUMIF([1]Cartera!$R:$R,$A4&amp;"_"&amp;OD$11,[1]Cartera!$I:$I)+SUMIF([1]Futuros!$AD:$AD,$A4&amp;"_"&amp;OD$11,[1]Futuros!$AK:$AK)+SUMIF([1]Opciones!$AF:$AF,$A4&amp;"_"&amp;OD$11,[1]Opciones!$AQ:$AQ)</f>
        <v>#VALUE!</v>
      </c>
      <c r="OE4" t="e">
        <f>+SUMIF([1]Cartera!$R:$R,$A4&amp;"_"&amp;OE$11,[1]Cartera!$I:$I)+SUMIF([1]Futuros!$AD:$AD,$A4&amp;"_"&amp;OE$11,[1]Futuros!$AK:$AK)+SUMIF([1]Opciones!$AF:$AF,$A4&amp;"_"&amp;OE$11,[1]Opciones!$AQ:$AQ)</f>
        <v>#VALUE!</v>
      </c>
      <c r="OF4" t="e">
        <f>+SUMIF([1]Cartera!$R:$R,$A4&amp;"_"&amp;OF$11,[1]Cartera!$I:$I)+SUMIF([1]Futuros!$AD:$AD,$A4&amp;"_"&amp;OF$11,[1]Futuros!$AK:$AK)+SUMIF([1]Opciones!$AF:$AF,$A4&amp;"_"&amp;OF$11,[1]Opciones!$AQ:$AQ)</f>
        <v>#VALUE!</v>
      </c>
      <c r="OG4" t="e">
        <f>+SUMIF([1]Cartera!$R:$R,$A4&amp;"_"&amp;OG$11,[1]Cartera!$I:$I)+SUMIF([1]Futuros!$AD:$AD,$A4&amp;"_"&amp;OG$11,[1]Futuros!$AK:$AK)+SUMIF([1]Opciones!$AF:$AF,$A4&amp;"_"&amp;OG$11,[1]Opciones!$AQ:$AQ)</f>
        <v>#VALUE!</v>
      </c>
      <c r="OH4" t="e">
        <f>+SUMIF([1]Cartera!$R:$R,$A4&amp;"_"&amp;OH$11,[1]Cartera!$I:$I)+SUMIF([1]Futuros!$AD:$AD,$A4&amp;"_"&amp;OH$11,[1]Futuros!$AK:$AK)+SUMIF([1]Opciones!$AF:$AF,$A4&amp;"_"&amp;OH$11,[1]Opciones!$AQ:$AQ)</f>
        <v>#VALUE!</v>
      </c>
      <c r="OI4" t="e">
        <f>+SUMIF([1]Cartera!$R:$R,$A4&amp;"_"&amp;OI$11,[1]Cartera!$I:$I)+SUMIF([1]Futuros!$AD:$AD,$A4&amp;"_"&amp;OI$11,[1]Futuros!$AK:$AK)+SUMIF([1]Opciones!$AF:$AF,$A4&amp;"_"&amp;OI$11,[1]Opciones!$AQ:$AQ)</f>
        <v>#VALUE!</v>
      </c>
      <c r="OJ4" t="e">
        <f>+SUMIF([1]Cartera!$R:$R,$A4&amp;"_"&amp;OJ$11,[1]Cartera!$I:$I)+SUMIF([1]Futuros!$AD:$AD,$A4&amp;"_"&amp;OJ$11,[1]Futuros!$AK:$AK)+SUMIF([1]Opciones!$AF:$AF,$A4&amp;"_"&amp;OJ$11,[1]Opciones!$AQ:$AQ)</f>
        <v>#VALUE!</v>
      </c>
      <c r="OK4" t="e">
        <f>+SUMIF([1]Cartera!$R:$R,$A4&amp;"_"&amp;OK$11,[1]Cartera!$I:$I)+SUMIF([1]Futuros!$AD:$AD,$A4&amp;"_"&amp;OK$11,[1]Futuros!$AK:$AK)+SUMIF([1]Opciones!$AF:$AF,$A4&amp;"_"&amp;OK$11,[1]Opciones!$AQ:$AQ)</f>
        <v>#VALUE!</v>
      </c>
      <c r="OL4" t="e">
        <f>+SUMIF([1]Cartera!$R:$R,$A4&amp;"_"&amp;OL$11,[1]Cartera!$I:$I)+SUMIF([1]Futuros!$AD:$AD,$A4&amp;"_"&amp;OL$11,[1]Futuros!$AK:$AK)+SUMIF([1]Opciones!$AF:$AF,$A4&amp;"_"&amp;OL$11,[1]Opciones!$AQ:$AQ)</f>
        <v>#VALUE!</v>
      </c>
      <c r="OM4" t="e">
        <f>+SUMIF([1]Cartera!$R:$R,$A4&amp;"_"&amp;OM$11,[1]Cartera!$I:$I)+SUMIF([1]Futuros!$AD:$AD,$A4&amp;"_"&amp;OM$11,[1]Futuros!$AK:$AK)+SUMIF([1]Opciones!$AF:$AF,$A4&amp;"_"&amp;OM$11,[1]Opciones!$AQ:$AQ)</f>
        <v>#VALUE!</v>
      </c>
      <c r="ON4" t="e">
        <f>+SUMIF([1]Cartera!$R:$R,$A4&amp;"_"&amp;ON$11,[1]Cartera!$I:$I)+SUMIF([1]Futuros!$AD:$AD,$A4&amp;"_"&amp;ON$11,[1]Futuros!$AK:$AK)+SUMIF([1]Opciones!$AF:$AF,$A4&amp;"_"&amp;ON$11,[1]Opciones!$AQ:$AQ)</f>
        <v>#VALUE!</v>
      </c>
      <c r="OO4" t="e">
        <f>+SUMIF([1]Cartera!$R:$R,$A4&amp;"_"&amp;OO$11,[1]Cartera!$I:$I)+SUMIF([1]Futuros!$AD:$AD,$A4&amp;"_"&amp;OO$11,[1]Futuros!$AK:$AK)+SUMIF([1]Opciones!$AF:$AF,$A4&amp;"_"&amp;OO$11,[1]Opciones!$AQ:$AQ)</f>
        <v>#VALUE!</v>
      </c>
      <c r="OP4" t="e">
        <f>+SUMIF([1]Cartera!$R:$R,$A4&amp;"_"&amp;OP$11,[1]Cartera!$I:$I)+SUMIF([1]Futuros!$AD:$AD,$A4&amp;"_"&amp;OP$11,[1]Futuros!$AK:$AK)+SUMIF([1]Opciones!$AF:$AF,$A4&amp;"_"&amp;OP$11,[1]Opciones!$AQ:$AQ)</f>
        <v>#VALUE!</v>
      </c>
      <c r="OQ4" t="e">
        <f>+SUMIF([1]Cartera!$R:$R,$A4&amp;"_"&amp;OQ$11,[1]Cartera!$I:$I)+SUMIF([1]Futuros!$AD:$AD,$A4&amp;"_"&amp;OQ$11,[1]Futuros!$AK:$AK)+SUMIF([1]Opciones!$AF:$AF,$A4&amp;"_"&amp;OQ$11,[1]Opciones!$AQ:$AQ)</f>
        <v>#VALUE!</v>
      </c>
      <c r="OR4" t="e">
        <f>+SUMIF([1]Cartera!$R:$R,$A4&amp;"_"&amp;OR$11,[1]Cartera!$I:$I)+SUMIF([1]Futuros!$AD:$AD,$A4&amp;"_"&amp;OR$11,[1]Futuros!$AK:$AK)+SUMIF([1]Opciones!$AF:$AF,$A4&amp;"_"&amp;OR$11,[1]Opciones!$AQ:$AQ)</f>
        <v>#VALUE!</v>
      </c>
      <c r="OS4" t="e">
        <f>+SUMIF([1]Cartera!$R:$R,$A4&amp;"_"&amp;OS$11,[1]Cartera!$I:$I)+SUMIF([1]Futuros!$AD:$AD,$A4&amp;"_"&amp;OS$11,[1]Futuros!$AK:$AK)+SUMIF([1]Opciones!$AF:$AF,$A4&amp;"_"&amp;OS$11,[1]Opciones!$AQ:$AQ)</f>
        <v>#VALUE!</v>
      </c>
      <c r="OT4" t="e">
        <f>+SUMIF([1]Cartera!$R:$R,$A4&amp;"_"&amp;OT$11,[1]Cartera!$I:$I)+SUMIF([1]Futuros!$AD:$AD,$A4&amp;"_"&amp;OT$11,[1]Futuros!$AK:$AK)+SUMIF([1]Opciones!$AF:$AF,$A4&amp;"_"&amp;OT$11,[1]Opciones!$AQ:$AQ)</f>
        <v>#VALUE!</v>
      </c>
      <c r="OU4" t="e">
        <f>+SUMIF([1]Cartera!$R:$R,$A4&amp;"_"&amp;OU$11,[1]Cartera!$I:$I)+SUMIF([1]Futuros!$AD:$AD,$A4&amp;"_"&amp;OU$11,[1]Futuros!$AK:$AK)+SUMIF([1]Opciones!$AF:$AF,$A4&amp;"_"&amp;OU$11,[1]Opciones!$AQ:$AQ)</f>
        <v>#VALUE!</v>
      </c>
      <c r="OV4" t="e">
        <f>+SUMIF([1]Cartera!$R:$R,$A4&amp;"_"&amp;OV$11,[1]Cartera!$I:$I)+SUMIF([1]Futuros!$AD:$AD,$A4&amp;"_"&amp;OV$11,[1]Futuros!$AK:$AK)+SUMIF([1]Opciones!$AF:$AF,$A4&amp;"_"&amp;OV$11,[1]Opciones!$AQ:$AQ)</f>
        <v>#VALUE!</v>
      </c>
      <c r="OW4" t="e">
        <f>+SUMIF([1]Cartera!$R:$R,$A4&amp;"_"&amp;OW$11,[1]Cartera!$I:$I)+SUMIF([1]Futuros!$AD:$AD,$A4&amp;"_"&amp;OW$11,[1]Futuros!$AK:$AK)+SUMIF([1]Opciones!$AF:$AF,$A4&amp;"_"&amp;OW$11,[1]Opciones!$AQ:$AQ)</f>
        <v>#VALUE!</v>
      </c>
      <c r="OX4" t="e">
        <f>+SUMIF([1]Cartera!$R:$R,$A4&amp;"_"&amp;OX$11,[1]Cartera!$I:$I)+SUMIF([1]Futuros!$AD:$AD,$A4&amp;"_"&amp;OX$11,[1]Futuros!$AK:$AK)+SUMIF([1]Opciones!$AF:$AF,$A4&amp;"_"&amp;OX$11,[1]Opciones!$AQ:$AQ)</f>
        <v>#VALUE!</v>
      </c>
      <c r="OY4" t="e">
        <f>+SUMIF([1]Cartera!$R:$R,$A4&amp;"_"&amp;OY$11,[1]Cartera!$I:$I)+SUMIF([1]Futuros!$AD:$AD,$A4&amp;"_"&amp;OY$11,[1]Futuros!$AK:$AK)+SUMIF([1]Opciones!$AF:$AF,$A4&amp;"_"&amp;OY$11,[1]Opciones!$AQ:$AQ)</f>
        <v>#VALUE!</v>
      </c>
      <c r="OZ4" t="e">
        <f>+SUMIF([1]Cartera!$R:$R,$A4&amp;"_"&amp;OZ$11,[1]Cartera!$I:$I)+SUMIF([1]Futuros!$AD:$AD,$A4&amp;"_"&amp;OZ$11,[1]Futuros!$AK:$AK)+SUMIF([1]Opciones!$AF:$AF,$A4&amp;"_"&amp;OZ$11,[1]Opciones!$AQ:$AQ)</f>
        <v>#VALUE!</v>
      </c>
      <c r="PA4" t="e">
        <f>+SUMIF([1]Cartera!$R:$R,$A4&amp;"_"&amp;PA$11,[1]Cartera!$I:$I)+SUMIF([1]Futuros!$AD:$AD,$A4&amp;"_"&amp;PA$11,[1]Futuros!$AK:$AK)+SUMIF([1]Opciones!$AF:$AF,$A4&amp;"_"&amp;PA$11,[1]Opciones!$AQ:$AQ)</f>
        <v>#VALUE!</v>
      </c>
      <c r="PB4" t="e">
        <f>+SUMIF([1]Cartera!$R:$R,$A4&amp;"_"&amp;PB$11,[1]Cartera!$I:$I)+SUMIF([1]Futuros!$AD:$AD,$A4&amp;"_"&amp;PB$11,[1]Futuros!$AK:$AK)+SUMIF([1]Opciones!$AF:$AF,$A4&amp;"_"&amp;PB$11,[1]Opciones!$AQ:$AQ)</f>
        <v>#VALUE!</v>
      </c>
      <c r="PC4" t="e">
        <f>+SUMIF([1]Cartera!$R:$R,$A4&amp;"_"&amp;PC$11,[1]Cartera!$I:$I)+SUMIF([1]Futuros!$AD:$AD,$A4&amp;"_"&amp;PC$11,[1]Futuros!$AK:$AK)+SUMIF([1]Opciones!$AF:$AF,$A4&amp;"_"&amp;PC$11,[1]Opciones!$AQ:$AQ)</f>
        <v>#VALUE!</v>
      </c>
      <c r="PD4" t="e">
        <f>+SUMIF([1]Cartera!$R:$R,$A4&amp;"_"&amp;PD$11,[1]Cartera!$I:$I)+SUMIF([1]Futuros!$AD:$AD,$A4&amp;"_"&amp;PD$11,[1]Futuros!$AK:$AK)+SUMIF([1]Opciones!$AF:$AF,$A4&amp;"_"&amp;PD$11,[1]Opciones!$AQ:$AQ)</f>
        <v>#VALUE!</v>
      </c>
      <c r="PE4" t="e">
        <f>+SUMIF([1]Cartera!$R:$R,$A4&amp;"_"&amp;PE$11,[1]Cartera!$I:$I)+SUMIF([1]Futuros!$AD:$AD,$A4&amp;"_"&amp;PE$11,[1]Futuros!$AK:$AK)+SUMIF([1]Opciones!$AF:$AF,$A4&amp;"_"&amp;PE$11,[1]Opciones!$AQ:$AQ)</f>
        <v>#VALUE!</v>
      </c>
      <c r="PF4" t="e">
        <f>+SUMIF([1]Cartera!$R:$R,$A4&amp;"_"&amp;PF$11,[1]Cartera!$I:$I)+SUMIF([1]Futuros!$AD:$AD,$A4&amp;"_"&amp;PF$11,[1]Futuros!$AK:$AK)+SUMIF([1]Opciones!$AF:$AF,$A4&amp;"_"&amp;PF$11,[1]Opciones!$AQ:$AQ)</f>
        <v>#VALUE!</v>
      </c>
      <c r="PG4" t="e">
        <f>+SUMIF([1]Cartera!$R:$R,$A4&amp;"_"&amp;PG$11,[1]Cartera!$I:$I)+SUMIF([1]Futuros!$AD:$AD,$A4&amp;"_"&amp;PG$11,[1]Futuros!$AK:$AK)+SUMIF([1]Opciones!$AF:$AF,$A4&amp;"_"&amp;PG$11,[1]Opciones!$AQ:$AQ)</f>
        <v>#VALUE!</v>
      </c>
      <c r="PH4" t="e">
        <f>+SUMIF([1]Cartera!$R:$R,$A4&amp;"_"&amp;PH$11,[1]Cartera!$I:$I)+SUMIF([1]Futuros!$AD:$AD,$A4&amp;"_"&amp;PH$11,[1]Futuros!$AK:$AK)+SUMIF([1]Opciones!$AF:$AF,$A4&amp;"_"&amp;PH$11,[1]Opciones!$AQ:$AQ)</f>
        <v>#VALUE!</v>
      </c>
      <c r="PI4" t="e">
        <f>+SUMIF([1]Cartera!$R:$R,$A4&amp;"_"&amp;PI$11,[1]Cartera!$I:$I)+SUMIF([1]Futuros!$AD:$AD,$A4&amp;"_"&amp;PI$11,[1]Futuros!$AK:$AK)+SUMIF([1]Opciones!$AF:$AF,$A4&amp;"_"&amp;PI$11,[1]Opciones!$AQ:$AQ)</f>
        <v>#VALUE!</v>
      </c>
      <c r="PJ4" t="e">
        <f>+SUMIF([1]Cartera!$R:$R,$A4&amp;"_"&amp;PJ$11,[1]Cartera!$I:$I)+SUMIF([1]Futuros!$AD:$AD,$A4&amp;"_"&amp;PJ$11,[1]Futuros!$AK:$AK)+SUMIF([1]Opciones!$AF:$AF,$A4&amp;"_"&amp;PJ$11,[1]Opciones!$AQ:$AQ)</f>
        <v>#VALUE!</v>
      </c>
      <c r="PK4" t="e">
        <f>+SUMIF([1]Cartera!$R:$R,$A4&amp;"_"&amp;PK$11,[1]Cartera!$I:$I)+SUMIF([1]Futuros!$AD:$AD,$A4&amp;"_"&amp;PK$11,[1]Futuros!$AK:$AK)+SUMIF([1]Opciones!$AF:$AF,$A4&amp;"_"&amp;PK$11,[1]Opciones!$AQ:$AQ)</f>
        <v>#VALUE!</v>
      </c>
      <c r="PL4" t="e">
        <f>+SUMIF([1]Cartera!$R:$R,$A4&amp;"_"&amp;PL$11,[1]Cartera!$I:$I)+SUMIF([1]Futuros!$AD:$AD,$A4&amp;"_"&amp;PL$11,[1]Futuros!$AK:$AK)+SUMIF([1]Opciones!$AF:$AF,$A4&amp;"_"&amp;PL$11,[1]Opciones!$AQ:$AQ)</f>
        <v>#VALUE!</v>
      </c>
      <c r="PM4" t="e">
        <f>+SUMIF([1]Cartera!$R:$R,$A4&amp;"_"&amp;PM$11,[1]Cartera!$I:$I)+SUMIF([1]Futuros!$AD:$AD,$A4&amp;"_"&amp;PM$11,[1]Futuros!$AK:$AK)+SUMIF([1]Opciones!$AF:$AF,$A4&amp;"_"&amp;PM$11,[1]Opciones!$AQ:$AQ)</f>
        <v>#VALUE!</v>
      </c>
      <c r="PN4" t="e">
        <f>+SUMIF([1]Cartera!$R:$R,$A4&amp;"_"&amp;PN$11,[1]Cartera!$I:$I)+SUMIF([1]Futuros!$AD:$AD,$A4&amp;"_"&amp;PN$11,[1]Futuros!$AK:$AK)+SUMIF([1]Opciones!$AF:$AF,$A4&amp;"_"&amp;PN$11,[1]Opciones!$AQ:$AQ)</f>
        <v>#VALUE!</v>
      </c>
      <c r="PO4" t="e">
        <f>+SUMIF([1]Cartera!$R:$R,$A4&amp;"_"&amp;PO$11,[1]Cartera!$I:$I)+SUMIF([1]Futuros!$AD:$AD,$A4&amp;"_"&amp;PO$11,[1]Futuros!$AK:$AK)+SUMIF([1]Opciones!$AF:$AF,$A4&amp;"_"&amp;PO$11,[1]Opciones!$AQ:$AQ)</f>
        <v>#VALUE!</v>
      </c>
      <c r="PP4" t="e">
        <f>+SUMIF([1]Cartera!$R:$R,$A4&amp;"_"&amp;PP$11,[1]Cartera!$I:$I)+SUMIF([1]Futuros!$AD:$AD,$A4&amp;"_"&amp;PP$11,[1]Futuros!$AK:$AK)+SUMIF([1]Opciones!$AF:$AF,$A4&amp;"_"&amp;PP$11,[1]Opciones!$AQ:$AQ)</f>
        <v>#VALUE!</v>
      </c>
      <c r="PQ4" t="e">
        <f>+SUMIF([1]Cartera!$R:$R,$A4&amp;"_"&amp;PQ$11,[1]Cartera!$I:$I)+SUMIF([1]Futuros!$AD:$AD,$A4&amp;"_"&amp;PQ$11,[1]Futuros!$AK:$AK)+SUMIF([1]Opciones!$AF:$AF,$A4&amp;"_"&amp;PQ$11,[1]Opciones!$AQ:$AQ)</f>
        <v>#VALUE!</v>
      </c>
      <c r="PR4" t="e">
        <f>+SUMIF([1]Cartera!$R:$R,$A4&amp;"_"&amp;PR$11,[1]Cartera!$I:$I)+SUMIF([1]Futuros!$AD:$AD,$A4&amp;"_"&amp;PR$11,[1]Futuros!$AK:$AK)+SUMIF([1]Opciones!$AF:$AF,$A4&amp;"_"&amp;PR$11,[1]Opciones!$AQ:$AQ)</f>
        <v>#VALUE!</v>
      </c>
      <c r="PS4" t="e">
        <f>+SUMIF([1]Cartera!$R:$R,$A4&amp;"_"&amp;PS$11,[1]Cartera!$I:$I)+SUMIF([1]Futuros!$AD:$AD,$A4&amp;"_"&amp;PS$11,[1]Futuros!$AK:$AK)+SUMIF([1]Opciones!$AF:$AF,$A4&amp;"_"&amp;PS$11,[1]Opciones!$AQ:$AQ)</f>
        <v>#VALUE!</v>
      </c>
      <c r="PT4" t="e">
        <f>+SUMIF([1]Cartera!$R:$R,$A4&amp;"_"&amp;PT$11,[1]Cartera!$I:$I)+SUMIF([1]Futuros!$AD:$AD,$A4&amp;"_"&amp;PT$11,[1]Futuros!$AK:$AK)+SUMIF([1]Opciones!$AF:$AF,$A4&amp;"_"&amp;PT$11,[1]Opciones!$AQ:$AQ)</f>
        <v>#VALUE!</v>
      </c>
      <c r="PU4" t="e">
        <f>+SUMIF([1]Cartera!$R:$R,$A4&amp;"_"&amp;PU$11,[1]Cartera!$I:$I)+SUMIF([1]Futuros!$AD:$AD,$A4&amp;"_"&amp;PU$11,[1]Futuros!$AK:$AK)+SUMIF([1]Opciones!$AF:$AF,$A4&amp;"_"&amp;PU$11,[1]Opciones!$AQ:$AQ)</f>
        <v>#VALUE!</v>
      </c>
      <c r="PV4" t="e">
        <f>+SUMIF([1]Cartera!$R:$R,$A4&amp;"_"&amp;PV$11,[1]Cartera!$I:$I)+SUMIF([1]Futuros!$AD:$AD,$A4&amp;"_"&amp;PV$11,[1]Futuros!$AK:$AK)+SUMIF([1]Opciones!$AF:$AF,$A4&amp;"_"&amp;PV$11,[1]Opciones!$AQ:$AQ)</f>
        <v>#VALUE!</v>
      </c>
      <c r="PW4" t="e">
        <f>+SUMIF([1]Cartera!$R:$R,$A4&amp;"_"&amp;PW$11,[1]Cartera!$I:$I)+SUMIF([1]Futuros!$AD:$AD,$A4&amp;"_"&amp;PW$11,[1]Futuros!$AK:$AK)+SUMIF([1]Opciones!$AF:$AF,$A4&amp;"_"&amp;PW$11,[1]Opciones!$AQ:$AQ)</f>
        <v>#VALUE!</v>
      </c>
      <c r="PX4" t="e">
        <f>+SUMIF([1]Cartera!$R:$R,$A4&amp;"_"&amp;PX$11,[1]Cartera!$I:$I)+SUMIF([1]Futuros!$AD:$AD,$A4&amp;"_"&amp;PX$11,[1]Futuros!$AK:$AK)+SUMIF([1]Opciones!$AF:$AF,$A4&amp;"_"&amp;PX$11,[1]Opciones!$AQ:$AQ)</f>
        <v>#VALUE!</v>
      </c>
      <c r="PY4" t="e">
        <f>+SUMIF([1]Cartera!$R:$R,$A4&amp;"_"&amp;PY$11,[1]Cartera!$I:$I)+SUMIF([1]Futuros!$AD:$AD,$A4&amp;"_"&amp;PY$11,[1]Futuros!$AK:$AK)+SUMIF([1]Opciones!$AF:$AF,$A4&amp;"_"&amp;PY$11,[1]Opciones!$AQ:$AQ)</f>
        <v>#VALUE!</v>
      </c>
      <c r="PZ4" t="e">
        <f>+SUMIF([1]Cartera!$R:$R,$A4&amp;"_"&amp;PZ$11,[1]Cartera!$I:$I)+SUMIF([1]Futuros!$AD:$AD,$A4&amp;"_"&amp;PZ$11,[1]Futuros!$AK:$AK)+SUMIF([1]Opciones!$AF:$AF,$A4&amp;"_"&amp;PZ$11,[1]Opciones!$AQ:$AQ)</f>
        <v>#VALUE!</v>
      </c>
      <c r="QA4" t="e">
        <f>+SUMIF([1]Cartera!$R:$R,$A4&amp;"_"&amp;QA$11,[1]Cartera!$I:$I)+SUMIF([1]Futuros!$AD:$AD,$A4&amp;"_"&amp;QA$11,[1]Futuros!$AK:$AK)+SUMIF([1]Opciones!$AF:$AF,$A4&amp;"_"&amp;QA$11,[1]Opciones!$AQ:$AQ)</f>
        <v>#VALUE!</v>
      </c>
      <c r="QB4" t="e">
        <f>+SUMIF([1]Cartera!$R:$R,$A4&amp;"_"&amp;QB$11,[1]Cartera!$I:$I)+SUMIF([1]Futuros!$AD:$AD,$A4&amp;"_"&amp;QB$11,[1]Futuros!$AK:$AK)+SUMIF([1]Opciones!$AF:$AF,$A4&amp;"_"&amp;QB$11,[1]Opciones!$AQ:$AQ)</f>
        <v>#VALUE!</v>
      </c>
      <c r="QC4" t="e">
        <f>+SUMIF([1]Cartera!$R:$R,$A4&amp;"_"&amp;QC$11,[1]Cartera!$I:$I)+SUMIF([1]Futuros!$AD:$AD,$A4&amp;"_"&amp;QC$11,[1]Futuros!$AK:$AK)+SUMIF([1]Opciones!$AF:$AF,$A4&amp;"_"&amp;QC$11,[1]Opciones!$AQ:$AQ)</f>
        <v>#VALUE!</v>
      </c>
      <c r="QD4" t="e">
        <f>+SUMIF([1]Cartera!$R:$R,$A4&amp;"_"&amp;QD$11,[1]Cartera!$I:$I)+SUMIF([1]Futuros!$AD:$AD,$A4&amp;"_"&amp;QD$11,[1]Futuros!$AK:$AK)+SUMIF([1]Opciones!$AF:$AF,$A4&amp;"_"&amp;QD$11,[1]Opciones!$AQ:$AQ)</f>
        <v>#VALUE!</v>
      </c>
      <c r="QE4" t="e">
        <f>+SUMIF([1]Cartera!$R:$R,$A4&amp;"_"&amp;QE$11,[1]Cartera!$I:$I)+SUMIF([1]Futuros!$AD:$AD,$A4&amp;"_"&amp;QE$11,[1]Futuros!$AK:$AK)+SUMIF([1]Opciones!$AF:$AF,$A4&amp;"_"&amp;QE$11,[1]Opciones!$AQ:$AQ)</f>
        <v>#VALUE!</v>
      </c>
      <c r="QF4" t="e">
        <f>+SUMIF([1]Cartera!$R:$R,$A4&amp;"_"&amp;QF$11,[1]Cartera!$I:$I)+SUMIF([1]Futuros!$AD:$AD,$A4&amp;"_"&amp;QF$11,[1]Futuros!$AK:$AK)+SUMIF([1]Opciones!$AF:$AF,$A4&amp;"_"&amp;QF$11,[1]Opciones!$AQ:$AQ)</f>
        <v>#VALUE!</v>
      </c>
      <c r="QG4" t="e">
        <f>+SUMIF([1]Cartera!$R:$R,$A4&amp;"_"&amp;QG$11,[1]Cartera!$I:$I)+SUMIF([1]Futuros!$AD:$AD,$A4&amp;"_"&amp;QG$11,[1]Futuros!$AK:$AK)+SUMIF([1]Opciones!$AF:$AF,$A4&amp;"_"&amp;QG$11,[1]Opciones!$AQ:$AQ)</f>
        <v>#VALUE!</v>
      </c>
      <c r="QH4" t="e">
        <f>+SUMIF([1]Cartera!$R:$R,$A4&amp;"_"&amp;QH$11,[1]Cartera!$I:$I)+SUMIF([1]Futuros!$AD:$AD,$A4&amp;"_"&amp;QH$11,[1]Futuros!$AK:$AK)+SUMIF([1]Opciones!$AF:$AF,$A4&amp;"_"&amp;QH$11,[1]Opciones!$AQ:$AQ)</f>
        <v>#VALUE!</v>
      </c>
      <c r="QI4" t="e">
        <f>+SUMIF([1]Cartera!$R:$R,$A4&amp;"_"&amp;QI$11,[1]Cartera!$I:$I)+SUMIF([1]Futuros!$AD:$AD,$A4&amp;"_"&amp;QI$11,[1]Futuros!$AK:$AK)+SUMIF([1]Opciones!$AF:$AF,$A4&amp;"_"&amp;QI$11,[1]Opciones!$AQ:$AQ)</f>
        <v>#VALUE!</v>
      </c>
      <c r="QJ4" t="e">
        <f>+SUMIF([1]Cartera!$R:$R,$A4&amp;"_"&amp;QJ$11,[1]Cartera!$I:$I)+SUMIF([1]Futuros!$AD:$AD,$A4&amp;"_"&amp;QJ$11,[1]Futuros!$AK:$AK)+SUMIF([1]Opciones!$AF:$AF,$A4&amp;"_"&amp;QJ$11,[1]Opciones!$AQ:$AQ)</f>
        <v>#VALUE!</v>
      </c>
      <c r="QK4" t="e">
        <f>+SUMIF([1]Cartera!$R:$R,$A4&amp;"_"&amp;QK$11,[1]Cartera!$I:$I)+SUMIF([1]Futuros!$AD:$AD,$A4&amp;"_"&amp;QK$11,[1]Futuros!$AK:$AK)+SUMIF([1]Opciones!$AF:$AF,$A4&amp;"_"&amp;QK$11,[1]Opciones!$AQ:$AQ)</f>
        <v>#VALUE!</v>
      </c>
      <c r="QL4" t="e">
        <f>+SUMIF([1]Cartera!$R:$R,$A4&amp;"_"&amp;QL$11,[1]Cartera!$I:$I)+SUMIF([1]Futuros!$AD:$AD,$A4&amp;"_"&amp;QL$11,[1]Futuros!$AK:$AK)+SUMIF([1]Opciones!$AF:$AF,$A4&amp;"_"&amp;QL$11,[1]Opciones!$AQ:$AQ)</f>
        <v>#VALUE!</v>
      </c>
      <c r="QM4" t="e">
        <f>+SUMIF([1]Cartera!$R:$R,$A4&amp;"_"&amp;QM$11,[1]Cartera!$I:$I)+SUMIF([1]Futuros!$AD:$AD,$A4&amp;"_"&amp;QM$11,[1]Futuros!$AK:$AK)+SUMIF([1]Opciones!$AF:$AF,$A4&amp;"_"&amp;QM$11,[1]Opciones!$AQ:$AQ)</f>
        <v>#VALUE!</v>
      </c>
      <c r="QN4" t="e">
        <f>+SUMIF([1]Cartera!$R:$R,$A4&amp;"_"&amp;QN$11,[1]Cartera!$I:$I)+SUMIF([1]Futuros!$AD:$AD,$A4&amp;"_"&amp;QN$11,[1]Futuros!$AK:$AK)+SUMIF([1]Opciones!$AF:$AF,$A4&amp;"_"&amp;QN$11,[1]Opciones!$AQ:$AQ)</f>
        <v>#VALUE!</v>
      </c>
      <c r="QO4" t="e">
        <f>+SUMIF([1]Cartera!$R:$R,$A4&amp;"_"&amp;QO$11,[1]Cartera!$I:$I)+SUMIF([1]Futuros!$AD:$AD,$A4&amp;"_"&amp;QO$11,[1]Futuros!$AK:$AK)+SUMIF([1]Opciones!$AF:$AF,$A4&amp;"_"&amp;QO$11,[1]Opciones!$AQ:$AQ)</f>
        <v>#VALUE!</v>
      </c>
      <c r="QP4" t="e">
        <f>+SUMIF([1]Cartera!$R:$R,$A4&amp;"_"&amp;QP$11,[1]Cartera!$I:$I)+SUMIF([1]Futuros!$AD:$AD,$A4&amp;"_"&amp;QP$11,[1]Futuros!$AK:$AK)+SUMIF([1]Opciones!$AF:$AF,$A4&amp;"_"&amp;QP$11,[1]Opciones!$AQ:$AQ)</f>
        <v>#VALUE!</v>
      </c>
      <c r="QQ4" t="e">
        <f>+SUMIF([1]Cartera!$R:$R,$A4&amp;"_"&amp;QQ$11,[1]Cartera!$I:$I)+SUMIF([1]Futuros!$AD:$AD,$A4&amp;"_"&amp;QQ$11,[1]Futuros!$AK:$AK)+SUMIF([1]Opciones!$AF:$AF,$A4&amp;"_"&amp;QQ$11,[1]Opciones!$AQ:$AQ)</f>
        <v>#VALUE!</v>
      </c>
      <c r="QR4" t="e">
        <f>+SUMIF([1]Cartera!$R:$R,$A4&amp;"_"&amp;QR$11,[1]Cartera!$I:$I)+SUMIF([1]Futuros!$AD:$AD,$A4&amp;"_"&amp;QR$11,[1]Futuros!$AK:$AK)+SUMIF([1]Opciones!$AF:$AF,$A4&amp;"_"&amp;QR$11,[1]Opciones!$AQ:$AQ)</f>
        <v>#VALUE!</v>
      </c>
      <c r="QS4" t="e">
        <f>+SUMIF([1]Cartera!$R:$R,$A4&amp;"_"&amp;QS$11,[1]Cartera!$I:$I)+SUMIF([1]Futuros!$AD:$AD,$A4&amp;"_"&amp;QS$11,[1]Futuros!$AK:$AK)+SUMIF([1]Opciones!$AF:$AF,$A4&amp;"_"&amp;QS$11,[1]Opciones!$AQ:$AQ)</f>
        <v>#VALUE!</v>
      </c>
      <c r="QT4" t="e">
        <f>+SUMIF([1]Cartera!$R:$R,$A4&amp;"_"&amp;QT$11,[1]Cartera!$I:$I)+SUMIF([1]Futuros!$AD:$AD,$A4&amp;"_"&amp;QT$11,[1]Futuros!$AK:$AK)+SUMIF([1]Opciones!$AF:$AF,$A4&amp;"_"&amp;QT$11,[1]Opciones!$AQ:$AQ)</f>
        <v>#VALUE!</v>
      </c>
      <c r="QU4" t="e">
        <f>+SUMIF([1]Cartera!$R:$R,$A4&amp;"_"&amp;QU$11,[1]Cartera!$I:$I)+SUMIF([1]Futuros!$AD:$AD,$A4&amp;"_"&amp;QU$11,[1]Futuros!$AK:$AK)+SUMIF([1]Opciones!$AF:$AF,$A4&amp;"_"&amp;QU$11,[1]Opciones!$AQ:$AQ)</f>
        <v>#VALUE!</v>
      </c>
      <c r="QV4" t="e">
        <f>+SUMIF([1]Cartera!$R:$R,$A4&amp;"_"&amp;QV$11,[1]Cartera!$I:$I)+SUMIF([1]Futuros!$AD:$AD,$A4&amp;"_"&amp;QV$11,[1]Futuros!$AK:$AK)+SUMIF([1]Opciones!$AF:$AF,$A4&amp;"_"&amp;QV$11,[1]Opciones!$AQ:$AQ)</f>
        <v>#VALUE!</v>
      </c>
      <c r="QW4" t="e">
        <f>+SUMIF([1]Cartera!$R:$R,$A4&amp;"_"&amp;QW$11,[1]Cartera!$I:$I)+SUMIF([1]Futuros!$AD:$AD,$A4&amp;"_"&amp;QW$11,[1]Futuros!$AK:$AK)+SUMIF([1]Opciones!$AF:$AF,$A4&amp;"_"&amp;QW$11,[1]Opciones!$AQ:$AQ)</f>
        <v>#VALUE!</v>
      </c>
      <c r="QX4" t="e">
        <f>+SUMIF([1]Cartera!$R:$R,$A4&amp;"_"&amp;QX$11,[1]Cartera!$I:$I)+SUMIF([1]Futuros!$AD:$AD,$A4&amp;"_"&amp;QX$11,[1]Futuros!$AK:$AK)+SUMIF([1]Opciones!$AF:$AF,$A4&amp;"_"&amp;QX$11,[1]Opciones!$AQ:$AQ)</f>
        <v>#VALUE!</v>
      </c>
      <c r="QY4" t="e">
        <f>+SUMIF([1]Cartera!$R:$R,$A4&amp;"_"&amp;QY$11,[1]Cartera!$I:$I)+SUMIF([1]Futuros!$AD:$AD,$A4&amp;"_"&amp;QY$11,[1]Futuros!$AK:$AK)+SUMIF([1]Opciones!$AF:$AF,$A4&amp;"_"&amp;QY$11,[1]Opciones!$AQ:$AQ)</f>
        <v>#VALUE!</v>
      </c>
      <c r="QZ4" t="e">
        <f>+SUMIF([1]Cartera!$R:$R,$A4&amp;"_"&amp;QZ$11,[1]Cartera!$I:$I)+SUMIF([1]Futuros!$AD:$AD,$A4&amp;"_"&amp;QZ$11,[1]Futuros!$AK:$AK)+SUMIF([1]Opciones!$AF:$AF,$A4&amp;"_"&amp;QZ$11,[1]Opciones!$AQ:$AQ)</f>
        <v>#VALUE!</v>
      </c>
      <c r="RA4" t="e">
        <f>+SUMIF([1]Cartera!$R:$R,$A4&amp;"_"&amp;RA$11,[1]Cartera!$I:$I)+SUMIF([1]Futuros!$AD:$AD,$A4&amp;"_"&amp;RA$11,[1]Futuros!$AK:$AK)+SUMIF([1]Opciones!$AF:$AF,$A4&amp;"_"&amp;RA$11,[1]Opciones!$AQ:$AQ)</f>
        <v>#VALUE!</v>
      </c>
      <c r="RB4" t="e">
        <f>+SUMIF([1]Cartera!$R:$R,$A4&amp;"_"&amp;RB$11,[1]Cartera!$I:$I)+SUMIF([1]Futuros!$AD:$AD,$A4&amp;"_"&amp;RB$11,[1]Futuros!$AK:$AK)+SUMIF([1]Opciones!$AF:$AF,$A4&amp;"_"&amp;RB$11,[1]Opciones!$AQ:$AQ)</f>
        <v>#VALUE!</v>
      </c>
      <c r="RC4" t="e">
        <f>+SUMIF([1]Cartera!$R:$R,$A4&amp;"_"&amp;RC$11,[1]Cartera!$I:$I)+SUMIF([1]Futuros!$AD:$AD,$A4&amp;"_"&amp;RC$11,[1]Futuros!$AK:$AK)+SUMIF([1]Opciones!$AF:$AF,$A4&amp;"_"&amp;RC$11,[1]Opciones!$AQ:$AQ)</f>
        <v>#VALUE!</v>
      </c>
      <c r="RD4" t="e">
        <f>+SUMIF([1]Cartera!$R:$R,$A4&amp;"_"&amp;RD$11,[1]Cartera!$I:$I)+SUMIF([1]Futuros!$AD:$AD,$A4&amp;"_"&amp;RD$11,[1]Futuros!$AK:$AK)+SUMIF([1]Opciones!$AF:$AF,$A4&amp;"_"&amp;RD$11,[1]Opciones!$AQ:$AQ)</f>
        <v>#VALUE!</v>
      </c>
      <c r="RE4" t="e">
        <f>+SUMIF([1]Cartera!$R:$R,$A4&amp;"_"&amp;RE$11,[1]Cartera!$I:$I)+SUMIF([1]Futuros!$AD:$AD,$A4&amp;"_"&amp;RE$11,[1]Futuros!$AK:$AK)+SUMIF([1]Opciones!$AF:$AF,$A4&amp;"_"&amp;RE$11,[1]Opciones!$AQ:$AQ)</f>
        <v>#VALUE!</v>
      </c>
      <c r="RF4" t="e">
        <f>+SUMIF([1]Cartera!$R:$R,$A4&amp;"_"&amp;RF$11,[1]Cartera!$I:$I)+SUMIF([1]Futuros!$AD:$AD,$A4&amp;"_"&amp;RF$11,[1]Futuros!$AK:$AK)+SUMIF([1]Opciones!$AF:$AF,$A4&amp;"_"&amp;RF$11,[1]Opciones!$AQ:$AQ)</f>
        <v>#VALUE!</v>
      </c>
      <c r="RG4" t="e">
        <f>+SUMIF([1]Cartera!$R:$R,$A4&amp;"_"&amp;RG$11,[1]Cartera!$I:$I)+SUMIF([1]Futuros!$AD:$AD,$A4&amp;"_"&amp;RG$11,[1]Futuros!$AK:$AK)+SUMIF([1]Opciones!$AF:$AF,$A4&amp;"_"&amp;RG$11,[1]Opciones!$AQ:$AQ)</f>
        <v>#VALUE!</v>
      </c>
      <c r="RH4" t="e">
        <f>+SUMIF([1]Cartera!$R:$R,$A4&amp;"_"&amp;RH$11,[1]Cartera!$I:$I)+SUMIF([1]Futuros!$AD:$AD,$A4&amp;"_"&amp;RH$11,[1]Futuros!$AK:$AK)+SUMIF([1]Opciones!$AF:$AF,$A4&amp;"_"&amp;RH$11,[1]Opciones!$AQ:$AQ)</f>
        <v>#VALUE!</v>
      </c>
      <c r="RI4" t="e">
        <f>+SUMIF([1]Cartera!$R:$R,$A4&amp;"_"&amp;RI$11,[1]Cartera!$I:$I)+SUMIF([1]Futuros!$AD:$AD,$A4&amp;"_"&amp;RI$11,[1]Futuros!$AK:$AK)+SUMIF([1]Opciones!$AF:$AF,$A4&amp;"_"&amp;RI$11,[1]Opciones!$AQ:$AQ)</f>
        <v>#VALUE!</v>
      </c>
      <c r="RJ4" t="e">
        <f>+SUMIF([1]Cartera!$R:$R,$A4&amp;"_"&amp;RJ$11,[1]Cartera!$I:$I)+SUMIF([1]Futuros!$AD:$AD,$A4&amp;"_"&amp;RJ$11,[1]Futuros!$AK:$AK)+SUMIF([1]Opciones!$AF:$AF,$A4&amp;"_"&amp;RJ$11,[1]Opciones!$AQ:$AQ)</f>
        <v>#VALUE!</v>
      </c>
      <c r="RK4" t="e">
        <f>+SUMIF([1]Cartera!$R:$R,$A4&amp;"_"&amp;RK$11,[1]Cartera!$I:$I)+SUMIF([1]Futuros!$AD:$AD,$A4&amp;"_"&amp;RK$11,[1]Futuros!$AK:$AK)+SUMIF([1]Opciones!$AF:$AF,$A4&amp;"_"&amp;RK$11,[1]Opciones!$AQ:$AQ)</f>
        <v>#VALUE!</v>
      </c>
      <c r="RL4" t="e">
        <f>+SUMIF([1]Cartera!$R:$R,$A4&amp;"_"&amp;RL$11,[1]Cartera!$I:$I)+SUMIF([1]Futuros!$AD:$AD,$A4&amp;"_"&amp;RL$11,[1]Futuros!$AK:$AK)+SUMIF([1]Opciones!$AF:$AF,$A4&amp;"_"&amp;RL$11,[1]Opciones!$AQ:$AQ)</f>
        <v>#VALUE!</v>
      </c>
      <c r="RM4" t="e">
        <f>+SUMIF([1]Cartera!$R:$R,$A4&amp;"_"&amp;RM$11,[1]Cartera!$I:$I)+SUMIF([1]Futuros!$AD:$AD,$A4&amp;"_"&amp;RM$11,[1]Futuros!$AK:$AK)+SUMIF([1]Opciones!$AF:$AF,$A4&amp;"_"&amp;RM$11,[1]Opciones!$AQ:$AQ)</f>
        <v>#VALUE!</v>
      </c>
      <c r="RN4" t="e">
        <f>+SUMIF([1]Cartera!$R:$R,$A4&amp;"_"&amp;RN$11,[1]Cartera!$I:$I)+SUMIF([1]Futuros!$AD:$AD,$A4&amp;"_"&amp;RN$11,[1]Futuros!$AK:$AK)+SUMIF([1]Opciones!$AF:$AF,$A4&amp;"_"&amp;RN$11,[1]Opciones!$AQ:$AQ)</f>
        <v>#VALUE!</v>
      </c>
      <c r="RO4" t="e">
        <f>+SUMIF([1]Cartera!$R:$R,$A4&amp;"_"&amp;RO$11,[1]Cartera!$I:$I)+SUMIF([1]Futuros!$AD:$AD,$A4&amp;"_"&amp;RO$11,[1]Futuros!$AK:$AK)+SUMIF([1]Opciones!$AF:$AF,$A4&amp;"_"&amp;RO$11,[1]Opciones!$AQ:$AQ)</f>
        <v>#VALUE!</v>
      </c>
      <c r="RP4" t="e">
        <f>+SUMIF([1]Cartera!$R:$R,$A4&amp;"_"&amp;RP$11,[1]Cartera!$I:$I)+SUMIF([1]Futuros!$AD:$AD,$A4&amp;"_"&amp;RP$11,[1]Futuros!$AK:$AK)+SUMIF([1]Opciones!$AF:$AF,$A4&amp;"_"&amp;RP$11,[1]Opciones!$AQ:$AQ)</f>
        <v>#VALUE!</v>
      </c>
      <c r="RQ4" t="e">
        <f>+SUMIF([1]Cartera!$R:$R,$A4&amp;"_"&amp;RQ$11,[1]Cartera!$I:$I)+SUMIF([1]Futuros!$AD:$AD,$A4&amp;"_"&amp;RQ$11,[1]Futuros!$AK:$AK)+SUMIF([1]Opciones!$AF:$AF,$A4&amp;"_"&amp;RQ$11,[1]Opciones!$AQ:$AQ)</f>
        <v>#VALUE!</v>
      </c>
      <c r="RR4" t="e">
        <f>+SUMIF([1]Cartera!$R:$R,$A4&amp;"_"&amp;RR$11,[1]Cartera!$I:$I)+SUMIF([1]Futuros!$AD:$AD,$A4&amp;"_"&amp;RR$11,[1]Futuros!$AK:$AK)+SUMIF([1]Opciones!$AF:$AF,$A4&amp;"_"&amp;RR$11,[1]Opciones!$AQ:$AQ)</f>
        <v>#VALUE!</v>
      </c>
      <c r="RS4" t="e">
        <f>+SUMIF([1]Cartera!$R:$R,$A4&amp;"_"&amp;RS$11,[1]Cartera!$I:$I)+SUMIF([1]Futuros!$AD:$AD,$A4&amp;"_"&amp;RS$11,[1]Futuros!$AK:$AK)+SUMIF([1]Opciones!$AF:$AF,$A4&amp;"_"&amp;RS$11,[1]Opciones!$AQ:$AQ)</f>
        <v>#VALUE!</v>
      </c>
      <c r="RT4" t="e">
        <f>+SUMIF([1]Cartera!$R:$R,$A4&amp;"_"&amp;RT$11,[1]Cartera!$I:$I)+SUMIF([1]Futuros!$AD:$AD,$A4&amp;"_"&amp;RT$11,[1]Futuros!$AK:$AK)+SUMIF([1]Opciones!$AF:$AF,$A4&amp;"_"&amp;RT$11,[1]Opciones!$AQ:$AQ)</f>
        <v>#VALUE!</v>
      </c>
      <c r="RU4" t="e">
        <f>+SUMIF([1]Cartera!$R:$R,$A4&amp;"_"&amp;RU$11,[1]Cartera!$I:$I)+SUMIF([1]Futuros!$AD:$AD,$A4&amp;"_"&amp;RU$11,[1]Futuros!$AK:$AK)+SUMIF([1]Opciones!$AF:$AF,$A4&amp;"_"&amp;RU$11,[1]Opciones!$AQ:$AQ)</f>
        <v>#VALUE!</v>
      </c>
      <c r="RV4" t="e">
        <f>+SUMIF([1]Cartera!$R:$R,$A4&amp;"_"&amp;RV$11,[1]Cartera!$I:$I)+SUMIF([1]Futuros!$AD:$AD,$A4&amp;"_"&amp;RV$11,[1]Futuros!$AK:$AK)+SUMIF([1]Opciones!$AF:$AF,$A4&amp;"_"&amp;RV$11,[1]Opciones!$AQ:$AQ)</f>
        <v>#VALUE!</v>
      </c>
      <c r="RW4" t="e">
        <f>+SUMIF([1]Cartera!$R:$R,$A4&amp;"_"&amp;RW$11,[1]Cartera!$I:$I)+SUMIF([1]Futuros!$AD:$AD,$A4&amp;"_"&amp;RW$11,[1]Futuros!$AK:$AK)+SUMIF([1]Opciones!$AF:$AF,$A4&amp;"_"&amp;RW$11,[1]Opciones!$AQ:$AQ)</f>
        <v>#VALUE!</v>
      </c>
      <c r="RX4" t="e">
        <f>+SUMIF([1]Cartera!$R:$R,$A4&amp;"_"&amp;RX$11,[1]Cartera!$I:$I)+SUMIF([1]Futuros!$AD:$AD,$A4&amp;"_"&amp;RX$11,[1]Futuros!$AK:$AK)+SUMIF([1]Opciones!$AF:$AF,$A4&amp;"_"&amp;RX$11,[1]Opciones!$AQ:$AQ)</f>
        <v>#VALUE!</v>
      </c>
      <c r="RY4" t="e">
        <f>+SUMIF([1]Cartera!$R:$R,$A4&amp;"_"&amp;RY$11,[1]Cartera!$I:$I)+SUMIF([1]Futuros!$AD:$AD,$A4&amp;"_"&amp;RY$11,[1]Futuros!$AK:$AK)+SUMIF([1]Opciones!$AF:$AF,$A4&amp;"_"&amp;RY$11,[1]Opciones!$AQ:$AQ)</f>
        <v>#VALUE!</v>
      </c>
      <c r="RZ4" t="e">
        <f>+SUMIF([1]Cartera!$R:$R,$A4&amp;"_"&amp;RZ$11,[1]Cartera!$I:$I)+SUMIF([1]Futuros!$AD:$AD,$A4&amp;"_"&amp;RZ$11,[1]Futuros!$AK:$AK)+SUMIF([1]Opciones!$AF:$AF,$A4&amp;"_"&amp;RZ$11,[1]Opciones!$AQ:$AQ)</f>
        <v>#VALUE!</v>
      </c>
      <c r="SA4" t="e">
        <f>+SUMIF([1]Cartera!$R:$R,$A4&amp;"_"&amp;SA$11,[1]Cartera!$I:$I)+SUMIF([1]Futuros!$AD:$AD,$A4&amp;"_"&amp;SA$11,[1]Futuros!$AK:$AK)+SUMIF([1]Opciones!$AF:$AF,$A4&amp;"_"&amp;SA$11,[1]Opciones!$AQ:$AQ)</f>
        <v>#VALUE!</v>
      </c>
      <c r="SB4" t="e">
        <f>+SUMIF([1]Cartera!$R:$R,$A4&amp;"_"&amp;SB$11,[1]Cartera!$I:$I)+SUMIF([1]Futuros!$AD:$AD,$A4&amp;"_"&amp;SB$11,[1]Futuros!$AK:$AK)+SUMIF([1]Opciones!$AF:$AF,$A4&amp;"_"&amp;SB$11,[1]Opciones!$AQ:$AQ)</f>
        <v>#VALUE!</v>
      </c>
      <c r="SC4" t="e">
        <f>+SUMIF([1]Cartera!$R:$R,$A4&amp;"_"&amp;SC$11,[1]Cartera!$I:$I)+SUMIF([1]Futuros!$AD:$AD,$A4&amp;"_"&amp;SC$11,[1]Futuros!$AK:$AK)+SUMIF([1]Opciones!$AF:$AF,$A4&amp;"_"&amp;SC$11,[1]Opciones!$AQ:$AQ)</f>
        <v>#VALUE!</v>
      </c>
      <c r="SD4" t="e">
        <f>+SUMIF([1]Cartera!$R:$R,$A4&amp;"_"&amp;SD$11,[1]Cartera!$I:$I)+SUMIF([1]Futuros!$AD:$AD,$A4&amp;"_"&amp;SD$11,[1]Futuros!$AK:$AK)+SUMIF([1]Opciones!$AF:$AF,$A4&amp;"_"&amp;SD$11,[1]Opciones!$AQ:$AQ)</f>
        <v>#VALUE!</v>
      </c>
      <c r="SE4" t="e">
        <f>+SUMIF([1]Cartera!$R:$R,$A4&amp;"_"&amp;SE$11,[1]Cartera!$I:$I)+SUMIF([1]Futuros!$AD:$AD,$A4&amp;"_"&amp;SE$11,[1]Futuros!$AK:$AK)+SUMIF([1]Opciones!$AF:$AF,$A4&amp;"_"&amp;SE$11,[1]Opciones!$AQ:$AQ)</f>
        <v>#VALUE!</v>
      </c>
      <c r="SF4" t="e">
        <f>+SUMIF([1]Cartera!$R:$R,$A4&amp;"_"&amp;SF$11,[1]Cartera!$I:$I)+SUMIF([1]Futuros!$AD:$AD,$A4&amp;"_"&amp;SF$11,[1]Futuros!$AK:$AK)+SUMIF([1]Opciones!$AF:$AF,$A4&amp;"_"&amp;SF$11,[1]Opciones!$AQ:$AQ)</f>
        <v>#VALUE!</v>
      </c>
      <c r="SG4" t="e">
        <f>+SUMIF([1]Cartera!$R:$R,$A4&amp;"_"&amp;SG$11,[1]Cartera!$I:$I)+SUMIF([1]Futuros!$AD:$AD,$A4&amp;"_"&amp;SG$11,[1]Futuros!$AK:$AK)+SUMIF([1]Opciones!$AF:$AF,$A4&amp;"_"&amp;SG$11,[1]Opciones!$AQ:$AQ)</f>
        <v>#VALUE!</v>
      </c>
      <c r="SH4" t="e">
        <f>+SUMIF([1]Cartera!$R:$R,$A4&amp;"_"&amp;SH$11,[1]Cartera!$I:$I)+SUMIF([1]Futuros!$AD:$AD,$A4&amp;"_"&amp;SH$11,[1]Futuros!$AK:$AK)+SUMIF([1]Opciones!$AF:$AF,$A4&amp;"_"&amp;SH$11,[1]Opciones!$AQ:$AQ)</f>
        <v>#VALUE!</v>
      </c>
      <c r="SI4" t="e">
        <f>+SUMIF([1]Cartera!$R:$R,$A4&amp;"_"&amp;SI$11,[1]Cartera!$I:$I)+SUMIF([1]Futuros!$AD:$AD,$A4&amp;"_"&amp;SI$11,[1]Futuros!$AK:$AK)+SUMIF([1]Opciones!$AF:$AF,$A4&amp;"_"&amp;SI$11,[1]Opciones!$AQ:$AQ)</f>
        <v>#VALUE!</v>
      </c>
      <c r="SJ4" t="e">
        <f>+SUMIF([1]Cartera!$R:$R,$A4&amp;"_"&amp;SJ$11,[1]Cartera!$I:$I)+SUMIF([1]Futuros!$AD:$AD,$A4&amp;"_"&amp;SJ$11,[1]Futuros!$AK:$AK)+SUMIF([1]Opciones!$AF:$AF,$A4&amp;"_"&amp;SJ$11,[1]Opciones!$AQ:$AQ)</f>
        <v>#VALUE!</v>
      </c>
      <c r="SK4" t="e">
        <f>+SUMIF([1]Cartera!$R:$R,$A4&amp;"_"&amp;SK$11,[1]Cartera!$I:$I)+SUMIF([1]Futuros!$AD:$AD,$A4&amp;"_"&amp;SK$11,[1]Futuros!$AK:$AK)+SUMIF([1]Opciones!$AF:$AF,$A4&amp;"_"&amp;SK$11,[1]Opciones!$AQ:$AQ)</f>
        <v>#VALUE!</v>
      </c>
      <c r="SL4" t="e">
        <f>+SUMIF([1]Cartera!$R:$R,$A4&amp;"_"&amp;SL$11,[1]Cartera!$I:$I)+SUMIF([1]Futuros!$AD:$AD,$A4&amp;"_"&amp;SL$11,[1]Futuros!$AK:$AK)+SUMIF([1]Opciones!$AF:$AF,$A4&amp;"_"&amp;SL$11,[1]Opciones!$AQ:$AQ)</f>
        <v>#VALUE!</v>
      </c>
      <c r="SM4" t="e">
        <f>+SUMIF([1]Cartera!$R:$R,$A4&amp;"_"&amp;SM$11,[1]Cartera!$I:$I)+SUMIF([1]Futuros!$AD:$AD,$A4&amp;"_"&amp;SM$11,[1]Futuros!$AK:$AK)+SUMIF([1]Opciones!$AF:$AF,$A4&amp;"_"&amp;SM$11,[1]Opciones!$AQ:$AQ)</f>
        <v>#VALUE!</v>
      </c>
      <c r="SN4" t="e">
        <f>+SUMIF([1]Cartera!$R:$R,$A4&amp;"_"&amp;SN$11,[1]Cartera!$I:$I)+SUMIF([1]Futuros!$AD:$AD,$A4&amp;"_"&amp;SN$11,[1]Futuros!$AK:$AK)+SUMIF([1]Opciones!$AF:$AF,$A4&amp;"_"&amp;SN$11,[1]Opciones!$AQ:$AQ)</f>
        <v>#VALUE!</v>
      </c>
      <c r="SO4" t="e">
        <f>+SUMIF([1]Cartera!$R:$R,$A4&amp;"_"&amp;SO$11,[1]Cartera!$I:$I)+SUMIF([1]Futuros!$AD:$AD,$A4&amp;"_"&amp;SO$11,[1]Futuros!$AK:$AK)+SUMIF([1]Opciones!$AF:$AF,$A4&amp;"_"&amp;SO$11,[1]Opciones!$AQ:$AQ)</f>
        <v>#VALUE!</v>
      </c>
      <c r="SP4" t="e">
        <f>+SUMIF([1]Cartera!$R:$R,$A4&amp;"_"&amp;SP$11,[1]Cartera!$I:$I)+SUMIF([1]Futuros!$AD:$AD,$A4&amp;"_"&amp;SP$11,[1]Futuros!$AK:$AK)+SUMIF([1]Opciones!$AF:$AF,$A4&amp;"_"&amp;SP$11,[1]Opciones!$AQ:$AQ)</f>
        <v>#VALUE!</v>
      </c>
      <c r="SQ4" t="e">
        <f>+SUMIF([1]Cartera!$R:$R,$A4&amp;"_"&amp;SQ$11,[1]Cartera!$I:$I)+SUMIF([1]Futuros!$AD:$AD,$A4&amp;"_"&amp;SQ$11,[1]Futuros!$AK:$AK)+SUMIF([1]Opciones!$AF:$AF,$A4&amp;"_"&amp;SQ$11,[1]Opciones!$AQ:$AQ)</f>
        <v>#VALUE!</v>
      </c>
      <c r="SR4" t="e">
        <f>+SUMIF([1]Cartera!$R:$R,$A4&amp;"_"&amp;SR$11,[1]Cartera!$I:$I)+SUMIF([1]Futuros!$AD:$AD,$A4&amp;"_"&amp;SR$11,[1]Futuros!$AK:$AK)+SUMIF([1]Opciones!$AF:$AF,$A4&amp;"_"&amp;SR$11,[1]Opciones!$AQ:$AQ)</f>
        <v>#VALUE!</v>
      </c>
      <c r="SS4" t="e">
        <f>+SUMIF([1]Cartera!$R:$R,$A4&amp;"_"&amp;SS$11,[1]Cartera!$I:$I)+SUMIF([1]Futuros!$AD:$AD,$A4&amp;"_"&amp;SS$11,[1]Futuros!$AK:$AK)+SUMIF([1]Opciones!$AF:$AF,$A4&amp;"_"&amp;SS$11,[1]Opciones!$AQ:$AQ)</f>
        <v>#VALUE!</v>
      </c>
      <c r="ST4" t="e">
        <f>+SUMIF([1]Cartera!$R:$R,$A4&amp;"_"&amp;ST$11,[1]Cartera!$I:$I)+SUMIF([1]Futuros!$AD:$AD,$A4&amp;"_"&amp;ST$11,[1]Futuros!$AK:$AK)+SUMIF([1]Opciones!$AF:$AF,$A4&amp;"_"&amp;ST$11,[1]Opciones!$AQ:$AQ)</f>
        <v>#VALUE!</v>
      </c>
      <c r="SU4" t="e">
        <f>+SUMIF([1]Cartera!$R:$R,$A4&amp;"_"&amp;SU$11,[1]Cartera!$I:$I)+SUMIF([1]Futuros!$AD:$AD,$A4&amp;"_"&amp;SU$11,[1]Futuros!$AK:$AK)+SUMIF([1]Opciones!$AF:$AF,$A4&amp;"_"&amp;SU$11,[1]Opciones!$AQ:$AQ)</f>
        <v>#VALUE!</v>
      </c>
      <c r="SV4" t="e">
        <f>+SUMIF([1]Cartera!$R:$R,$A4&amp;"_"&amp;SV$11,[1]Cartera!$I:$I)+SUMIF([1]Futuros!$AD:$AD,$A4&amp;"_"&amp;SV$11,[1]Futuros!$AK:$AK)+SUMIF([1]Opciones!$AF:$AF,$A4&amp;"_"&amp;SV$11,[1]Opciones!$AQ:$AQ)</f>
        <v>#VALUE!</v>
      </c>
      <c r="SW4" t="e">
        <f>+SUMIF([1]Cartera!$R:$R,$A4&amp;"_"&amp;SW$11,[1]Cartera!$I:$I)+SUMIF([1]Futuros!$AD:$AD,$A4&amp;"_"&amp;SW$11,[1]Futuros!$AK:$AK)+SUMIF([1]Opciones!$AF:$AF,$A4&amp;"_"&amp;SW$11,[1]Opciones!$AQ:$AQ)</f>
        <v>#VALUE!</v>
      </c>
      <c r="SX4" t="e">
        <f>+SUMIF([1]Cartera!$R:$R,$A4&amp;"_"&amp;SX$11,[1]Cartera!$I:$I)+SUMIF([1]Futuros!$AD:$AD,$A4&amp;"_"&amp;SX$11,[1]Futuros!$AK:$AK)+SUMIF([1]Opciones!$AF:$AF,$A4&amp;"_"&amp;SX$11,[1]Opciones!$AQ:$AQ)</f>
        <v>#VALUE!</v>
      </c>
      <c r="SY4" t="e">
        <f>+SUMIF([1]Cartera!$R:$R,$A4&amp;"_"&amp;SY$11,[1]Cartera!$I:$I)+SUMIF([1]Futuros!$AD:$AD,$A4&amp;"_"&amp;SY$11,[1]Futuros!$AK:$AK)+SUMIF([1]Opciones!$AF:$AF,$A4&amp;"_"&amp;SY$11,[1]Opciones!$AQ:$AQ)</f>
        <v>#VALUE!</v>
      </c>
      <c r="SZ4" t="e">
        <f>+SUMIF([1]Cartera!$R:$R,$A4&amp;"_"&amp;SZ$11,[1]Cartera!$I:$I)+SUMIF([1]Futuros!$AD:$AD,$A4&amp;"_"&amp;SZ$11,[1]Futuros!$AK:$AK)+SUMIF([1]Opciones!$AF:$AF,$A4&amp;"_"&amp;SZ$11,[1]Opciones!$AQ:$AQ)</f>
        <v>#VALUE!</v>
      </c>
      <c r="TA4" t="e">
        <f>+SUMIF([1]Cartera!$R:$R,$A4&amp;"_"&amp;TA$11,[1]Cartera!$I:$I)+SUMIF([1]Futuros!$AD:$AD,$A4&amp;"_"&amp;TA$11,[1]Futuros!$AK:$AK)+SUMIF([1]Opciones!$AF:$AF,$A4&amp;"_"&amp;TA$11,[1]Opciones!$AQ:$AQ)</f>
        <v>#VALUE!</v>
      </c>
      <c r="TB4" t="e">
        <f>+SUMIF([1]Cartera!$R:$R,$A4&amp;"_"&amp;TB$11,[1]Cartera!$I:$I)+SUMIF([1]Futuros!$AD:$AD,$A4&amp;"_"&amp;TB$11,[1]Futuros!$AK:$AK)+SUMIF([1]Opciones!$AF:$AF,$A4&amp;"_"&amp;TB$11,[1]Opciones!$AQ:$AQ)</f>
        <v>#VALUE!</v>
      </c>
      <c r="TC4" t="e">
        <f>+SUMIF([1]Cartera!$R:$R,$A4&amp;"_"&amp;TC$11,[1]Cartera!$I:$I)+SUMIF([1]Futuros!$AD:$AD,$A4&amp;"_"&amp;TC$11,[1]Futuros!$AK:$AK)+SUMIF([1]Opciones!$AF:$AF,$A4&amp;"_"&amp;TC$11,[1]Opciones!$AQ:$AQ)</f>
        <v>#VALUE!</v>
      </c>
      <c r="TD4" t="e">
        <f>+SUMIF([1]Cartera!$R:$R,$A4&amp;"_"&amp;TD$11,[1]Cartera!$I:$I)+SUMIF([1]Futuros!$AD:$AD,$A4&amp;"_"&amp;TD$11,[1]Futuros!$AK:$AK)+SUMIF([1]Opciones!$AF:$AF,$A4&amp;"_"&amp;TD$11,[1]Opciones!$AQ:$AQ)</f>
        <v>#VALUE!</v>
      </c>
      <c r="TE4" t="e">
        <f>+SUMIF([1]Cartera!$R:$R,$A4&amp;"_"&amp;TE$11,[1]Cartera!$I:$I)+SUMIF([1]Futuros!$AD:$AD,$A4&amp;"_"&amp;TE$11,[1]Futuros!$AK:$AK)+SUMIF([1]Opciones!$AF:$AF,$A4&amp;"_"&amp;TE$11,[1]Opciones!$AQ:$AQ)</f>
        <v>#VALUE!</v>
      </c>
      <c r="TF4" t="e">
        <f>+SUMIF([1]Cartera!$R:$R,$A4&amp;"_"&amp;TF$11,[1]Cartera!$I:$I)+SUMIF([1]Futuros!$AD:$AD,$A4&amp;"_"&amp;TF$11,[1]Futuros!$AK:$AK)+SUMIF([1]Opciones!$AF:$AF,$A4&amp;"_"&amp;TF$11,[1]Opciones!$AQ:$AQ)</f>
        <v>#VALUE!</v>
      </c>
      <c r="TG4" t="e">
        <f>+SUMIF([1]Cartera!$R:$R,$A4&amp;"_"&amp;TG$11,[1]Cartera!$I:$I)+SUMIF([1]Futuros!$AD:$AD,$A4&amp;"_"&amp;TG$11,[1]Futuros!$AK:$AK)+SUMIF([1]Opciones!$AF:$AF,$A4&amp;"_"&amp;TG$11,[1]Opciones!$AQ:$AQ)</f>
        <v>#VALUE!</v>
      </c>
      <c r="TH4" t="e">
        <f>+SUMIF([1]Cartera!$R:$R,$A4&amp;"_"&amp;TH$11,[1]Cartera!$I:$I)+SUMIF([1]Futuros!$AD:$AD,$A4&amp;"_"&amp;TH$11,[1]Futuros!$AK:$AK)+SUMIF([1]Opciones!$AF:$AF,$A4&amp;"_"&amp;TH$11,[1]Opciones!$AQ:$AQ)</f>
        <v>#VALUE!</v>
      </c>
      <c r="TI4" t="e">
        <f>+SUMIF([1]Cartera!$R:$R,$A4&amp;"_"&amp;TI$11,[1]Cartera!$I:$I)+SUMIF([1]Futuros!$AD:$AD,$A4&amp;"_"&amp;TI$11,[1]Futuros!$AK:$AK)+SUMIF([1]Opciones!$AF:$AF,$A4&amp;"_"&amp;TI$11,[1]Opciones!$AQ:$AQ)</f>
        <v>#VALUE!</v>
      </c>
      <c r="TJ4" t="e">
        <f>+SUMIF([1]Cartera!$R:$R,$A4&amp;"_"&amp;TJ$11,[1]Cartera!$I:$I)+SUMIF([1]Futuros!$AD:$AD,$A4&amp;"_"&amp;TJ$11,[1]Futuros!$AK:$AK)+SUMIF([1]Opciones!$AF:$AF,$A4&amp;"_"&amp;TJ$11,[1]Opciones!$AQ:$AQ)</f>
        <v>#VALUE!</v>
      </c>
      <c r="TK4" t="e">
        <f>+SUMIF([1]Cartera!$R:$R,$A4&amp;"_"&amp;TK$11,[1]Cartera!$I:$I)+SUMIF([1]Futuros!$AD:$AD,$A4&amp;"_"&amp;TK$11,[1]Futuros!$AK:$AK)+SUMIF([1]Opciones!$AF:$AF,$A4&amp;"_"&amp;TK$11,[1]Opciones!$AQ:$AQ)</f>
        <v>#VALUE!</v>
      </c>
      <c r="TL4" t="e">
        <f>+SUMIF([1]Cartera!$R:$R,$A4&amp;"_"&amp;TL$11,[1]Cartera!$I:$I)+SUMIF([1]Futuros!$AD:$AD,$A4&amp;"_"&amp;TL$11,[1]Futuros!$AK:$AK)+SUMIF([1]Opciones!$AF:$AF,$A4&amp;"_"&amp;TL$11,[1]Opciones!$AQ:$AQ)</f>
        <v>#VALUE!</v>
      </c>
      <c r="TM4" t="e">
        <f>+SUMIF([1]Cartera!$R:$R,$A4&amp;"_"&amp;TM$11,[1]Cartera!$I:$I)+SUMIF([1]Futuros!$AD:$AD,$A4&amp;"_"&amp;TM$11,[1]Futuros!$AK:$AK)+SUMIF([1]Opciones!$AF:$AF,$A4&amp;"_"&amp;TM$11,[1]Opciones!$AQ:$AQ)</f>
        <v>#VALUE!</v>
      </c>
      <c r="TN4" t="e">
        <f>+SUMIF([1]Cartera!$R:$R,$A4&amp;"_"&amp;TN$11,[1]Cartera!$I:$I)+SUMIF([1]Futuros!$AD:$AD,$A4&amp;"_"&amp;TN$11,[1]Futuros!$AK:$AK)+SUMIF([1]Opciones!$AF:$AF,$A4&amp;"_"&amp;TN$11,[1]Opciones!$AQ:$AQ)</f>
        <v>#VALUE!</v>
      </c>
      <c r="TO4" t="e">
        <f>+SUMIF([1]Cartera!$R:$R,$A4&amp;"_"&amp;TO$11,[1]Cartera!$I:$I)+SUMIF([1]Futuros!$AD:$AD,$A4&amp;"_"&amp;TO$11,[1]Futuros!$AK:$AK)+SUMIF([1]Opciones!$AF:$AF,$A4&amp;"_"&amp;TO$11,[1]Opciones!$AQ:$AQ)</f>
        <v>#VALUE!</v>
      </c>
      <c r="TP4" t="e">
        <f>+SUMIF([1]Cartera!$R:$R,$A4&amp;"_"&amp;TP$11,[1]Cartera!$I:$I)+SUMIF([1]Futuros!$AD:$AD,$A4&amp;"_"&amp;TP$11,[1]Futuros!$AK:$AK)+SUMIF([1]Opciones!$AF:$AF,$A4&amp;"_"&amp;TP$11,[1]Opciones!$AQ:$AQ)</f>
        <v>#VALUE!</v>
      </c>
      <c r="TQ4" t="e">
        <f>+SUMIF([1]Cartera!$R:$R,$A4&amp;"_"&amp;TQ$11,[1]Cartera!$I:$I)+SUMIF([1]Futuros!$AD:$AD,$A4&amp;"_"&amp;TQ$11,[1]Futuros!$AK:$AK)+SUMIF([1]Opciones!$AF:$AF,$A4&amp;"_"&amp;TQ$11,[1]Opciones!$AQ:$AQ)</f>
        <v>#VALUE!</v>
      </c>
      <c r="TR4" t="e">
        <f>+SUMIF([1]Cartera!$R:$R,$A4&amp;"_"&amp;TR$11,[1]Cartera!$I:$I)+SUMIF([1]Futuros!$AD:$AD,$A4&amp;"_"&amp;TR$11,[1]Futuros!$AK:$AK)+SUMIF([1]Opciones!$AF:$AF,$A4&amp;"_"&amp;TR$11,[1]Opciones!$AQ:$AQ)</f>
        <v>#VALUE!</v>
      </c>
      <c r="TS4" t="e">
        <f>+SUMIF([1]Cartera!$R:$R,$A4&amp;"_"&amp;TS$11,[1]Cartera!$I:$I)+SUMIF([1]Futuros!$AD:$AD,$A4&amp;"_"&amp;TS$11,[1]Futuros!$AK:$AK)+SUMIF([1]Opciones!$AF:$AF,$A4&amp;"_"&amp;TS$11,[1]Opciones!$AQ:$AQ)</f>
        <v>#VALUE!</v>
      </c>
      <c r="TT4" t="e">
        <f>+SUMIF([1]Cartera!$R:$R,$A4&amp;"_"&amp;TT$11,[1]Cartera!$I:$I)+SUMIF([1]Futuros!$AD:$AD,$A4&amp;"_"&amp;TT$11,[1]Futuros!$AK:$AK)+SUMIF([1]Opciones!$AF:$AF,$A4&amp;"_"&amp;TT$11,[1]Opciones!$AQ:$AQ)</f>
        <v>#VALUE!</v>
      </c>
      <c r="TU4" t="e">
        <f>+SUMIF([1]Cartera!$R:$R,$A4&amp;"_"&amp;TU$11,[1]Cartera!$I:$I)+SUMIF([1]Futuros!$AD:$AD,$A4&amp;"_"&amp;TU$11,[1]Futuros!$AK:$AK)+SUMIF([1]Opciones!$AF:$AF,$A4&amp;"_"&amp;TU$11,[1]Opciones!$AQ:$AQ)</f>
        <v>#VALUE!</v>
      </c>
      <c r="TV4" t="e">
        <f>+SUMIF([1]Cartera!$R:$R,$A4&amp;"_"&amp;TV$11,[1]Cartera!$I:$I)+SUMIF([1]Futuros!$AD:$AD,$A4&amp;"_"&amp;TV$11,[1]Futuros!$AK:$AK)+SUMIF([1]Opciones!$AF:$AF,$A4&amp;"_"&amp;TV$11,[1]Opciones!$AQ:$AQ)</f>
        <v>#VALUE!</v>
      </c>
      <c r="TW4" t="e">
        <f>+SUMIF([1]Cartera!$R:$R,$A4&amp;"_"&amp;TW$11,[1]Cartera!$I:$I)+SUMIF([1]Futuros!$AD:$AD,$A4&amp;"_"&amp;TW$11,[1]Futuros!$AK:$AK)+SUMIF([1]Opciones!$AF:$AF,$A4&amp;"_"&amp;TW$11,[1]Opciones!$AQ:$AQ)</f>
        <v>#VALUE!</v>
      </c>
      <c r="TX4" t="e">
        <f>+SUMIF([1]Cartera!$R:$R,$A4&amp;"_"&amp;TX$11,[1]Cartera!$I:$I)+SUMIF([1]Futuros!$AD:$AD,$A4&amp;"_"&amp;TX$11,[1]Futuros!$AK:$AK)+SUMIF([1]Opciones!$AF:$AF,$A4&amp;"_"&amp;TX$11,[1]Opciones!$AQ:$AQ)</f>
        <v>#VALUE!</v>
      </c>
      <c r="TY4" t="e">
        <f>+SUMIF([1]Cartera!$R:$R,$A4&amp;"_"&amp;TY$11,[1]Cartera!$I:$I)+SUMIF([1]Futuros!$AD:$AD,$A4&amp;"_"&amp;TY$11,[1]Futuros!$AK:$AK)+SUMIF([1]Opciones!$AF:$AF,$A4&amp;"_"&amp;TY$11,[1]Opciones!$AQ:$AQ)</f>
        <v>#VALUE!</v>
      </c>
      <c r="TZ4" t="e">
        <f>+SUMIF([1]Cartera!$R:$R,$A4&amp;"_"&amp;TZ$11,[1]Cartera!$I:$I)+SUMIF([1]Futuros!$AD:$AD,$A4&amp;"_"&amp;TZ$11,[1]Futuros!$AK:$AK)+SUMIF([1]Opciones!$AF:$AF,$A4&amp;"_"&amp;TZ$11,[1]Opciones!$AQ:$AQ)</f>
        <v>#VALUE!</v>
      </c>
      <c r="UA4" t="e">
        <f>+SUMIF([1]Cartera!$R:$R,$A4&amp;"_"&amp;UA$11,[1]Cartera!$I:$I)+SUMIF([1]Futuros!$AD:$AD,$A4&amp;"_"&amp;UA$11,[1]Futuros!$AK:$AK)+SUMIF([1]Opciones!$AF:$AF,$A4&amp;"_"&amp;UA$11,[1]Opciones!$AQ:$AQ)</f>
        <v>#VALUE!</v>
      </c>
      <c r="UB4" t="e">
        <f>+SUMIF([1]Cartera!$R:$R,$A4&amp;"_"&amp;UB$11,[1]Cartera!$I:$I)+SUMIF([1]Futuros!$AD:$AD,$A4&amp;"_"&amp;UB$11,[1]Futuros!$AK:$AK)+SUMIF([1]Opciones!$AF:$AF,$A4&amp;"_"&amp;UB$11,[1]Opciones!$AQ:$AQ)</f>
        <v>#VALUE!</v>
      </c>
      <c r="UC4" t="e">
        <f>+SUMIF([1]Cartera!$R:$R,$A4&amp;"_"&amp;UC$11,[1]Cartera!$I:$I)+SUMIF([1]Futuros!$AD:$AD,$A4&amp;"_"&amp;UC$11,[1]Futuros!$AK:$AK)+SUMIF([1]Opciones!$AF:$AF,$A4&amp;"_"&amp;UC$11,[1]Opciones!$AQ:$AQ)</f>
        <v>#VALUE!</v>
      </c>
      <c r="UD4" t="e">
        <f>+SUMIF([1]Cartera!$R:$R,$A4&amp;"_"&amp;UD$11,[1]Cartera!$I:$I)+SUMIF([1]Futuros!$AD:$AD,$A4&amp;"_"&amp;UD$11,[1]Futuros!$AK:$AK)+SUMIF([1]Opciones!$AF:$AF,$A4&amp;"_"&amp;UD$11,[1]Opciones!$AQ:$AQ)</f>
        <v>#VALUE!</v>
      </c>
      <c r="UE4" t="e">
        <f>+SUMIF([1]Cartera!$R:$R,$A4&amp;"_"&amp;UE$11,[1]Cartera!$I:$I)+SUMIF([1]Futuros!$AD:$AD,$A4&amp;"_"&amp;UE$11,[1]Futuros!$AK:$AK)+SUMIF([1]Opciones!$AF:$AF,$A4&amp;"_"&amp;UE$11,[1]Opciones!$AQ:$AQ)</f>
        <v>#VALUE!</v>
      </c>
      <c r="UF4" t="e">
        <f>+SUMIF([1]Cartera!$R:$R,$A4&amp;"_"&amp;UF$11,[1]Cartera!$I:$I)+SUMIF([1]Futuros!$AD:$AD,$A4&amp;"_"&amp;UF$11,[1]Futuros!$AK:$AK)+SUMIF([1]Opciones!$AF:$AF,$A4&amp;"_"&amp;UF$11,[1]Opciones!$AQ:$AQ)</f>
        <v>#VALUE!</v>
      </c>
      <c r="UG4" t="e">
        <f>+SUMIF([1]Cartera!$R:$R,$A4&amp;"_"&amp;UG$11,[1]Cartera!$I:$I)+SUMIF([1]Futuros!$AD:$AD,$A4&amp;"_"&amp;UG$11,[1]Futuros!$AK:$AK)+SUMIF([1]Opciones!$AF:$AF,$A4&amp;"_"&amp;UG$11,[1]Opciones!$AQ:$AQ)</f>
        <v>#VALUE!</v>
      </c>
      <c r="UH4" t="e">
        <f>+SUMIF([1]Cartera!$R:$R,$A4&amp;"_"&amp;UH$11,[1]Cartera!$I:$I)+SUMIF([1]Futuros!$AD:$AD,$A4&amp;"_"&amp;UH$11,[1]Futuros!$AK:$AK)+SUMIF([1]Opciones!$AF:$AF,$A4&amp;"_"&amp;UH$11,[1]Opciones!$AQ:$AQ)</f>
        <v>#VALUE!</v>
      </c>
      <c r="UI4" t="e">
        <f>+SUMIF([1]Cartera!$R:$R,$A4&amp;"_"&amp;UI$11,[1]Cartera!$I:$I)+SUMIF([1]Futuros!$AD:$AD,$A4&amp;"_"&amp;UI$11,[1]Futuros!$AK:$AK)+SUMIF([1]Opciones!$AF:$AF,$A4&amp;"_"&amp;UI$11,[1]Opciones!$AQ:$AQ)</f>
        <v>#VALUE!</v>
      </c>
      <c r="UJ4" t="e">
        <f>+SUMIF([1]Cartera!$R:$R,$A4&amp;"_"&amp;UJ$11,[1]Cartera!$I:$I)+SUMIF([1]Futuros!$AD:$AD,$A4&amp;"_"&amp;UJ$11,[1]Futuros!$AK:$AK)+SUMIF([1]Opciones!$AF:$AF,$A4&amp;"_"&amp;UJ$11,[1]Opciones!$AQ:$AQ)</f>
        <v>#VALUE!</v>
      </c>
      <c r="UK4" t="e">
        <f>+SUMIF([1]Cartera!$R:$R,$A4&amp;"_"&amp;UK$11,[1]Cartera!$I:$I)+SUMIF([1]Futuros!$AD:$AD,$A4&amp;"_"&amp;UK$11,[1]Futuros!$AK:$AK)+SUMIF([1]Opciones!$AF:$AF,$A4&amp;"_"&amp;UK$11,[1]Opciones!$AQ:$AQ)</f>
        <v>#VALUE!</v>
      </c>
      <c r="UL4" t="e">
        <f>+SUMIF([1]Cartera!$R:$R,$A4&amp;"_"&amp;UL$11,[1]Cartera!$I:$I)+SUMIF([1]Futuros!$AD:$AD,$A4&amp;"_"&amp;UL$11,[1]Futuros!$AK:$AK)+SUMIF([1]Opciones!$AF:$AF,$A4&amp;"_"&amp;UL$11,[1]Opciones!$AQ:$AQ)</f>
        <v>#VALUE!</v>
      </c>
      <c r="UM4" t="e">
        <f>+SUMIF([1]Cartera!$R:$R,$A4&amp;"_"&amp;UM$11,[1]Cartera!$I:$I)+SUMIF([1]Futuros!$AD:$AD,$A4&amp;"_"&amp;UM$11,[1]Futuros!$AK:$AK)+SUMIF([1]Opciones!$AF:$AF,$A4&amp;"_"&amp;UM$11,[1]Opciones!$AQ:$AQ)</f>
        <v>#VALUE!</v>
      </c>
      <c r="UN4" t="e">
        <f>+SUMIF([1]Cartera!$R:$R,$A4&amp;"_"&amp;UN$11,[1]Cartera!$I:$I)+SUMIF([1]Futuros!$AD:$AD,$A4&amp;"_"&amp;UN$11,[1]Futuros!$AK:$AK)+SUMIF([1]Opciones!$AF:$AF,$A4&amp;"_"&amp;UN$11,[1]Opciones!$AQ:$AQ)</f>
        <v>#VALUE!</v>
      </c>
      <c r="UO4" t="e">
        <f>+SUMIF([1]Cartera!$R:$R,$A4&amp;"_"&amp;UO$11,[1]Cartera!$I:$I)+SUMIF([1]Futuros!$AD:$AD,$A4&amp;"_"&amp;UO$11,[1]Futuros!$AK:$AK)+SUMIF([1]Opciones!$AF:$AF,$A4&amp;"_"&amp;UO$11,[1]Opciones!$AQ:$AQ)</f>
        <v>#VALUE!</v>
      </c>
      <c r="UP4" t="e">
        <f>+SUMIF([1]Cartera!$R:$R,$A4&amp;"_"&amp;UP$11,[1]Cartera!$I:$I)+SUMIF([1]Futuros!$AD:$AD,$A4&amp;"_"&amp;UP$11,[1]Futuros!$AK:$AK)+SUMIF([1]Opciones!$AF:$AF,$A4&amp;"_"&amp;UP$11,[1]Opciones!$AQ:$AQ)</f>
        <v>#VALUE!</v>
      </c>
      <c r="UQ4" t="e">
        <f>+SUMIF([1]Cartera!$R:$R,$A4&amp;"_"&amp;UQ$11,[1]Cartera!$I:$I)+SUMIF([1]Futuros!$AD:$AD,$A4&amp;"_"&amp;UQ$11,[1]Futuros!$AK:$AK)+SUMIF([1]Opciones!$AF:$AF,$A4&amp;"_"&amp;UQ$11,[1]Opciones!$AQ:$AQ)</f>
        <v>#VALUE!</v>
      </c>
      <c r="UR4" t="e">
        <f>+SUMIF([1]Cartera!$R:$R,$A4&amp;"_"&amp;UR$11,[1]Cartera!$I:$I)+SUMIF([1]Futuros!$AD:$AD,$A4&amp;"_"&amp;UR$11,[1]Futuros!$AK:$AK)+SUMIF([1]Opciones!$AF:$AF,$A4&amp;"_"&amp;UR$11,[1]Opciones!$AQ:$AQ)</f>
        <v>#VALUE!</v>
      </c>
      <c r="US4" t="e">
        <f>+SUMIF([1]Cartera!$R:$R,$A4&amp;"_"&amp;US$11,[1]Cartera!$I:$I)+SUMIF([1]Futuros!$AD:$AD,$A4&amp;"_"&amp;US$11,[1]Futuros!$AK:$AK)+SUMIF([1]Opciones!$AF:$AF,$A4&amp;"_"&amp;US$11,[1]Opciones!$AQ:$AQ)</f>
        <v>#VALUE!</v>
      </c>
      <c r="UT4" t="e">
        <f>+SUMIF([1]Cartera!$R:$R,$A4&amp;"_"&amp;UT$11,[1]Cartera!$I:$I)+SUMIF([1]Futuros!$AD:$AD,$A4&amp;"_"&amp;UT$11,[1]Futuros!$AK:$AK)+SUMIF([1]Opciones!$AF:$AF,$A4&amp;"_"&amp;UT$11,[1]Opciones!$AQ:$AQ)</f>
        <v>#VALUE!</v>
      </c>
      <c r="UU4" t="e">
        <f>+SUMIF([1]Cartera!$R:$R,$A4&amp;"_"&amp;UU$11,[1]Cartera!$I:$I)+SUMIF([1]Futuros!$AD:$AD,$A4&amp;"_"&amp;UU$11,[1]Futuros!$AK:$AK)+SUMIF([1]Opciones!$AF:$AF,$A4&amp;"_"&amp;UU$11,[1]Opciones!$AQ:$AQ)</f>
        <v>#VALUE!</v>
      </c>
      <c r="UV4" t="e">
        <f>+SUMIF([1]Cartera!$R:$R,$A4&amp;"_"&amp;UV$11,[1]Cartera!$I:$I)+SUMIF([1]Futuros!$AD:$AD,$A4&amp;"_"&amp;UV$11,[1]Futuros!$AK:$AK)+SUMIF([1]Opciones!$AF:$AF,$A4&amp;"_"&amp;UV$11,[1]Opciones!$AQ:$AQ)</f>
        <v>#VALUE!</v>
      </c>
      <c r="UW4" t="e">
        <f>+SUMIF([1]Cartera!$R:$R,$A4&amp;"_"&amp;UW$11,[1]Cartera!$I:$I)+SUMIF([1]Futuros!$AD:$AD,$A4&amp;"_"&amp;UW$11,[1]Futuros!$AK:$AK)+SUMIF([1]Opciones!$AF:$AF,$A4&amp;"_"&amp;UW$11,[1]Opciones!$AQ:$AQ)</f>
        <v>#VALUE!</v>
      </c>
      <c r="UX4" t="e">
        <f>+SUMIF([1]Cartera!$R:$R,$A4&amp;"_"&amp;UX$11,[1]Cartera!$I:$I)+SUMIF([1]Futuros!$AD:$AD,$A4&amp;"_"&amp;UX$11,[1]Futuros!$AK:$AK)+SUMIF([1]Opciones!$AF:$AF,$A4&amp;"_"&amp;UX$11,[1]Opciones!$AQ:$AQ)</f>
        <v>#VALUE!</v>
      </c>
      <c r="UY4" t="e">
        <f>+SUMIF([1]Cartera!$R:$R,$A4&amp;"_"&amp;UY$11,[1]Cartera!$I:$I)+SUMIF([1]Futuros!$AD:$AD,$A4&amp;"_"&amp;UY$11,[1]Futuros!$AK:$AK)+SUMIF([1]Opciones!$AF:$AF,$A4&amp;"_"&amp;UY$11,[1]Opciones!$AQ:$AQ)</f>
        <v>#VALUE!</v>
      </c>
      <c r="UZ4" t="e">
        <f>+SUMIF([1]Cartera!$R:$R,$A4&amp;"_"&amp;UZ$11,[1]Cartera!$I:$I)+SUMIF([1]Futuros!$AD:$AD,$A4&amp;"_"&amp;UZ$11,[1]Futuros!$AK:$AK)+SUMIF([1]Opciones!$AF:$AF,$A4&amp;"_"&amp;UZ$11,[1]Opciones!$AQ:$AQ)</f>
        <v>#VALUE!</v>
      </c>
      <c r="VA4" t="e">
        <f>+SUMIF([1]Cartera!$R:$R,$A4&amp;"_"&amp;VA$11,[1]Cartera!$I:$I)+SUMIF([1]Futuros!$AD:$AD,$A4&amp;"_"&amp;VA$11,[1]Futuros!$AK:$AK)+SUMIF([1]Opciones!$AF:$AF,$A4&amp;"_"&amp;VA$11,[1]Opciones!$AQ:$AQ)</f>
        <v>#VALUE!</v>
      </c>
      <c r="VB4" t="e">
        <f>+SUMIF([1]Cartera!$R:$R,$A4&amp;"_"&amp;VB$11,[1]Cartera!$I:$I)+SUMIF([1]Futuros!$AD:$AD,$A4&amp;"_"&amp;VB$11,[1]Futuros!$AK:$AK)+SUMIF([1]Opciones!$AF:$AF,$A4&amp;"_"&amp;VB$11,[1]Opciones!$AQ:$AQ)</f>
        <v>#VALUE!</v>
      </c>
      <c r="VC4" t="e">
        <f>+SUMIF([1]Cartera!$R:$R,$A4&amp;"_"&amp;VC$11,[1]Cartera!$I:$I)+SUMIF([1]Futuros!$AD:$AD,$A4&amp;"_"&amp;VC$11,[1]Futuros!$AK:$AK)+SUMIF([1]Opciones!$AF:$AF,$A4&amp;"_"&amp;VC$11,[1]Opciones!$AQ:$AQ)</f>
        <v>#VALUE!</v>
      </c>
      <c r="VD4" t="e">
        <f>+SUMIF([1]Cartera!$R:$R,$A4&amp;"_"&amp;VD$11,[1]Cartera!$I:$I)+SUMIF([1]Futuros!$AD:$AD,$A4&amp;"_"&amp;VD$11,[1]Futuros!$AK:$AK)+SUMIF([1]Opciones!$AF:$AF,$A4&amp;"_"&amp;VD$11,[1]Opciones!$AQ:$AQ)</f>
        <v>#VALUE!</v>
      </c>
      <c r="VE4" t="e">
        <f>+SUMIF([1]Cartera!$R:$R,$A4&amp;"_"&amp;VE$11,[1]Cartera!$I:$I)+SUMIF([1]Futuros!$AD:$AD,$A4&amp;"_"&amp;VE$11,[1]Futuros!$AK:$AK)+SUMIF([1]Opciones!$AF:$AF,$A4&amp;"_"&amp;VE$11,[1]Opciones!$AQ:$AQ)</f>
        <v>#VALUE!</v>
      </c>
      <c r="VF4" t="e">
        <f>+SUMIF([1]Cartera!$R:$R,$A4&amp;"_"&amp;VF$11,[1]Cartera!$I:$I)+SUMIF([1]Futuros!$AD:$AD,$A4&amp;"_"&amp;VF$11,[1]Futuros!$AK:$AK)+SUMIF([1]Opciones!$AF:$AF,$A4&amp;"_"&amp;VF$11,[1]Opciones!$AQ:$AQ)</f>
        <v>#VALUE!</v>
      </c>
      <c r="VG4" t="e">
        <f>+SUMIF([1]Cartera!$R:$R,$A4&amp;"_"&amp;VG$11,[1]Cartera!$I:$I)+SUMIF([1]Futuros!$AD:$AD,$A4&amp;"_"&amp;VG$11,[1]Futuros!$AK:$AK)+SUMIF([1]Opciones!$AF:$AF,$A4&amp;"_"&amp;VG$11,[1]Opciones!$AQ:$AQ)</f>
        <v>#VALUE!</v>
      </c>
      <c r="VH4" t="e">
        <f>+SUMIF([1]Cartera!$R:$R,$A4&amp;"_"&amp;VH$11,[1]Cartera!$I:$I)+SUMIF([1]Futuros!$AD:$AD,$A4&amp;"_"&amp;VH$11,[1]Futuros!$AK:$AK)+SUMIF([1]Opciones!$AF:$AF,$A4&amp;"_"&amp;VH$11,[1]Opciones!$AQ:$AQ)</f>
        <v>#VALUE!</v>
      </c>
      <c r="VI4" t="e">
        <f>+SUMIF([1]Cartera!$R:$R,$A4&amp;"_"&amp;VI$11,[1]Cartera!$I:$I)+SUMIF([1]Futuros!$AD:$AD,$A4&amp;"_"&amp;VI$11,[1]Futuros!$AK:$AK)+SUMIF([1]Opciones!$AF:$AF,$A4&amp;"_"&amp;VI$11,[1]Opciones!$AQ:$AQ)</f>
        <v>#VALUE!</v>
      </c>
      <c r="VJ4" t="e">
        <f>+SUMIF([1]Cartera!$R:$R,$A4&amp;"_"&amp;VJ$11,[1]Cartera!$I:$I)+SUMIF([1]Futuros!$AD:$AD,$A4&amp;"_"&amp;VJ$11,[1]Futuros!$AK:$AK)+SUMIF([1]Opciones!$AF:$AF,$A4&amp;"_"&amp;VJ$11,[1]Opciones!$AQ:$AQ)</f>
        <v>#VALUE!</v>
      </c>
      <c r="VK4" t="e">
        <f>+SUMIF([1]Cartera!$R:$R,$A4&amp;"_"&amp;VK$11,[1]Cartera!$I:$I)+SUMIF([1]Futuros!$AD:$AD,$A4&amp;"_"&amp;VK$11,[1]Futuros!$AK:$AK)+SUMIF([1]Opciones!$AF:$AF,$A4&amp;"_"&amp;VK$11,[1]Opciones!$AQ:$AQ)</f>
        <v>#VALUE!</v>
      </c>
      <c r="VL4" t="e">
        <f>+SUMIF([1]Cartera!$R:$R,$A4&amp;"_"&amp;VL$11,[1]Cartera!$I:$I)+SUMIF([1]Futuros!$AD:$AD,$A4&amp;"_"&amp;VL$11,[1]Futuros!$AK:$AK)+SUMIF([1]Opciones!$AF:$AF,$A4&amp;"_"&amp;VL$11,[1]Opciones!$AQ:$AQ)</f>
        <v>#VALUE!</v>
      </c>
      <c r="VM4" t="e">
        <f>+SUMIF([1]Cartera!$R:$R,$A4&amp;"_"&amp;VM$11,[1]Cartera!$I:$I)+SUMIF([1]Futuros!$AD:$AD,$A4&amp;"_"&amp;VM$11,[1]Futuros!$AK:$AK)+SUMIF([1]Opciones!$AF:$AF,$A4&amp;"_"&amp;VM$11,[1]Opciones!$AQ:$AQ)</f>
        <v>#VALUE!</v>
      </c>
      <c r="VN4" t="e">
        <f>+SUMIF([1]Cartera!$R:$R,$A4&amp;"_"&amp;VN$11,[1]Cartera!$I:$I)+SUMIF([1]Futuros!$AD:$AD,$A4&amp;"_"&amp;VN$11,[1]Futuros!$AK:$AK)+SUMIF([1]Opciones!$AF:$AF,$A4&amp;"_"&amp;VN$11,[1]Opciones!$AQ:$AQ)</f>
        <v>#VALUE!</v>
      </c>
      <c r="VO4" t="e">
        <f>+SUMIF([1]Cartera!$R:$R,$A4&amp;"_"&amp;VO$11,[1]Cartera!$I:$I)+SUMIF([1]Futuros!$AD:$AD,$A4&amp;"_"&amp;VO$11,[1]Futuros!$AK:$AK)+SUMIF([1]Opciones!$AF:$AF,$A4&amp;"_"&amp;VO$11,[1]Opciones!$AQ:$AQ)</f>
        <v>#VALUE!</v>
      </c>
      <c r="VP4" t="e">
        <f>+SUMIF([1]Cartera!$R:$R,$A4&amp;"_"&amp;VP$11,[1]Cartera!$I:$I)+SUMIF([1]Futuros!$AD:$AD,$A4&amp;"_"&amp;VP$11,[1]Futuros!$AK:$AK)+SUMIF([1]Opciones!$AF:$AF,$A4&amp;"_"&amp;VP$11,[1]Opciones!$AQ:$AQ)</f>
        <v>#VALUE!</v>
      </c>
      <c r="VQ4" t="e">
        <f>+SUMIF([1]Cartera!$R:$R,$A4&amp;"_"&amp;VQ$11,[1]Cartera!$I:$I)+SUMIF([1]Futuros!$AD:$AD,$A4&amp;"_"&amp;VQ$11,[1]Futuros!$AK:$AK)+SUMIF([1]Opciones!$AF:$AF,$A4&amp;"_"&amp;VQ$11,[1]Opciones!$AQ:$AQ)</f>
        <v>#VALUE!</v>
      </c>
      <c r="VR4" t="e">
        <f>+SUMIF([1]Cartera!$R:$R,$A4&amp;"_"&amp;VR$11,[1]Cartera!$I:$I)+SUMIF([1]Futuros!$AD:$AD,$A4&amp;"_"&amp;VR$11,[1]Futuros!$AK:$AK)+SUMIF([1]Opciones!$AF:$AF,$A4&amp;"_"&amp;VR$11,[1]Opciones!$AQ:$AQ)</f>
        <v>#VALUE!</v>
      </c>
      <c r="VS4" t="e">
        <f>+SUMIF([1]Cartera!$R:$R,$A4&amp;"_"&amp;VS$11,[1]Cartera!$I:$I)+SUMIF([1]Futuros!$AD:$AD,$A4&amp;"_"&amp;VS$11,[1]Futuros!$AK:$AK)+SUMIF([1]Opciones!$AF:$AF,$A4&amp;"_"&amp;VS$11,[1]Opciones!$AQ:$AQ)</f>
        <v>#VALUE!</v>
      </c>
      <c r="VT4" t="e">
        <f>+SUMIF([1]Cartera!$R:$R,$A4&amp;"_"&amp;VT$11,[1]Cartera!$I:$I)+SUMIF([1]Futuros!$AD:$AD,$A4&amp;"_"&amp;VT$11,[1]Futuros!$AK:$AK)+SUMIF([1]Opciones!$AF:$AF,$A4&amp;"_"&amp;VT$11,[1]Opciones!$AQ:$AQ)</f>
        <v>#VALUE!</v>
      </c>
      <c r="VU4" t="e">
        <f>+SUMIF([1]Cartera!$R:$R,$A4&amp;"_"&amp;VU$11,[1]Cartera!$I:$I)+SUMIF([1]Futuros!$AD:$AD,$A4&amp;"_"&amp;VU$11,[1]Futuros!$AK:$AK)+SUMIF([1]Opciones!$AF:$AF,$A4&amp;"_"&amp;VU$11,[1]Opciones!$AQ:$AQ)</f>
        <v>#VALUE!</v>
      </c>
      <c r="VV4" t="e">
        <f>+SUMIF([1]Cartera!$R:$R,$A4&amp;"_"&amp;VV$11,[1]Cartera!$I:$I)+SUMIF([1]Futuros!$AD:$AD,$A4&amp;"_"&amp;VV$11,[1]Futuros!$AK:$AK)+SUMIF([1]Opciones!$AF:$AF,$A4&amp;"_"&amp;VV$11,[1]Opciones!$AQ:$AQ)</f>
        <v>#VALUE!</v>
      </c>
      <c r="VW4" t="e">
        <f>+SUMIF([1]Cartera!$R:$R,$A4&amp;"_"&amp;VW$11,[1]Cartera!$I:$I)+SUMIF([1]Futuros!$AD:$AD,$A4&amp;"_"&amp;VW$11,[1]Futuros!$AK:$AK)+SUMIF([1]Opciones!$AF:$AF,$A4&amp;"_"&amp;VW$11,[1]Opciones!$AQ:$AQ)</f>
        <v>#VALUE!</v>
      </c>
      <c r="VX4" t="e">
        <f>+SUMIF([1]Cartera!$R:$R,$A4&amp;"_"&amp;VX$11,[1]Cartera!$I:$I)+SUMIF([1]Futuros!$AD:$AD,$A4&amp;"_"&amp;VX$11,[1]Futuros!$AK:$AK)+SUMIF([1]Opciones!$AF:$AF,$A4&amp;"_"&amp;VX$11,[1]Opciones!$AQ:$AQ)</f>
        <v>#VALUE!</v>
      </c>
      <c r="VY4" t="e">
        <f>+SUMIF([1]Cartera!$R:$R,$A4&amp;"_"&amp;VY$11,[1]Cartera!$I:$I)+SUMIF([1]Futuros!$AD:$AD,$A4&amp;"_"&amp;VY$11,[1]Futuros!$AK:$AK)+SUMIF([1]Opciones!$AF:$AF,$A4&amp;"_"&amp;VY$11,[1]Opciones!$AQ:$AQ)</f>
        <v>#VALUE!</v>
      </c>
      <c r="VZ4" t="e">
        <f>+SUMIF([1]Cartera!$R:$R,$A4&amp;"_"&amp;VZ$11,[1]Cartera!$I:$I)+SUMIF([1]Futuros!$AD:$AD,$A4&amp;"_"&amp;VZ$11,[1]Futuros!$AK:$AK)+SUMIF([1]Opciones!$AF:$AF,$A4&amp;"_"&amp;VZ$11,[1]Opciones!$AQ:$AQ)</f>
        <v>#VALUE!</v>
      </c>
      <c r="WA4" t="e">
        <f>+SUMIF([1]Cartera!$R:$R,$A4&amp;"_"&amp;WA$11,[1]Cartera!$I:$I)+SUMIF([1]Futuros!$AD:$AD,$A4&amp;"_"&amp;WA$11,[1]Futuros!$AK:$AK)+SUMIF([1]Opciones!$AF:$AF,$A4&amp;"_"&amp;WA$11,[1]Opciones!$AQ:$AQ)</f>
        <v>#VALUE!</v>
      </c>
      <c r="WB4" t="e">
        <f>+SUMIF([1]Cartera!$R:$R,$A4&amp;"_"&amp;WB$11,[1]Cartera!$I:$I)+SUMIF([1]Futuros!$AD:$AD,$A4&amp;"_"&amp;WB$11,[1]Futuros!$AK:$AK)+SUMIF([1]Opciones!$AF:$AF,$A4&amp;"_"&amp;WB$11,[1]Opciones!$AQ:$AQ)</f>
        <v>#VALUE!</v>
      </c>
      <c r="WC4" t="e">
        <f>+SUMIF([1]Cartera!$R:$R,$A4&amp;"_"&amp;WC$11,[1]Cartera!$I:$I)+SUMIF([1]Futuros!$AD:$AD,$A4&amp;"_"&amp;WC$11,[1]Futuros!$AK:$AK)+SUMIF([1]Opciones!$AF:$AF,$A4&amp;"_"&amp;WC$11,[1]Opciones!$AQ:$AQ)</f>
        <v>#VALUE!</v>
      </c>
      <c r="WD4" t="e">
        <f>+SUMIF([1]Cartera!$R:$R,$A4&amp;"_"&amp;WD$11,[1]Cartera!$I:$I)+SUMIF([1]Futuros!$AD:$AD,$A4&amp;"_"&amp;WD$11,[1]Futuros!$AK:$AK)+SUMIF([1]Opciones!$AF:$AF,$A4&amp;"_"&amp;WD$11,[1]Opciones!$AQ:$AQ)</f>
        <v>#VALUE!</v>
      </c>
      <c r="WE4" t="e">
        <f>+SUMIF([1]Cartera!$R:$R,$A4&amp;"_"&amp;WE$11,[1]Cartera!$I:$I)+SUMIF([1]Futuros!$AD:$AD,$A4&amp;"_"&amp;WE$11,[1]Futuros!$AK:$AK)+SUMIF([1]Opciones!$AF:$AF,$A4&amp;"_"&amp;WE$11,[1]Opciones!$AQ:$AQ)</f>
        <v>#VALUE!</v>
      </c>
      <c r="WF4" t="e">
        <f>+SUMIF([1]Cartera!$R:$R,$A4&amp;"_"&amp;WF$11,[1]Cartera!$I:$I)+SUMIF([1]Futuros!$AD:$AD,$A4&amp;"_"&amp;WF$11,[1]Futuros!$AK:$AK)+SUMIF([1]Opciones!$AF:$AF,$A4&amp;"_"&amp;WF$11,[1]Opciones!$AQ:$AQ)</f>
        <v>#VALUE!</v>
      </c>
      <c r="WG4" t="e">
        <f>+SUMIF([1]Cartera!$R:$R,$A4&amp;"_"&amp;WG$11,[1]Cartera!$I:$I)+SUMIF([1]Futuros!$AD:$AD,$A4&amp;"_"&amp;WG$11,[1]Futuros!$AK:$AK)+SUMIF([1]Opciones!$AF:$AF,$A4&amp;"_"&amp;WG$11,[1]Opciones!$AQ:$AQ)</f>
        <v>#VALUE!</v>
      </c>
      <c r="WH4" t="e">
        <f>+SUMIF([1]Cartera!$R:$R,$A4&amp;"_"&amp;WH$11,[1]Cartera!$I:$I)+SUMIF([1]Futuros!$AD:$AD,$A4&amp;"_"&amp;WH$11,[1]Futuros!$AK:$AK)+SUMIF([1]Opciones!$AF:$AF,$A4&amp;"_"&amp;WH$11,[1]Opciones!$AQ:$AQ)</f>
        <v>#VALUE!</v>
      </c>
      <c r="WI4" t="e">
        <f>+SUMIF([1]Cartera!$R:$R,$A4&amp;"_"&amp;WI$11,[1]Cartera!$I:$I)+SUMIF([1]Futuros!$AD:$AD,$A4&amp;"_"&amp;WI$11,[1]Futuros!$AK:$AK)+SUMIF([1]Opciones!$AF:$AF,$A4&amp;"_"&amp;WI$11,[1]Opciones!$AQ:$AQ)</f>
        <v>#VALUE!</v>
      </c>
      <c r="WJ4" t="e">
        <f>+SUMIF([1]Cartera!$R:$R,$A4&amp;"_"&amp;WJ$11,[1]Cartera!$I:$I)+SUMIF([1]Futuros!$AD:$AD,$A4&amp;"_"&amp;WJ$11,[1]Futuros!$AK:$AK)+SUMIF([1]Opciones!$AF:$AF,$A4&amp;"_"&amp;WJ$11,[1]Opciones!$AQ:$AQ)</f>
        <v>#VALUE!</v>
      </c>
      <c r="WK4" t="e">
        <f>+SUMIF([1]Cartera!$R:$R,$A4&amp;"_"&amp;WK$11,[1]Cartera!$I:$I)+SUMIF([1]Futuros!$AD:$AD,$A4&amp;"_"&amp;WK$11,[1]Futuros!$AK:$AK)+SUMIF([1]Opciones!$AF:$AF,$A4&amp;"_"&amp;WK$11,[1]Opciones!$AQ:$AQ)</f>
        <v>#VALUE!</v>
      </c>
      <c r="WL4" t="e">
        <f>+SUMIF([1]Cartera!$R:$R,$A4&amp;"_"&amp;WL$11,[1]Cartera!$I:$I)+SUMIF([1]Futuros!$AD:$AD,$A4&amp;"_"&amp;WL$11,[1]Futuros!$AK:$AK)+SUMIF([1]Opciones!$AF:$AF,$A4&amp;"_"&amp;WL$11,[1]Opciones!$AQ:$AQ)</f>
        <v>#VALUE!</v>
      </c>
      <c r="WM4" t="e">
        <f>+SUMIF([1]Cartera!$R:$R,$A4&amp;"_"&amp;WM$11,[1]Cartera!$I:$I)+SUMIF([1]Futuros!$AD:$AD,$A4&amp;"_"&amp;WM$11,[1]Futuros!$AK:$AK)+SUMIF([1]Opciones!$AF:$AF,$A4&amp;"_"&amp;WM$11,[1]Opciones!$AQ:$AQ)</f>
        <v>#VALUE!</v>
      </c>
      <c r="WN4" t="e">
        <f>+SUMIF([1]Cartera!$R:$R,$A4&amp;"_"&amp;WN$11,[1]Cartera!$I:$I)+SUMIF([1]Futuros!$AD:$AD,$A4&amp;"_"&amp;WN$11,[1]Futuros!$AK:$AK)+SUMIF([1]Opciones!$AF:$AF,$A4&amp;"_"&amp;WN$11,[1]Opciones!$AQ:$AQ)</f>
        <v>#VALUE!</v>
      </c>
      <c r="WO4" t="e">
        <f>+SUMIF([1]Cartera!$R:$R,$A4&amp;"_"&amp;WO$11,[1]Cartera!$I:$I)+SUMIF([1]Futuros!$AD:$AD,$A4&amp;"_"&amp;WO$11,[1]Futuros!$AK:$AK)+SUMIF([1]Opciones!$AF:$AF,$A4&amp;"_"&amp;WO$11,[1]Opciones!$AQ:$AQ)</f>
        <v>#VALUE!</v>
      </c>
      <c r="WP4" t="e">
        <f>+SUMIF([1]Cartera!$R:$R,$A4&amp;"_"&amp;WP$11,[1]Cartera!$I:$I)+SUMIF([1]Futuros!$AD:$AD,$A4&amp;"_"&amp;WP$11,[1]Futuros!$AK:$AK)+SUMIF([1]Opciones!$AF:$AF,$A4&amp;"_"&amp;WP$11,[1]Opciones!$AQ:$AQ)</f>
        <v>#VALUE!</v>
      </c>
      <c r="WQ4" t="e">
        <f>+SUMIF([1]Cartera!$R:$R,$A4&amp;"_"&amp;WQ$11,[1]Cartera!$I:$I)+SUMIF([1]Futuros!$AD:$AD,$A4&amp;"_"&amp;WQ$11,[1]Futuros!$AK:$AK)+SUMIF([1]Opciones!$AF:$AF,$A4&amp;"_"&amp;WQ$11,[1]Opciones!$AQ:$AQ)</f>
        <v>#VALUE!</v>
      </c>
      <c r="WR4" t="e">
        <f>+SUMIF([1]Cartera!$R:$R,$A4&amp;"_"&amp;WR$11,[1]Cartera!$I:$I)+SUMIF([1]Futuros!$AD:$AD,$A4&amp;"_"&amp;WR$11,[1]Futuros!$AK:$AK)+SUMIF([1]Opciones!$AF:$AF,$A4&amp;"_"&amp;WR$11,[1]Opciones!$AQ:$AQ)</f>
        <v>#VALUE!</v>
      </c>
      <c r="WS4" t="e">
        <f>+SUMIF([1]Cartera!$R:$R,$A4&amp;"_"&amp;WS$11,[1]Cartera!$I:$I)+SUMIF([1]Futuros!$AD:$AD,$A4&amp;"_"&amp;WS$11,[1]Futuros!$AK:$AK)+SUMIF([1]Opciones!$AF:$AF,$A4&amp;"_"&amp;WS$11,[1]Opciones!$AQ:$AQ)</f>
        <v>#VALUE!</v>
      </c>
      <c r="WT4" t="e">
        <f>+SUMIF([1]Cartera!$R:$R,$A4&amp;"_"&amp;WT$11,[1]Cartera!$I:$I)+SUMIF([1]Futuros!$AD:$AD,$A4&amp;"_"&amp;WT$11,[1]Futuros!$AK:$AK)+SUMIF([1]Opciones!$AF:$AF,$A4&amp;"_"&amp;WT$11,[1]Opciones!$AQ:$AQ)</f>
        <v>#VALUE!</v>
      </c>
      <c r="WU4" t="e">
        <f>+SUMIF([1]Cartera!$R:$R,$A4&amp;"_"&amp;WU$11,[1]Cartera!$I:$I)+SUMIF([1]Futuros!$AD:$AD,$A4&amp;"_"&amp;WU$11,[1]Futuros!$AK:$AK)+SUMIF([1]Opciones!$AF:$AF,$A4&amp;"_"&amp;WU$11,[1]Opciones!$AQ:$AQ)</f>
        <v>#VALUE!</v>
      </c>
      <c r="WV4" t="e">
        <f>+SUMIF([1]Cartera!$R:$R,$A4&amp;"_"&amp;WV$11,[1]Cartera!$I:$I)+SUMIF([1]Futuros!$AD:$AD,$A4&amp;"_"&amp;WV$11,[1]Futuros!$AK:$AK)+SUMIF([1]Opciones!$AF:$AF,$A4&amp;"_"&amp;WV$11,[1]Opciones!$AQ:$AQ)</f>
        <v>#VALUE!</v>
      </c>
      <c r="WW4" t="e">
        <f>+SUMIF([1]Cartera!$R:$R,$A4&amp;"_"&amp;WW$11,[1]Cartera!$I:$I)+SUMIF([1]Futuros!$AD:$AD,$A4&amp;"_"&amp;WW$11,[1]Futuros!$AK:$AK)+SUMIF([1]Opciones!$AF:$AF,$A4&amp;"_"&amp;WW$11,[1]Opciones!$AQ:$AQ)</f>
        <v>#VALUE!</v>
      </c>
      <c r="WX4" t="e">
        <f>+SUMIF([1]Cartera!$R:$R,$A4&amp;"_"&amp;WX$11,[1]Cartera!$I:$I)+SUMIF([1]Futuros!$AD:$AD,$A4&amp;"_"&amp;WX$11,[1]Futuros!$AK:$AK)+SUMIF([1]Opciones!$AF:$AF,$A4&amp;"_"&amp;WX$11,[1]Opciones!$AQ:$AQ)</f>
        <v>#VALUE!</v>
      </c>
      <c r="WY4" t="e">
        <f>+SUMIF([1]Cartera!$R:$R,$A4&amp;"_"&amp;WY$11,[1]Cartera!$I:$I)+SUMIF([1]Futuros!$AD:$AD,$A4&amp;"_"&amp;WY$11,[1]Futuros!$AK:$AK)+SUMIF([1]Opciones!$AF:$AF,$A4&amp;"_"&amp;WY$11,[1]Opciones!$AQ:$AQ)</f>
        <v>#VALUE!</v>
      </c>
      <c r="WZ4" t="e">
        <f>+SUMIF([1]Cartera!$R:$R,$A4&amp;"_"&amp;WZ$11,[1]Cartera!$I:$I)+SUMIF([1]Futuros!$AD:$AD,$A4&amp;"_"&amp;WZ$11,[1]Futuros!$AK:$AK)+SUMIF([1]Opciones!$AF:$AF,$A4&amp;"_"&amp;WZ$11,[1]Opciones!$AQ:$AQ)</f>
        <v>#VALUE!</v>
      </c>
      <c r="XA4" t="e">
        <f>+SUMIF([1]Cartera!$R:$R,$A4&amp;"_"&amp;XA$11,[1]Cartera!$I:$I)+SUMIF([1]Futuros!$AD:$AD,$A4&amp;"_"&amp;XA$11,[1]Futuros!$AK:$AK)+SUMIF([1]Opciones!$AF:$AF,$A4&amp;"_"&amp;XA$11,[1]Opciones!$AQ:$AQ)</f>
        <v>#VALUE!</v>
      </c>
      <c r="XB4" t="e">
        <f>+SUMIF([1]Cartera!$R:$R,$A4&amp;"_"&amp;XB$11,[1]Cartera!$I:$I)+SUMIF([1]Futuros!$AD:$AD,$A4&amp;"_"&amp;XB$11,[1]Futuros!$AK:$AK)+SUMIF([1]Opciones!$AF:$AF,$A4&amp;"_"&amp;XB$11,[1]Opciones!$AQ:$AQ)</f>
        <v>#VALUE!</v>
      </c>
      <c r="XC4" t="e">
        <f>+SUMIF([1]Cartera!$R:$R,$A4&amp;"_"&amp;XC$11,[1]Cartera!$I:$I)+SUMIF([1]Futuros!$AD:$AD,$A4&amp;"_"&amp;XC$11,[1]Futuros!$AK:$AK)+SUMIF([1]Opciones!$AF:$AF,$A4&amp;"_"&amp;XC$11,[1]Opciones!$AQ:$AQ)</f>
        <v>#VALUE!</v>
      </c>
      <c r="XD4" t="e">
        <f>+SUMIF([1]Cartera!$R:$R,$A4&amp;"_"&amp;XD$11,[1]Cartera!$I:$I)+SUMIF([1]Futuros!$AD:$AD,$A4&amp;"_"&amp;XD$11,[1]Futuros!$AK:$AK)+SUMIF([1]Opciones!$AF:$AF,$A4&amp;"_"&amp;XD$11,[1]Opciones!$AQ:$AQ)</f>
        <v>#VALUE!</v>
      </c>
      <c r="XE4" t="e">
        <f>+SUMIF([1]Cartera!$R:$R,$A4&amp;"_"&amp;XE$11,[1]Cartera!$I:$I)+SUMIF([1]Futuros!$AD:$AD,$A4&amp;"_"&amp;XE$11,[1]Futuros!$AK:$AK)+SUMIF([1]Opciones!$AF:$AF,$A4&amp;"_"&amp;XE$11,[1]Opciones!$AQ:$AQ)</f>
        <v>#VALUE!</v>
      </c>
      <c r="XF4" t="e">
        <f>+SUMIF([1]Cartera!$R:$R,$A4&amp;"_"&amp;XF$11,[1]Cartera!$I:$I)+SUMIF([1]Futuros!$AD:$AD,$A4&amp;"_"&amp;XF$11,[1]Futuros!$AK:$AK)+SUMIF([1]Opciones!$AF:$AF,$A4&amp;"_"&amp;XF$11,[1]Opciones!$AQ:$AQ)</f>
        <v>#VALUE!</v>
      </c>
      <c r="XG4" t="e">
        <f>+SUMIF([1]Cartera!$R:$R,$A4&amp;"_"&amp;XG$11,[1]Cartera!$I:$I)+SUMIF([1]Futuros!$AD:$AD,$A4&amp;"_"&amp;XG$11,[1]Futuros!$AK:$AK)+SUMIF([1]Opciones!$AF:$AF,$A4&amp;"_"&amp;XG$11,[1]Opciones!$AQ:$AQ)</f>
        <v>#VALUE!</v>
      </c>
      <c r="XH4" t="e">
        <f>+SUMIF([1]Cartera!$R:$R,$A4&amp;"_"&amp;XH$11,[1]Cartera!$I:$I)+SUMIF([1]Futuros!$AD:$AD,$A4&amp;"_"&amp;XH$11,[1]Futuros!$AK:$AK)+SUMIF([1]Opciones!$AF:$AF,$A4&amp;"_"&amp;XH$11,[1]Opciones!$AQ:$AQ)</f>
        <v>#VALUE!</v>
      </c>
      <c r="XI4" t="e">
        <f>+SUMIF([1]Cartera!$R:$R,$A4&amp;"_"&amp;XI$11,[1]Cartera!$I:$I)+SUMIF([1]Futuros!$AD:$AD,$A4&amp;"_"&amp;XI$11,[1]Futuros!$AK:$AK)+SUMIF([1]Opciones!$AF:$AF,$A4&amp;"_"&amp;XI$11,[1]Opciones!$AQ:$AQ)</f>
        <v>#VALUE!</v>
      </c>
      <c r="XJ4" t="e">
        <f>+SUMIF([1]Cartera!$R:$R,$A4&amp;"_"&amp;XJ$11,[1]Cartera!$I:$I)+SUMIF([1]Futuros!$AD:$AD,$A4&amp;"_"&amp;XJ$11,[1]Futuros!$AK:$AK)+SUMIF([1]Opciones!$AF:$AF,$A4&amp;"_"&amp;XJ$11,[1]Opciones!$AQ:$AQ)</f>
        <v>#VALUE!</v>
      </c>
      <c r="XK4" t="e">
        <f>+SUMIF([1]Cartera!$R:$R,$A4&amp;"_"&amp;XK$11,[1]Cartera!$I:$I)+SUMIF([1]Futuros!$AD:$AD,$A4&amp;"_"&amp;XK$11,[1]Futuros!$AK:$AK)+SUMIF([1]Opciones!$AF:$AF,$A4&amp;"_"&amp;XK$11,[1]Opciones!$AQ:$AQ)</f>
        <v>#VALUE!</v>
      </c>
      <c r="XL4" t="e">
        <f>+SUMIF([1]Cartera!$R:$R,$A4&amp;"_"&amp;XL$11,[1]Cartera!$I:$I)+SUMIF([1]Futuros!$AD:$AD,$A4&amp;"_"&amp;XL$11,[1]Futuros!$AK:$AK)+SUMIF([1]Opciones!$AF:$AF,$A4&amp;"_"&amp;XL$11,[1]Opciones!$AQ:$AQ)</f>
        <v>#VALUE!</v>
      </c>
      <c r="XM4" t="e">
        <f>+SUMIF([1]Cartera!$R:$R,$A4&amp;"_"&amp;XM$11,[1]Cartera!$I:$I)+SUMIF([1]Futuros!$AD:$AD,$A4&amp;"_"&amp;XM$11,[1]Futuros!$AK:$AK)+SUMIF([1]Opciones!$AF:$AF,$A4&amp;"_"&amp;XM$11,[1]Opciones!$AQ:$AQ)</f>
        <v>#VALUE!</v>
      </c>
      <c r="XN4" t="e">
        <f>+SUMIF([1]Cartera!$R:$R,$A4&amp;"_"&amp;XN$11,[1]Cartera!$I:$I)+SUMIF([1]Futuros!$AD:$AD,$A4&amp;"_"&amp;XN$11,[1]Futuros!$AK:$AK)+SUMIF([1]Opciones!$AF:$AF,$A4&amp;"_"&amp;XN$11,[1]Opciones!$AQ:$AQ)</f>
        <v>#VALUE!</v>
      </c>
      <c r="XO4" t="e">
        <f>+SUMIF([1]Cartera!$R:$R,$A4&amp;"_"&amp;XO$11,[1]Cartera!$I:$I)+SUMIF([1]Futuros!$AD:$AD,$A4&amp;"_"&amp;XO$11,[1]Futuros!$AK:$AK)+SUMIF([1]Opciones!$AF:$AF,$A4&amp;"_"&amp;XO$11,[1]Opciones!$AQ:$AQ)</f>
        <v>#VALUE!</v>
      </c>
      <c r="XP4" t="e">
        <f>+SUMIF([1]Cartera!$R:$R,$A4&amp;"_"&amp;XP$11,[1]Cartera!$I:$I)+SUMIF([1]Futuros!$AD:$AD,$A4&amp;"_"&amp;XP$11,[1]Futuros!$AK:$AK)+SUMIF([1]Opciones!$AF:$AF,$A4&amp;"_"&amp;XP$11,[1]Opciones!$AQ:$AQ)</f>
        <v>#VALUE!</v>
      </c>
      <c r="XQ4" t="e">
        <f>+SUMIF([1]Cartera!$R:$R,$A4&amp;"_"&amp;XQ$11,[1]Cartera!$I:$I)+SUMIF([1]Futuros!$AD:$AD,$A4&amp;"_"&amp;XQ$11,[1]Futuros!$AK:$AK)+SUMIF([1]Opciones!$AF:$AF,$A4&amp;"_"&amp;XQ$11,[1]Opciones!$AQ:$AQ)</f>
        <v>#VALUE!</v>
      </c>
      <c r="XR4" t="e">
        <f>+SUMIF([1]Cartera!$R:$R,$A4&amp;"_"&amp;XR$11,[1]Cartera!$I:$I)+SUMIF([1]Futuros!$AD:$AD,$A4&amp;"_"&amp;XR$11,[1]Futuros!$AK:$AK)+SUMIF([1]Opciones!$AF:$AF,$A4&amp;"_"&amp;XR$11,[1]Opciones!$AQ:$AQ)</f>
        <v>#VALUE!</v>
      </c>
      <c r="XS4" t="e">
        <f>+SUMIF([1]Cartera!$R:$R,$A4&amp;"_"&amp;XS$11,[1]Cartera!$I:$I)+SUMIF([1]Futuros!$AD:$AD,$A4&amp;"_"&amp;XS$11,[1]Futuros!$AK:$AK)+SUMIF([1]Opciones!$AF:$AF,$A4&amp;"_"&amp;XS$11,[1]Opciones!$AQ:$AQ)</f>
        <v>#VALUE!</v>
      </c>
      <c r="XT4" t="e">
        <f>+SUMIF([1]Cartera!$R:$R,$A4&amp;"_"&amp;XT$11,[1]Cartera!$I:$I)+SUMIF([1]Futuros!$AD:$AD,$A4&amp;"_"&amp;XT$11,[1]Futuros!$AK:$AK)+SUMIF([1]Opciones!$AF:$AF,$A4&amp;"_"&amp;XT$11,[1]Opciones!$AQ:$AQ)</f>
        <v>#VALUE!</v>
      </c>
      <c r="XU4" t="e">
        <f>+SUMIF([1]Cartera!$R:$R,$A4&amp;"_"&amp;XU$11,[1]Cartera!$I:$I)+SUMIF([1]Futuros!$AD:$AD,$A4&amp;"_"&amp;XU$11,[1]Futuros!$AK:$AK)+SUMIF([1]Opciones!$AF:$AF,$A4&amp;"_"&amp;XU$11,[1]Opciones!$AQ:$AQ)</f>
        <v>#VALUE!</v>
      </c>
      <c r="XV4" t="e">
        <f>+SUMIF([1]Cartera!$R:$R,$A4&amp;"_"&amp;XV$11,[1]Cartera!$I:$I)+SUMIF([1]Futuros!$AD:$AD,$A4&amp;"_"&amp;XV$11,[1]Futuros!$AK:$AK)+SUMIF([1]Opciones!$AF:$AF,$A4&amp;"_"&amp;XV$11,[1]Opciones!$AQ:$AQ)</f>
        <v>#VALUE!</v>
      </c>
      <c r="XW4" t="e">
        <f>+SUMIF([1]Cartera!$R:$R,$A4&amp;"_"&amp;XW$11,[1]Cartera!$I:$I)+SUMIF([1]Futuros!$AD:$AD,$A4&amp;"_"&amp;XW$11,[1]Futuros!$AK:$AK)+SUMIF([1]Opciones!$AF:$AF,$A4&amp;"_"&amp;XW$11,[1]Opciones!$AQ:$AQ)</f>
        <v>#VALUE!</v>
      </c>
      <c r="XX4" t="e">
        <f>+SUMIF([1]Cartera!$R:$R,$A4&amp;"_"&amp;XX$11,[1]Cartera!$I:$I)+SUMIF([1]Futuros!$AD:$AD,$A4&amp;"_"&amp;XX$11,[1]Futuros!$AK:$AK)+SUMIF([1]Opciones!$AF:$AF,$A4&amp;"_"&amp;XX$11,[1]Opciones!$AQ:$AQ)</f>
        <v>#VALUE!</v>
      </c>
      <c r="XY4" t="e">
        <f>+SUMIF([1]Cartera!$R:$R,$A4&amp;"_"&amp;XY$11,[1]Cartera!$I:$I)+SUMIF([1]Futuros!$AD:$AD,$A4&amp;"_"&amp;XY$11,[1]Futuros!$AK:$AK)+SUMIF([1]Opciones!$AF:$AF,$A4&amp;"_"&amp;XY$11,[1]Opciones!$AQ:$AQ)</f>
        <v>#VALUE!</v>
      </c>
      <c r="XZ4" t="e">
        <f>+SUMIF([1]Cartera!$R:$R,$A4&amp;"_"&amp;XZ$11,[1]Cartera!$I:$I)+SUMIF([1]Futuros!$AD:$AD,$A4&amp;"_"&amp;XZ$11,[1]Futuros!$AK:$AK)+SUMIF([1]Opciones!$AF:$AF,$A4&amp;"_"&amp;XZ$11,[1]Opciones!$AQ:$AQ)</f>
        <v>#VALUE!</v>
      </c>
      <c r="YA4" t="e">
        <f>+SUMIF([1]Cartera!$R:$R,$A4&amp;"_"&amp;YA$11,[1]Cartera!$I:$I)+SUMIF([1]Futuros!$AD:$AD,$A4&amp;"_"&amp;YA$11,[1]Futuros!$AK:$AK)+SUMIF([1]Opciones!$AF:$AF,$A4&amp;"_"&amp;YA$11,[1]Opciones!$AQ:$AQ)</f>
        <v>#VALUE!</v>
      </c>
      <c r="YB4" t="e">
        <f>+SUMIF([1]Cartera!$R:$R,$A4&amp;"_"&amp;YB$11,[1]Cartera!$I:$I)+SUMIF([1]Futuros!$AD:$AD,$A4&amp;"_"&amp;YB$11,[1]Futuros!$AK:$AK)+SUMIF([1]Opciones!$AF:$AF,$A4&amp;"_"&amp;YB$11,[1]Opciones!$AQ:$AQ)</f>
        <v>#VALUE!</v>
      </c>
      <c r="YC4" t="e">
        <f>+SUMIF([1]Cartera!$R:$R,$A4&amp;"_"&amp;YC$11,[1]Cartera!$I:$I)+SUMIF([1]Futuros!$AD:$AD,$A4&amp;"_"&amp;YC$11,[1]Futuros!$AK:$AK)+SUMIF([1]Opciones!$AF:$AF,$A4&amp;"_"&amp;YC$11,[1]Opciones!$AQ:$AQ)</f>
        <v>#VALUE!</v>
      </c>
      <c r="YD4" t="e">
        <f>+SUMIF([1]Cartera!$R:$R,$A4&amp;"_"&amp;YD$11,[1]Cartera!$I:$I)+SUMIF([1]Futuros!$AD:$AD,$A4&amp;"_"&amp;YD$11,[1]Futuros!$AK:$AK)+SUMIF([1]Opciones!$AF:$AF,$A4&amp;"_"&amp;YD$11,[1]Opciones!$AQ:$AQ)</f>
        <v>#VALUE!</v>
      </c>
      <c r="YE4" t="e">
        <f>+SUMIF([1]Cartera!$R:$R,$A4&amp;"_"&amp;YE$11,[1]Cartera!$I:$I)+SUMIF([1]Futuros!$AD:$AD,$A4&amp;"_"&amp;YE$11,[1]Futuros!$AK:$AK)+SUMIF([1]Opciones!$AF:$AF,$A4&amp;"_"&amp;YE$11,[1]Opciones!$AQ:$AQ)</f>
        <v>#VALUE!</v>
      </c>
      <c r="YF4" t="e">
        <f>+SUMIF([1]Cartera!$R:$R,$A4&amp;"_"&amp;YF$11,[1]Cartera!$I:$I)+SUMIF([1]Futuros!$AD:$AD,$A4&amp;"_"&amp;YF$11,[1]Futuros!$AK:$AK)+SUMIF([1]Opciones!$AF:$AF,$A4&amp;"_"&amp;YF$11,[1]Opciones!$AQ:$AQ)</f>
        <v>#VALUE!</v>
      </c>
      <c r="YG4" t="e">
        <f>+SUMIF([1]Cartera!$R:$R,$A4&amp;"_"&amp;YG$11,[1]Cartera!$I:$I)+SUMIF([1]Futuros!$AD:$AD,$A4&amp;"_"&amp;YG$11,[1]Futuros!$AK:$AK)+SUMIF([1]Opciones!$AF:$AF,$A4&amp;"_"&amp;YG$11,[1]Opciones!$AQ:$AQ)</f>
        <v>#VALUE!</v>
      </c>
      <c r="YH4" t="e">
        <f>+SUMIF([1]Cartera!$R:$R,$A4&amp;"_"&amp;YH$11,[1]Cartera!$I:$I)+SUMIF([1]Futuros!$AD:$AD,$A4&amp;"_"&amp;YH$11,[1]Futuros!$AK:$AK)+SUMIF([1]Opciones!$AF:$AF,$A4&amp;"_"&amp;YH$11,[1]Opciones!$AQ:$AQ)</f>
        <v>#VALUE!</v>
      </c>
      <c r="YI4" t="e">
        <f>+SUMIF([1]Cartera!$R:$R,$A4&amp;"_"&amp;YI$11,[1]Cartera!$I:$I)+SUMIF([1]Futuros!$AD:$AD,$A4&amp;"_"&amp;YI$11,[1]Futuros!$AK:$AK)+SUMIF([1]Opciones!$AF:$AF,$A4&amp;"_"&amp;YI$11,[1]Opciones!$AQ:$AQ)</f>
        <v>#VALUE!</v>
      </c>
      <c r="YJ4" t="e">
        <f>+SUMIF([1]Cartera!$R:$R,$A4&amp;"_"&amp;YJ$11,[1]Cartera!$I:$I)+SUMIF([1]Futuros!$AD:$AD,$A4&amp;"_"&amp;YJ$11,[1]Futuros!$AK:$AK)+SUMIF([1]Opciones!$AF:$AF,$A4&amp;"_"&amp;YJ$11,[1]Opciones!$AQ:$AQ)</f>
        <v>#VALUE!</v>
      </c>
      <c r="YK4" t="e">
        <f>+SUMIF([1]Cartera!$R:$R,$A4&amp;"_"&amp;YK$11,[1]Cartera!$I:$I)+SUMIF([1]Futuros!$AD:$AD,$A4&amp;"_"&amp;YK$11,[1]Futuros!$AK:$AK)+SUMIF([1]Opciones!$AF:$AF,$A4&amp;"_"&amp;YK$11,[1]Opciones!$AQ:$AQ)</f>
        <v>#VALUE!</v>
      </c>
      <c r="YL4" t="e">
        <f>+SUMIF([1]Cartera!$R:$R,$A4&amp;"_"&amp;YL$11,[1]Cartera!$I:$I)+SUMIF([1]Futuros!$AD:$AD,$A4&amp;"_"&amp;YL$11,[1]Futuros!$AK:$AK)+SUMIF([1]Opciones!$AF:$AF,$A4&amp;"_"&amp;YL$11,[1]Opciones!$AQ:$AQ)</f>
        <v>#VALUE!</v>
      </c>
      <c r="YM4" t="e">
        <f>+SUMIF([1]Cartera!$R:$R,$A4&amp;"_"&amp;YM$11,[1]Cartera!$I:$I)+SUMIF([1]Futuros!$AD:$AD,$A4&amp;"_"&amp;YM$11,[1]Futuros!$AK:$AK)+SUMIF([1]Opciones!$AF:$AF,$A4&amp;"_"&amp;YM$11,[1]Opciones!$AQ:$AQ)</f>
        <v>#VALUE!</v>
      </c>
      <c r="YN4" t="e">
        <f>+SUMIF([1]Cartera!$R:$R,$A4&amp;"_"&amp;YN$11,[1]Cartera!$I:$I)+SUMIF([1]Futuros!$AD:$AD,$A4&amp;"_"&amp;YN$11,[1]Futuros!$AK:$AK)+SUMIF([1]Opciones!$AF:$AF,$A4&amp;"_"&amp;YN$11,[1]Opciones!$AQ:$AQ)</f>
        <v>#VALUE!</v>
      </c>
      <c r="YO4" t="e">
        <f>+SUMIF([1]Cartera!$R:$R,$A4&amp;"_"&amp;YO$11,[1]Cartera!$I:$I)+SUMIF([1]Futuros!$AD:$AD,$A4&amp;"_"&amp;YO$11,[1]Futuros!$AK:$AK)+SUMIF([1]Opciones!$AF:$AF,$A4&amp;"_"&amp;YO$11,[1]Opciones!$AQ:$AQ)</f>
        <v>#VALUE!</v>
      </c>
      <c r="YP4" t="e">
        <f>+SUMIF([1]Cartera!$R:$R,$A4&amp;"_"&amp;YP$11,[1]Cartera!$I:$I)+SUMIF([1]Futuros!$AD:$AD,$A4&amp;"_"&amp;YP$11,[1]Futuros!$AK:$AK)+SUMIF([1]Opciones!$AF:$AF,$A4&amp;"_"&amp;YP$11,[1]Opciones!$AQ:$AQ)</f>
        <v>#VALUE!</v>
      </c>
      <c r="YQ4" t="e">
        <f>+SUMIF([1]Cartera!$R:$R,$A4&amp;"_"&amp;YQ$11,[1]Cartera!$I:$I)+SUMIF([1]Futuros!$AD:$AD,$A4&amp;"_"&amp;YQ$11,[1]Futuros!$AK:$AK)+SUMIF([1]Opciones!$AF:$AF,$A4&amp;"_"&amp;YQ$11,[1]Opciones!$AQ:$AQ)</f>
        <v>#VALUE!</v>
      </c>
      <c r="YR4" t="e">
        <f>+SUMIF([1]Cartera!$R:$R,$A4&amp;"_"&amp;YR$11,[1]Cartera!$I:$I)+SUMIF([1]Futuros!$AD:$AD,$A4&amp;"_"&amp;YR$11,[1]Futuros!$AK:$AK)+SUMIF([1]Opciones!$AF:$AF,$A4&amp;"_"&amp;YR$11,[1]Opciones!$AQ:$AQ)</f>
        <v>#VALUE!</v>
      </c>
      <c r="YS4" t="e">
        <f>+SUMIF([1]Cartera!$R:$R,$A4&amp;"_"&amp;YS$11,[1]Cartera!$I:$I)+SUMIF([1]Futuros!$AD:$AD,$A4&amp;"_"&amp;YS$11,[1]Futuros!$AK:$AK)+SUMIF([1]Opciones!$AF:$AF,$A4&amp;"_"&amp;YS$11,[1]Opciones!$AQ:$AQ)</f>
        <v>#VALUE!</v>
      </c>
      <c r="YT4" t="e">
        <f>+SUMIF([1]Cartera!$R:$R,$A4&amp;"_"&amp;YT$11,[1]Cartera!$I:$I)+SUMIF([1]Futuros!$AD:$AD,$A4&amp;"_"&amp;YT$11,[1]Futuros!$AK:$AK)+SUMIF([1]Opciones!$AF:$AF,$A4&amp;"_"&amp;YT$11,[1]Opciones!$AQ:$AQ)</f>
        <v>#VALUE!</v>
      </c>
      <c r="YU4" t="e">
        <f>+SUMIF([1]Cartera!$R:$R,$A4&amp;"_"&amp;YU$11,[1]Cartera!$I:$I)+SUMIF([1]Futuros!$AD:$AD,$A4&amp;"_"&amp;YU$11,[1]Futuros!$AK:$AK)+SUMIF([1]Opciones!$AF:$AF,$A4&amp;"_"&amp;YU$11,[1]Opciones!$AQ:$AQ)</f>
        <v>#VALUE!</v>
      </c>
      <c r="YV4" t="e">
        <f>+SUMIF([1]Cartera!$R:$R,$A4&amp;"_"&amp;YV$11,[1]Cartera!$I:$I)+SUMIF([1]Futuros!$AD:$AD,$A4&amp;"_"&amp;YV$11,[1]Futuros!$AK:$AK)+SUMIF([1]Opciones!$AF:$AF,$A4&amp;"_"&amp;YV$11,[1]Opciones!$AQ:$AQ)</f>
        <v>#VALUE!</v>
      </c>
      <c r="YW4" t="e">
        <f>+SUMIF([1]Cartera!$R:$R,$A4&amp;"_"&amp;YW$11,[1]Cartera!$I:$I)+SUMIF([1]Futuros!$AD:$AD,$A4&amp;"_"&amp;YW$11,[1]Futuros!$AK:$AK)+SUMIF([1]Opciones!$AF:$AF,$A4&amp;"_"&amp;YW$11,[1]Opciones!$AQ:$AQ)</f>
        <v>#VALUE!</v>
      </c>
      <c r="YX4" t="e">
        <f>+SUMIF([1]Cartera!$R:$R,$A4&amp;"_"&amp;YX$11,[1]Cartera!$I:$I)+SUMIF([1]Futuros!$AD:$AD,$A4&amp;"_"&amp;YX$11,[1]Futuros!$AK:$AK)+SUMIF([1]Opciones!$AF:$AF,$A4&amp;"_"&amp;YX$11,[1]Opciones!$AQ:$AQ)</f>
        <v>#VALUE!</v>
      </c>
      <c r="YY4" t="e">
        <f>+SUMIF([1]Cartera!$R:$R,$A4&amp;"_"&amp;YY$11,[1]Cartera!$I:$I)+SUMIF([1]Futuros!$AD:$AD,$A4&amp;"_"&amp;YY$11,[1]Futuros!$AK:$AK)+SUMIF([1]Opciones!$AF:$AF,$A4&amp;"_"&amp;YY$11,[1]Opciones!$AQ:$AQ)</f>
        <v>#VALUE!</v>
      </c>
      <c r="YZ4" t="e">
        <f>+SUMIF([1]Cartera!$R:$R,$A4&amp;"_"&amp;YZ$11,[1]Cartera!$I:$I)+SUMIF([1]Futuros!$AD:$AD,$A4&amp;"_"&amp;YZ$11,[1]Futuros!$AK:$AK)+SUMIF([1]Opciones!$AF:$AF,$A4&amp;"_"&amp;YZ$11,[1]Opciones!$AQ:$AQ)</f>
        <v>#VALUE!</v>
      </c>
      <c r="ZA4" t="e">
        <f>+SUMIF([1]Cartera!$R:$R,$A4&amp;"_"&amp;ZA$11,[1]Cartera!$I:$I)+SUMIF([1]Futuros!$AD:$AD,$A4&amp;"_"&amp;ZA$11,[1]Futuros!$AK:$AK)+SUMIF([1]Opciones!$AF:$AF,$A4&amp;"_"&amp;ZA$11,[1]Opciones!$AQ:$AQ)</f>
        <v>#VALUE!</v>
      </c>
      <c r="ZB4" t="e">
        <f>+SUMIF([1]Cartera!$R:$R,$A4&amp;"_"&amp;ZB$11,[1]Cartera!$I:$I)+SUMIF([1]Futuros!$AD:$AD,$A4&amp;"_"&amp;ZB$11,[1]Futuros!$AK:$AK)+SUMIF([1]Opciones!$AF:$AF,$A4&amp;"_"&amp;ZB$11,[1]Opciones!$AQ:$AQ)</f>
        <v>#VALUE!</v>
      </c>
      <c r="ZC4" t="e">
        <f>+SUMIF([1]Cartera!$R:$R,$A4&amp;"_"&amp;ZC$11,[1]Cartera!$I:$I)+SUMIF([1]Futuros!$AD:$AD,$A4&amp;"_"&amp;ZC$11,[1]Futuros!$AK:$AK)+SUMIF([1]Opciones!$AF:$AF,$A4&amp;"_"&amp;ZC$11,[1]Opciones!$AQ:$AQ)</f>
        <v>#VALUE!</v>
      </c>
      <c r="ZD4" t="e">
        <f>+SUMIF([1]Cartera!$R:$R,$A4&amp;"_"&amp;ZD$11,[1]Cartera!$I:$I)+SUMIF([1]Futuros!$AD:$AD,$A4&amp;"_"&amp;ZD$11,[1]Futuros!$AK:$AK)+SUMIF([1]Opciones!$AF:$AF,$A4&amp;"_"&amp;ZD$11,[1]Opciones!$AQ:$AQ)</f>
        <v>#VALUE!</v>
      </c>
      <c r="ZE4" t="e">
        <f>+SUMIF([1]Cartera!$R:$R,$A4&amp;"_"&amp;ZE$11,[1]Cartera!$I:$I)+SUMIF([1]Futuros!$AD:$AD,$A4&amp;"_"&amp;ZE$11,[1]Futuros!$AK:$AK)+SUMIF([1]Opciones!$AF:$AF,$A4&amp;"_"&amp;ZE$11,[1]Opciones!$AQ:$AQ)</f>
        <v>#VALUE!</v>
      </c>
      <c r="ZF4" t="e">
        <f>+SUMIF([1]Cartera!$R:$R,$A4&amp;"_"&amp;ZF$11,[1]Cartera!$I:$I)+SUMIF([1]Futuros!$AD:$AD,$A4&amp;"_"&amp;ZF$11,[1]Futuros!$AK:$AK)+SUMIF([1]Opciones!$AF:$AF,$A4&amp;"_"&amp;ZF$11,[1]Opciones!$AQ:$AQ)</f>
        <v>#VALUE!</v>
      </c>
      <c r="ZG4" t="e">
        <f>+SUMIF([1]Cartera!$R:$R,$A4&amp;"_"&amp;ZG$11,[1]Cartera!$I:$I)+SUMIF([1]Futuros!$AD:$AD,$A4&amp;"_"&amp;ZG$11,[1]Futuros!$AK:$AK)+SUMIF([1]Opciones!$AF:$AF,$A4&amp;"_"&amp;ZG$11,[1]Opciones!$AQ:$AQ)</f>
        <v>#VALUE!</v>
      </c>
      <c r="ZH4" t="e">
        <f>+SUMIF([1]Cartera!$R:$R,$A4&amp;"_"&amp;ZH$11,[1]Cartera!$I:$I)+SUMIF([1]Futuros!$AD:$AD,$A4&amp;"_"&amp;ZH$11,[1]Futuros!$AK:$AK)+SUMIF([1]Opciones!$AF:$AF,$A4&amp;"_"&amp;ZH$11,[1]Opciones!$AQ:$AQ)</f>
        <v>#VALUE!</v>
      </c>
      <c r="ZI4" t="e">
        <f>+SUMIF([1]Cartera!$R:$R,$A4&amp;"_"&amp;ZI$11,[1]Cartera!$I:$I)+SUMIF([1]Futuros!$AD:$AD,$A4&amp;"_"&amp;ZI$11,[1]Futuros!$AK:$AK)+SUMIF([1]Opciones!$AF:$AF,$A4&amp;"_"&amp;ZI$11,[1]Opciones!$AQ:$AQ)</f>
        <v>#VALUE!</v>
      </c>
      <c r="ZJ4" t="e">
        <f>+SUMIF([1]Cartera!$R:$R,$A4&amp;"_"&amp;ZJ$11,[1]Cartera!$I:$I)+SUMIF([1]Futuros!$AD:$AD,$A4&amp;"_"&amp;ZJ$11,[1]Futuros!$AK:$AK)+SUMIF([1]Opciones!$AF:$AF,$A4&amp;"_"&amp;ZJ$11,[1]Opciones!$AQ:$AQ)</f>
        <v>#VALUE!</v>
      </c>
      <c r="ZK4" t="e">
        <f>+SUMIF([1]Cartera!$R:$R,$A4&amp;"_"&amp;ZK$11,[1]Cartera!$I:$I)+SUMIF([1]Futuros!$AD:$AD,$A4&amp;"_"&amp;ZK$11,[1]Futuros!$AK:$AK)+SUMIF([1]Opciones!$AF:$AF,$A4&amp;"_"&amp;ZK$11,[1]Opciones!$AQ:$AQ)</f>
        <v>#VALUE!</v>
      </c>
      <c r="ZL4" t="e">
        <f>+SUMIF([1]Cartera!$R:$R,$A4&amp;"_"&amp;ZL$11,[1]Cartera!$I:$I)+SUMIF([1]Futuros!$AD:$AD,$A4&amp;"_"&amp;ZL$11,[1]Futuros!$AK:$AK)+SUMIF([1]Opciones!$AF:$AF,$A4&amp;"_"&amp;ZL$11,[1]Opciones!$AQ:$AQ)</f>
        <v>#VALUE!</v>
      </c>
      <c r="ZM4" t="e">
        <f>+SUMIF([1]Cartera!$R:$R,$A4&amp;"_"&amp;ZM$11,[1]Cartera!$I:$I)+SUMIF([1]Futuros!$AD:$AD,$A4&amp;"_"&amp;ZM$11,[1]Futuros!$AK:$AK)+SUMIF([1]Opciones!$AF:$AF,$A4&amp;"_"&amp;ZM$11,[1]Opciones!$AQ:$AQ)</f>
        <v>#VALUE!</v>
      </c>
      <c r="ZN4" t="e">
        <f>+SUMIF([1]Cartera!$R:$R,$A4&amp;"_"&amp;ZN$11,[1]Cartera!$I:$I)+SUMIF([1]Futuros!$AD:$AD,$A4&amp;"_"&amp;ZN$11,[1]Futuros!$AK:$AK)+SUMIF([1]Opciones!$AF:$AF,$A4&amp;"_"&amp;ZN$11,[1]Opciones!$AQ:$AQ)</f>
        <v>#VALUE!</v>
      </c>
      <c r="ZO4" t="e">
        <f>+SUMIF([1]Cartera!$R:$R,$A4&amp;"_"&amp;ZO$11,[1]Cartera!$I:$I)+SUMIF([1]Futuros!$AD:$AD,$A4&amp;"_"&amp;ZO$11,[1]Futuros!$AK:$AK)+SUMIF([1]Opciones!$AF:$AF,$A4&amp;"_"&amp;ZO$11,[1]Opciones!$AQ:$AQ)</f>
        <v>#VALUE!</v>
      </c>
      <c r="ZP4" t="e">
        <f>+SUMIF([1]Cartera!$R:$R,$A4&amp;"_"&amp;ZP$11,[1]Cartera!$I:$I)+SUMIF([1]Futuros!$AD:$AD,$A4&amp;"_"&amp;ZP$11,[1]Futuros!$AK:$AK)+SUMIF([1]Opciones!$AF:$AF,$A4&amp;"_"&amp;ZP$11,[1]Opciones!$AQ:$AQ)</f>
        <v>#VALUE!</v>
      </c>
      <c r="ZQ4" t="e">
        <f>+SUMIF([1]Cartera!$R:$R,$A4&amp;"_"&amp;ZQ$11,[1]Cartera!$I:$I)+SUMIF([1]Futuros!$AD:$AD,$A4&amp;"_"&amp;ZQ$11,[1]Futuros!$AK:$AK)+SUMIF([1]Opciones!$AF:$AF,$A4&amp;"_"&amp;ZQ$11,[1]Opciones!$AQ:$AQ)</f>
        <v>#VALUE!</v>
      </c>
      <c r="ZR4" t="e">
        <f>+SUMIF([1]Cartera!$R:$R,$A4&amp;"_"&amp;ZR$11,[1]Cartera!$I:$I)+SUMIF([1]Futuros!$AD:$AD,$A4&amp;"_"&amp;ZR$11,[1]Futuros!$AK:$AK)+SUMIF([1]Opciones!$AF:$AF,$A4&amp;"_"&amp;ZR$11,[1]Opciones!$AQ:$AQ)</f>
        <v>#VALUE!</v>
      </c>
      <c r="ZS4" t="e">
        <f>+SUMIF([1]Cartera!$R:$R,$A4&amp;"_"&amp;ZS$11,[1]Cartera!$I:$I)+SUMIF([1]Futuros!$AD:$AD,$A4&amp;"_"&amp;ZS$11,[1]Futuros!$AK:$AK)+SUMIF([1]Opciones!$AF:$AF,$A4&amp;"_"&amp;ZS$11,[1]Opciones!$AQ:$AQ)</f>
        <v>#VALUE!</v>
      </c>
      <c r="ZT4" t="e">
        <f>+SUMIF([1]Cartera!$R:$R,$A4&amp;"_"&amp;ZT$11,[1]Cartera!$I:$I)+SUMIF([1]Futuros!$AD:$AD,$A4&amp;"_"&amp;ZT$11,[1]Futuros!$AK:$AK)+SUMIF([1]Opciones!$AF:$AF,$A4&amp;"_"&amp;ZT$11,[1]Opciones!$AQ:$AQ)</f>
        <v>#VALUE!</v>
      </c>
      <c r="ZU4" t="e">
        <f>+SUMIF([1]Cartera!$R:$R,$A4&amp;"_"&amp;ZU$11,[1]Cartera!$I:$I)+SUMIF([1]Futuros!$AD:$AD,$A4&amp;"_"&amp;ZU$11,[1]Futuros!$AK:$AK)+SUMIF([1]Opciones!$AF:$AF,$A4&amp;"_"&amp;ZU$11,[1]Opciones!$AQ:$AQ)</f>
        <v>#VALUE!</v>
      </c>
      <c r="ZV4" t="e">
        <f>+SUMIF([1]Cartera!$R:$R,$A4&amp;"_"&amp;ZV$11,[1]Cartera!$I:$I)+SUMIF([1]Futuros!$AD:$AD,$A4&amp;"_"&amp;ZV$11,[1]Futuros!$AK:$AK)+SUMIF([1]Opciones!$AF:$AF,$A4&amp;"_"&amp;ZV$11,[1]Opciones!$AQ:$AQ)</f>
        <v>#VALUE!</v>
      </c>
      <c r="ZW4" t="e">
        <f>+SUMIF([1]Cartera!$R:$R,$A4&amp;"_"&amp;ZW$11,[1]Cartera!$I:$I)+SUMIF([1]Futuros!$AD:$AD,$A4&amp;"_"&amp;ZW$11,[1]Futuros!$AK:$AK)+SUMIF([1]Opciones!$AF:$AF,$A4&amp;"_"&amp;ZW$11,[1]Opciones!$AQ:$AQ)</f>
        <v>#VALUE!</v>
      </c>
      <c r="ZX4" t="e">
        <f>+SUMIF([1]Cartera!$R:$R,$A4&amp;"_"&amp;ZX$11,[1]Cartera!$I:$I)+SUMIF([1]Futuros!$AD:$AD,$A4&amp;"_"&amp;ZX$11,[1]Futuros!$AK:$AK)+SUMIF([1]Opciones!$AF:$AF,$A4&amp;"_"&amp;ZX$11,[1]Opciones!$AQ:$AQ)</f>
        <v>#VALUE!</v>
      </c>
      <c r="ZY4" t="e">
        <f>+SUMIF([1]Cartera!$R:$R,$A4&amp;"_"&amp;ZY$11,[1]Cartera!$I:$I)+SUMIF([1]Futuros!$AD:$AD,$A4&amp;"_"&amp;ZY$11,[1]Futuros!$AK:$AK)+SUMIF([1]Opciones!$AF:$AF,$A4&amp;"_"&amp;ZY$11,[1]Opciones!$AQ:$AQ)</f>
        <v>#VALUE!</v>
      </c>
      <c r="ZZ4" t="e">
        <f>+SUMIF([1]Cartera!$R:$R,$A4&amp;"_"&amp;ZZ$11,[1]Cartera!$I:$I)+SUMIF([1]Futuros!$AD:$AD,$A4&amp;"_"&amp;ZZ$11,[1]Futuros!$AK:$AK)+SUMIF([1]Opciones!$AF:$AF,$A4&amp;"_"&amp;ZZ$11,[1]Opciones!$AQ:$AQ)</f>
        <v>#VALUE!</v>
      </c>
      <c r="AAA4" t="e">
        <f>+SUMIF([1]Cartera!$R:$R,$A4&amp;"_"&amp;AAA$11,[1]Cartera!$I:$I)+SUMIF([1]Futuros!$AD:$AD,$A4&amp;"_"&amp;AAA$11,[1]Futuros!$AK:$AK)+SUMIF([1]Opciones!$AF:$AF,$A4&amp;"_"&amp;AAA$11,[1]Opciones!$AQ:$AQ)</f>
        <v>#VALUE!</v>
      </c>
      <c r="AAB4" t="e">
        <f>+SUMIF([1]Cartera!$R:$R,$A4&amp;"_"&amp;AAB$11,[1]Cartera!$I:$I)+SUMIF([1]Futuros!$AD:$AD,$A4&amp;"_"&amp;AAB$11,[1]Futuros!$AK:$AK)+SUMIF([1]Opciones!$AF:$AF,$A4&amp;"_"&amp;AAB$11,[1]Opciones!$AQ:$AQ)</f>
        <v>#VALUE!</v>
      </c>
      <c r="AAC4" t="e">
        <f>+SUMIF([1]Cartera!$R:$R,$A4&amp;"_"&amp;AAC$11,[1]Cartera!$I:$I)+SUMIF([1]Futuros!$AD:$AD,$A4&amp;"_"&amp;AAC$11,[1]Futuros!$AK:$AK)+SUMIF([1]Opciones!$AF:$AF,$A4&amp;"_"&amp;AAC$11,[1]Opciones!$AQ:$AQ)</f>
        <v>#VALUE!</v>
      </c>
      <c r="AAD4" t="e">
        <f>+SUMIF([1]Cartera!$R:$R,$A4&amp;"_"&amp;AAD$11,[1]Cartera!$I:$I)+SUMIF([1]Futuros!$AD:$AD,$A4&amp;"_"&amp;AAD$11,[1]Futuros!$AK:$AK)+SUMIF([1]Opciones!$AF:$AF,$A4&amp;"_"&amp;AAD$11,[1]Opciones!$AQ:$AQ)</f>
        <v>#VALUE!</v>
      </c>
      <c r="AAE4" t="e">
        <f>+SUMIF([1]Cartera!$R:$R,$A4&amp;"_"&amp;AAE$11,[1]Cartera!$I:$I)+SUMIF([1]Futuros!$AD:$AD,$A4&amp;"_"&amp;AAE$11,[1]Futuros!$AK:$AK)+SUMIF([1]Opciones!$AF:$AF,$A4&amp;"_"&amp;AAE$11,[1]Opciones!$AQ:$AQ)</f>
        <v>#VALUE!</v>
      </c>
      <c r="AAF4" t="e">
        <f>+SUMIF([1]Cartera!$R:$R,$A4&amp;"_"&amp;AAF$11,[1]Cartera!$I:$I)+SUMIF([1]Futuros!$AD:$AD,$A4&amp;"_"&amp;AAF$11,[1]Futuros!$AK:$AK)+SUMIF([1]Opciones!$AF:$AF,$A4&amp;"_"&amp;AAF$11,[1]Opciones!$AQ:$AQ)</f>
        <v>#VALUE!</v>
      </c>
      <c r="AAG4" t="e">
        <f>+SUMIF([1]Cartera!$R:$R,$A4&amp;"_"&amp;AAG$11,[1]Cartera!$I:$I)+SUMIF([1]Futuros!$AD:$AD,$A4&amp;"_"&amp;AAG$11,[1]Futuros!$AK:$AK)+SUMIF([1]Opciones!$AF:$AF,$A4&amp;"_"&amp;AAG$11,[1]Opciones!$AQ:$AQ)</f>
        <v>#VALUE!</v>
      </c>
      <c r="AAH4" t="e">
        <f>+SUMIF([1]Cartera!$R:$R,$A4&amp;"_"&amp;AAH$11,[1]Cartera!$I:$I)+SUMIF([1]Futuros!$AD:$AD,$A4&amp;"_"&amp;AAH$11,[1]Futuros!$AK:$AK)+SUMIF([1]Opciones!$AF:$AF,$A4&amp;"_"&amp;AAH$11,[1]Opciones!$AQ:$AQ)</f>
        <v>#VALUE!</v>
      </c>
      <c r="AAI4" t="e">
        <f>+SUMIF([1]Cartera!$R:$R,$A4&amp;"_"&amp;AAI$11,[1]Cartera!$I:$I)+SUMIF([1]Futuros!$AD:$AD,$A4&amp;"_"&amp;AAI$11,[1]Futuros!$AK:$AK)+SUMIF([1]Opciones!$AF:$AF,$A4&amp;"_"&amp;AAI$11,[1]Opciones!$AQ:$AQ)</f>
        <v>#VALUE!</v>
      </c>
      <c r="AAJ4" t="e">
        <f>+SUMIF([1]Cartera!$R:$R,$A4&amp;"_"&amp;AAJ$11,[1]Cartera!$I:$I)+SUMIF([1]Futuros!$AD:$AD,$A4&amp;"_"&amp;AAJ$11,[1]Futuros!$AK:$AK)+SUMIF([1]Opciones!$AF:$AF,$A4&amp;"_"&amp;AAJ$11,[1]Opciones!$AQ:$AQ)</f>
        <v>#VALUE!</v>
      </c>
      <c r="AAK4" t="e">
        <f>+SUMIF([1]Cartera!$R:$R,$A4&amp;"_"&amp;AAK$11,[1]Cartera!$I:$I)+SUMIF([1]Futuros!$AD:$AD,$A4&amp;"_"&amp;AAK$11,[1]Futuros!$AK:$AK)+SUMIF([1]Opciones!$AF:$AF,$A4&amp;"_"&amp;AAK$11,[1]Opciones!$AQ:$AQ)</f>
        <v>#VALUE!</v>
      </c>
      <c r="AAL4" t="e">
        <f>+SUMIF([1]Cartera!$R:$R,$A4&amp;"_"&amp;AAL$11,[1]Cartera!$I:$I)+SUMIF([1]Futuros!$AD:$AD,$A4&amp;"_"&amp;AAL$11,[1]Futuros!$AK:$AK)+SUMIF([1]Opciones!$AF:$AF,$A4&amp;"_"&amp;AAL$11,[1]Opciones!$AQ:$AQ)</f>
        <v>#VALUE!</v>
      </c>
      <c r="AAM4" t="e">
        <f>+SUMIF([1]Cartera!$R:$R,$A4&amp;"_"&amp;AAM$11,[1]Cartera!$I:$I)+SUMIF([1]Futuros!$AD:$AD,$A4&amp;"_"&amp;AAM$11,[1]Futuros!$AK:$AK)+SUMIF([1]Opciones!$AF:$AF,$A4&amp;"_"&amp;AAM$11,[1]Opciones!$AQ:$AQ)</f>
        <v>#VALUE!</v>
      </c>
      <c r="AAN4" t="e">
        <f>+SUMIF([1]Cartera!$R:$R,$A4&amp;"_"&amp;AAN$11,[1]Cartera!$I:$I)+SUMIF([1]Futuros!$AD:$AD,$A4&amp;"_"&amp;AAN$11,[1]Futuros!$AK:$AK)+SUMIF([1]Opciones!$AF:$AF,$A4&amp;"_"&amp;AAN$11,[1]Opciones!$AQ:$AQ)</f>
        <v>#VALUE!</v>
      </c>
      <c r="AAO4" t="e">
        <f>+SUMIF([1]Cartera!$R:$R,$A4&amp;"_"&amp;AAO$11,[1]Cartera!$I:$I)+SUMIF([1]Futuros!$AD:$AD,$A4&amp;"_"&amp;AAO$11,[1]Futuros!$AK:$AK)+SUMIF([1]Opciones!$AF:$AF,$A4&amp;"_"&amp;AAO$11,[1]Opciones!$AQ:$AQ)</f>
        <v>#VALUE!</v>
      </c>
      <c r="AAP4" t="e">
        <f>+SUMIF([1]Cartera!$R:$R,$A4&amp;"_"&amp;AAP$11,[1]Cartera!$I:$I)+SUMIF([1]Futuros!$AD:$AD,$A4&amp;"_"&amp;AAP$11,[1]Futuros!$AK:$AK)+SUMIF([1]Opciones!$AF:$AF,$A4&amp;"_"&amp;AAP$11,[1]Opciones!$AQ:$AQ)</f>
        <v>#VALUE!</v>
      </c>
      <c r="AAQ4" t="e">
        <f>+SUMIF([1]Cartera!$R:$R,$A4&amp;"_"&amp;AAQ$11,[1]Cartera!$I:$I)+SUMIF([1]Futuros!$AD:$AD,$A4&amp;"_"&amp;AAQ$11,[1]Futuros!$AK:$AK)+SUMIF([1]Opciones!$AF:$AF,$A4&amp;"_"&amp;AAQ$11,[1]Opciones!$AQ:$AQ)</f>
        <v>#VALUE!</v>
      </c>
      <c r="AAR4" t="e">
        <f>+SUMIF([1]Cartera!$R:$R,$A4&amp;"_"&amp;AAR$11,[1]Cartera!$I:$I)+SUMIF([1]Futuros!$AD:$AD,$A4&amp;"_"&amp;AAR$11,[1]Futuros!$AK:$AK)+SUMIF([1]Opciones!$AF:$AF,$A4&amp;"_"&amp;AAR$11,[1]Opciones!$AQ:$AQ)</f>
        <v>#VALUE!</v>
      </c>
      <c r="AAS4" t="e">
        <f>+SUMIF([1]Cartera!$R:$R,$A4&amp;"_"&amp;AAS$11,[1]Cartera!$I:$I)+SUMIF([1]Futuros!$AD:$AD,$A4&amp;"_"&amp;AAS$11,[1]Futuros!$AK:$AK)+SUMIF([1]Opciones!$AF:$AF,$A4&amp;"_"&amp;AAS$11,[1]Opciones!$AQ:$AQ)</f>
        <v>#VALUE!</v>
      </c>
      <c r="AAT4" t="e">
        <f>+SUMIF([1]Cartera!$R:$R,$A4&amp;"_"&amp;AAT$11,[1]Cartera!$I:$I)+SUMIF([1]Futuros!$AD:$AD,$A4&amp;"_"&amp;AAT$11,[1]Futuros!$AK:$AK)+SUMIF([1]Opciones!$AF:$AF,$A4&amp;"_"&amp;AAT$11,[1]Opciones!$AQ:$AQ)</f>
        <v>#VALUE!</v>
      </c>
      <c r="AAU4" t="e">
        <f>+SUMIF([1]Cartera!$R:$R,$A4&amp;"_"&amp;AAU$11,[1]Cartera!$I:$I)+SUMIF([1]Futuros!$AD:$AD,$A4&amp;"_"&amp;AAU$11,[1]Futuros!$AK:$AK)+SUMIF([1]Opciones!$AF:$AF,$A4&amp;"_"&amp;AAU$11,[1]Opciones!$AQ:$AQ)</f>
        <v>#VALUE!</v>
      </c>
      <c r="AAV4" t="e">
        <f>+SUMIF([1]Cartera!$R:$R,$A4&amp;"_"&amp;AAV$11,[1]Cartera!$I:$I)+SUMIF([1]Futuros!$AD:$AD,$A4&amp;"_"&amp;AAV$11,[1]Futuros!$AK:$AK)+SUMIF([1]Opciones!$AF:$AF,$A4&amp;"_"&amp;AAV$11,[1]Opciones!$AQ:$AQ)</f>
        <v>#VALUE!</v>
      </c>
      <c r="AAW4" t="e">
        <f>+SUMIF([1]Cartera!$R:$R,$A4&amp;"_"&amp;AAW$11,[1]Cartera!$I:$I)+SUMIF([1]Futuros!$AD:$AD,$A4&amp;"_"&amp;AAW$11,[1]Futuros!$AK:$AK)+SUMIF([1]Opciones!$AF:$AF,$A4&amp;"_"&amp;AAW$11,[1]Opciones!$AQ:$AQ)</f>
        <v>#VALUE!</v>
      </c>
      <c r="AAX4" t="e">
        <f>+SUMIF([1]Cartera!$R:$R,$A4&amp;"_"&amp;AAX$11,[1]Cartera!$I:$I)+SUMIF([1]Futuros!$AD:$AD,$A4&amp;"_"&amp;AAX$11,[1]Futuros!$AK:$AK)+SUMIF([1]Opciones!$AF:$AF,$A4&amp;"_"&amp;AAX$11,[1]Opciones!$AQ:$AQ)</f>
        <v>#VALUE!</v>
      </c>
      <c r="AAY4" t="e">
        <f>+SUMIF([1]Cartera!$R:$R,$A4&amp;"_"&amp;AAY$11,[1]Cartera!$I:$I)+SUMIF([1]Futuros!$AD:$AD,$A4&amp;"_"&amp;AAY$11,[1]Futuros!$AK:$AK)+SUMIF([1]Opciones!$AF:$AF,$A4&amp;"_"&amp;AAY$11,[1]Opciones!$AQ:$AQ)</f>
        <v>#VALUE!</v>
      </c>
      <c r="AAZ4" t="e">
        <f>+SUMIF([1]Cartera!$R:$R,$A4&amp;"_"&amp;AAZ$11,[1]Cartera!$I:$I)+SUMIF([1]Futuros!$AD:$AD,$A4&amp;"_"&amp;AAZ$11,[1]Futuros!$AK:$AK)+SUMIF([1]Opciones!$AF:$AF,$A4&amp;"_"&amp;AAZ$11,[1]Opciones!$AQ:$AQ)</f>
        <v>#VALUE!</v>
      </c>
      <c r="ABA4" t="e">
        <f>+SUMIF([1]Cartera!$R:$R,$A4&amp;"_"&amp;ABA$11,[1]Cartera!$I:$I)+SUMIF([1]Futuros!$AD:$AD,$A4&amp;"_"&amp;ABA$11,[1]Futuros!$AK:$AK)+SUMIF([1]Opciones!$AF:$AF,$A4&amp;"_"&amp;ABA$11,[1]Opciones!$AQ:$AQ)</f>
        <v>#VALUE!</v>
      </c>
      <c r="ABB4" t="e">
        <f>+SUMIF([1]Cartera!$R:$R,$A4&amp;"_"&amp;ABB$11,[1]Cartera!$I:$I)+SUMIF([1]Futuros!$AD:$AD,$A4&amp;"_"&amp;ABB$11,[1]Futuros!$AK:$AK)+SUMIF([1]Opciones!$AF:$AF,$A4&amp;"_"&amp;ABB$11,[1]Opciones!$AQ:$AQ)</f>
        <v>#VALUE!</v>
      </c>
      <c r="ABC4" t="e">
        <f>+SUMIF([1]Cartera!$R:$R,$A4&amp;"_"&amp;ABC$11,[1]Cartera!$I:$I)+SUMIF([1]Futuros!$AD:$AD,$A4&amp;"_"&amp;ABC$11,[1]Futuros!$AK:$AK)+SUMIF([1]Opciones!$AF:$AF,$A4&amp;"_"&amp;ABC$11,[1]Opciones!$AQ:$AQ)</f>
        <v>#VALUE!</v>
      </c>
      <c r="ABD4" t="e">
        <f>+SUMIF([1]Cartera!$R:$R,$A4&amp;"_"&amp;ABD$11,[1]Cartera!$I:$I)+SUMIF([1]Futuros!$AD:$AD,$A4&amp;"_"&amp;ABD$11,[1]Futuros!$AK:$AK)+SUMIF([1]Opciones!$AF:$AF,$A4&amp;"_"&amp;ABD$11,[1]Opciones!$AQ:$AQ)</f>
        <v>#VALUE!</v>
      </c>
      <c r="ABE4" t="e">
        <f>+SUMIF([1]Cartera!$R:$R,$A4&amp;"_"&amp;ABE$11,[1]Cartera!$I:$I)+SUMIF([1]Futuros!$AD:$AD,$A4&amp;"_"&amp;ABE$11,[1]Futuros!$AK:$AK)+SUMIF([1]Opciones!$AF:$AF,$A4&amp;"_"&amp;ABE$11,[1]Opciones!$AQ:$AQ)</f>
        <v>#VALUE!</v>
      </c>
      <c r="ABF4" t="e">
        <f>+SUMIF([1]Cartera!$R:$R,$A4&amp;"_"&amp;ABF$11,[1]Cartera!$I:$I)+SUMIF([1]Futuros!$AD:$AD,$A4&amp;"_"&amp;ABF$11,[1]Futuros!$AK:$AK)+SUMIF([1]Opciones!$AF:$AF,$A4&amp;"_"&amp;ABF$11,[1]Opciones!$AQ:$AQ)</f>
        <v>#VALUE!</v>
      </c>
      <c r="ABG4" t="e">
        <f>+SUMIF([1]Cartera!$R:$R,$A4&amp;"_"&amp;ABG$11,[1]Cartera!$I:$I)+SUMIF([1]Futuros!$AD:$AD,$A4&amp;"_"&amp;ABG$11,[1]Futuros!$AK:$AK)+SUMIF([1]Opciones!$AF:$AF,$A4&amp;"_"&amp;ABG$11,[1]Opciones!$AQ:$AQ)</f>
        <v>#VALUE!</v>
      </c>
      <c r="ABH4" t="e">
        <f>+SUMIF([1]Cartera!$R:$R,$A4&amp;"_"&amp;ABH$11,[1]Cartera!$I:$I)+SUMIF([1]Futuros!$AD:$AD,$A4&amp;"_"&amp;ABH$11,[1]Futuros!$AK:$AK)+SUMIF([1]Opciones!$AF:$AF,$A4&amp;"_"&amp;ABH$11,[1]Opciones!$AQ:$AQ)</f>
        <v>#VALUE!</v>
      </c>
      <c r="ABI4" t="e">
        <f>+SUMIF([1]Cartera!$R:$R,$A4&amp;"_"&amp;ABI$11,[1]Cartera!$I:$I)+SUMIF([1]Futuros!$AD:$AD,$A4&amp;"_"&amp;ABI$11,[1]Futuros!$AK:$AK)+SUMIF([1]Opciones!$AF:$AF,$A4&amp;"_"&amp;ABI$11,[1]Opciones!$AQ:$AQ)</f>
        <v>#VALUE!</v>
      </c>
      <c r="ABJ4" t="e">
        <f>+SUMIF([1]Cartera!$R:$R,$A4&amp;"_"&amp;ABJ$11,[1]Cartera!$I:$I)+SUMIF([1]Futuros!$AD:$AD,$A4&amp;"_"&amp;ABJ$11,[1]Futuros!$AK:$AK)+SUMIF([1]Opciones!$AF:$AF,$A4&amp;"_"&amp;ABJ$11,[1]Opciones!$AQ:$AQ)</f>
        <v>#VALUE!</v>
      </c>
      <c r="ABK4" t="e">
        <f>+SUMIF([1]Cartera!$R:$R,$A4&amp;"_"&amp;ABK$11,[1]Cartera!$I:$I)+SUMIF([1]Futuros!$AD:$AD,$A4&amp;"_"&amp;ABK$11,[1]Futuros!$AK:$AK)+SUMIF([1]Opciones!$AF:$AF,$A4&amp;"_"&amp;ABK$11,[1]Opciones!$AQ:$AQ)</f>
        <v>#VALUE!</v>
      </c>
      <c r="ABL4" t="e">
        <f>+SUMIF([1]Cartera!$R:$R,$A4&amp;"_"&amp;ABL$11,[1]Cartera!$I:$I)+SUMIF([1]Futuros!$AD:$AD,$A4&amp;"_"&amp;ABL$11,[1]Futuros!$AK:$AK)+SUMIF([1]Opciones!$AF:$AF,$A4&amp;"_"&amp;ABL$11,[1]Opciones!$AQ:$AQ)</f>
        <v>#VALUE!</v>
      </c>
      <c r="ABM4" t="e">
        <f>+SUMIF([1]Cartera!$R:$R,$A4&amp;"_"&amp;ABM$11,[1]Cartera!$I:$I)+SUMIF([1]Futuros!$AD:$AD,$A4&amp;"_"&amp;ABM$11,[1]Futuros!$AK:$AK)+SUMIF([1]Opciones!$AF:$AF,$A4&amp;"_"&amp;ABM$11,[1]Opciones!$AQ:$AQ)</f>
        <v>#VALUE!</v>
      </c>
      <c r="ABN4" t="e">
        <f>+SUMIF([1]Cartera!$R:$R,$A4&amp;"_"&amp;ABN$11,[1]Cartera!$I:$I)+SUMIF([1]Futuros!$AD:$AD,$A4&amp;"_"&amp;ABN$11,[1]Futuros!$AK:$AK)+SUMIF([1]Opciones!$AF:$AF,$A4&amp;"_"&amp;ABN$11,[1]Opciones!$AQ:$AQ)</f>
        <v>#VALUE!</v>
      </c>
      <c r="ABO4" t="e">
        <f>+SUMIF([1]Cartera!$R:$R,$A4&amp;"_"&amp;ABO$11,[1]Cartera!$I:$I)+SUMIF([1]Futuros!$AD:$AD,$A4&amp;"_"&amp;ABO$11,[1]Futuros!$AK:$AK)+SUMIF([1]Opciones!$AF:$AF,$A4&amp;"_"&amp;ABO$11,[1]Opciones!$AQ:$AQ)</f>
        <v>#VALUE!</v>
      </c>
      <c r="ABP4" t="e">
        <f>+SUMIF([1]Cartera!$R:$R,$A4&amp;"_"&amp;ABP$11,[1]Cartera!$I:$I)+SUMIF([1]Futuros!$AD:$AD,$A4&amp;"_"&amp;ABP$11,[1]Futuros!$AK:$AK)+SUMIF([1]Opciones!$AF:$AF,$A4&amp;"_"&amp;ABP$11,[1]Opciones!$AQ:$AQ)</f>
        <v>#VALUE!</v>
      </c>
      <c r="ABQ4" t="e">
        <f>+SUMIF([1]Cartera!$R:$R,$A4&amp;"_"&amp;ABQ$11,[1]Cartera!$I:$I)+SUMIF([1]Futuros!$AD:$AD,$A4&amp;"_"&amp;ABQ$11,[1]Futuros!$AK:$AK)+SUMIF([1]Opciones!$AF:$AF,$A4&amp;"_"&amp;ABQ$11,[1]Opciones!$AQ:$AQ)</f>
        <v>#VALUE!</v>
      </c>
      <c r="ABR4" t="e">
        <f>+SUMIF([1]Cartera!$R:$R,$A4&amp;"_"&amp;ABR$11,[1]Cartera!$I:$I)+SUMIF([1]Futuros!$AD:$AD,$A4&amp;"_"&amp;ABR$11,[1]Futuros!$AK:$AK)+SUMIF([1]Opciones!$AF:$AF,$A4&amp;"_"&amp;ABR$11,[1]Opciones!$AQ:$AQ)</f>
        <v>#VALUE!</v>
      </c>
      <c r="ABS4" t="e">
        <f>+SUMIF([1]Cartera!$R:$R,$A4&amp;"_"&amp;ABS$11,[1]Cartera!$I:$I)+SUMIF([1]Futuros!$AD:$AD,$A4&amp;"_"&amp;ABS$11,[1]Futuros!$AK:$AK)+SUMIF([1]Opciones!$AF:$AF,$A4&amp;"_"&amp;ABS$11,[1]Opciones!$AQ:$AQ)</f>
        <v>#VALUE!</v>
      </c>
      <c r="ABT4" t="e">
        <f>+SUMIF([1]Cartera!$R:$R,$A4&amp;"_"&amp;ABT$11,[1]Cartera!$I:$I)+SUMIF([1]Futuros!$AD:$AD,$A4&amp;"_"&amp;ABT$11,[1]Futuros!$AK:$AK)+SUMIF([1]Opciones!$AF:$AF,$A4&amp;"_"&amp;ABT$11,[1]Opciones!$AQ:$AQ)</f>
        <v>#VALUE!</v>
      </c>
      <c r="ABU4" t="e">
        <f>+SUMIF([1]Cartera!$R:$R,$A4&amp;"_"&amp;ABU$11,[1]Cartera!$I:$I)+SUMIF([1]Futuros!$AD:$AD,$A4&amp;"_"&amp;ABU$11,[1]Futuros!$AK:$AK)+SUMIF([1]Opciones!$AF:$AF,$A4&amp;"_"&amp;ABU$11,[1]Opciones!$AQ:$AQ)</f>
        <v>#VALUE!</v>
      </c>
      <c r="ABV4" t="e">
        <f>+SUMIF([1]Cartera!$R:$R,$A4&amp;"_"&amp;ABV$11,[1]Cartera!$I:$I)+SUMIF([1]Futuros!$AD:$AD,$A4&amp;"_"&amp;ABV$11,[1]Futuros!$AK:$AK)+SUMIF([1]Opciones!$AF:$AF,$A4&amp;"_"&amp;ABV$11,[1]Opciones!$AQ:$AQ)</f>
        <v>#VALUE!</v>
      </c>
      <c r="ABW4" t="e">
        <f>+SUMIF([1]Cartera!$R:$R,$A4&amp;"_"&amp;ABW$11,[1]Cartera!$I:$I)+SUMIF([1]Futuros!$AD:$AD,$A4&amp;"_"&amp;ABW$11,[1]Futuros!$AK:$AK)+SUMIF([1]Opciones!$AF:$AF,$A4&amp;"_"&amp;ABW$11,[1]Opciones!$AQ:$AQ)</f>
        <v>#VALUE!</v>
      </c>
      <c r="ABX4" t="e">
        <f>+SUMIF([1]Cartera!$R:$R,$A4&amp;"_"&amp;ABX$11,[1]Cartera!$I:$I)+SUMIF([1]Futuros!$AD:$AD,$A4&amp;"_"&amp;ABX$11,[1]Futuros!$AK:$AK)+SUMIF([1]Opciones!$AF:$AF,$A4&amp;"_"&amp;ABX$11,[1]Opciones!$AQ:$AQ)</f>
        <v>#VALUE!</v>
      </c>
      <c r="ABY4" t="e">
        <f>+SUMIF([1]Cartera!$R:$R,$A4&amp;"_"&amp;ABY$11,[1]Cartera!$I:$I)+SUMIF([1]Futuros!$AD:$AD,$A4&amp;"_"&amp;ABY$11,[1]Futuros!$AK:$AK)+SUMIF([1]Opciones!$AF:$AF,$A4&amp;"_"&amp;ABY$11,[1]Opciones!$AQ:$AQ)</f>
        <v>#VALUE!</v>
      </c>
      <c r="ABZ4" t="e">
        <f>+SUMIF([1]Cartera!$R:$R,$A4&amp;"_"&amp;ABZ$11,[1]Cartera!$I:$I)+SUMIF([1]Futuros!$AD:$AD,$A4&amp;"_"&amp;ABZ$11,[1]Futuros!$AK:$AK)+SUMIF([1]Opciones!$AF:$AF,$A4&amp;"_"&amp;ABZ$11,[1]Opciones!$AQ:$AQ)</f>
        <v>#VALUE!</v>
      </c>
      <c r="ACA4" t="e">
        <f>+SUMIF([1]Cartera!$R:$R,$A4&amp;"_"&amp;ACA$11,[1]Cartera!$I:$I)+SUMIF([1]Futuros!$AD:$AD,$A4&amp;"_"&amp;ACA$11,[1]Futuros!$AK:$AK)+SUMIF([1]Opciones!$AF:$AF,$A4&amp;"_"&amp;ACA$11,[1]Opciones!$AQ:$AQ)</f>
        <v>#VALUE!</v>
      </c>
      <c r="ACB4" t="e">
        <f>+SUMIF([1]Cartera!$R:$R,$A4&amp;"_"&amp;ACB$11,[1]Cartera!$I:$I)+SUMIF([1]Futuros!$AD:$AD,$A4&amp;"_"&amp;ACB$11,[1]Futuros!$AK:$AK)+SUMIF([1]Opciones!$AF:$AF,$A4&amp;"_"&amp;ACB$11,[1]Opciones!$AQ:$AQ)</f>
        <v>#VALUE!</v>
      </c>
      <c r="ACC4" t="e">
        <f>+SUMIF([1]Cartera!$R:$R,$A4&amp;"_"&amp;ACC$11,[1]Cartera!$I:$I)+SUMIF([1]Futuros!$AD:$AD,$A4&amp;"_"&amp;ACC$11,[1]Futuros!$AK:$AK)+SUMIF([1]Opciones!$AF:$AF,$A4&amp;"_"&amp;ACC$11,[1]Opciones!$AQ:$AQ)</f>
        <v>#VALUE!</v>
      </c>
      <c r="ACD4" t="e">
        <f>+SUMIF([1]Cartera!$R:$R,$A4&amp;"_"&amp;ACD$11,[1]Cartera!$I:$I)+SUMIF([1]Futuros!$AD:$AD,$A4&amp;"_"&amp;ACD$11,[1]Futuros!$AK:$AK)+SUMIF([1]Opciones!$AF:$AF,$A4&amp;"_"&amp;ACD$11,[1]Opciones!$AQ:$AQ)</f>
        <v>#VALUE!</v>
      </c>
      <c r="ACE4" t="e">
        <f>+SUMIF([1]Cartera!$R:$R,$A4&amp;"_"&amp;ACE$11,[1]Cartera!$I:$I)+SUMIF([1]Futuros!$AD:$AD,$A4&amp;"_"&amp;ACE$11,[1]Futuros!$AK:$AK)+SUMIF([1]Opciones!$AF:$AF,$A4&amp;"_"&amp;ACE$11,[1]Opciones!$AQ:$AQ)</f>
        <v>#VALUE!</v>
      </c>
      <c r="ACF4" t="e">
        <f>+SUMIF([1]Cartera!$R:$R,$A4&amp;"_"&amp;ACF$11,[1]Cartera!$I:$I)+SUMIF([1]Futuros!$AD:$AD,$A4&amp;"_"&amp;ACF$11,[1]Futuros!$AK:$AK)+SUMIF([1]Opciones!$AF:$AF,$A4&amp;"_"&amp;ACF$11,[1]Opciones!$AQ:$AQ)</f>
        <v>#VALUE!</v>
      </c>
      <c r="ACG4" t="e">
        <f>+SUMIF([1]Cartera!$R:$R,$A4&amp;"_"&amp;ACG$11,[1]Cartera!$I:$I)+SUMIF([1]Futuros!$AD:$AD,$A4&amp;"_"&amp;ACG$11,[1]Futuros!$AK:$AK)+SUMIF([1]Opciones!$AF:$AF,$A4&amp;"_"&amp;ACG$11,[1]Opciones!$AQ:$AQ)</f>
        <v>#VALUE!</v>
      </c>
      <c r="ACH4" t="e">
        <f>+SUMIF([1]Cartera!$R:$R,$A4&amp;"_"&amp;ACH$11,[1]Cartera!$I:$I)+SUMIF([1]Futuros!$AD:$AD,$A4&amp;"_"&amp;ACH$11,[1]Futuros!$AK:$AK)+SUMIF([1]Opciones!$AF:$AF,$A4&amp;"_"&amp;ACH$11,[1]Opciones!$AQ:$AQ)</f>
        <v>#VALUE!</v>
      </c>
      <c r="ACI4" t="e">
        <f>+SUMIF([1]Cartera!$R:$R,$A4&amp;"_"&amp;ACI$11,[1]Cartera!$I:$I)+SUMIF([1]Futuros!$AD:$AD,$A4&amp;"_"&amp;ACI$11,[1]Futuros!$AK:$AK)+SUMIF([1]Opciones!$AF:$AF,$A4&amp;"_"&amp;ACI$11,[1]Opciones!$AQ:$AQ)</f>
        <v>#VALUE!</v>
      </c>
      <c r="ACJ4" t="e">
        <f>+SUMIF([1]Cartera!$R:$R,$A4&amp;"_"&amp;ACJ$11,[1]Cartera!$I:$I)+SUMIF([1]Futuros!$AD:$AD,$A4&amp;"_"&amp;ACJ$11,[1]Futuros!$AK:$AK)+SUMIF([1]Opciones!$AF:$AF,$A4&amp;"_"&amp;ACJ$11,[1]Opciones!$AQ:$AQ)</f>
        <v>#VALUE!</v>
      </c>
      <c r="ACK4" t="e">
        <f>+SUMIF([1]Cartera!$R:$R,$A4&amp;"_"&amp;ACK$11,[1]Cartera!$I:$I)+SUMIF([1]Futuros!$AD:$AD,$A4&amp;"_"&amp;ACK$11,[1]Futuros!$AK:$AK)+SUMIF([1]Opciones!$AF:$AF,$A4&amp;"_"&amp;ACK$11,[1]Opciones!$AQ:$AQ)</f>
        <v>#VALUE!</v>
      </c>
      <c r="ACL4" t="e">
        <f>+SUMIF([1]Cartera!$R:$R,$A4&amp;"_"&amp;ACL$11,[1]Cartera!$I:$I)+SUMIF([1]Futuros!$AD:$AD,$A4&amp;"_"&amp;ACL$11,[1]Futuros!$AK:$AK)+SUMIF([1]Opciones!$AF:$AF,$A4&amp;"_"&amp;ACL$11,[1]Opciones!$AQ:$AQ)</f>
        <v>#VALUE!</v>
      </c>
      <c r="ACM4" t="e">
        <f>+SUMIF([1]Cartera!$R:$R,$A4&amp;"_"&amp;ACM$11,[1]Cartera!$I:$I)+SUMIF([1]Futuros!$AD:$AD,$A4&amp;"_"&amp;ACM$11,[1]Futuros!$AK:$AK)+SUMIF([1]Opciones!$AF:$AF,$A4&amp;"_"&amp;ACM$11,[1]Opciones!$AQ:$AQ)</f>
        <v>#VALUE!</v>
      </c>
      <c r="ACN4" t="e">
        <f>+SUMIF([1]Cartera!$R:$R,$A4&amp;"_"&amp;ACN$11,[1]Cartera!$I:$I)+SUMIF([1]Futuros!$AD:$AD,$A4&amp;"_"&amp;ACN$11,[1]Futuros!$AK:$AK)+SUMIF([1]Opciones!$AF:$AF,$A4&amp;"_"&amp;ACN$11,[1]Opciones!$AQ:$AQ)</f>
        <v>#VALUE!</v>
      </c>
      <c r="ACO4" t="e">
        <f>+SUMIF([1]Cartera!$R:$R,$A4&amp;"_"&amp;ACO$11,[1]Cartera!$I:$I)+SUMIF([1]Futuros!$AD:$AD,$A4&amp;"_"&amp;ACO$11,[1]Futuros!$AK:$AK)+SUMIF([1]Opciones!$AF:$AF,$A4&amp;"_"&amp;ACO$11,[1]Opciones!$AQ:$AQ)</f>
        <v>#VALUE!</v>
      </c>
      <c r="ACP4" t="e">
        <f>+SUMIF([1]Cartera!$R:$R,$A4&amp;"_"&amp;ACP$11,[1]Cartera!$I:$I)+SUMIF([1]Futuros!$AD:$AD,$A4&amp;"_"&amp;ACP$11,[1]Futuros!$AK:$AK)+SUMIF([1]Opciones!$AF:$AF,$A4&amp;"_"&amp;ACP$11,[1]Opciones!$AQ:$AQ)</f>
        <v>#VALUE!</v>
      </c>
      <c r="ACQ4" t="e">
        <f>+SUMIF([1]Cartera!$R:$R,$A4&amp;"_"&amp;ACQ$11,[1]Cartera!$I:$I)+SUMIF([1]Futuros!$AD:$AD,$A4&amp;"_"&amp;ACQ$11,[1]Futuros!$AK:$AK)+SUMIF([1]Opciones!$AF:$AF,$A4&amp;"_"&amp;ACQ$11,[1]Opciones!$AQ:$AQ)</f>
        <v>#VALUE!</v>
      </c>
      <c r="ACR4" t="e">
        <f>+SUMIF([1]Cartera!$R:$R,$A4&amp;"_"&amp;ACR$11,[1]Cartera!$I:$I)+SUMIF([1]Futuros!$AD:$AD,$A4&amp;"_"&amp;ACR$11,[1]Futuros!$AK:$AK)+SUMIF([1]Opciones!$AF:$AF,$A4&amp;"_"&amp;ACR$11,[1]Opciones!$AQ:$AQ)</f>
        <v>#VALUE!</v>
      </c>
      <c r="ACS4" t="e">
        <f>+SUMIF([1]Cartera!$R:$R,$A4&amp;"_"&amp;ACS$11,[1]Cartera!$I:$I)+SUMIF([1]Futuros!$AD:$AD,$A4&amp;"_"&amp;ACS$11,[1]Futuros!$AK:$AK)+SUMIF([1]Opciones!$AF:$AF,$A4&amp;"_"&amp;ACS$11,[1]Opciones!$AQ:$AQ)</f>
        <v>#VALUE!</v>
      </c>
      <c r="ACT4" t="e">
        <f>+SUMIF([1]Cartera!$R:$R,$A4&amp;"_"&amp;ACT$11,[1]Cartera!$I:$I)+SUMIF([1]Futuros!$AD:$AD,$A4&amp;"_"&amp;ACT$11,[1]Futuros!$AK:$AK)+SUMIF([1]Opciones!$AF:$AF,$A4&amp;"_"&amp;ACT$11,[1]Opciones!$AQ:$AQ)</f>
        <v>#VALUE!</v>
      </c>
      <c r="ACU4" t="e">
        <f>+SUMIF([1]Cartera!$R:$R,$A4&amp;"_"&amp;ACU$11,[1]Cartera!$I:$I)+SUMIF([1]Futuros!$AD:$AD,$A4&amp;"_"&amp;ACU$11,[1]Futuros!$AK:$AK)+SUMIF([1]Opciones!$AF:$AF,$A4&amp;"_"&amp;ACU$11,[1]Opciones!$AQ:$AQ)</f>
        <v>#VALUE!</v>
      </c>
      <c r="ACV4" t="e">
        <f>+SUMIF([1]Cartera!$R:$R,$A4&amp;"_"&amp;ACV$11,[1]Cartera!$I:$I)+SUMIF([1]Futuros!$AD:$AD,$A4&amp;"_"&amp;ACV$11,[1]Futuros!$AK:$AK)+SUMIF([1]Opciones!$AF:$AF,$A4&amp;"_"&amp;ACV$11,[1]Opciones!$AQ:$AQ)</f>
        <v>#VALUE!</v>
      </c>
      <c r="ACW4" t="e">
        <f>+SUMIF([1]Cartera!$R:$R,$A4&amp;"_"&amp;ACW$11,[1]Cartera!$I:$I)+SUMIF([1]Futuros!$AD:$AD,$A4&amp;"_"&amp;ACW$11,[1]Futuros!$AK:$AK)+SUMIF([1]Opciones!$AF:$AF,$A4&amp;"_"&amp;ACW$11,[1]Opciones!$AQ:$AQ)</f>
        <v>#VALUE!</v>
      </c>
      <c r="ACX4" t="e">
        <f>+SUMIF([1]Cartera!$R:$R,$A4&amp;"_"&amp;ACX$11,[1]Cartera!$I:$I)+SUMIF([1]Futuros!$AD:$AD,$A4&amp;"_"&amp;ACX$11,[1]Futuros!$AK:$AK)+SUMIF([1]Opciones!$AF:$AF,$A4&amp;"_"&amp;ACX$11,[1]Opciones!$AQ:$AQ)</f>
        <v>#VALUE!</v>
      </c>
      <c r="ACY4" t="e">
        <f>+SUMIF([1]Cartera!$R:$R,$A4&amp;"_"&amp;ACY$11,[1]Cartera!$I:$I)+SUMIF([1]Futuros!$AD:$AD,$A4&amp;"_"&amp;ACY$11,[1]Futuros!$AK:$AK)+SUMIF([1]Opciones!$AF:$AF,$A4&amp;"_"&amp;ACY$11,[1]Opciones!$AQ:$AQ)</f>
        <v>#VALUE!</v>
      </c>
      <c r="ACZ4" t="e">
        <f>+SUMIF([1]Cartera!$R:$R,$A4&amp;"_"&amp;ACZ$11,[1]Cartera!$I:$I)+SUMIF([1]Futuros!$AD:$AD,$A4&amp;"_"&amp;ACZ$11,[1]Futuros!$AK:$AK)+SUMIF([1]Opciones!$AF:$AF,$A4&amp;"_"&amp;ACZ$11,[1]Opciones!$AQ:$AQ)</f>
        <v>#VALUE!</v>
      </c>
      <c r="ADA4" t="e">
        <f>+SUMIF([1]Cartera!$R:$R,$A4&amp;"_"&amp;ADA$11,[1]Cartera!$I:$I)+SUMIF([1]Futuros!$AD:$AD,$A4&amp;"_"&amp;ADA$11,[1]Futuros!$AK:$AK)+SUMIF([1]Opciones!$AF:$AF,$A4&amp;"_"&amp;ADA$11,[1]Opciones!$AQ:$AQ)</f>
        <v>#VALUE!</v>
      </c>
      <c r="ADB4" t="e">
        <f>+SUMIF([1]Cartera!$R:$R,$A4&amp;"_"&amp;ADB$11,[1]Cartera!$I:$I)+SUMIF([1]Futuros!$AD:$AD,$A4&amp;"_"&amp;ADB$11,[1]Futuros!$AK:$AK)+SUMIF([1]Opciones!$AF:$AF,$A4&amp;"_"&amp;ADB$11,[1]Opciones!$AQ:$AQ)</f>
        <v>#VALUE!</v>
      </c>
      <c r="ADC4" t="e">
        <f>+SUMIF([1]Cartera!$R:$R,$A4&amp;"_"&amp;ADC$11,[1]Cartera!$I:$I)+SUMIF([1]Futuros!$AD:$AD,$A4&amp;"_"&amp;ADC$11,[1]Futuros!$AK:$AK)+SUMIF([1]Opciones!$AF:$AF,$A4&amp;"_"&amp;ADC$11,[1]Opciones!$AQ:$AQ)</f>
        <v>#VALUE!</v>
      </c>
      <c r="ADD4" t="e">
        <f>+SUMIF([1]Cartera!$R:$R,$A4&amp;"_"&amp;ADD$11,[1]Cartera!$I:$I)+SUMIF([1]Futuros!$AD:$AD,$A4&amp;"_"&amp;ADD$11,[1]Futuros!$AK:$AK)+SUMIF([1]Opciones!$AF:$AF,$A4&amp;"_"&amp;ADD$11,[1]Opciones!$AQ:$AQ)</f>
        <v>#VALUE!</v>
      </c>
      <c r="ADE4" t="e">
        <f>+SUMIF([1]Cartera!$R:$R,$A4&amp;"_"&amp;ADE$11,[1]Cartera!$I:$I)+SUMIF([1]Futuros!$AD:$AD,$A4&amp;"_"&amp;ADE$11,[1]Futuros!$AK:$AK)+SUMIF([1]Opciones!$AF:$AF,$A4&amp;"_"&amp;ADE$11,[1]Opciones!$AQ:$AQ)</f>
        <v>#VALUE!</v>
      </c>
      <c r="ADF4" t="e">
        <f>+SUMIF([1]Cartera!$R:$R,$A4&amp;"_"&amp;ADF$11,[1]Cartera!$I:$I)+SUMIF([1]Futuros!$AD:$AD,$A4&amp;"_"&amp;ADF$11,[1]Futuros!$AK:$AK)+SUMIF([1]Opciones!$AF:$AF,$A4&amp;"_"&amp;ADF$11,[1]Opciones!$AQ:$AQ)</f>
        <v>#VALUE!</v>
      </c>
      <c r="ADG4" t="e">
        <f>+SUMIF([1]Cartera!$R:$R,$A4&amp;"_"&amp;ADG$11,[1]Cartera!$I:$I)+SUMIF([1]Futuros!$AD:$AD,$A4&amp;"_"&amp;ADG$11,[1]Futuros!$AK:$AK)+SUMIF([1]Opciones!$AF:$AF,$A4&amp;"_"&amp;ADG$11,[1]Opciones!$AQ:$AQ)</f>
        <v>#VALUE!</v>
      </c>
      <c r="ADH4" t="e">
        <f>+SUMIF([1]Cartera!$R:$R,$A4&amp;"_"&amp;ADH$11,[1]Cartera!$I:$I)+SUMIF([1]Futuros!$AD:$AD,$A4&amp;"_"&amp;ADH$11,[1]Futuros!$AK:$AK)+SUMIF([1]Opciones!$AF:$AF,$A4&amp;"_"&amp;ADH$11,[1]Opciones!$AQ:$AQ)</f>
        <v>#VALUE!</v>
      </c>
      <c r="ADI4" t="e">
        <f>+SUMIF([1]Cartera!$R:$R,$A4&amp;"_"&amp;ADI$11,[1]Cartera!$I:$I)+SUMIF([1]Futuros!$AD:$AD,$A4&amp;"_"&amp;ADI$11,[1]Futuros!$AK:$AK)+SUMIF([1]Opciones!$AF:$AF,$A4&amp;"_"&amp;ADI$11,[1]Opciones!$AQ:$AQ)</f>
        <v>#VALUE!</v>
      </c>
      <c r="ADJ4" t="e">
        <f>+SUMIF([1]Cartera!$R:$R,$A4&amp;"_"&amp;ADJ$11,[1]Cartera!$I:$I)+SUMIF([1]Futuros!$AD:$AD,$A4&amp;"_"&amp;ADJ$11,[1]Futuros!$AK:$AK)+SUMIF([1]Opciones!$AF:$AF,$A4&amp;"_"&amp;ADJ$11,[1]Opciones!$AQ:$AQ)</f>
        <v>#VALUE!</v>
      </c>
      <c r="ADK4" t="e">
        <f>+SUMIF([1]Cartera!$R:$R,$A4&amp;"_"&amp;ADK$11,[1]Cartera!$I:$I)+SUMIF([1]Futuros!$AD:$AD,$A4&amp;"_"&amp;ADK$11,[1]Futuros!$AK:$AK)+SUMIF([1]Opciones!$AF:$AF,$A4&amp;"_"&amp;ADK$11,[1]Opciones!$AQ:$AQ)</f>
        <v>#VALUE!</v>
      </c>
      <c r="ADL4" t="e">
        <f>+SUMIF([1]Cartera!$R:$R,$A4&amp;"_"&amp;ADL$11,[1]Cartera!$I:$I)+SUMIF([1]Futuros!$AD:$AD,$A4&amp;"_"&amp;ADL$11,[1]Futuros!$AK:$AK)+SUMIF([1]Opciones!$AF:$AF,$A4&amp;"_"&amp;ADL$11,[1]Opciones!$AQ:$AQ)</f>
        <v>#VALUE!</v>
      </c>
      <c r="ADM4" t="e">
        <f>+SUMIF([1]Cartera!$R:$R,$A4&amp;"_"&amp;ADM$11,[1]Cartera!$I:$I)+SUMIF([1]Futuros!$AD:$AD,$A4&amp;"_"&amp;ADM$11,[1]Futuros!$AK:$AK)+SUMIF([1]Opciones!$AF:$AF,$A4&amp;"_"&amp;ADM$11,[1]Opciones!$AQ:$AQ)</f>
        <v>#VALUE!</v>
      </c>
      <c r="ADN4" t="e">
        <f>+SUMIF([1]Cartera!$R:$R,$A4&amp;"_"&amp;ADN$11,[1]Cartera!$I:$I)+SUMIF([1]Futuros!$AD:$AD,$A4&amp;"_"&amp;ADN$11,[1]Futuros!$AK:$AK)+SUMIF([1]Opciones!$AF:$AF,$A4&amp;"_"&amp;ADN$11,[1]Opciones!$AQ:$AQ)</f>
        <v>#VALUE!</v>
      </c>
      <c r="ADO4" t="e">
        <f>+SUMIF([1]Cartera!$R:$R,$A4&amp;"_"&amp;ADO$11,[1]Cartera!$I:$I)+SUMIF([1]Futuros!$AD:$AD,$A4&amp;"_"&amp;ADO$11,[1]Futuros!$AK:$AK)+SUMIF([1]Opciones!$AF:$AF,$A4&amp;"_"&amp;ADO$11,[1]Opciones!$AQ:$AQ)</f>
        <v>#VALUE!</v>
      </c>
      <c r="ADP4" t="e">
        <f>+SUMIF([1]Cartera!$R:$R,$A4&amp;"_"&amp;ADP$11,[1]Cartera!$I:$I)+SUMIF([1]Futuros!$AD:$AD,$A4&amp;"_"&amp;ADP$11,[1]Futuros!$AK:$AK)+SUMIF([1]Opciones!$AF:$AF,$A4&amp;"_"&amp;ADP$11,[1]Opciones!$AQ:$AQ)</f>
        <v>#VALUE!</v>
      </c>
      <c r="ADQ4" t="e">
        <f>+SUMIF([1]Cartera!$R:$R,$A4&amp;"_"&amp;ADQ$11,[1]Cartera!$I:$I)+SUMIF([1]Futuros!$AD:$AD,$A4&amp;"_"&amp;ADQ$11,[1]Futuros!$AK:$AK)+SUMIF([1]Opciones!$AF:$AF,$A4&amp;"_"&amp;ADQ$11,[1]Opciones!$AQ:$AQ)</f>
        <v>#VALUE!</v>
      </c>
      <c r="ADR4" t="e">
        <f>+SUMIF([1]Cartera!$R:$R,$A4&amp;"_"&amp;ADR$11,[1]Cartera!$I:$I)+SUMIF([1]Futuros!$AD:$AD,$A4&amp;"_"&amp;ADR$11,[1]Futuros!$AK:$AK)+SUMIF([1]Opciones!$AF:$AF,$A4&amp;"_"&amp;ADR$11,[1]Opciones!$AQ:$AQ)</f>
        <v>#VALUE!</v>
      </c>
      <c r="ADS4" t="e">
        <f>+SUMIF([1]Cartera!$R:$R,$A4&amp;"_"&amp;ADS$11,[1]Cartera!$I:$I)+SUMIF([1]Futuros!$AD:$AD,$A4&amp;"_"&amp;ADS$11,[1]Futuros!$AK:$AK)+SUMIF([1]Opciones!$AF:$AF,$A4&amp;"_"&amp;ADS$11,[1]Opciones!$AQ:$AQ)</f>
        <v>#VALUE!</v>
      </c>
      <c r="ADT4" t="e">
        <f>+SUMIF([1]Cartera!$R:$R,$A4&amp;"_"&amp;ADT$11,[1]Cartera!$I:$I)+SUMIF([1]Futuros!$AD:$AD,$A4&amp;"_"&amp;ADT$11,[1]Futuros!$AK:$AK)+SUMIF([1]Opciones!$AF:$AF,$A4&amp;"_"&amp;ADT$11,[1]Opciones!$AQ:$AQ)</f>
        <v>#VALUE!</v>
      </c>
      <c r="ADU4" t="e">
        <f>+SUMIF([1]Cartera!$R:$R,$A4&amp;"_"&amp;ADU$11,[1]Cartera!$I:$I)+SUMIF([1]Futuros!$AD:$AD,$A4&amp;"_"&amp;ADU$11,[1]Futuros!$AK:$AK)+SUMIF([1]Opciones!$AF:$AF,$A4&amp;"_"&amp;ADU$11,[1]Opciones!$AQ:$AQ)</f>
        <v>#VALUE!</v>
      </c>
      <c r="ADV4" t="e">
        <f>+SUMIF([1]Cartera!$R:$R,$A4&amp;"_"&amp;ADV$11,[1]Cartera!$I:$I)+SUMIF([1]Futuros!$AD:$AD,$A4&amp;"_"&amp;ADV$11,[1]Futuros!$AK:$AK)+SUMIF([1]Opciones!$AF:$AF,$A4&amp;"_"&amp;ADV$11,[1]Opciones!$AQ:$AQ)</f>
        <v>#VALUE!</v>
      </c>
      <c r="ADW4" t="e">
        <f>+SUMIF([1]Cartera!$R:$R,$A4&amp;"_"&amp;ADW$11,[1]Cartera!$I:$I)+SUMIF([1]Futuros!$AD:$AD,$A4&amp;"_"&amp;ADW$11,[1]Futuros!$AK:$AK)+SUMIF([1]Opciones!$AF:$AF,$A4&amp;"_"&amp;ADW$11,[1]Opciones!$AQ:$AQ)</f>
        <v>#VALUE!</v>
      </c>
      <c r="ADX4" t="e">
        <f>+SUMIF([1]Cartera!$R:$R,$A4&amp;"_"&amp;ADX$11,[1]Cartera!$I:$I)+SUMIF([1]Futuros!$AD:$AD,$A4&amp;"_"&amp;ADX$11,[1]Futuros!$AK:$AK)+SUMIF([1]Opciones!$AF:$AF,$A4&amp;"_"&amp;ADX$11,[1]Opciones!$AQ:$AQ)</f>
        <v>#VALUE!</v>
      </c>
      <c r="ADY4" t="e">
        <f>+SUMIF([1]Cartera!$R:$R,$A4&amp;"_"&amp;ADY$11,[1]Cartera!$I:$I)+SUMIF([1]Futuros!$AD:$AD,$A4&amp;"_"&amp;ADY$11,[1]Futuros!$AK:$AK)+SUMIF([1]Opciones!$AF:$AF,$A4&amp;"_"&amp;ADY$11,[1]Opciones!$AQ:$AQ)</f>
        <v>#VALUE!</v>
      </c>
      <c r="ADZ4" t="e">
        <f>+SUMIF([1]Cartera!$R:$R,$A4&amp;"_"&amp;ADZ$11,[1]Cartera!$I:$I)+SUMIF([1]Futuros!$AD:$AD,$A4&amp;"_"&amp;ADZ$11,[1]Futuros!$AK:$AK)+SUMIF([1]Opciones!$AF:$AF,$A4&amp;"_"&amp;ADZ$11,[1]Opciones!$AQ:$AQ)</f>
        <v>#VALUE!</v>
      </c>
      <c r="AEA4" t="e">
        <f>+SUMIF([1]Cartera!$R:$R,$A4&amp;"_"&amp;AEA$11,[1]Cartera!$I:$I)+SUMIF([1]Futuros!$AD:$AD,$A4&amp;"_"&amp;AEA$11,[1]Futuros!$AK:$AK)+SUMIF([1]Opciones!$AF:$AF,$A4&amp;"_"&amp;AEA$11,[1]Opciones!$AQ:$AQ)</f>
        <v>#VALUE!</v>
      </c>
      <c r="AEB4" t="e">
        <f>+SUMIF([1]Cartera!$R:$R,$A4&amp;"_"&amp;AEB$11,[1]Cartera!$I:$I)+SUMIF([1]Futuros!$AD:$AD,$A4&amp;"_"&amp;AEB$11,[1]Futuros!$AK:$AK)+SUMIF([1]Opciones!$AF:$AF,$A4&amp;"_"&amp;AEB$11,[1]Opciones!$AQ:$AQ)</f>
        <v>#VALUE!</v>
      </c>
      <c r="AEC4" t="e">
        <f>+SUMIF([1]Cartera!$R:$R,$A4&amp;"_"&amp;AEC$11,[1]Cartera!$I:$I)+SUMIF([1]Futuros!$AD:$AD,$A4&amp;"_"&amp;AEC$11,[1]Futuros!$AK:$AK)+SUMIF([1]Opciones!$AF:$AF,$A4&amp;"_"&amp;AEC$11,[1]Opciones!$AQ:$AQ)</f>
        <v>#VALUE!</v>
      </c>
      <c r="AED4" t="e">
        <f>+SUMIF([1]Cartera!$R:$R,$A4&amp;"_"&amp;AED$11,[1]Cartera!$I:$I)+SUMIF([1]Futuros!$AD:$AD,$A4&amp;"_"&amp;AED$11,[1]Futuros!$AK:$AK)+SUMIF([1]Opciones!$AF:$AF,$A4&amp;"_"&amp;AED$11,[1]Opciones!$AQ:$AQ)</f>
        <v>#VALUE!</v>
      </c>
      <c r="AEE4" t="e">
        <f>+SUMIF([1]Cartera!$R:$R,$A4&amp;"_"&amp;AEE$11,[1]Cartera!$I:$I)+SUMIF([1]Futuros!$AD:$AD,$A4&amp;"_"&amp;AEE$11,[1]Futuros!$AK:$AK)+SUMIF([1]Opciones!$AF:$AF,$A4&amp;"_"&amp;AEE$11,[1]Opciones!$AQ:$AQ)</f>
        <v>#VALUE!</v>
      </c>
      <c r="AEF4" t="e">
        <f>+SUMIF([1]Cartera!$R:$R,$A4&amp;"_"&amp;AEF$11,[1]Cartera!$I:$I)+SUMIF([1]Futuros!$AD:$AD,$A4&amp;"_"&amp;AEF$11,[1]Futuros!$AK:$AK)+SUMIF([1]Opciones!$AF:$AF,$A4&amp;"_"&amp;AEF$11,[1]Opciones!$AQ:$AQ)</f>
        <v>#VALUE!</v>
      </c>
      <c r="AEG4" t="e">
        <f>+SUMIF([1]Cartera!$R:$R,$A4&amp;"_"&amp;AEG$11,[1]Cartera!$I:$I)+SUMIF([1]Futuros!$AD:$AD,$A4&amp;"_"&amp;AEG$11,[1]Futuros!$AK:$AK)+SUMIF([1]Opciones!$AF:$AF,$A4&amp;"_"&amp;AEG$11,[1]Opciones!$AQ:$AQ)</f>
        <v>#VALUE!</v>
      </c>
      <c r="AEH4" t="e">
        <f>+SUMIF([1]Cartera!$R:$R,$A4&amp;"_"&amp;AEH$11,[1]Cartera!$I:$I)+SUMIF([1]Futuros!$AD:$AD,$A4&amp;"_"&amp;AEH$11,[1]Futuros!$AK:$AK)+SUMIF([1]Opciones!$AF:$AF,$A4&amp;"_"&amp;AEH$11,[1]Opciones!$AQ:$AQ)</f>
        <v>#VALUE!</v>
      </c>
      <c r="AEI4" t="e">
        <f>+SUMIF([1]Cartera!$R:$R,$A4&amp;"_"&amp;AEI$11,[1]Cartera!$I:$I)+SUMIF([1]Futuros!$AD:$AD,$A4&amp;"_"&amp;AEI$11,[1]Futuros!$AK:$AK)+SUMIF([1]Opciones!$AF:$AF,$A4&amp;"_"&amp;AEI$11,[1]Opciones!$AQ:$AQ)</f>
        <v>#VALUE!</v>
      </c>
      <c r="AEJ4" t="e">
        <f>+SUMIF([1]Cartera!$R:$R,$A4&amp;"_"&amp;AEJ$11,[1]Cartera!$I:$I)+SUMIF([1]Futuros!$AD:$AD,$A4&amp;"_"&amp;AEJ$11,[1]Futuros!$AK:$AK)+SUMIF([1]Opciones!$AF:$AF,$A4&amp;"_"&amp;AEJ$11,[1]Opciones!$AQ:$AQ)</f>
        <v>#VALUE!</v>
      </c>
      <c r="AEK4" t="e">
        <f>+SUMIF([1]Cartera!$R:$R,$A4&amp;"_"&amp;AEK$11,[1]Cartera!$I:$I)+SUMIF([1]Futuros!$AD:$AD,$A4&amp;"_"&amp;AEK$11,[1]Futuros!$AK:$AK)+SUMIF([1]Opciones!$AF:$AF,$A4&amp;"_"&amp;AEK$11,[1]Opciones!$AQ:$AQ)</f>
        <v>#VALUE!</v>
      </c>
      <c r="AEL4" t="e">
        <f>+SUMIF([1]Cartera!$R:$R,$A4&amp;"_"&amp;AEL$11,[1]Cartera!$I:$I)+SUMIF([1]Futuros!$AD:$AD,$A4&amp;"_"&amp;AEL$11,[1]Futuros!$AK:$AK)+SUMIF([1]Opciones!$AF:$AF,$A4&amp;"_"&amp;AEL$11,[1]Opciones!$AQ:$AQ)</f>
        <v>#VALUE!</v>
      </c>
      <c r="AEM4" t="e">
        <f>+SUMIF([1]Cartera!$R:$R,$A4&amp;"_"&amp;AEM$11,[1]Cartera!$I:$I)+SUMIF([1]Futuros!$AD:$AD,$A4&amp;"_"&amp;AEM$11,[1]Futuros!$AK:$AK)+SUMIF([1]Opciones!$AF:$AF,$A4&amp;"_"&amp;AEM$11,[1]Opciones!$AQ:$AQ)</f>
        <v>#VALUE!</v>
      </c>
      <c r="AEN4" t="e">
        <f>+SUMIF([1]Cartera!$R:$R,$A4&amp;"_"&amp;AEN$11,[1]Cartera!$I:$I)+SUMIF([1]Futuros!$AD:$AD,$A4&amp;"_"&amp;AEN$11,[1]Futuros!$AK:$AK)+SUMIF([1]Opciones!$AF:$AF,$A4&amp;"_"&amp;AEN$11,[1]Opciones!$AQ:$AQ)</f>
        <v>#VALUE!</v>
      </c>
      <c r="AEO4" t="e">
        <f>+SUMIF([1]Cartera!$R:$R,$A4&amp;"_"&amp;AEO$11,[1]Cartera!$I:$I)+SUMIF([1]Futuros!$AD:$AD,$A4&amp;"_"&amp;AEO$11,[1]Futuros!$AK:$AK)+SUMIF([1]Opciones!$AF:$AF,$A4&amp;"_"&amp;AEO$11,[1]Opciones!$AQ:$AQ)</f>
        <v>#VALUE!</v>
      </c>
      <c r="AEP4" t="e">
        <f>+SUMIF([1]Cartera!$R:$R,$A4&amp;"_"&amp;AEP$11,[1]Cartera!$I:$I)+SUMIF([1]Futuros!$AD:$AD,$A4&amp;"_"&amp;AEP$11,[1]Futuros!$AK:$AK)+SUMIF([1]Opciones!$AF:$AF,$A4&amp;"_"&amp;AEP$11,[1]Opciones!$AQ:$AQ)</f>
        <v>#VALUE!</v>
      </c>
      <c r="AEQ4" t="e">
        <f>+SUMIF([1]Cartera!$R:$R,$A4&amp;"_"&amp;AEQ$11,[1]Cartera!$I:$I)+SUMIF([1]Futuros!$AD:$AD,$A4&amp;"_"&amp;AEQ$11,[1]Futuros!$AK:$AK)+SUMIF([1]Opciones!$AF:$AF,$A4&amp;"_"&amp;AEQ$11,[1]Opciones!$AQ:$AQ)</f>
        <v>#VALUE!</v>
      </c>
      <c r="AER4" t="e">
        <f>+SUMIF([1]Cartera!$R:$R,$A4&amp;"_"&amp;AER$11,[1]Cartera!$I:$I)+SUMIF([1]Futuros!$AD:$AD,$A4&amp;"_"&amp;AER$11,[1]Futuros!$AK:$AK)+SUMIF([1]Opciones!$AF:$AF,$A4&amp;"_"&amp;AER$11,[1]Opciones!$AQ:$AQ)</f>
        <v>#VALUE!</v>
      </c>
      <c r="AES4" t="e">
        <f>+SUMIF([1]Cartera!$R:$R,$A4&amp;"_"&amp;AES$11,[1]Cartera!$I:$I)+SUMIF([1]Futuros!$AD:$AD,$A4&amp;"_"&amp;AES$11,[1]Futuros!$AK:$AK)+SUMIF([1]Opciones!$AF:$AF,$A4&amp;"_"&amp;AES$11,[1]Opciones!$AQ:$AQ)</f>
        <v>#VALUE!</v>
      </c>
      <c r="AET4" t="e">
        <f>+SUMIF([1]Cartera!$R:$R,$A4&amp;"_"&amp;AET$11,[1]Cartera!$I:$I)+SUMIF([1]Futuros!$AD:$AD,$A4&amp;"_"&amp;AET$11,[1]Futuros!$AK:$AK)+SUMIF([1]Opciones!$AF:$AF,$A4&amp;"_"&amp;AET$11,[1]Opciones!$AQ:$AQ)</f>
        <v>#VALUE!</v>
      </c>
      <c r="AEU4" t="e">
        <f>+SUMIF([1]Cartera!$R:$R,$A4&amp;"_"&amp;AEU$11,[1]Cartera!$I:$I)+SUMIF([1]Futuros!$AD:$AD,$A4&amp;"_"&amp;AEU$11,[1]Futuros!$AK:$AK)+SUMIF([1]Opciones!$AF:$AF,$A4&amp;"_"&amp;AEU$11,[1]Opciones!$AQ:$AQ)</f>
        <v>#VALUE!</v>
      </c>
      <c r="AEV4" t="e">
        <f>+SUMIF([1]Cartera!$R:$R,$A4&amp;"_"&amp;AEV$11,[1]Cartera!$I:$I)+SUMIF([1]Futuros!$AD:$AD,$A4&amp;"_"&amp;AEV$11,[1]Futuros!$AK:$AK)+SUMIF([1]Opciones!$AF:$AF,$A4&amp;"_"&amp;AEV$11,[1]Opciones!$AQ:$AQ)</f>
        <v>#VALUE!</v>
      </c>
      <c r="AEW4" t="e">
        <f>+SUMIF([1]Cartera!$R:$R,$A4&amp;"_"&amp;AEW$11,[1]Cartera!$I:$I)+SUMIF([1]Futuros!$AD:$AD,$A4&amp;"_"&amp;AEW$11,[1]Futuros!$AK:$AK)+SUMIF([1]Opciones!$AF:$AF,$A4&amp;"_"&amp;AEW$11,[1]Opciones!$AQ:$AQ)</f>
        <v>#VALUE!</v>
      </c>
      <c r="AEX4" t="e">
        <f>+SUMIF([1]Cartera!$R:$R,$A4&amp;"_"&amp;AEX$11,[1]Cartera!$I:$I)+SUMIF([1]Futuros!$AD:$AD,$A4&amp;"_"&amp;AEX$11,[1]Futuros!$AK:$AK)+SUMIF([1]Opciones!$AF:$AF,$A4&amp;"_"&amp;AEX$11,[1]Opciones!$AQ:$AQ)</f>
        <v>#VALUE!</v>
      </c>
      <c r="AEY4" t="e">
        <f>+SUMIF([1]Cartera!$R:$R,$A4&amp;"_"&amp;AEY$11,[1]Cartera!$I:$I)+SUMIF([1]Futuros!$AD:$AD,$A4&amp;"_"&amp;AEY$11,[1]Futuros!$AK:$AK)+SUMIF([1]Opciones!$AF:$AF,$A4&amp;"_"&amp;AEY$11,[1]Opciones!$AQ:$AQ)</f>
        <v>#VALUE!</v>
      </c>
      <c r="AEZ4" t="e">
        <f>+SUMIF([1]Cartera!$R:$R,$A4&amp;"_"&amp;AEZ$11,[1]Cartera!$I:$I)+SUMIF([1]Futuros!$AD:$AD,$A4&amp;"_"&amp;AEZ$11,[1]Futuros!$AK:$AK)+SUMIF([1]Opciones!$AF:$AF,$A4&amp;"_"&amp;AEZ$11,[1]Opciones!$AQ:$AQ)</f>
        <v>#VALUE!</v>
      </c>
      <c r="AFA4" t="e">
        <f>+SUMIF([1]Cartera!$R:$R,$A4&amp;"_"&amp;AFA$11,[1]Cartera!$I:$I)+SUMIF([1]Futuros!$AD:$AD,$A4&amp;"_"&amp;AFA$11,[1]Futuros!$AK:$AK)+SUMIF([1]Opciones!$AF:$AF,$A4&amp;"_"&amp;AFA$11,[1]Opciones!$AQ:$AQ)</f>
        <v>#VALUE!</v>
      </c>
      <c r="AFB4" t="e">
        <f>+SUMIF([1]Cartera!$R:$R,$A4&amp;"_"&amp;AFB$11,[1]Cartera!$I:$I)+SUMIF([1]Futuros!$AD:$AD,$A4&amp;"_"&amp;AFB$11,[1]Futuros!$AK:$AK)+SUMIF([1]Opciones!$AF:$AF,$A4&amp;"_"&amp;AFB$11,[1]Opciones!$AQ:$AQ)</f>
        <v>#VALUE!</v>
      </c>
      <c r="AFC4" t="e">
        <f>+SUMIF([1]Cartera!$R:$R,$A4&amp;"_"&amp;AFC$11,[1]Cartera!$I:$I)+SUMIF([1]Futuros!$AD:$AD,$A4&amp;"_"&amp;AFC$11,[1]Futuros!$AK:$AK)+SUMIF([1]Opciones!$AF:$AF,$A4&amp;"_"&amp;AFC$11,[1]Opciones!$AQ:$AQ)</f>
        <v>#VALUE!</v>
      </c>
      <c r="AFD4" t="e">
        <f>+SUMIF([1]Cartera!$R:$R,$A4&amp;"_"&amp;AFD$11,[1]Cartera!$I:$I)+SUMIF([1]Futuros!$AD:$AD,$A4&amp;"_"&amp;AFD$11,[1]Futuros!$AK:$AK)+SUMIF([1]Opciones!$AF:$AF,$A4&amp;"_"&amp;AFD$11,[1]Opciones!$AQ:$AQ)</f>
        <v>#VALUE!</v>
      </c>
      <c r="AFE4" t="e">
        <f>+SUMIF([1]Cartera!$R:$R,$A4&amp;"_"&amp;AFE$11,[1]Cartera!$I:$I)+SUMIF([1]Futuros!$AD:$AD,$A4&amp;"_"&amp;AFE$11,[1]Futuros!$AK:$AK)+SUMIF([1]Opciones!$AF:$AF,$A4&amp;"_"&amp;AFE$11,[1]Opciones!$AQ:$AQ)</f>
        <v>#VALUE!</v>
      </c>
      <c r="AFF4" t="e">
        <f>+SUMIF([1]Cartera!$R:$R,$A4&amp;"_"&amp;AFF$11,[1]Cartera!$I:$I)+SUMIF([1]Futuros!$AD:$AD,$A4&amp;"_"&amp;AFF$11,[1]Futuros!$AK:$AK)+SUMIF([1]Opciones!$AF:$AF,$A4&amp;"_"&amp;AFF$11,[1]Opciones!$AQ:$AQ)</f>
        <v>#VALUE!</v>
      </c>
      <c r="AFG4" t="e">
        <f>+SUMIF([1]Cartera!$R:$R,$A4&amp;"_"&amp;AFG$11,[1]Cartera!$I:$I)+SUMIF([1]Futuros!$AD:$AD,$A4&amp;"_"&amp;AFG$11,[1]Futuros!$AK:$AK)+SUMIF([1]Opciones!$AF:$AF,$A4&amp;"_"&amp;AFG$11,[1]Opciones!$AQ:$AQ)</f>
        <v>#VALUE!</v>
      </c>
      <c r="AFH4" t="e">
        <f>+SUMIF([1]Cartera!$R:$R,$A4&amp;"_"&amp;AFH$11,[1]Cartera!$I:$I)+SUMIF([1]Futuros!$AD:$AD,$A4&amp;"_"&amp;AFH$11,[1]Futuros!$AK:$AK)+SUMIF([1]Opciones!$AF:$AF,$A4&amp;"_"&amp;AFH$11,[1]Opciones!$AQ:$AQ)</f>
        <v>#VALUE!</v>
      </c>
      <c r="AFI4" t="e">
        <f>+SUMIF([1]Cartera!$R:$R,$A4&amp;"_"&amp;AFI$11,[1]Cartera!$I:$I)+SUMIF([1]Futuros!$AD:$AD,$A4&amp;"_"&amp;AFI$11,[1]Futuros!$AK:$AK)+SUMIF([1]Opciones!$AF:$AF,$A4&amp;"_"&amp;AFI$11,[1]Opciones!$AQ:$AQ)</f>
        <v>#VALUE!</v>
      </c>
      <c r="AFJ4" t="e">
        <f>+SUMIF([1]Cartera!$R:$R,$A4&amp;"_"&amp;AFJ$11,[1]Cartera!$I:$I)+SUMIF([1]Futuros!$AD:$AD,$A4&amp;"_"&amp;AFJ$11,[1]Futuros!$AK:$AK)+SUMIF([1]Opciones!$AF:$AF,$A4&amp;"_"&amp;AFJ$11,[1]Opciones!$AQ:$AQ)</f>
        <v>#VALUE!</v>
      </c>
      <c r="AFK4" t="e">
        <f>+SUMIF([1]Cartera!$R:$R,$A4&amp;"_"&amp;AFK$11,[1]Cartera!$I:$I)+SUMIF([1]Futuros!$AD:$AD,$A4&amp;"_"&amp;AFK$11,[1]Futuros!$AK:$AK)+SUMIF([1]Opciones!$AF:$AF,$A4&amp;"_"&amp;AFK$11,[1]Opciones!$AQ:$AQ)</f>
        <v>#VALUE!</v>
      </c>
      <c r="AFL4" t="e">
        <f>+SUMIF([1]Cartera!$R:$R,$A4&amp;"_"&amp;AFL$11,[1]Cartera!$I:$I)+SUMIF([1]Futuros!$AD:$AD,$A4&amp;"_"&amp;AFL$11,[1]Futuros!$AK:$AK)+SUMIF([1]Opciones!$AF:$AF,$A4&amp;"_"&amp;AFL$11,[1]Opciones!$AQ:$AQ)</f>
        <v>#VALUE!</v>
      </c>
      <c r="AFM4" t="e">
        <f>+SUMIF([1]Cartera!$R:$R,$A4&amp;"_"&amp;AFM$11,[1]Cartera!$I:$I)+SUMIF([1]Futuros!$AD:$AD,$A4&amp;"_"&amp;AFM$11,[1]Futuros!$AK:$AK)+SUMIF([1]Opciones!$AF:$AF,$A4&amp;"_"&amp;AFM$11,[1]Opciones!$AQ:$AQ)</f>
        <v>#VALUE!</v>
      </c>
      <c r="AFN4" t="e">
        <f>+SUMIF([1]Cartera!$R:$R,$A4&amp;"_"&amp;AFN$11,[1]Cartera!$I:$I)+SUMIF([1]Futuros!$AD:$AD,$A4&amp;"_"&amp;AFN$11,[1]Futuros!$AK:$AK)+SUMIF([1]Opciones!$AF:$AF,$A4&amp;"_"&amp;AFN$11,[1]Opciones!$AQ:$AQ)</f>
        <v>#VALUE!</v>
      </c>
      <c r="AFO4" t="e">
        <f>+SUMIF([1]Cartera!$R:$R,$A4&amp;"_"&amp;AFO$11,[1]Cartera!$I:$I)+SUMIF([1]Futuros!$AD:$AD,$A4&amp;"_"&amp;AFO$11,[1]Futuros!$AK:$AK)+SUMIF([1]Opciones!$AF:$AF,$A4&amp;"_"&amp;AFO$11,[1]Opciones!$AQ:$AQ)</f>
        <v>#VALUE!</v>
      </c>
      <c r="AFP4" t="e">
        <f>+SUMIF([1]Cartera!$R:$R,$A4&amp;"_"&amp;AFP$11,[1]Cartera!$I:$I)+SUMIF([1]Futuros!$AD:$AD,$A4&amp;"_"&amp;AFP$11,[1]Futuros!$AK:$AK)+SUMIF([1]Opciones!$AF:$AF,$A4&amp;"_"&amp;AFP$11,[1]Opciones!$AQ:$AQ)</f>
        <v>#VALUE!</v>
      </c>
      <c r="AFQ4" t="e">
        <f>+SUMIF([1]Cartera!$R:$R,$A4&amp;"_"&amp;AFQ$11,[1]Cartera!$I:$I)+SUMIF([1]Futuros!$AD:$AD,$A4&amp;"_"&amp;AFQ$11,[1]Futuros!$AK:$AK)+SUMIF([1]Opciones!$AF:$AF,$A4&amp;"_"&amp;AFQ$11,[1]Opciones!$AQ:$AQ)</f>
        <v>#VALUE!</v>
      </c>
      <c r="AFR4" t="e">
        <f>+SUMIF([1]Cartera!$R:$R,$A4&amp;"_"&amp;AFR$11,[1]Cartera!$I:$I)+SUMIF([1]Futuros!$AD:$AD,$A4&amp;"_"&amp;AFR$11,[1]Futuros!$AK:$AK)+SUMIF([1]Opciones!$AF:$AF,$A4&amp;"_"&amp;AFR$11,[1]Opciones!$AQ:$AQ)</f>
        <v>#VALUE!</v>
      </c>
      <c r="AFS4" t="e">
        <f>+SUMIF([1]Cartera!$R:$R,$A4&amp;"_"&amp;AFS$11,[1]Cartera!$I:$I)+SUMIF([1]Futuros!$AD:$AD,$A4&amp;"_"&amp;AFS$11,[1]Futuros!$AK:$AK)+SUMIF([1]Opciones!$AF:$AF,$A4&amp;"_"&amp;AFS$11,[1]Opciones!$AQ:$AQ)</f>
        <v>#VALUE!</v>
      </c>
      <c r="AFT4" t="e">
        <f>+SUMIF([1]Cartera!$R:$R,$A4&amp;"_"&amp;AFT$11,[1]Cartera!$I:$I)+SUMIF([1]Futuros!$AD:$AD,$A4&amp;"_"&amp;AFT$11,[1]Futuros!$AK:$AK)+SUMIF([1]Opciones!$AF:$AF,$A4&amp;"_"&amp;AFT$11,[1]Opciones!$AQ:$AQ)</f>
        <v>#VALUE!</v>
      </c>
      <c r="AFU4" t="e">
        <f>+SUMIF([1]Cartera!$R:$R,$A4&amp;"_"&amp;AFU$11,[1]Cartera!$I:$I)+SUMIF([1]Futuros!$AD:$AD,$A4&amp;"_"&amp;AFU$11,[1]Futuros!$AK:$AK)+SUMIF([1]Opciones!$AF:$AF,$A4&amp;"_"&amp;AFU$11,[1]Opciones!$AQ:$AQ)</f>
        <v>#VALUE!</v>
      </c>
      <c r="AFV4" t="e">
        <f>+SUMIF([1]Cartera!$R:$R,$A4&amp;"_"&amp;AFV$11,[1]Cartera!$I:$I)+SUMIF([1]Futuros!$AD:$AD,$A4&amp;"_"&amp;AFV$11,[1]Futuros!$AK:$AK)+SUMIF([1]Opciones!$AF:$AF,$A4&amp;"_"&amp;AFV$11,[1]Opciones!$AQ:$AQ)</f>
        <v>#VALUE!</v>
      </c>
      <c r="AFW4" t="e">
        <f>+SUMIF([1]Cartera!$R:$R,$A4&amp;"_"&amp;AFW$11,[1]Cartera!$I:$I)+SUMIF([1]Futuros!$AD:$AD,$A4&amp;"_"&amp;AFW$11,[1]Futuros!$AK:$AK)+SUMIF([1]Opciones!$AF:$AF,$A4&amp;"_"&amp;AFW$11,[1]Opciones!$AQ:$AQ)</f>
        <v>#VALUE!</v>
      </c>
      <c r="AFX4" t="e">
        <f>+SUMIF([1]Cartera!$R:$R,$A4&amp;"_"&amp;AFX$11,[1]Cartera!$I:$I)+SUMIF([1]Futuros!$AD:$AD,$A4&amp;"_"&amp;AFX$11,[1]Futuros!$AK:$AK)+SUMIF([1]Opciones!$AF:$AF,$A4&amp;"_"&amp;AFX$11,[1]Opciones!$AQ:$AQ)</f>
        <v>#VALUE!</v>
      </c>
      <c r="AFY4" t="e">
        <f>+SUMIF([1]Cartera!$R:$R,$A4&amp;"_"&amp;AFY$11,[1]Cartera!$I:$I)+SUMIF([1]Futuros!$AD:$AD,$A4&amp;"_"&amp;AFY$11,[1]Futuros!$AK:$AK)+SUMIF([1]Opciones!$AF:$AF,$A4&amp;"_"&amp;AFY$11,[1]Opciones!$AQ:$AQ)</f>
        <v>#VALUE!</v>
      </c>
      <c r="AFZ4" t="e">
        <f>+SUMIF([1]Cartera!$R:$R,$A4&amp;"_"&amp;AFZ$11,[1]Cartera!$I:$I)+SUMIF([1]Futuros!$AD:$AD,$A4&amp;"_"&amp;AFZ$11,[1]Futuros!$AK:$AK)+SUMIF([1]Opciones!$AF:$AF,$A4&amp;"_"&amp;AFZ$11,[1]Opciones!$AQ:$AQ)</f>
        <v>#VALUE!</v>
      </c>
      <c r="AGA4" t="e">
        <f>+SUMIF([1]Cartera!$R:$R,$A4&amp;"_"&amp;AGA$11,[1]Cartera!$I:$I)+SUMIF([1]Futuros!$AD:$AD,$A4&amp;"_"&amp;AGA$11,[1]Futuros!$AK:$AK)+SUMIF([1]Opciones!$AF:$AF,$A4&amp;"_"&amp;AGA$11,[1]Opciones!$AQ:$AQ)</f>
        <v>#VALUE!</v>
      </c>
      <c r="AGB4" t="e">
        <f>+SUMIF([1]Cartera!$R:$R,$A4&amp;"_"&amp;AGB$11,[1]Cartera!$I:$I)+SUMIF([1]Futuros!$AD:$AD,$A4&amp;"_"&amp;AGB$11,[1]Futuros!$AK:$AK)+SUMIF([1]Opciones!$AF:$AF,$A4&amp;"_"&amp;AGB$11,[1]Opciones!$AQ:$AQ)</f>
        <v>#VALUE!</v>
      </c>
      <c r="AGC4" t="e">
        <f>+SUMIF([1]Cartera!$R:$R,$A4&amp;"_"&amp;AGC$11,[1]Cartera!$I:$I)+SUMIF([1]Futuros!$AD:$AD,$A4&amp;"_"&amp;AGC$11,[1]Futuros!$AK:$AK)+SUMIF([1]Opciones!$AF:$AF,$A4&amp;"_"&amp;AGC$11,[1]Opciones!$AQ:$AQ)</f>
        <v>#VALUE!</v>
      </c>
      <c r="AGD4" t="e">
        <f>+SUMIF([1]Cartera!$R:$R,$A4&amp;"_"&amp;AGD$11,[1]Cartera!$I:$I)+SUMIF([1]Futuros!$AD:$AD,$A4&amp;"_"&amp;AGD$11,[1]Futuros!$AK:$AK)+SUMIF([1]Opciones!$AF:$AF,$A4&amp;"_"&amp;AGD$11,[1]Opciones!$AQ:$AQ)</f>
        <v>#VALUE!</v>
      </c>
      <c r="AGE4" t="e">
        <f>+SUMIF([1]Cartera!$R:$R,$A4&amp;"_"&amp;AGE$11,[1]Cartera!$I:$I)+SUMIF([1]Futuros!$AD:$AD,$A4&amp;"_"&amp;AGE$11,[1]Futuros!$AK:$AK)+SUMIF([1]Opciones!$AF:$AF,$A4&amp;"_"&amp;AGE$11,[1]Opciones!$AQ:$AQ)</f>
        <v>#VALUE!</v>
      </c>
      <c r="AGF4" t="e">
        <f>+SUMIF([1]Cartera!$R:$R,$A4&amp;"_"&amp;AGF$11,[1]Cartera!$I:$I)+SUMIF([1]Futuros!$AD:$AD,$A4&amp;"_"&amp;AGF$11,[1]Futuros!$AK:$AK)+SUMIF([1]Opciones!$AF:$AF,$A4&amp;"_"&amp;AGF$11,[1]Opciones!$AQ:$AQ)</f>
        <v>#VALUE!</v>
      </c>
      <c r="AGG4" t="e">
        <f>+SUMIF([1]Cartera!$R:$R,$A4&amp;"_"&amp;AGG$11,[1]Cartera!$I:$I)+SUMIF([1]Futuros!$AD:$AD,$A4&amp;"_"&amp;AGG$11,[1]Futuros!$AK:$AK)+SUMIF([1]Opciones!$AF:$AF,$A4&amp;"_"&amp;AGG$11,[1]Opciones!$AQ:$AQ)</f>
        <v>#VALUE!</v>
      </c>
      <c r="AGH4" t="e">
        <f>+SUMIF([1]Cartera!$R:$R,$A4&amp;"_"&amp;AGH$11,[1]Cartera!$I:$I)+SUMIF([1]Futuros!$AD:$AD,$A4&amp;"_"&amp;AGH$11,[1]Futuros!$AK:$AK)+SUMIF([1]Opciones!$AF:$AF,$A4&amp;"_"&amp;AGH$11,[1]Opciones!$AQ:$AQ)</f>
        <v>#VALUE!</v>
      </c>
      <c r="AGI4" t="e">
        <f>+SUMIF([1]Cartera!$R:$R,$A4&amp;"_"&amp;AGI$11,[1]Cartera!$I:$I)+SUMIF([1]Futuros!$AD:$AD,$A4&amp;"_"&amp;AGI$11,[1]Futuros!$AK:$AK)+SUMIF([1]Opciones!$AF:$AF,$A4&amp;"_"&amp;AGI$11,[1]Opciones!$AQ:$AQ)</f>
        <v>#VALUE!</v>
      </c>
      <c r="AGJ4" t="e">
        <f>+SUMIF([1]Cartera!$R:$R,$A4&amp;"_"&amp;AGJ$11,[1]Cartera!$I:$I)+SUMIF([1]Futuros!$AD:$AD,$A4&amp;"_"&amp;AGJ$11,[1]Futuros!$AK:$AK)+SUMIF([1]Opciones!$AF:$AF,$A4&amp;"_"&amp;AGJ$11,[1]Opciones!$AQ:$AQ)</f>
        <v>#VALUE!</v>
      </c>
      <c r="AGK4" t="e">
        <f>+SUMIF([1]Cartera!$R:$R,$A4&amp;"_"&amp;AGK$11,[1]Cartera!$I:$I)+SUMIF([1]Futuros!$AD:$AD,$A4&amp;"_"&amp;AGK$11,[1]Futuros!$AK:$AK)+SUMIF([1]Opciones!$AF:$AF,$A4&amp;"_"&amp;AGK$11,[1]Opciones!$AQ:$AQ)</f>
        <v>#VALUE!</v>
      </c>
      <c r="AGL4" t="e">
        <f>+SUMIF([1]Cartera!$R:$R,$A4&amp;"_"&amp;AGL$11,[1]Cartera!$I:$I)+SUMIF([1]Futuros!$AD:$AD,$A4&amp;"_"&amp;AGL$11,[1]Futuros!$AK:$AK)+SUMIF([1]Opciones!$AF:$AF,$A4&amp;"_"&amp;AGL$11,[1]Opciones!$AQ:$AQ)</f>
        <v>#VALUE!</v>
      </c>
      <c r="AGM4" t="e">
        <f>+SUMIF([1]Cartera!$R:$R,$A4&amp;"_"&amp;AGM$11,[1]Cartera!$I:$I)+SUMIF([1]Futuros!$AD:$AD,$A4&amp;"_"&amp;AGM$11,[1]Futuros!$AK:$AK)+SUMIF([1]Opciones!$AF:$AF,$A4&amp;"_"&amp;AGM$11,[1]Opciones!$AQ:$AQ)</f>
        <v>#VALUE!</v>
      </c>
      <c r="AGN4" t="e">
        <f>+SUMIF([1]Cartera!$R:$R,$A4&amp;"_"&amp;AGN$11,[1]Cartera!$I:$I)+SUMIF([1]Futuros!$AD:$AD,$A4&amp;"_"&amp;AGN$11,[1]Futuros!$AK:$AK)+SUMIF([1]Opciones!$AF:$AF,$A4&amp;"_"&amp;AGN$11,[1]Opciones!$AQ:$AQ)</f>
        <v>#VALUE!</v>
      </c>
      <c r="AGO4" t="e">
        <f>+SUMIF([1]Cartera!$R:$R,$A4&amp;"_"&amp;AGO$11,[1]Cartera!$I:$I)+SUMIF([1]Futuros!$AD:$AD,$A4&amp;"_"&amp;AGO$11,[1]Futuros!$AK:$AK)+SUMIF([1]Opciones!$AF:$AF,$A4&amp;"_"&amp;AGO$11,[1]Opciones!$AQ:$AQ)</f>
        <v>#VALUE!</v>
      </c>
      <c r="AGP4" t="e">
        <f>+SUMIF([1]Cartera!$R:$R,$A4&amp;"_"&amp;AGP$11,[1]Cartera!$I:$I)+SUMIF([1]Futuros!$AD:$AD,$A4&amp;"_"&amp;AGP$11,[1]Futuros!$AK:$AK)+SUMIF([1]Opciones!$AF:$AF,$A4&amp;"_"&amp;AGP$11,[1]Opciones!$AQ:$AQ)</f>
        <v>#VALUE!</v>
      </c>
      <c r="AGQ4" t="e">
        <f>+SUMIF([1]Cartera!$R:$R,$A4&amp;"_"&amp;AGQ$11,[1]Cartera!$I:$I)+SUMIF([1]Futuros!$AD:$AD,$A4&amp;"_"&amp;AGQ$11,[1]Futuros!$AK:$AK)+SUMIF([1]Opciones!$AF:$AF,$A4&amp;"_"&amp;AGQ$11,[1]Opciones!$AQ:$AQ)</f>
        <v>#VALUE!</v>
      </c>
      <c r="AGR4" t="e">
        <f>+SUMIF([1]Cartera!$R:$R,$A4&amp;"_"&amp;AGR$11,[1]Cartera!$I:$I)+SUMIF([1]Futuros!$AD:$AD,$A4&amp;"_"&amp;AGR$11,[1]Futuros!$AK:$AK)+SUMIF([1]Opciones!$AF:$AF,$A4&amp;"_"&amp;AGR$11,[1]Opciones!$AQ:$AQ)</f>
        <v>#VALUE!</v>
      </c>
      <c r="AGS4" t="e">
        <f>+SUMIF([1]Cartera!$R:$R,$A4&amp;"_"&amp;AGS$11,[1]Cartera!$I:$I)+SUMIF([1]Futuros!$AD:$AD,$A4&amp;"_"&amp;AGS$11,[1]Futuros!$AK:$AK)+SUMIF([1]Opciones!$AF:$AF,$A4&amp;"_"&amp;AGS$11,[1]Opciones!$AQ:$AQ)</f>
        <v>#VALUE!</v>
      </c>
      <c r="AGT4" t="e">
        <f>+SUMIF([1]Cartera!$R:$R,$A4&amp;"_"&amp;AGT$11,[1]Cartera!$I:$I)+SUMIF([1]Futuros!$AD:$AD,$A4&amp;"_"&amp;AGT$11,[1]Futuros!$AK:$AK)+SUMIF([1]Opciones!$AF:$AF,$A4&amp;"_"&amp;AGT$11,[1]Opciones!$AQ:$AQ)</f>
        <v>#VALUE!</v>
      </c>
      <c r="AGU4" t="e">
        <f>+SUMIF([1]Cartera!$R:$R,$A4&amp;"_"&amp;AGU$11,[1]Cartera!$I:$I)+SUMIF([1]Futuros!$AD:$AD,$A4&amp;"_"&amp;AGU$11,[1]Futuros!$AK:$AK)+SUMIF([1]Opciones!$AF:$AF,$A4&amp;"_"&amp;AGU$11,[1]Opciones!$AQ:$AQ)</f>
        <v>#VALUE!</v>
      </c>
      <c r="AGV4" t="e">
        <f>+SUMIF([1]Cartera!$R:$R,$A4&amp;"_"&amp;AGV$11,[1]Cartera!$I:$I)+SUMIF([1]Futuros!$AD:$AD,$A4&amp;"_"&amp;AGV$11,[1]Futuros!$AK:$AK)+SUMIF([1]Opciones!$AF:$AF,$A4&amp;"_"&amp;AGV$11,[1]Opciones!$AQ:$AQ)</f>
        <v>#VALUE!</v>
      </c>
      <c r="AGW4" t="e">
        <f>+SUMIF([1]Cartera!$R:$R,$A4&amp;"_"&amp;AGW$11,[1]Cartera!$I:$I)+SUMIF([1]Futuros!$AD:$AD,$A4&amp;"_"&amp;AGW$11,[1]Futuros!$AK:$AK)+SUMIF([1]Opciones!$AF:$AF,$A4&amp;"_"&amp;AGW$11,[1]Opciones!$AQ:$AQ)</f>
        <v>#VALUE!</v>
      </c>
      <c r="AGX4" t="e">
        <f>+SUMIF([1]Cartera!$R:$R,$A4&amp;"_"&amp;AGX$11,[1]Cartera!$I:$I)+SUMIF([1]Futuros!$AD:$AD,$A4&amp;"_"&amp;AGX$11,[1]Futuros!$AK:$AK)+SUMIF([1]Opciones!$AF:$AF,$A4&amp;"_"&amp;AGX$11,[1]Opciones!$AQ:$AQ)</f>
        <v>#VALUE!</v>
      </c>
      <c r="AGY4" t="e">
        <f>+SUMIF([1]Cartera!$R:$R,$A4&amp;"_"&amp;AGY$11,[1]Cartera!$I:$I)+SUMIF([1]Futuros!$AD:$AD,$A4&amp;"_"&amp;AGY$11,[1]Futuros!$AK:$AK)+SUMIF([1]Opciones!$AF:$AF,$A4&amp;"_"&amp;AGY$11,[1]Opciones!$AQ:$AQ)</f>
        <v>#VALUE!</v>
      </c>
      <c r="AGZ4" t="e">
        <f>+SUMIF([1]Cartera!$R:$R,$A4&amp;"_"&amp;AGZ$11,[1]Cartera!$I:$I)+SUMIF([1]Futuros!$AD:$AD,$A4&amp;"_"&amp;AGZ$11,[1]Futuros!$AK:$AK)+SUMIF([1]Opciones!$AF:$AF,$A4&amp;"_"&amp;AGZ$11,[1]Opciones!$AQ:$AQ)</f>
        <v>#VALUE!</v>
      </c>
      <c r="AHA4" t="e">
        <f>+SUMIF([1]Cartera!$R:$R,$A4&amp;"_"&amp;AHA$11,[1]Cartera!$I:$I)+SUMIF([1]Futuros!$AD:$AD,$A4&amp;"_"&amp;AHA$11,[1]Futuros!$AK:$AK)+SUMIF([1]Opciones!$AF:$AF,$A4&amp;"_"&amp;AHA$11,[1]Opciones!$AQ:$AQ)</f>
        <v>#VALUE!</v>
      </c>
      <c r="AHB4" t="e">
        <f>+SUMIF([1]Cartera!$R:$R,$A4&amp;"_"&amp;AHB$11,[1]Cartera!$I:$I)+SUMIF([1]Futuros!$AD:$AD,$A4&amp;"_"&amp;AHB$11,[1]Futuros!$AK:$AK)+SUMIF([1]Opciones!$AF:$AF,$A4&amp;"_"&amp;AHB$11,[1]Opciones!$AQ:$AQ)</f>
        <v>#VALUE!</v>
      </c>
      <c r="AHC4" t="e">
        <f>+SUMIF([1]Cartera!$R:$R,$A4&amp;"_"&amp;AHC$11,[1]Cartera!$I:$I)+SUMIF([1]Futuros!$AD:$AD,$A4&amp;"_"&amp;AHC$11,[1]Futuros!$AK:$AK)+SUMIF([1]Opciones!$AF:$AF,$A4&amp;"_"&amp;AHC$11,[1]Opciones!$AQ:$AQ)</f>
        <v>#VALUE!</v>
      </c>
      <c r="AHD4" t="e">
        <f>+SUMIF([1]Cartera!$R:$R,$A4&amp;"_"&amp;AHD$11,[1]Cartera!$I:$I)+SUMIF([1]Futuros!$AD:$AD,$A4&amp;"_"&amp;AHD$11,[1]Futuros!$AK:$AK)+SUMIF([1]Opciones!$AF:$AF,$A4&amp;"_"&amp;AHD$11,[1]Opciones!$AQ:$AQ)</f>
        <v>#VALUE!</v>
      </c>
      <c r="AHE4" t="e">
        <f>+SUMIF([1]Cartera!$R:$R,$A4&amp;"_"&amp;AHE$11,[1]Cartera!$I:$I)+SUMIF([1]Futuros!$AD:$AD,$A4&amp;"_"&amp;AHE$11,[1]Futuros!$AK:$AK)+SUMIF([1]Opciones!$AF:$AF,$A4&amp;"_"&amp;AHE$11,[1]Opciones!$AQ:$AQ)</f>
        <v>#VALUE!</v>
      </c>
      <c r="AHF4" t="e">
        <f>+SUMIF([1]Cartera!$R:$R,$A4&amp;"_"&amp;AHF$11,[1]Cartera!$I:$I)+SUMIF([1]Futuros!$AD:$AD,$A4&amp;"_"&amp;AHF$11,[1]Futuros!$AK:$AK)+SUMIF([1]Opciones!$AF:$AF,$A4&amp;"_"&amp;AHF$11,[1]Opciones!$AQ:$AQ)</f>
        <v>#VALUE!</v>
      </c>
      <c r="AHG4" t="e">
        <f>+SUMIF([1]Cartera!$R:$R,$A4&amp;"_"&amp;AHG$11,[1]Cartera!$I:$I)+SUMIF([1]Futuros!$AD:$AD,$A4&amp;"_"&amp;AHG$11,[1]Futuros!$AK:$AK)+SUMIF([1]Opciones!$AF:$AF,$A4&amp;"_"&amp;AHG$11,[1]Opciones!$AQ:$AQ)</f>
        <v>#VALUE!</v>
      </c>
      <c r="AHH4" t="e">
        <f>+SUMIF([1]Cartera!$R:$R,$A4&amp;"_"&amp;AHH$11,[1]Cartera!$I:$I)+SUMIF([1]Futuros!$AD:$AD,$A4&amp;"_"&amp;AHH$11,[1]Futuros!$AK:$AK)+SUMIF([1]Opciones!$AF:$AF,$A4&amp;"_"&amp;AHH$11,[1]Opciones!$AQ:$AQ)</f>
        <v>#VALUE!</v>
      </c>
      <c r="AHI4" t="e">
        <f>+SUMIF([1]Cartera!$R:$R,$A4&amp;"_"&amp;AHI$11,[1]Cartera!$I:$I)+SUMIF([1]Futuros!$AD:$AD,$A4&amp;"_"&amp;AHI$11,[1]Futuros!$AK:$AK)+SUMIF([1]Opciones!$AF:$AF,$A4&amp;"_"&amp;AHI$11,[1]Opciones!$AQ:$AQ)</f>
        <v>#VALUE!</v>
      </c>
      <c r="AHJ4" t="e">
        <f>+SUMIF([1]Cartera!$R:$R,$A4&amp;"_"&amp;AHJ$11,[1]Cartera!$I:$I)+SUMIF([1]Futuros!$AD:$AD,$A4&amp;"_"&amp;AHJ$11,[1]Futuros!$AK:$AK)+SUMIF([1]Opciones!$AF:$AF,$A4&amp;"_"&amp;AHJ$11,[1]Opciones!$AQ:$AQ)</f>
        <v>#VALUE!</v>
      </c>
      <c r="AHK4" t="e">
        <f>+SUMIF([1]Cartera!$R:$R,$A4&amp;"_"&amp;AHK$11,[1]Cartera!$I:$I)+SUMIF([1]Futuros!$AD:$AD,$A4&amp;"_"&amp;AHK$11,[1]Futuros!$AK:$AK)+SUMIF([1]Opciones!$AF:$AF,$A4&amp;"_"&amp;AHK$11,[1]Opciones!$AQ:$AQ)</f>
        <v>#VALUE!</v>
      </c>
      <c r="AHL4" t="e">
        <f>+SUMIF([1]Cartera!$R:$R,$A4&amp;"_"&amp;AHL$11,[1]Cartera!$I:$I)+SUMIF([1]Futuros!$AD:$AD,$A4&amp;"_"&amp;AHL$11,[1]Futuros!$AK:$AK)+SUMIF([1]Opciones!$AF:$AF,$A4&amp;"_"&amp;AHL$11,[1]Opciones!$AQ:$AQ)</f>
        <v>#VALUE!</v>
      </c>
      <c r="AHM4" t="e">
        <f>+SUMIF([1]Cartera!$R:$R,$A4&amp;"_"&amp;AHM$11,[1]Cartera!$I:$I)+SUMIF([1]Futuros!$AD:$AD,$A4&amp;"_"&amp;AHM$11,[1]Futuros!$AK:$AK)+SUMIF([1]Opciones!$AF:$AF,$A4&amp;"_"&amp;AHM$11,[1]Opciones!$AQ:$AQ)</f>
        <v>#VALUE!</v>
      </c>
      <c r="AHN4" t="e">
        <f>+SUMIF([1]Cartera!$R:$R,$A4&amp;"_"&amp;AHN$11,[1]Cartera!$I:$I)+SUMIF([1]Futuros!$AD:$AD,$A4&amp;"_"&amp;AHN$11,[1]Futuros!$AK:$AK)+SUMIF([1]Opciones!$AF:$AF,$A4&amp;"_"&amp;AHN$11,[1]Opciones!$AQ:$AQ)</f>
        <v>#VALUE!</v>
      </c>
      <c r="AHO4" t="e">
        <f>+SUMIF([1]Cartera!$R:$R,$A4&amp;"_"&amp;AHO$11,[1]Cartera!$I:$I)+SUMIF([1]Futuros!$AD:$AD,$A4&amp;"_"&amp;AHO$11,[1]Futuros!$AK:$AK)+SUMIF([1]Opciones!$AF:$AF,$A4&amp;"_"&amp;AHO$11,[1]Opciones!$AQ:$AQ)</f>
        <v>#VALUE!</v>
      </c>
      <c r="AHP4" t="e">
        <f>+SUMIF([1]Cartera!$R:$R,$A4&amp;"_"&amp;AHP$11,[1]Cartera!$I:$I)+SUMIF([1]Futuros!$AD:$AD,$A4&amp;"_"&amp;AHP$11,[1]Futuros!$AK:$AK)+SUMIF([1]Opciones!$AF:$AF,$A4&amp;"_"&amp;AHP$11,[1]Opciones!$AQ:$AQ)</f>
        <v>#VALUE!</v>
      </c>
      <c r="AHQ4" t="e">
        <f>+SUMIF([1]Cartera!$R:$R,$A4&amp;"_"&amp;AHQ$11,[1]Cartera!$I:$I)+SUMIF([1]Futuros!$AD:$AD,$A4&amp;"_"&amp;AHQ$11,[1]Futuros!$AK:$AK)+SUMIF([1]Opciones!$AF:$AF,$A4&amp;"_"&amp;AHQ$11,[1]Opciones!$AQ:$AQ)</f>
        <v>#VALUE!</v>
      </c>
      <c r="AHR4" t="e">
        <f>+SUMIF([1]Cartera!$R:$R,$A4&amp;"_"&amp;AHR$11,[1]Cartera!$I:$I)+SUMIF([1]Futuros!$AD:$AD,$A4&amp;"_"&amp;AHR$11,[1]Futuros!$AK:$AK)+SUMIF([1]Opciones!$AF:$AF,$A4&amp;"_"&amp;AHR$11,[1]Opciones!$AQ:$AQ)</f>
        <v>#VALUE!</v>
      </c>
      <c r="AHS4" t="e">
        <f>+SUMIF([1]Cartera!$R:$R,$A4&amp;"_"&amp;AHS$11,[1]Cartera!$I:$I)+SUMIF([1]Futuros!$AD:$AD,$A4&amp;"_"&amp;AHS$11,[1]Futuros!$AK:$AK)+SUMIF([1]Opciones!$AF:$AF,$A4&amp;"_"&amp;AHS$11,[1]Opciones!$AQ:$AQ)</f>
        <v>#VALUE!</v>
      </c>
      <c r="AHT4" t="e">
        <f>+SUMIF([1]Cartera!$R:$R,$A4&amp;"_"&amp;AHT$11,[1]Cartera!$I:$I)+SUMIF([1]Futuros!$AD:$AD,$A4&amp;"_"&amp;AHT$11,[1]Futuros!$AK:$AK)+SUMIF([1]Opciones!$AF:$AF,$A4&amp;"_"&amp;AHT$11,[1]Opciones!$AQ:$AQ)</f>
        <v>#VALUE!</v>
      </c>
      <c r="AHU4" t="e">
        <f>+SUMIF([1]Cartera!$R:$R,$A4&amp;"_"&amp;AHU$11,[1]Cartera!$I:$I)+SUMIF([1]Futuros!$AD:$AD,$A4&amp;"_"&amp;AHU$11,[1]Futuros!$AK:$AK)+SUMIF([1]Opciones!$AF:$AF,$A4&amp;"_"&amp;AHU$11,[1]Opciones!$AQ:$AQ)</f>
        <v>#VALUE!</v>
      </c>
      <c r="AHV4" t="e">
        <f>+SUMIF([1]Cartera!$R:$R,$A4&amp;"_"&amp;AHV$11,[1]Cartera!$I:$I)+SUMIF([1]Futuros!$AD:$AD,$A4&amp;"_"&amp;AHV$11,[1]Futuros!$AK:$AK)+SUMIF([1]Opciones!$AF:$AF,$A4&amp;"_"&amp;AHV$11,[1]Opciones!$AQ:$AQ)</f>
        <v>#VALUE!</v>
      </c>
      <c r="AHW4" t="e">
        <f>+SUMIF([1]Cartera!$R:$R,$A4&amp;"_"&amp;AHW$11,[1]Cartera!$I:$I)+SUMIF([1]Futuros!$AD:$AD,$A4&amp;"_"&amp;AHW$11,[1]Futuros!$AK:$AK)+SUMIF([1]Opciones!$AF:$AF,$A4&amp;"_"&amp;AHW$11,[1]Opciones!$AQ:$AQ)</f>
        <v>#VALUE!</v>
      </c>
      <c r="AHX4" t="e">
        <f>+SUMIF([1]Cartera!$R:$R,$A4&amp;"_"&amp;AHX$11,[1]Cartera!$I:$I)+SUMIF([1]Futuros!$AD:$AD,$A4&amp;"_"&amp;AHX$11,[1]Futuros!$AK:$AK)+SUMIF([1]Opciones!$AF:$AF,$A4&amp;"_"&amp;AHX$11,[1]Opciones!$AQ:$AQ)</f>
        <v>#VALUE!</v>
      </c>
      <c r="AHY4" t="e">
        <f>+SUMIF([1]Cartera!$R:$R,$A4&amp;"_"&amp;AHY$11,[1]Cartera!$I:$I)+SUMIF([1]Futuros!$AD:$AD,$A4&amp;"_"&amp;AHY$11,[1]Futuros!$AK:$AK)+SUMIF([1]Opciones!$AF:$AF,$A4&amp;"_"&amp;AHY$11,[1]Opciones!$AQ:$AQ)</f>
        <v>#VALUE!</v>
      </c>
      <c r="AHZ4" t="e">
        <f>+SUMIF([1]Cartera!$R:$R,$A4&amp;"_"&amp;AHZ$11,[1]Cartera!$I:$I)+SUMIF([1]Futuros!$AD:$AD,$A4&amp;"_"&amp;AHZ$11,[1]Futuros!$AK:$AK)+SUMIF([1]Opciones!$AF:$AF,$A4&amp;"_"&amp;AHZ$11,[1]Opciones!$AQ:$AQ)</f>
        <v>#VALUE!</v>
      </c>
      <c r="AIA4" t="e">
        <f>+SUMIF([1]Cartera!$R:$R,$A4&amp;"_"&amp;AIA$11,[1]Cartera!$I:$I)+SUMIF([1]Futuros!$AD:$AD,$A4&amp;"_"&amp;AIA$11,[1]Futuros!$AK:$AK)+SUMIF([1]Opciones!$AF:$AF,$A4&amp;"_"&amp;AIA$11,[1]Opciones!$AQ:$AQ)</f>
        <v>#VALUE!</v>
      </c>
      <c r="AIB4" t="e">
        <f>+SUMIF([1]Cartera!$R:$R,$A4&amp;"_"&amp;AIB$11,[1]Cartera!$I:$I)+SUMIF([1]Futuros!$AD:$AD,$A4&amp;"_"&amp;AIB$11,[1]Futuros!$AK:$AK)+SUMIF([1]Opciones!$AF:$AF,$A4&amp;"_"&amp;AIB$11,[1]Opciones!$AQ:$AQ)</f>
        <v>#VALUE!</v>
      </c>
      <c r="AIC4" t="e">
        <f>+SUMIF([1]Cartera!$R:$R,$A4&amp;"_"&amp;AIC$11,[1]Cartera!$I:$I)+SUMIF([1]Futuros!$AD:$AD,$A4&amp;"_"&amp;AIC$11,[1]Futuros!$AK:$AK)+SUMIF([1]Opciones!$AF:$AF,$A4&amp;"_"&amp;AIC$11,[1]Opciones!$AQ:$AQ)</f>
        <v>#VALUE!</v>
      </c>
      <c r="AID4" t="e">
        <f>+SUMIF([1]Cartera!$R:$R,$A4&amp;"_"&amp;AID$11,[1]Cartera!$I:$I)+SUMIF([1]Futuros!$AD:$AD,$A4&amp;"_"&amp;AID$11,[1]Futuros!$AK:$AK)+SUMIF([1]Opciones!$AF:$AF,$A4&amp;"_"&amp;AID$11,[1]Opciones!$AQ:$AQ)</f>
        <v>#VALUE!</v>
      </c>
      <c r="AIE4" t="e">
        <f>+SUMIF([1]Cartera!$R:$R,$A4&amp;"_"&amp;AIE$11,[1]Cartera!$I:$I)+SUMIF([1]Futuros!$AD:$AD,$A4&amp;"_"&amp;AIE$11,[1]Futuros!$AK:$AK)+SUMIF([1]Opciones!$AF:$AF,$A4&amp;"_"&amp;AIE$11,[1]Opciones!$AQ:$AQ)</f>
        <v>#VALUE!</v>
      </c>
      <c r="AIF4" t="e">
        <f>+SUMIF([1]Cartera!$R:$R,$A4&amp;"_"&amp;AIF$11,[1]Cartera!$I:$I)+SUMIF([1]Futuros!$AD:$AD,$A4&amp;"_"&amp;AIF$11,[1]Futuros!$AK:$AK)+SUMIF([1]Opciones!$AF:$AF,$A4&amp;"_"&amp;AIF$11,[1]Opciones!$AQ:$AQ)</f>
        <v>#VALUE!</v>
      </c>
      <c r="AIG4" t="e">
        <f>+SUMIF([1]Cartera!$R:$R,$A4&amp;"_"&amp;AIG$11,[1]Cartera!$I:$I)+SUMIF([1]Futuros!$AD:$AD,$A4&amp;"_"&amp;AIG$11,[1]Futuros!$AK:$AK)+SUMIF([1]Opciones!$AF:$AF,$A4&amp;"_"&amp;AIG$11,[1]Opciones!$AQ:$AQ)</f>
        <v>#VALUE!</v>
      </c>
      <c r="AIH4" t="e">
        <f>+SUMIF([1]Cartera!$R:$R,$A4&amp;"_"&amp;AIH$11,[1]Cartera!$I:$I)+SUMIF([1]Futuros!$AD:$AD,$A4&amp;"_"&amp;AIH$11,[1]Futuros!$AK:$AK)+SUMIF([1]Opciones!$AF:$AF,$A4&amp;"_"&amp;AIH$11,[1]Opciones!$AQ:$AQ)</f>
        <v>#VALUE!</v>
      </c>
      <c r="AII4" t="e">
        <f>+SUMIF([1]Cartera!$R:$R,$A4&amp;"_"&amp;AII$11,[1]Cartera!$I:$I)+SUMIF([1]Futuros!$AD:$AD,$A4&amp;"_"&amp;AII$11,[1]Futuros!$AK:$AK)+SUMIF([1]Opciones!$AF:$AF,$A4&amp;"_"&amp;AII$11,[1]Opciones!$AQ:$AQ)</f>
        <v>#VALUE!</v>
      </c>
      <c r="AIJ4" t="e">
        <f>+SUMIF([1]Cartera!$R:$R,$A4&amp;"_"&amp;AIJ$11,[1]Cartera!$I:$I)+SUMIF([1]Futuros!$AD:$AD,$A4&amp;"_"&amp;AIJ$11,[1]Futuros!$AK:$AK)+SUMIF([1]Opciones!$AF:$AF,$A4&amp;"_"&amp;AIJ$11,[1]Opciones!$AQ:$AQ)</f>
        <v>#VALUE!</v>
      </c>
      <c r="AIK4" t="e">
        <f>+SUMIF([1]Cartera!$R:$R,$A4&amp;"_"&amp;AIK$11,[1]Cartera!$I:$I)+SUMIF([1]Futuros!$AD:$AD,$A4&amp;"_"&amp;AIK$11,[1]Futuros!$AK:$AK)+SUMIF([1]Opciones!$AF:$AF,$A4&amp;"_"&amp;AIK$11,[1]Opciones!$AQ:$AQ)</f>
        <v>#VALUE!</v>
      </c>
      <c r="AIL4" t="e">
        <f>+SUMIF([1]Cartera!$R:$R,$A4&amp;"_"&amp;AIL$11,[1]Cartera!$I:$I)+SUMIF([1]Futuros!$AD:$AD,$A4&amp;"_"&amp;AIL$11,[1]Futuros!$AK:$AK)+SUMIF([1]Opciones!$AF:$AF,$A4&amp;"_"&amp;AIL$11,[1]Opciones!$AQ:$AQ)</f>
        <v>#VALUE!</v>
      </c>
      <c r="AIM4" t="e">
        <f>+SUMIF([1]Cartera!$R:$R,$A4&amp;"_"&amp;AIM$11,[1]Cartera!$I:$I)+SUMIF([1]Futuros!$AD:$AD,$A4&amp;"_"&amp;AIM$11,[1]Futuros!$AK:$AK)+SUMIF([1]Opciones!$AF:$AF,$A4&amp;"_"&amp;AIM$11,[1]Opciones!$AQ:$AQ)</f>
        <v>#VALUE!</v>
      </c>
      <c r="AIN4" t="e">
        <f>+SUMIF([1]Cartera!$R:$R,$A4&amp;"_"&amp;AIN$11,[1]Cartera!$I:$I)+SUMIF([1]Futuros!$AD:$AD,$A4&amp;"_"&amp;AIN$11,[1]Futuros!$AK:$AK)+SUMIF([1]Opciones!$AF:$AF,$A4&amp;"_"&amp;AIN$11,[1]Opciones!$AQ:$AQ)</f>
        <v>#VALUE!</v>
      </c>
      <c r="AIO4" t="e">
        <f>+SUMIF([1]Cartera!$R:$R,$A4&amp;"_"&amp;AIO$11,[1]Cartera!$I:$I)+SUMIF([1]Futuros!$AD:$AD,$A4&amp;"_"&amp;AIO$11,[1]Futuros!$AK:$AK)+SUMIF([1]Opciones!$AF:$AF,$A4&amp;"_"&amp;AIO$11,[1]Opciones!$AQ:$AQ)</f>
        <v>#VALUE!</v>
      </c>
      <c r="AIP4" t="e">
        <f>+SUMIF([1]Cartera!$R:$R,$A4&amp;"_"&amp;AIP$11,[1]Cartera!$I:$I)+SUMIF([1]Futuros!$AD:$AD,$A4&amp;"_"&amp;AIP$11,[1]Futuros!$AK:$AK)+SUMIF([1]Opciones!$AF:$AF,$A4&amp;"_"&amp;AIP$11,[1]Opciones!$AQ:$AQ)</f>
        <v>#VALUE!</v>
      </c>
      <c r="AIQ4" t="e">
        <f>+SUMIF([1]Cartera!$R:$R,$A4&amp;"_"&amp;AIQ$11,[1]Cartera!$I:$I)+SUMIF([1]Futuros!$AD:$AD,$A4&amp;"_"&amp;AIQ$11,[1]Futuros!$AK:$AK)+SUMIF([1]Opciones!$AF:$AF,$A4&amp;"_"&amp;AIQ$11,[1]Opciones!$AQ:$AQ)</f>
        <v>#VALUE!</v>
      </c>
      <c r="AIR4" s="2" t="e">
        <f>+SUMIF([1]Cartera!$R:$R,$A4&amp;"_"&amp;AIR$11,[1]Cartera!$I:$I)+SUMIF([1]Futuros!$AD:$AD,$A4&amp;"_"&amp;AIR$11,[1]Futuros!$AK:$AK)+SUMIF([1]Opciones!$AF:$AF,$A4&amp;"_"&amp;AIR$11,[1]Opciones!$AQ:$AQ)</f>
        <v>#VALUE!</v>
      </c>
      <c r="AIS4" t="e">
        <f>+SUMIF([1]Cartera!$R:$R,$A4&amp;"_"&amp;AIS$11,[1]Cartera!$I:$I)+SUMIF([1]Futuros!$AD:$AD,$A4&amp;"_"&amp;AIS$11,[1]Futuros!$AK:$AK)+SUMIF([1]Opciones!$AF:$AF,$A4&amp;"_"&amp;AIS$11,[1]Opciones!$AQ:$AQ)</f>
        <v>#VALUE!</v>
      </c>
      <c r="AIT4" t="e">
        <f>+SUMIF([1]Cartera!$R:$R,$A4&amp;"_"&amp;AIT$11,[1]Cartera!$I:$I)+SUMIF([1]Futuros!$AD:$AD,$A4&amp;"_"&amp;AIT$11,[1]Futuros!$AK:$AK)+SUMIF([1]Opciones!$AF:$AF,$A4&amp;"_"&amp;AIT$11,[1]Opciones!$AQ:$AQ)</f>
        <v>#VALUE!</v>
      </c>
      <c r="AIU4" t="e">
        <f>+SUMIF([1]Cartera!$R:$R,$A4&amp;"_"&amp;AIU$11,[1]Cartera!$I:$I)+SUMIF([1]Futuros!$AD:$AD,$A4&amp;"_"&amp;AIU$11,[1]Futuros!$AK:$AK)+SUMIF([1]Opciones!$AF:$AF,$A4&amp;"_"&amp;AIU$11,[1]Opciones!$AQ:$AQ)</f>
        <v>#VALUE!</v>
      </c>
      <c r="AIV4" t="e">
        <f>+SUMIF([1]Cartera!$R:$R,$A4&amp;"_"&amp;AIV$11,[1]Cartera!$I:$I)+SUMIF([1]Futuros!$AD:$AD,$A4&amp;"_"&amp;AIV$11,[1]Futuros!$AK:$AK)+SUMIF([1]Opciones!$AF:$AF,$A4&amp;"_"&amp;AIV$11,[1]Opciones!$AQ:$AQ)</f>
        <v>#VALUE!</v>
      </c>
      <c r="AIW4" t="e">
        <f>+SUMIF([1]Cartera!$R:$R,$A4&amp;"_"&amp;AIW$11,[1]Cartera!$I:$I)+SUMIF([1]Futuros!$AD:$AD,$A4&amp;"_"&amp;AIW$11,[1]Futuros!$AK:$AK)+SUMIF([1]Opciones!$AF:$AF,$A4&amp;"_"&amp;AIW$11,[1]Opciones!$AQ:$AQ)</f>
        <v>#VALUE!</v>
      </c>
      <c r="AIX4" t="e">
        <f>+SUMIF([1]Cartera!$R:$R,$A4&amp;"_"&amp;AIX$11,[1]Cartera!$I:$I)+SUMIF([1]Futuros!$AD:$AD,$A4&amp;"_"&amp;AIX$11,[1]Futuros!$AK:$AK)+SUMIF([1]Opciones!$AF:$AF,$A4&amp;"_"&amp;AIX$11,[1]Opciones!$AQ:$AQ)</f>
        <v>#VALUE!</v>
      </c>
      <c r="AIY4" t="e">
        <f>+SUMIF([1]Cartera!$R:$R,$A4&amp;"_"&amp;AIY$11,[1]Cartera!$I:$I)+SUMIF([1]Futuros!$AD:$AD,$A4&amp;"_"&amp;AIY$11,[1]Futuros!$AK:$AK)+SUMIF([1]Opciones!$AF:$AF,$A4&amp;"_"&amp;AIY$11,[1]Opciones!$AQ:$AQ)</f>
        <v>#VALUE!</v>
      </c>
      <c r="AIZ4" t="e">
        <f>+SUMIF([1]Cartera!$R:$R,$A4&amp;"_"&amp;AIZ$11,[1]Cartera!$I:$I)+SUMIF([1]Futuros!$AD:$AD,$A4&amp;"_"&amp;AIZ$11,[1]Futuros!$AK:$AK)+SUMIF([1]Opciones!$AF:$AF,$A4&amp;"_"&amp;AIZ$11,[1]Opciones!$AQ:$AQ)</f>
        <v>#VALUE!</v>
      </c>
      <c r="AJA4" t="e">
        <f>+SUMIF([1]Cartera!$R:$R,$A4&amp;"_"&amp;AJA$11,[1]Cartera!$I:$I)+SUMIF([1]Futuros!$AD:$AD,$A4&amp;"_"&amp;AJA$11,[1]Futuros!$AK:$AK)+SUMIF([1]Opciones!$AF:$AF,$A4&amp;"_"&amp;AJA$11,[1]Opciones!$AQ:$AQ)</f>
        <v>#VALUE!</v>
      </c>
      <c r="AJB4" t="e">
        <f>+SUMIF([1]Cartera!$R:$R,$A4&amp;"_"&amp;AJB$11,[1]Cartera!$I:$I)+SUMIF([1]Futuros!$AD:$AD,$A4&amp;"_"&amp;AJB$11,[1]Futuros!$AK:$AK)+SUMIF([1]Opciones!$AF:$AF,$A4&amp;"_"&amp;AJB$11,[1]Opciones!$AQ:$AQ)</f>
        <v>#VALUE!</v>
      </c>
      <c r="AJC4" t="e">
        <f>+SUMIF([1]Cartera!$R:$R,$A4&amp;"_"&amp;AJC$11,[1]Cartera!$I:$I)+SUMIF([1]Futuros!$AD:$AD,$A4&amp;"_"&amp;AJC$11,[1]Futuros!$AK:$AK)+SUMIF([1]Opciones!$AF:$AF,$A4&amp;"_"&amp;AJC$11,[1]Opciones!$AQ:$AQ)</f>
        <v>#VALUE!</v>
      </c>
      <c r="AJD4" t="e">
        <f>+SUMIF([1]Cartera!$R:$R,$A4&amp;"_"&amp;AJD$11,[1]Cartera!$I:$I)+SUMIF([1]Futuros!$AD:$AD,$A4&amp;"_"&amp;AJD$11,[1]Futuros!$AK:$AK)+SUMIF([1]Opciones!$AF:$AF,$A4&amp;"_"&amp;AJD$11,[1]Opciones!$AQ:$AQ)</f>
        <v>#VALUE!</v>
      </c>
      <c r="AJE4" t="e">
        <f>+SUMIF([1]Cartera!$R:$R,$A4&amp;"_"&amp;AJE$11,[1]Cartera!$I:$I)+SUMIF([1]Futuros!$AD:$AD,$A4&amp;"_"&amp;AJE$11,[1]Futuros!$AK:$AK)+SUMIF([1]Opciones!$AF:$AF,$A4&amp;"_"&amp;AJE$11,[1]Opciones!$AQ:$AQ)</f>
        <v>#VALUE!</v>
      </c>
      <c r="AJF4" t="e">
        <f>+SUMIF([1]Cartera!$R:$R,$A4&amp;"_"&amp;AJF$11,[1]Cartera!$I:$I)+SUMIF([1]Futuros!$AD:$AD,$A4&amp;"_"&amp;AJF$11,[1]Futuros!$AK:$AK)+SUMIF([1]Opciones!$AF:$AF,$A4&amp;"_"&amp;AJF$11,[1]Opciones!$AQ:$AQ)</f>
        <v>#VALUE!</v>
      </c>
      <c r="AJG4" t="e">
        <f>+SUMIF([1]Cartera!$R:$R,$A4&amp;"_"&amp;AJG$11,[1]Cartera!$I:$I)+SUMIF([1]Futuros!$AD:$AD,$A4&amp;"_"&amp;AJG$11,[1]Futuros!$AK:$AK)+SUMIF([1]Opciones!$AF:$AF,$A4&amp;"_"&amp;AJG$11,[1]Opciones!$AQ:$AQ)</f>
        <v>#VALUE!</v>
      </c>
      <c r="AJH4" t="e">
        <f>+SUMIF([1]Cartera!$R:$R,$A4&amp;"_"&amp;AJH$11,[1]Cartera!$I:$I)+SUMIF([1]Futuros!$AD:$AD,$A4&amp;"_"&amp;AJH$11,[1]Futuros!$AK:$AK)+SUMIF([1]Opciones!$AF:$AF,$A4&amp;"_"&amp;AJH$11,[1]Opciones!$AQ:$AQ)</f>
        <v>#VALUE!</v>
      </c>
      <c r="AJI4" t="e">
        <f>+SUMIF([1]Cartera!$R:$R,$A4&amp;"_"&amp;AJI$11,[1]Cartera!$I:$I)+SUMIF([1]Futuros!$AD:$AD,$A4&amp;"_"&amp;AJI$11,[1]Futuros!$AK:$AK)+SUMIF([1]Opciones!$AF:$AF,$A4&amp;"_"&amp;AJI$11,[1]Opciones!$AQ:$AQ)</f>
        <v>#VALUE!</v>
      </c>
      <c r="AJJ4" t="e">
        <f>+SUMIF([1]Cartera!$R:$R,$A4&amp;"_"&amp;AJJ$11,[1]Cartera!$I:$I)+SUMIF([1]Futuros!$AD:$AD,$A4&amp;"_"&amp;AJJ$11,[1]Futuros!$AK:$AK)+SUMIF([1]Opciones!$AF:$AF,$A4&amp;"_"&amp;AJJ$11,[1]Opciones!$AQ:$AQ)</f>
        <v>#VALUE!</v>
      </c>
      <c r="AJK4" t="e">
        <f>+SUMIF([1]Cartera!$R:$R,$A4&amp;"_"&amp;AJK$11,[1]Cartera!$I:$I)+SUMIF([1]Futuros!$AD:$AD,$A4&amp;"_"&amp;AJK$11,[1]Futuros!$AK:$AK)+SUMIF([1]Opciones!$AF:$AF,$A4&amp;"_"&amp;AJK$11,[1]Opciones!$AQ:$AQ)</f>
        <v>#VALUE!</v>
      </c>
      <c r="AJL4" t="e">
        <f>+SUMIF([1]Cartera!$R:$R,$A4&amp;"_"&amp;AJL$11,[1]Cartera!$I:$I)+SUMIF([1]Futuros!$AD:$AD,$A4&amp;"_"&amp;AJL$11,[1]Futuros!$AK:$AK)+SUMIF([1]Opciones!$AF:$AF,$A4&amp;"_"&amp;AJL$11,[1]Opciones!$AQ:$AQ)</f>
        <v>#VALUE!</v>
      </c>
      <c r="AJM4" t="e">
        <f>+SUMIF([1]Cartera!$R:$R,$A4&amp;"_"&amp;AJM$11,[1]Cartera!$I:$I)+SUMIF([1]Futuros!$AD:$AD,$A4&amp;"_"&amp;AJM$11,[1]Futuros!$AK:$AK)+SUMIF([1]Opciones!$AF:$AF,$A4&amp;"_"&amp;AJM$11,[1]Opciones!$AQ:$AQ)</f>
        <v>#VALUE!</v>
      </c>
      <c r="AJN4" t="e">
        <f>+SUMIF([1]Cartera!$R:$R,$A4&amp;"_"&amp;AJN$11,[1]Cartera!$I:$I)+SUMIF([1]Futuros!$AD:$AD,$A4&amp;"_"&amp;AJN$11,[1]Futuros!$AK:$AK)+SUMIF([1]Opciones!$AF:$AF,$A4&amp;"_"&amp;AJN$11,[1]Opciones!$AQ:$AQ)</f>
        <v>#VALUE!</v>
      </c>
      <c r="AJO4" t="e">
        <f>+SUMIF([1]Cartera!$R:$R,$A4&amp;"_"&amp;AJO$11,[1]Cartera!$I:$I)+SUMIF([1]Futuros!$AD:$AD,$A4&amp;"_"&amp;AJO$11,[1]Futuros!$AK:$AK)+SUMIF([1]Opciones!$AF:$AF,$A4&amp;"_"&amp;AJO$11,[1]Opciones!$AQ:$AQ)</f>
        <v>#VALUE!</v>
      </c>
      <c r="AJP4" t="e">
        <f>+SUMIF([1]Cartera!$R:$R,$A4&amp;"_"&amp;AJP$11,[1]Cartera!$I:$I)+SUMIF([1]Futuros!$AD:$AD,$A4&amp;"_"&amp;AJP$11,[1]Futuros!$AK:$AK)+SUMIF([1]Opciones!$AF:$AF,$A4&amp;"_"&amp;AJP$11,[1]Opciones!$AQ:$AQ)</f>
        <v>#VALUE!</v>
      </c>
      <c r="AJQ4" t="e">
        <f>+SUMIF([1]Cartera!$R:$R,$A4&amp;"_"&amp;AJQ$11,[1]Cartera!$I:$I)+SUMIF([1]Futuros!$AD:$AD,$A4&amp;"_"&amp;AJQ$11,[1]Futuros!$AK:$AK)+SUMIF([1]Opciones!$AF:$AF,$A4&amp;"_"&amp;AJQ$11,[1]Opciones!$AQ:$AQ)</f>
        <v>#VALUE!</v>
      </c>
      <c r="AJR4" t="e">
        <f>+SUMIF([1]Cartera!$R:$R,$A4&amp;"_"&amp;AJR$11,[1]Cartera!$I:$I)+SUMIF([1]Futuros!$AD:$AD,$A4&amp;"_"&amp;AJR$11,[1]Futuros!$AK:$AK)+SUMIF([1]Opciones!$AF:$AF,$A4&amp;"_"&amp;AJR$11,[1]Opciones!$AQ:$AQ)</f>
        <v>#VALUE!</v>
      </c>
      <c r="AJS4" t="e">
        <f>+SUMIF([1]Cartera!$R:$R,$A4&amp;"_"&amp;AJS$11,[1]Cartera!$I:$I)+SUMIF([1]Futuros!$AD:$AD,$A4&amp;"_"&amp;AJS$11,[1]Futuros!$AK:$AK)+SUMIF([1]Opciones!$AF:$AF,$A4&amp;"_"&amp;AJS$11,[1]Opciones!$AQ:$AQ)</f>
        <v>#VALUE!</v>
      </c>
      <c r="AJT4" t="e">
        <f>+SUMIF([1]Cartera!$R:$R,$A4&amp;"_"&amp;AJT$11,[1]Cartera!$I:$I)+SUMIF([1]Futuros!$AD:$AD,$A4&amp;"_"&amp;AJT$11,[1]Futuros!$AK:$AK)+SUMIF([1]Opciones!$AF:$AF,$A4&amp;"_"&amp;AJT$11,[1]Opciones!$AQ:$AQ)</f>
        <v>#VALUE!</v>
      </c>
      <c r="AJU4" t="e">
        <f>+SUMIF([1]Cartera!$R:$R,$A4&amp;"_"&amp;AJU$11,[1]Cartera!$I:$I)+SUMIF([1]Futuros!$AD:$AD,$A4&amp;"_"&amp;AJU$11,[1]Futuros!$AK:$AK)+SUMIF([1]Opciones!$AF:$AF,$A4&amp;"_"&amp;AJU$11,[1]Opciones!$AQ:$AQ)</f>
        <v>#VALUE!</v>
      </c>
      <c r="AJV4" t="e">
        <f>+SUMIF([1]Cartera!$R:$R,$A4&amp;"_"&amp;AJV$11,[1]Cartera!$I:$I)+SUMIF([1]Futuros!$AD:$AD,$A4&amp;"_"&amp;AJV$11,[1]Futuros!$AK:$AK)+SUMIF([1]Opciones!$AF:$AF,$A4&amp;"_"&amp;AJV$11,[1]Opciones!$AQ:$AQ)</f>
        <v>#VALUE!</v>
      </c>
      <c r="AJW4" t="e">
        <f>+SUMIF([1]Cartera!$R:$R,$A4&amp;"_"&amp;AJW$11,[1]Cartera!$I:$I)+SUMIF([1]Futuros!$AD:$AD,$A4&amp;"_"&amp;AJW$11,[1]Futuros!$AK:$AK)+SUMIF([1]Opciones!$AF:$AF,$A4&amp;"_"&amp;AJW$11,[1]Opciones!$AQ:$AQ)</f>
        <v>#VALUE!</v>
      </c>
      <c r="AJX4" t="e">
        <f>+SUMIF([1]Cartera!$R:$R,$A4&amp;"_"&amp;AJX$11,[1]Cartera!$I:$I)+SUMIF([1]Futuros!$AD:$AD,$A4&amp;"_"&amp;AJX$11,[1]Futuros!$AK:$AK)+SUMIF([1]Opciones!$AF:$AF,$A4&amp;"_"&amp;AJX$11,[1]Opciones!$AQ:$AQ)</f>
        <v>#VALUE!</v>
      </c>
      <c r="AJY4" t="e">
        <f>+SUMIF([1]Cartera!$R:$R,$A4&amp;"_"&amp;AJY$11,[1]Cartera!$I:$I)+SUMIF([1]Futuros!$AD:$AD,$A4&amp;"_"&amp;AJY$11,[1]Futuros!$AK:$AK)+SUMIF([1]Opciones!$AF:$AF,$A4&amp;"_"&amp;AJY$11,[1]Opciones!$AQ:$AQ)</f>
        <v>#VALUE!</v>
      </c>
      <c r="AJZ4" t="e">
        <f>+SUMIF([1]Cartera!$R:$R,$A4&amp;"_"&amp;AJZ$11,[1]Cartera!$I:$I)+SUMIF([1]Futuros!$AD:$AD,$A4&amp;"_"&amp;AJZ$11,[1]Futuros!$AK:$AK)+SUMIF([1]Opciones!$AF:$AF,$A4&amp;"_"&amp;AJZ$11,[1]Opciones!$AQ:$AQ)</f>
        <v>#VALUE!</v>
      </c>
      <c r="AKA4" t="e">
        <f>+SUMIF([1]Cartera!$R:$R,$A4&amp;"_"&amp;AKA$11,[1]Cartera!$I:$I)+SUMIF([1]Futuros!$AD:$AD,$A4&amp;"_"&amp;AKA$11,[1]Futuros!$AK:$AK)+SUMIF([1]Opciones!$AF:$AF,$A4&amp;"_"&amp;AKA$11,[1]Opciones!$AQ:$AQ)</f>
        <v>#VALUE!</v>
      </c>
      <c r="AKB4" t="e">
        <f>+SUMIF([1]Cartera!$R:$R,$A4&amp;"_"&amp;AKB$11,[1]Cartera!$I:$I)+SUMIF([1]Futuros!$AD:$AD,$A4&amp;"_"&amp;AKB$11,[1]Futuros!$AK:$AK)+SUMIF([1]Opciones!$AF:$AF,$A4&amp;"_"&amp;AKB$11,[1]Opciones!$AQ:$AQ)</f>
        <v>#VALUE!</v>
      </c>
      <c r="AKC4" t="e">
        <f>+SUMIF([1]Cartera!$R:$R,$A4&amp;"_"&amp;AKC$11,[1]Cartera!$I:$I)+SUMIF([1]Futuros!$AD:$AD,$A4&amp;"_"&amp;AKC$11,[1]Futuros!$AK:$AK)+SUMIF([1]Opciones!$AF:$AF,$A4&amp;"_"&amp;AKC$11,[1]Opciones!$AQ:$AQ)</f>
        <v>#VALUE!</v>
      </c>
      <c r="AKD4" t="e">
        <f>+SUMIF([1]Cartera!$R:$R,$A4&amp;"_"&amp;AKD$11,[1]Cartera!$I:$I)+SUMIF([1]Futuros!$AD:$AD,$A4&amp;"_"&amp;AKD$11,[1]Futuros!$AK:$AK)+SUMIF([1]Opciones!$AF:$AF,$A4&amp;"_"&amp;AKD$11,[1]Opciones!$AQ:$AQ)</f>
        <v>#VALUE!</v>
      </c>
      <c r="AKE4" t="e">
        <f>+SUMIF([1]Cartera!$R:$R,$A4&amp;"_"&amp;AKE$11,[1]Cartera!$I:$I)+SUMIF([1]Futuros!$AD:$AD,$A4&amp;"_"&amp;AKE$11,[1]Futuros!$AK:$AK)+SUMIF([1]Opciones!$AF:$AF,$A4&amp;"_"&amp;AKE$11,[1]Opciones!$AQ:$AQ)</f>
        <v>#VALUE!</v>
      </c>
      <c r="AKF4" t="e">
        <f>+SUMIF([1]Cartera!$R:$R,$A4&amp;"_"&amp;AKF$11,[1]Cartera!$I:$I)+SUMIF([1]Futuros!$AD:$AD,$A4&amp;"_"&amp;AKF$11,[1]Futuros!$AK:$AK)+SUMIF([1]Opciones!$AF:$AF,$A4&amp;"_"&amp;AKF$11,[1]Opciones!$AQ:$AQ)</f>
        <v>#VALUE!</v>
      </c>
      <c r="AKG4" t="e">
        <f>+SUMIF([1]Cartera!$R:$R,$A4&amp;"_"&amp;AKG$11,[1]Cartera!$I:$I)+SUMIF([1]Futuros!$AD:$AD,$A4&amp;"_"&amp;AKG$11,[1]Futuros!$AK:$AK)+SUMIF([1]Opciones!$AF:$AF,$A4&amp;"_"&amp;AKG$11,[1]Opciones!$AQ:$AQ)</f>
        <v>#VALUE!</v>
      </c>
      <c r="AKH4" t="e">
        <f>+SUMIF([1]Cartera!$R:$R,$A4&amp;"_"&amp;AKH$11,[1]Cartera!$I:$I)+SUMIF([1]Futuros!$AD:$AD,$A4&amp;"_"&amp;AKH$11,[1]Futuros!$AK:$AK)+SUMIF([1]Opciones!$AF:$AF,$A4&amp;"_"&amp;AKH$11,[1]Opciones!$AQ:$AQ)</f>
        <v>#VALUE!</v>
      </c>
      <c r="AKI4" t="e">
        <f>+SUMIF([1]Cartera!$R:$R,$A4&amp;"_"&amp;AKI$11,[1]Cartera!$I:$I)+SUMIF([1]Futuros!$AD:$AD,$A4&amp;"_"&amp;AKI$11,[1]Futuros!$AK:$AK)+SUMIF([1]Opciones!$AF:$AF,$A4&amp;"_"&amp;AKI$11,[1]Opciones!$AQ:$AQ)</f>
        <v>#VALUE!</v>
      </c>
      <c r="AKJ4" t="e">
        <f>+SUMIF([1]Cartera!$R:$R,$A4&amp;"_"&amp;AKJ$11,[1]Cartera!$I:$I)+SUMIF([1]Futuros!$AD:$AD,$A4&amp;"_"&amp;AKJ$11,[1]Futuros!$AK:$AK)+SUMIF([1]Opciones!$AF:$AF,$A4&amp;"_"&amp;AKJ$11,[1]Opciones!$AQ:$AQ)</f>
        <v>#VALUE!</v>
      </c>
      <c r="AKK4" t="e">
        <f>+SUMIF([1]Cartera!$R:$R,$A4&amp;"_"&amp;AKK$11,[1]Cartera!$I:$I)+SUMIF([1]Futuros!$AD:$AD,$A4&amp;"_"&amp;AKK$11,[1]Futuros!$AK:$AK)+SUMIF([1]Opciones!$AF:$AF,$A4&amp;"_"&amp;AKK$11,[1]Opciones!$AQ:$AQ)</f>
        <v>#VALUE!</v>
      </c>
      <c r="AKL4" t="e">
        <f>+SUMIF([1]Cartera!$R:$R,$A4&amp;"_"&amp;AKL$11,[1]Cartera!$I:$I)+SUMIF([1]Futuros!$AD:$AD,$A4&amp;"_"&amp;AKL$11,[1]Futuros!$AK:$AK)+SUMIF([1]Opciones!$AF:$AF,$A4&amp;"_"&amp;AKL$11,[1]Opciones!$AQ:$AQ)</f>
        <v>#VALUE!</v>
      </c>
      <c r="AKM4" t="e">
        <f>+SUMIF([1]Cartera!$R:$R,$A4&amp;"_"&amp;AKM$11,[1]Cartera!$I:$I)+SUMIF([1]Futuros!$AD:$AD,$A4&amp;"_"&amp;AKM$11,[1]Futuros!$AK:$AK)+SUMIF([1]Opciones!$AF:$AF,$A4&amp;"_"&amp;AKM$11,[1]Opciones!$AQ:$AQ)</f>
        <v>#VALUE!</v>
      </c>
      <c r="AKN4" t="e">
        <f>+SUMIF([1]Cartera!$R:$R,$A4&amp;"_"&amp;AKN$11,[1]Cartera!$I:$I)+SUMIF([1]Futuros!$AD:$AD,$A4&amp;"_"&amp;AKN$11,[1]Futuros!$AK:$AK)+SUMIF([1]Opciones!$AF:$AF,$A4&amp;"_"&amp;AKN$11,[1]Opciones!$AQ:$AQ)</f>
        <v>#VALUE!</v>
      </c>
      <c r="AKO4" t="e">
        <f>+SUMIF([1]Cartera!$R:$R,$A4&amp;"_"&amp;AKO$11,[1]Cartera!$I:$I)+SUMIF([1]Futuros!$AD:$AD,$A4&amp;"_"&amp;AKO$11,[1]Futuros!$AK:$AK)+SUMIF([1]Opciones!$AF:$AF,$A4&amp;"_"&amp;AKO$11,[1]Opciones!$AQ:$AQ)</f>
        <v>#VALUE!</v>
      </c>
      <c r="AKP4" t="e">
        <f>+SUMIF([1]Cartera!$R:$R,$A4&amp;"_"&amp;AKP$11,[1]Cartera!$I:$I)+SUMIF([1]Futuros!$AD:$AD,$A4&amp;"_"&amp;AKP$11,[1]Futuros!$AK:$AK)+SUMIF([1]Opciones!$AF:$AF,$A4&amp;"_"&amp;AKP$11,[1]Opciones!$AQ:$AQ)</f>
        <v>#VALUE!</v>
      </c>
      <c r="AKQ4" t="e">
        <f>+SUMIF([1]Cartera!$R:$R,$A4&amp;"_"&amp;AKQ$11,[1]Cartera!$I:$I)+SUMIF([1]Futuros!$AD:$AD,$A4&amp;"_"&amp;AKQ$11,[1]Futuros!$AK:$AK)+SUMIF([1]Opciones!$AF:$AF,$A4&amp;"_"&amp;AKQ$11,[1]Opciones!$AQ:$AQ)</f>
        <v>#VALUE!</v>
      </c>
      <c r="AKR4" t="e">
        <f>+SUMIF([1]Cartera!$R:$R,$A4&amp;"_"&amp;AKR$11,[1]Cartera!$I:$I)+SUMIF([1]Futuros!$AD:$AD,$A4&amp;"_"&amp;AKR$11,[1]Futuros!$AK:$AK)+SUMIF([1]Opciones!$AF:$AF,$A4&amp;"_"&amp;AKR$11,[1]Opciones!$AQ:$AQ)</f>
        <v>#VALUE!</v>
      </c>
      <c r="AKS4" t="e">
        <f>+SUMIF([1]Cartera!$R:$R,$A4&amp;"_"&amp;AKS$11,[1]Cartera!$I:$I)+SUMIF([1]Futuros!$AD:$AD,$A4&amp;"_"&amp;AKS$11,[1]Futuros!$AK:$AK)+SUMIF([1]Opciones!$AF:$AF,$A4&amp;"_"&amp;AKS$11,[1]Opciones!$AQ:$AQ)</f>
        <v>#VALUE!</v>
      </c>
      <c r="AKT4" t="e">
        <f>+SUMIF([1]Cartera!$R:$R,$A4&amp;"_"&amp;AKT$11,[1]Cartera!$I:$I)+SUMIF([1]Futuros!$AD:$AD,$A4&amp;"_"&amp;AKT$11,[1]Futuros!$AK:$AK)+SUMIF([1]Opciones!$AF:$AF,$A4&amp;"_"&amp;AKT$11,[1]Opciones!$AQ:$AQ)</f>
        <v>#VALUE!</v>
      </c>
      <c r="AKU4" t="e">
        <f>+SUMIF([1]Cartera!$R:$R,$A4&amp;"_"&amp;AKU$11,[1]Cartera!$I:$I)+SUMIF([1]Futuros!$AD:$AD,$A4&amp;"_"&amp;AKU$11,[1]Futuros!$AK:$AK)+SUMIF([1]Opciones!$AF:$AF,$A4&amp;"_"&amp;AKU$11,[1]Opciones!$AQ:$AQ)</f>
        <v>#VALUE!</v>
      </c>
      <c r="AKV4" t="e">
        <f>+SUMIF([1]Cartera!$R:$R,$A4&amp;"_"&amp;AKV$11,[1]Cartera!$I:$I)+SUMIF([1]Futuros!$AD:$AD,$A4&amp;"_"&amp;AKV$11,[1]Futuros!$AK:$AK)+SUMIF([1]Opciones!$AF:$AF,$A4&amp;"_"&amp;AKV$11,[1]Opciones!$AQ:$AQ)</f>
        <v>#VALUE!</v>
      </c>
      <c r="AKW4" t="e">
        <f>+SUMIF([1]Cartera!$R:$R,$A4&amp;"_"&amp;AKW$11,[1]Cartera!$I:$I)+SUMIF([1]Futuros!$AD:$AD,$A4&amp;"_"&amp;AKW$11,[1]Futuros!$AK:$AK)+SUMIF([1]Opciones!$AF:$AF,$A4&amp;"_"&amp;AKW$11,[1]Opciones!$AQ:$AQ)</f>
        <v>#VALUE!</v>
      </c>
      <c r="AKX4" t="e">
        <f>+SUMIF([1]Cartera!$R:$R,$A4&amp;"_"&amp;AKX$11,[1]Cartera!$I:$I)+SUMIF([1]Futuros!$AD:$AD,$A4&amp;"_"&amp;AKX$11,[1]Futuros!$AK:$AK)+SUMIF([1]Opciones!$AF:$AF,$A4&amp;"_"&amp;AKX$11,[1]Opciones!$AQ:$AQ)</f>
        <v>#VALUE!</v>
      </c>
      <c r="AKY4" t="e">
        <f>+SUMIF([1]Cartera!$R:$R,$A4&amp;"_"&amp;AKY$11,[1]Cartera!$I:$I)+SUMIF([1]Futuros!$AD:$AD,$A4&amp;"_"&amp;AKY$11,[1]Futuros!$AK:$AK)+SUMIF([1]Opciones!$AF:$AF,$A4&amp;"_"&amp;AKY$11,[1]Opciones!$AQ:$AQ)</f>
        <v>#VALUE!</v>
      </c>
      <c r="AKZ4" t="e">
        <f>+SUMIF([1]Cartera!$R:$R,$A4&amp;"_"&amp;AKZ$11,[1]Cartera!$I:$I)+SUMIF([1]Futuros!$AD:$AD,$A4&amp;"_"&amp;AKZ$11,[1]Futuros!$AK:$AK)+SUMIF([1]Opciones!$AF:$AF,$A4&amp;"_"&amp;AKZ$11,[1]Opciones!$AQ:$AQ)</f>
        <v>#VALUE!</v>
      </c>
      <c r="ALA4" t="e">
        <f>+SUMIF([1]Cartera!$R:$R,$A4&amp;"_"&amp;ALA$11,[1]Cartera!$I:$I)+SUMIF([1]Futuros!$AD:$AD,$A4&amp;"_"&amp;ALA$11,[1]Futuros!$AK:$AK)+SUMIF([1]Opciones!$AF:$AF,$A4&amp;"_"&amp;ALA$11,[1]Opciones!$AQ:$AQ)</f>
        <v>#VALUE!</v>
      </c>
      <c r="ALB4" t="e">
        <f>+SUMIF([1]Cartera!$R:$R,$A4&amp;"_"&amp;ALB$11,[1]Cartera!$I:$I)+SUMIF([1]Futuros!$AD:$AD,$A4&amp;"_"&amp;ALB$11,[1]Futuros!$AK:$AK)+SUMIF([1]Opciones!$AF:$AF,$A4&amp;"_"&amp;ALB$11,[1]Opciones!$AQ:$AQ)</f>
        <v>#VALUE!</v>
      </c>
      <c r="ALC4" t="e">
        <f>+SUMIF([1]Cartera!$R:$R,$A4&amp;"_"&amp;ALC$11,[1]Cartera!$I:$I)+SUMIF([1]Futuros!$AD:$AD,$A4&amp;"_"&amp;ALC$11,[1]Futuros!$AK:$AK)+SUMIF([1]Opciones!$AF:$AF,$A4&amp;"_"&amp;ALC$11,[1]Opciones!$AQ:$AQ)</f>
        <v>#VALUE!</v>
      </c>
      <c r="ALD4" t="e">
        <f>+SUMIF([1]Cartera!$R:$R,$A4&amp;"_"&amp;ALD$11,[1]Cartera!$I:$I)+SUMIF([1]Futuros!$AD:$AD,$A4&amp;"_"&amp;ALD$11,[1]Futuros!$AK:$AK)+SUMIF([1]Opciones!$AF:$AF,$A4&amp;"_"&amp;ALD$11,[1]Opciones!$AQ:$AQ)</f>
        <v>#VALUE!</v>
      </c>
      <c r="ALE4" t="e">
        <f>+SUMIF([1]Cartera!$R:$R,$A4&amp;"_"&amp;ALE$11,[1]Cartera!$I:$I)+SUMIF([1]Futuros!$AD:$AD,$A4&amp;"_"&amp;ALE$11,[1]Futuros!$AK:$AK)+SUMIF([1]Opciones!$AF:$AF,$A4&amp;"_"&amp;ALE$11,[1]Opciones!$AQ:$AQ)</f>
        <v>#VALUE!</v>
      </c>
      <c r="ALF4" t="e">
        <f>+SUMIF([1]Cartera!$R:$R,$A4&amp;"_"&amp;ALF$11,[1]Cartera!$I:$I)+SUMIF([1]Futuros!$AD:$AD,$A4&amp;"_"&amp;ALF$11,[1]Futuros!$AK:$AK)+SUMIF([1]Opciones!$AF:$AF,$A4&amp;"_"&amp;ALF$11,[1]Opciones!$AQ:$AQ)</f>
        <v>#VALUE!</v>
      </c>
      <c r="ALG4" t="e">
        <f>+SUMIF([1]Cartera!$R:$R,$A4&amp;"_"&amp;ALG$11,[1]Cartera!$I:$I)+SUMIF([1]Futuros!$AD:$AD,$A4&amp;"_"&amp;ALG$11,[1]Futuros!$AK:$AK)+SUMIF([1]Opciones!$AF:$AF,$A4&amp;"_"&amp;ALG$11,[1]Opciones!$AQ:$AQ)</f>
        <v>#VALUE!</v>
      </c>
      <c r="ALH4" t="e">
        <f>+SUMIF([1]Cartera!$R:$R,$A4&amp;"_"&amp;ALH$11,[1]Cartera!$I:$I)+SUMIF([1]Futuros!$AD:$AD,$A4&amp;"_"&amp;ALH$11,[1]Futuros!$AK:$AK)+SUMIF([1]Opciones!$AF:$AF,$A4&amp;"_"&amp;ALH$11,[1]Opciones!$AQ:$AQ)</f>
        <v>#VALUE!</v>
      </c>
      <c r="ALI4" t="e">
        <f>+SUMIF([1]Cartera!$R:$R,$A4&amp;"_"&amp;ALI$11,[1]Cartera!$I:$I)+SUMIF([1]Futuros!$AD:$AD,$A4&amp;"_"&amp;ALI$11,[1]Futuros!$AK:$AK)+SUMIF([1]Opciones!$AF:$AF,$A4&amp;"_"&amp;ALI$11,[1]Opciones!$AQ:$AQ)</f>
        <v>#VALUE!</v>
      </c>
      <c r="ALJ4" t="e">
        <f>+SUMIF([1]Cartera!$R:$R,$A4&amp;"_"&amp;ALJ$11,[1]Cartera!$I:$I)+SUMIF([1]Futuros!$AD:$AD,$A4&amp;"_"&amp;ALJ$11,[1]Futuros!$AK:$AK)+SUMIF([1]Opciones!$AF:$AF,$A4&amp;"_"&amp;ALJ$11,[1]Opciones!$AQ:$AQ)</f>
        <v>#VALUE!</v>
      </c>
      <c r="ALK4" t="e">
        <f>+SUMIF([1]Cartera!$R:$R,$A4&amp;"_"&amp;ALK$11,[1]Cartera!$I:$I)+SUMIF([1]Futuros!$AD:$AD,$A4&amp;"_"&amp;ALK$11,[1]Futuros!$AK:$AK)+SUMIF([1]Opciones!$AF:$AF,$A4&amp;"_"&amp;ALK$11,[1]Opciones!$AQ:$AQ)</f>
        <v>#VALUE!</v>
      </c>
      <c r="ALL4" t="e">
        <f>+SUMIF([1]Cartera!$R:$R,$A4&amp;"_"&amp;ALL$11,[1]Cartera!$I:$I)+SUMIF([1]Futuros!$AD:$AD,$A4&amp;"_"&amp;ALL$11,[1]Futuros!$AK:$AK)+SUMIF([1]Opciones!$AF:$AF,$A4&amp;"_"&amp;ALL$11,[1]Opciones!$AQ:$AQ)</f>
        <v>#VALUE!</v>
      </c>
      <c r="ALM4" t="e">
        <f>+SUMIF([1]Cartera!$R:$R,$A4&amp;"_"&amp;ALM$11,[1]Cartera!$I:$I)+SUMIF([1]Futuros!$AD:$AD,$A4&amp;"_"&amp;ALM$11,[1]Futuros!$AK:$AK)+SUMIF([1]Opciones!$AF:$AF,$A4&amp;"_"&amp;ALM$11,[1]Opciones!$AQ:$AQ)</f>
        <v>#VALUE!</v>
      </c>
      <c r="ALN4" t="e">
        <f>+SUMIF([1]Cartera!$R:$R,$A4&amp;"_"&amp;ALN$11,[1]Cartera!$I:$I)+SUMIF([1]Futuros!$AD:$AD,$A4&amp;"_"&amp;ALN$11,[1]Futuros!$AK:$AK)+SUMIF([1]Opciones!$AF:$AF,$A4&amp;"_"&amp;ALN$11,[1]Opciones!$AQ:$AQ)</f>
        <v>#VALUE!</v>
      </c>
      <c r="ALO4" t="e">
        <f>+SUMIF([1]Cartera!$R:$R,$A4&amp;"_"&amp;ALO$11,[1]Cartera!$I:$I)+SUMIF([1]Futuros!$AD:$AD,$A4&amp;"_"&amp;ALO$11,[1]Futuros!$AK:$AK)+SUMIF([1]Opciones!$AF:$AF,$A4&amp;"_"&amp;ALO$11,[1]Opciones!$AQ:$AQ)</f>
        <v>#VALUE!</v>
      </c>
      <c r="ALP4" t="e">
        <f>+SUMIF([1]Cartera!$R:$R,$A4&amp;"_"&amp;ALP$11,[1]Cartera!$I:$I)+SUMIF([1]Futuros!$AD:$AD,$A4&amp;"_"&amp;ALP$11,[1]Futuros!$AK:$AK)+SUMIF([1]Opciones!$AF:$AF,$A4&amp;"_"&amp;ALP$11,[1]Opciones!$AQ:$AQ)</f>
        <v>#VALUE!</v>
      </c>
      <c r="ALQ4" t="e">
        <f>+SUMIF([1]Cartera!$R:$R,$A4&amp;"_"&amp;ALQ$11,[1]Cartera!$I:$I)+SUMIF([1]Futuros!$AD:$AD,$A4&amp;"_"&amp;ALQ$11,[1]Futuros!$AK:$AK)+SUMIF([1]Opciones!$AF:$AF,$A4&amp;"_"&amp;ALQ$11,[1]Opciones!$AQ:$AQ)</f>
        <v>#VALUE!</v>
      </c>
      <c r="ALR4" t="e">
        <f>+SUMIF([1]Cartera!$R:$R,$A4&amp;"_"&amp;ALR$11,[1]Cartera!$I:$I)+SUMIF([1]Futuros!$AD:$AD,$A4&amp;"_"&amp;ALR$11,[1]Futuros!$AK:$AK)+SUMIF([1]Opciones!$AF:$AF,$A4&amp;"_"&amp;ALR$11,[1]Opciones!$AQ:$AQ)</f>
        <v>#VALUE!</v>
      </c>
      <c r="ALS4" t="e">
        <f>+SUMIF([1]Cartera!$R:$R,$A4&amp;"_"&amp;ALS$11,[1]Cartera!$I:$I)+SUMIF([1]Futuros!$AD:$AD,$A4&amp;"_"&amp;ALS$11,[1]Futuros!$AK:$AK)+SUMIF([1]Opciones!$AF:$AF,$A4&amp;"_"&amp;ALS$11,[1]Opciones!$AQ:$AQ)</f>
        <v>#VALUE!</v>
      </c>
      <c r="ALT4" t="e">
        <f>+SUMIF([1]Cartera!$R:$R,$A4&amp;"_"&amp;ALT$11,[1]Cartera!$I:$I)+SUMIF([1]Futuros!$AD:$AD,$A4&amp;"_"&amp;ALT$11,[1]Futuros!$AK:$AK)+SUMIF([1]Opciones!$AF:$AF,$A4&amp;"_"&amp;ALT$11,[1]Opciones!$AQ:$AQ)</f>
        <v>#VALUE!</v>
      </c>
      <c r="ALU4" t="e">
        <f>+SUMIF([1]Cartera!$R:$R,$A4&amp;"_"&amp;ALU$11,[1]Cartera!$I:$I)+SUMIF([1]Futuros!$AD:$AD,$A4&amp;"_"&amp;ALU$11,[1]Futuros!$AK:$AK)+SUMIF([1]Opciones!$AF:$AF,$A4&amp;"_"&amp;ALU$11,[1]Opciones!$AQ:$AQ)</f>
        <v>#VALUE!</v>
      </c>
      <c r="ALV4" t="e">
        <f>+SUMIF([1]Cartera!$R:$R,$A4&amp;"_"&amp;ALV$11,[1]Cartera!$I:$I)+SUMIF([1]Futuros!$AD:$AD,$A4&amp;"_"&amp;ALV$11,[1]Futuros!$AK:$AK)+SUMIF([1]Opciones!$AF:$AF,$A4&amp;"_"&amp;ALV$11,[1]Opciones!$AQ:$AQ)</f>
        <v>#VALUE!</v>
      </c>
      <c r="ALW4" t="e">
        <f>+SUMIF([1]Cartera!$R:$R,$A4&amp;"_"&amp;ALW$11,[1]Cartera!$I:$I)+SUMIF([1]Futuros!$AD:$AD,$A4&amp;"_"&amp;ALW$11,[1]Futuros!$AK:$AK)+SUMIF([1]Opciones!$AF:$AF,$A4&amp;"_"&amp;ALW$11,[1]Opciones!$AQ:$AQ)</f>
        <v>#VALUE!</v>
      </c>
      <c r="ALX4" t="e">
        <f>+SUMIF([1]Cartera!$R:$R,$A4&amp;"_"&amp;ALX$11,[1]Cartera!$I:$I)+SUMIF([1]Futuros!$AD:$AD,$A4&amp;"_"&amp;ALX$11,[1]Futuros!$AK:$AK)+SUMIF([1]Opciones!$AF:$AF,$A4&amp;"_"&amp;ALX$11,[1]Opciones!$AQ:$AQ)</f>
        <v>#VALUE!</v>
      </c>
      <c r="ALY4" t="e">
        <f>+SUMIF([1]Cartera!$R:$R,$A4&amp;"_"&amp;ALY$11,[1]Cartera!$I:$I)+SUMIF([1]Futuros!$AD:$AD,$A4&amp;"_"&amp;ALY$11,[1]Futuros!$AK:$AK)+SUMIF([1]Opciones!$AF:$AF,$A4&amp;"_"&amp;ALY$11,[1]Opciones!$AQ:$AQ)</f>
        <v>#VALUE!</v>
      </c>
      <c r="ALZ4" t="e">
        <f>+SUMIF([1]Cartera!$R:$R,$A4&amp;"_"&amp;ALZ$11,[1]Cartera!$I:$I)+SUMIF([1]Futuros!$AD:$AD,$A4&amp;"_"&amp;ALZ$11,[1]Futuros!$AK:$AK)+SUMIF([1]Opciones!$AF:$AF,$A4&amp;"_"&amp;ALZ$11,[1]Opciones!$AQ:$AQ)</f>
        <v>#VALUE!</v>
      </c>
      <c r="AMA4" t="e">
        <f>+SUMIF([1]Cartera!$R:$R,$A4&amp;"_"&amp;AMA$11,[1]Cartera!$I:$I)+SUMIF([1]Futuros!$AD:$AD,$A4&amp;"_"&amp;AMA$11,[1]Futuros!$AK:$AK)+SUMIF([1]Opciones!$AF:$AF,$A4&amp;"_"&amp;AMA$11,[1]Opciones!$AQ:$AQ)</f>
        <v>#VALUE!</v>
      </c>
      <c r="AMB4" t="e">
        <f>+SUMIF([1]Cartera!$R:$R,$A4&amp;"_"&amp;AMB$11,[1]Cartera!$I:$I)+SUMIF([1]Futuros!$AD:$AD,$A4&amp;"_"&amp;AMB$11,[1]Futuros!$AK:$AK)+SUMIF([1]Opciones!$AF:$AF,$A4&amp;"_"&amp;AMB$11,[1]Opciones!$AQ:$AQ)</f>
        <v>#VALUE!</v>
      </c>
      <c r="AMC4" t="e">
        <f>+SUMIF([1]Cartera!$R:$R,$A4&amp;"_"&amp;AMC$11,[1]Cartera!$I:$I)+SUMIF([1]Futuros!$AD:$AD,$A4&amp;"_"&amp;AMC$11,[1]Futuros!$AK:$AK)+SUMIF([1]Opciones!$AF:$AF,$A4&amp;"_"&amp;AMC$11,[1]Opciones!$AQ:$AQ)</f>
        <v>#VALUE!</v>
      </c>
      <c r="AMD4" t="e">
        <f>+SUMIF([1]Cartera!$R:$R,$A4&amp;"_"&amp;AMD$11,[1]Cartera!$I:$I)+SUMIF([1]Futuros!$AD:$AD,$A4&amp;"_"&amp;AMD$11,[1]Futuros!$AK:$AK)+SUMIF([1]Opciones!$AF:$AF,$A4&amp;"_"&amp;AMD$11,[1]Opciones!$AQ:$AQ)</f>
        <v>#VALUE!</v>
      </c>
      <c r="AME4" t="e">
        <f>+SUMIF([1]Cartera!$R:$R,$A4&amp;"_"&amp;AME$11,[1]Cartera!$I:$I)+SUMIF([1]Futuros!$AD:$AD,$A4&amp;"_"&amp;AME$11,[1]Futuros!$AK:$AK)+SUMIF([1]Opciones!$AF:$AF,$A4&amp;"_"&amp;AME$11,[1]Opciones!$AQ:$AQ)</f>
        <v>#VALUE!</v>
      </c>
      <c r="AMF4" t="e">
        <f>+SUMIF([1]Cartera!$R:$R,$A4&amp;"_"&amp;AMF$11,[1]Cartera!$I:$I)+SUMIF([1]Futuros!$AD:$AD,$A4&amp;"_"&amp;AMF$11,[1]Futuros!$AK:$AK)+SUMIF([1]Opciones!$AF:$AF,$A4&amp;"_"&amp;AMF$11,[1]Opciones!$AQ:$AQ)</f>
        <v>#VALUE!</v>
      </c>
      <c r="AMG4" t="e">
        <f>+SUMIF([1]Cartera!$R:$R,$A4&amp;"_"&amp;AMG$11,[1]Cartera!$I:$I)+SUMIF([1]Futuros!$AD:$AD,$A4&amp;"_"&amp;AMG$11,[1]Futuros!$AK:$AK)+SUMIF([1]Opciones!$AF:$AF,$A4&amp;"_"&amp;AMG$11,[1]Opciones!$AQ:$AQ)</f>
        <v>#VALUE!</v>
      </c>
      <c r="AMH4" t="e">
        <f>+SUMIF([1]Cartera!$R:$R,$A4&amp;"_"&amp;AMH$11,[1]Cartera!$I:$I)+SUMIF([1]Futuros!$AD:$AD,$A4&amp;"_"&amp;AMH$11,[1]Futuros!$AK:$AK)+SUMIF([1]Opciones!$AF:$AF,$A4&amp;"_"&amp;AMH$11,[1]Opciones!$AQ:$AQ)</f>
        <v>#VALUE!</v>
      </c>
      <c r="AMI4" t="e">
        <f>+SUMIF([1]Cartera!$R:$R,$A4&amp;"_"&amp;AMI$11,[1]Cartera!$I:$I)+SUMIF([1]Futuros!$AD:$AD,$A4&amp;"_"&amp;AMI$11,[1]Futuros!$AK:$AK)+SUMIF([1]Opciones!$AF:$AF,$A4&amp;"_"&amp;AMI$11,[1]Opciones!$AQ:$AQ)</f>
        <v>#VALUE!</v>
      </c>
      <c r="AMJ4" t="e">
        <f>+SUMIF([1]Cartera!$R:$R,$A4&amp;"_"&amp;AMJ$11,[1]Cartera!$I:$I)+SUMIF([1]Futuros!$AD:$AD,$A4&amp;"_"&amp;AMJ$11,[1]Futuros!$AK:$AK)+SUMIF([1]Opciones!$AF:$AF,$A4&amp;"_"&amp;AMJ$11,[1]Opciones!$AQ:$AQ)</f>
        <v>#VALUE!</v>
      </c>
      <c r="AMK4" t="e">
        <f>+SUMIF([1]Cartera!$R:$R,$A4&amp;"_"&amp;AMK$11,[1]Cartera!$I:$I)+SUMIF([1]Futuros!$AD:$AD,$A4&amp;"_"&amp;AMK$11,[1]Futuros!$AK:$AK)+SUMIF([1]Opciones!$AF:$AF,$A4&amp;"_"&amp;AMK$11,[1]Opciones!$AQ:$AQ)</f>
        <v>#VALUE!</v>
      </c>
      <c r="AML4" t="e">
        <f>+SUMIF([1]Cartera!$R:$R,$A4&amp;"_"&amp;AML$11,[1]Cartera!$I:$I)+SUMIF([1]Futuros!$AD:$AD,$A4&amp;"_"&amp;AML$11,[1]Futuros!$AK:$AK)+SUMIF([1]Opciones!$AF:$AF,$A4&amp;"_"&amp;AML$11,[1]Opciones!$AQ:$AQ)</f>
        <v>#VALUE!</v>
      </c>
      <c r="AMM4" t="e">
        <f>+SUMIF([1]Cartera!$R:$R,$A4&amp;"_"&amp;AMM$11,[1]Cartera!$I:$I)+SUMIF([1]Futuros!$AD:$AD,$A4&amp;"_"&amp;AMM$11,[1]Futuros!$AK:$AK)+SUMIF([1]Opciones!$AF:$AF,$A4&amp;"_"&amp;AMM$11,[1]Opciones!$AQ:$AQ)</f>
        <v>#VALUE!</v>
      </c>
      <c r="AMN4" t="e">
        <f>+SUMIF([1]Cartera!$R:$R,$A4&amp;"_"&amp;AMN$11,[1]Cartera!$I:$I)+SUMIF([1]Futuros!$AD:$AD,$A4&amp;"_"&amp;AMN$11,[1]Futuros!$AK:$AK)+SUMIF([1]Opciones!$AF:$AF,$A4&amp;"_"&amp;AMN$11,[1]Opciones!$AQ:$AQ)</f>
        <v>#VALUE!</v>
      </c>
      <c r="AMO4" t="e">
        <f>+SUMIF([1]Cartera!$R:$R,$A4&amp;"_"&amp;AMO$11,[1]Cartera!$I:$I)+SUMIF([1]Futuros!$AD:$AD,$A4&amp;"_"&amp;AMO$11,[1]Futuros!$AK:$AK)+SUMIF([1]Opciones!$AF:$AF,$A4&amp;"_"&amp;AMO$11,[1]Opciones!$AQ:$AQ)</f>
        <v>#VALUE!</v>
      </c>
      <c r="AMP4" t="e">
        <f>+SUMIF([1]Cartera!$R:$R,$A4&amp;"_"&amp;AMP$11,[1]Cartera!$I:$I)+SUMIF([1]Futuros!$AD:$AD,$A4&amp;"_"&amp;AMP$11,[1]Futuros!$AK:$AK)+SUMIF([1]Opciones!$AF:$AF,$A4&amp;"_"&amp;AMP$11,[1]Opciones!$AQ:$AQ)</f>
        <v>#VALUE!</v>
      </c>
      <c r="AMQ4" t="e">
        <f>+SUMIF([1]Cartera!$R:$R,$A4&amp;"_"&amp;AMQ$11,[1]Cartera!$I:$I)+SUMIF([1]Futuros!$AD:$AD,$A4&amp;"_"&amp;AMQ$11,[1]Futuros!$AK:$AK)+SUMIF([1]Opciones!$AF:$AF,$A4&amp;"_"&amp;AMQ$11,[1]Opciones!$AQ:$AQ)</f>
        <v>#VALUE!</v>
      </c>
      <c r="AMR4" t="e">
        <f>+SUMIF([1]Cartera!$R:$R,$A4&amp;"_"&amp;AMR$11,[1]Cartera!$I:$I)+SUMIF([1]Futuros!$AD:$AD,$A4&amp;"_"&amp;AMR$11,[1]Futuros!$AK:$AK)+SUMIF([1]Opciones!$AF:$AF,$A4&amp;"_"&amp;AMR$11,[1]Opciones!$AQ:$AQ)</f>
        <v>#VALUE!</v>
      </c>
      <c r="AMS4" t="e">
        <f>+SUMIF([1]Cartera!$R:$R,$A4&amp;"_"&amp;AMS$11,[1]Cartera!$I:$I)+SUMIF([1]Futuros!$AD:$AD,$A4&amp;"_"&amp;AMS$11,[1]Futuros!$AK:$AK)+SUMIF([1]Opciones!$AF:$AF,$A4&amp;"_"&amp;AMS$11,[1]Opciones!$AQ:$AQ)</f>
        <v>#VALUE!</v>
      </c>
      <c r="AMT4" t="e">
        <f>+SUMIF([1]Cartera!$R:$R,$A4&amp;"_"&amp;AMT$11,[1]Cartera!$I:$I)+SUMIF([1]Futuros!$AD:$AD,$A4&amp;"_"&amp;AMT$11,[1]Futuros!$AK:$AK)+SUMIF([1]Opciones!$AF:$AF,$A4&amp;"_"&amp;AMT$11,[1]Opciones!$AQ:$AQ)</f>
        <v>#VALUE!</v>
      </c>
      <c r="AMU4" t="e">
        <f>+SUMIF([1]Cartera!$R:$R,$A4&amp;"_"&amp;AMU$11,[1]Cartera!$I:$I)+SUMIF([1]Futuros!$AD:$AD,$A4&amp;"_"&amp;AMU$11,[1]Futuros!$AK:$AK)+SUMIF([1]Opciones!$AF:$AF,$A4&amp;"_"&amp;AMU$11,[1]Opciones!$AQ:$AQ)</f>
        <v>#VALUE!</v>
      </c>
      <c r="AMV4" t="e">
        <f>+SUMIF([1]Cartera!$R:$R,$A4&amp;"_"&amp;AMV$11,[1]Cartera!$I:$I)+SUMIF([1]Futuros!$AD:$AD,$A4&amp;"_"&amp;AMV$11,[1]Futuros!$AK:$AK)+SUMIF([1]Opciones!$AF:$AF,$A4&amp;"_"&amp;AMV$11,[1]Opciones!$AQ:$AQ)</f>
        <v>#VALUE!</v>
      </c>
      <c r="AMW4" t="e">
        <f>+SUMIF([1]Cartera!$R:$R,$A4&amp;"_"&amp;AMW$11,[1]Cartera!$I:$I)+SUMIF([1]Futuros!$AD:$AD,$A4&amp;"_"&amp;AMW$11,[1]Futuros!$AK:$AK)+SUMIF([1]Opciones!$AF:$AF,$A4&amp;"_"&amp;AMW$11,[1]Opciones!$AQ:$AQ)</f>
        <v>#VALUE!</v>
      </c>
      <c r="AMX4" t="e">
        <f>+SUMIF([1]Cartera!$R:$R,$A4&amp;"_"&amp;AMX$11,[1]Cartera!$I:$I)+SUMIF([1]Futuros!$AD:$AD,$A4&amp;"_"&amp;AMX$11,[1]Futuros!$AK:$AK)+SUMIF([1]Opciones!$AF:$AF,$A4&amp;"_"&amp;AMX$11,[1]Opciones!$AQ:$AQ)</f>
        <v>#VALUE!</v>
      </c>
      <c r="AMY4" t="e">
        <f>+SUMIF([1]Cartera!$R:$R,$A4&amp;"_"&amp;AMY$11,[1]Cartera!$I:$I)+SUMIF([1]Futuros!$AD:$AD,$A4&amp;"_"&amp;AMY$11,[1]Futuros!$AK:$AK)+SUMIF([1]Opciones!$AF:$AF,$A4&amp;"_"&amp;AMY$11,[1]Opciones!$AQ:$AQ)</f>
        <v>#VALUE!</v>
      </c>
      <c r="AMZ4" t="e">
        <f>+SUMIF([1]Cartera!$R:$R,$A4&amp;"_"&amp;AMZ$11,[1]Cartera!$I:$I)+SUMIF([1]Futuros!$AD:$AD,$A4&amp;"_"&amp;AMZ$11,[1]Futuros!$AK:$AK)+SUMIF([1]Opciones!$AF:$AF,$A4&amp;"_"&amp;AMZ$11,[1]Opciones!$AQ:$AQ)</f>
        <v>#VALUE!</v>
      </c>
      <c r="ANA4" t="e">
        <f>+SUMIF([1]Cartera!$R:$R,$A4&amp;"_"&amp;ANA$11,[1]Cartera!$I:$I)+SUMIF([1]Futuros!$AD:$AD,$A4&amp;"_"&amp;ANA$11,[1]Futuros!$AK:$AK)+SUMIF([1]Opciones!$AF:$AF,$A4&amp;"_"&amp;ANA$11,[1]Opciones!$AQ:$AQ)</f>
        <v>#VALUE!</v>
      </c>
      <c r="ANB4" t="e">
        <f>+SUMIF([1]Cartera!$R:$R,$A4&amp;"_"&amp;ANB$11,[1]Cartera!$I:$I)+SUMIF([1]Futuros!$AD:$AD,$A4&amp;"_"&amp;ANB$11,[1]Futuros!$AK:$AK)+SUMIF([1]Opciones!$AF:$AF,$A4&amp;"_"&amp;ANB$11,[1]Opciones!$AQ:$AQ)</f>
        <v>#VALUE!</v>
      </c>
      <c r="ANC4" t="e">
        <f>+SUMIF([1]Cartera!$R:$R,$A4&amp;"_"&amp;ANC$11,[1]Cartera!$I:$I)+SUMIF([1]Futuros!$AD:$AD,$A4&amp;"_"&amp;ANC$11,[1]Futuros!$AK:$AK)+SUMIF([1]Opciones!$AF:$AF,$A4&amp;"_"&amp;ANC$11,[1]Opciones!$AQ:$AQ)</f>
        <v>#VALUE!</v>
      </c>
      <c r="AND4" t="e">
        <f>+SUMIF([1]Cartera!$R:$R,$A4&amp;"_"&amp;AND$11,[1]Cartera!$I:$I)+SUMIF([1]Futuros!$AD:$AD,$A4&amp;"_"&amp;AND$11,[1]Futuros!$AK:$AK)+SUMIF([1]Opciones!$AF:$AF,$A4&amp;"_"&amp;AND$11,[1]Opciones!$AQ:$AQ)</f>
        <v>#VALUE!</v>
      </c>
      <c r="ANE4" t="e">
        <f>+SUMIF([1]Cartera!$R:$R,$A4&amp;"_"&amp;ANE$11,[1]Cartera!$I:$I)+SUMIF([1]Futuros!$AD:$AD,$A4&amp;"_"&amp;ANE$11,[1]Futuros!$AK:$AK)+SUMIF([1]Opciones!$AF:$AF,$A4&amp;"_"&amp;ANE$11,[1]Opciones!$AQ:$AQ)</f>
        <v>#VALUE!</v>
      </c>
      <c r="ANF4" t="e">
        <f>+SUMIF([1]Cartera!$R:$R,$A4&amp;"_"&amp;ANF$11,[1]Cartera!$I:$I)+SUMIF([1]Futuros!$AD:$AD,$A4&amp;"_"&amp;ANF$11,[1]Futuros!$AK:$AK)+SUMIF([1]Opciones!$AF:$AF,$A4&amp;"_"&amp;ANF$11,[1]Opciones!$AQ:$AQ)</f>
        <v>#VALUE!</v>
      </c>
      <c r="ANG4" t="e">
        <f>+SUMIF([1]Cartera!$R:$R,$A4&amp;"_"&amp;ANG$11,[1]Cartera!$I:$I)+SUMIF([1]Futuros!$AD:$AD,$A4&amp;"_"&amp;ANG$11,[1]Futuros!$AK:$AK)+SUMIF([1]Opciones!$AF:$AF,$A4&amp;"_"&amp;ANG$11,[1]Opciones!$AQ:$AQ)</f>
        <v>#VALUE!</v>
      </c>
      <c r="ANH4" t="e">
        <f>+SUMIF([1]Cartera!$R:$R,$A4&amp;"_"&amp;ANH$11,[1]Cartera!$I:$I)+SUMIF([1]Futuros!$AD:$AD,$A4&amp;"_"&amp;ANH$11,[1]Futuros!$AK:$AK)+SUMIF([1]Opciones!$AF:$AF,$A4&amp;"_"&amp;ANH$11,[1]Opciones!$AQ:$AQ)</f>
        <v>#VALUE!</v>
      </c>
      <c r="ANI4" t="e">
        <f>+SUMIF([1]Cartera!$R:$R,$A4&amp;"_"&amp;ANI$11,[1]Cartera!$I:$I)+SUMIF([1]Futuros!$AD:$AD,$A4&amp;"_"&amp;ANI$11,[1]Futuros!$AK:$AK)+SUMIF([1]Opciones!$AF:$AF,$A4&amp;"_"&amp;ANI$11,[1]Opciones!$AQ:$AQ)</f>
        <v>#VALUE!</v>
      </c>
      <c r="ANJ4" t="e">
        <f>+SUMIF([1]Cartera!$R:$R,$A4&amp;"_"&amp;ANJ$11,[1]Cartera!$I:$I)+SUMIF([1]Futuros!$AD:$AD,$A4&amp;"_"&amp;ANJ$11,[1]Futuros!$AK:$AK)+SUMIF([1]Opciones!$AF:$AF,$A4&amp;"_"&amp;ANJ$11,[1]Opciones!$AQ:$AQ)</f>
        <v>#VALUE!</v>
      </c>
      <c r="ANK4" t="e">
        <f>+SUMIF([1]Cartera!$R:$R,$A4&amp;"_"&amp;ANK$11,[1]Cartera!$I:$I)+SUMIF([1]Futuros!$AD:$AD,$A4&amp;"_"&amp;ANK$11,[1]Futuros!$AK:$AK)+SUMIF([1]Opciones!$AF:$AF,$A4&amp;"_"&amp;ANK$11,[1]Opciones!$AQ:$AQ)</f>
        <v>#VALUE!</v>
      </c>
      <c r="ANL4" t="e">
        <f>+SUMIF([1]Cartera!$R:$R,$A4&amp;"_"&amp;ANL$11,[1]Cartera!$I:$I)+SUMIF([1]Futuros!$AD:$AD,$A4&amp;"_"&amp;ANL$11,[1]Futuros!$AK:$AK)+SUMIF([1]Opciones!$AF:$AF,$A4&amp;"_"&amp;ANL$11,[1]Opciones!$AQ:$AQ)</f>
        <v>#VALUE!</v>
      </c>
      <c r="ANM4" t="e">
        <f>+SUMIF([1]Cartera!$R:$R,$A4&amp;"_"&amp;ANM$11,[1]Cartera!$I:$I)+SUMIF([1]Futuros!$AD:$AD,$A4&amp;"_"&amp;ANM$11,[1]Futuros!$AK:$AK)+SUMIF([1]Opciones!$AF:$AF,$A4&amp;"_"&amp;ANM$11,[1]Opciones!$AQ:$AQ)</f>
        <v>#VALUE!</v>
      </c>
      <c r="ANN4" t="e">
        <f>+SUMIF([1]Cartera!$R:$R,$A4&amp;"_"&amp;ANN$11,[1]Cartera!$I:$I)+SUMIF([1]Futuros!$AD:$AD,$A4&amp;"_"&amp;ANN$11,[1]Futuros!$AK:$AK)+SUMIF([1]Opciones!$AF:$AF,$A4&amp;"_"&amp;ANN$11,[1]Opciones!$AQ:$AQ)</f>
        <v>#VALUE!</v>
      </c>
      <c r="ANO4" t="e">
        <f>+SUMIF([1]Cartera!$R:$R,$A4&amp;"_"&amp;ANO$11,[1]Cartera!$I:$I)+SUMIF([1]Futuros!$AD:$AD,$A4&amp;"_"&amp;ANO$11,[1]Futuros!$AK:$AK)+SUMIF([1]Opciones!$AF:$AF,$A4&amp;"_"&amp;ANO$11,[1]Opciones!$AQ:$AQ)</f>
        <v>#VALUE!</v>
      </c>
      <c r="ANP4" t="e">
        <f>+SUMIF([1]Cartera!$R:$R,$A4&amp;"_"&amp;ANP$11,[1]Cartera!$I:$I)+SUMIF([1]Futuros!$AD:$AD,$A4&amp;"_"&amp;ANP$11,[1]Futuros!$AK:$AK)+SUMIF([1]Opciones!$AF:$AF,$A4&amp;"_"&amp;ANP$11,[1]Opciones!$AQ:$AQ)</f>
        <v>#VALUE!</v>
      </c>
      <c r="ANQ4" t="e">
        <f>+SUMIF([1]Cartera!$R:$R,$A4&amp;"_"&amp;ANQ$11,[1]Cartera!$I:$I)+SUMIF([1]Futuros!$AD:$AD,$A4&amp;"_"&amp;ANQ$11,[1]Futuros!$AK:$AK)+SUMIF([1]Opciones!$AF:$AF,$A4&amp;"_"&amp;ANQ$11,[1]Opciones!$AQ:$AQ)</f>
        <v>#VALUE!</v>
      </c>
      <c r="ANR4" t="e">
        <f>+SUMIF([1]Cartera!$R:$R,$A4&amp;"_"&amp;ANR$11,[1]Cartera!$I:$I)+SUMIF([1]Futuros!$AD:$AD,$A4&amp;"_"&amp;ANR$11,[1]Futuros!$AK:$AK)+SUMIF([1]Opciones!$AF:$AF,$A4&amp;"_"&amp;ANR$11,[1]Opciones!$AQ:$AQ)</f>
        <v>#VALUE!</v>
      </c>
      <c r="ANS4" t="e">
        <f>+SUMIF([1]Cartera!$R:$R,$A4&amp;"_"&amp;ANS$11,[1]Cartera!$I:$I)+SUMIF([1]Futuros!$AD:$AD,$A4&amp;"_"&amp;ANS$11,[1]Futuros!$AK:$AK)+SUMIF([1]Opciones!$AF:$AF,$A4&amp;"_"&amp;ANS$11,[1]Opciones!$AQ:$AQ)</f>
        <v>#VALUE!</v>
      </c>
      <c r="ANT4" t="e">
        <f>+SUMIF([1]Cartera!$R:$R,$A4&amp;"_"&amp;ANT$11,[1]Cartera!$I:$I)+SUMIF([1]Futuros!$AD:$AD,$A4&amp;"_"&amp;ANT$11,[1]Futuros!$AK:$AK)+SUMIF([1]Opciones!$AF:$AF,$A4&amp;"_"&amp;ANT$11,[1]Opciones!$AQ:$AQ)</f>
        <v>#VALUE!</v>
      </c>
      <c r="ANU4" t="e">
        <f>+SUMIF([1]Cartera!$R:$R,$A4&amp;"_"&amp;ANU$11,[1]Cartera!$I:$I)+SUMIF([1]Futuros!$AD:$AD,$A4&amp;"_"&amp;ANU$11,[1]Futuros!$AK:$AK)+SUMIF([1]Opciones!$AF:$AF,$A4&amp;"_"&amp;ANU$11,[1]Opciones!$AQ:$AQ)</f>
        <v>#VALUE!</v>
      </c>
      <c r="ANV4" t="e">
        <f>+SUMIF([1]Cartera!$R:$R,$A4&amp;"_"&amp;ANV$11,[1]Cartera!$I:$I)+SUMIF([1]Futuros!$AD:$AD,$A4&amp;"_"&amp;ANV$11,[1]Futuros!$AK:$AK)+SUMIF([1]Opciones!$AF:$AF,$A4&amp;"_"&amp;ANV$11,[1]Opciones!$AQ:$AQ)</f>
        <v>#VALUE!</v>
      </c>
      <c r="ANW4" t="e">
        <f>+SUMIF([1]Cartera!$R:$R,$A4&amp;"_"&amp;ANW$11,[1]Cartera!$I:$I)+SUMIF([1]Futuros!$AD:$AD,$A4&amp;"_"&amp;ANW$11,[1]Futuros!$AK:$AK)+SUMIF([1]Opciones!$AF:$AF,$A4&amp;"_"&amp;ANW$11,[1]Opciones!$AQ:$AQ)</f>
        <v>#VALUE!</v>
      </c>
      <c r="ANX4" t="e">
        <f>+SUMIF([1]Cartera!$R:$R,$A4&amp;"_"&amp;ANX$11,[1]Cartera!$I:$I)+SUMIF([1]Futuros!$AD:$AD,$A4&amp;"_"&amp;ANX$11,[1]Futuros!$AK:$AK)+SUMIF([1]Opciones!$AF:$AF,$A4&amp;"_"&amp;ANX$11,[1]Opciones!$AQ:$AQ)</f>
        <v>#VALUE!</v>
      </c>
      <c r="ANY4" t="e">
        <f>+SUMIF([1]Cartera!$R:$R,$A4&amp;"_"&amp;ANY$11,[1]Cartera!$I:$I)+SUMIF([1]Futuros!$AD:$AD,$A4&amp;"_"&amp;ANY$11,[1]Futuros!$AK:$AK)+SUMIF([1]Opciones!$AF:$AF,$A4&amp;"_"&amp;ANY$11,[1]Opciones!$AQ:$AQ)</f>
        <v>#VALUE!</v>
      </c>
      <c r="ANZ4" t="e">
        <f>+SUMIF([1]Cartera!$R:$R,$A4&amp;"_"&amp;ANZ$11,[1]Cartera!$I:$I)+SUMIF([1]Futuros!$AD:$AD,$A4&amp;"_"&amp;ANZ$11,[1]Futuros!$AK:$AK)+SUMIF([1]Opciones!$AF:$AF,$A4&amp;"_"&amp;ANZ$11,[1]Opciones!$AQ:$AQ)</f>
        <v>#VALUE!</v>
      </c>
      <c r="AOA4" t="e">
        <f>+SUMIF([1]Cartera!$R:$R,$A4&amp;"_"&amp;AOA$11,[1]Cartera!$I:$I)+SUMIF([1]Futuros!$AD:$AD,$A4&amp;"_"&amp;AOA$11,[1]Futuros!$AK:$AK)+SUMIF([1]Opciones!$AF:$AF,$A4&amp;"_"&amp;AOA$11,[1]Opciones!$AQ:$AQ)</f>
        <v>#VALUE!</v>
      </c>
      <c r="AOB4" t="e">
        <f>+SUMIF([1]Cartera!$R:$R,$A4&amp;"_"&amp;AOB$11,[1]Cartera!$I:$I)+SUMIF([1]Futuros!$AD:$AD,$A4&amp;"_"&amp;AOB$11,[1]Futuros!$AK:$AK)+SUMIF([1]Opciones!$AF:$AF,$A4&amp;"_"&amp;AOB$11,[1]Opciones!$AQ:$AQ)</f>
        <v>#VALUE!</v>
      </c>
      <c r="AOC4" t="e">
        <f>+SUMIF([1]Cartera!$R:$R,$A4&amp;"_"&amp;AOC$11,[1]Cartera!$I:$I)+SUMIF([1]Futuros!$AD:$AD,$A4&amp;"_"&amp;AOC$11,[1]Futuros!$AK:$AK)+SUMIF([1]Opciones!$AF:$AF,$A4&amp;"_"&amp;AOC$11,[1]Opciones!$AQ:$AQ)</f>
        <v>#VALUE!</v>
      </c>
      <c r="AOD4" t="e">
        <f>+SUMIF([1]Cartera!$R:$R,$A4&amp;"_"&amp;AOD$11,[1]Cartera!$I:$I)+SUMIF([1]Futuros!$AD:$AD,$A4&amp;"_"&amp;AOD$11,[1]Futuros!$AK:$AK)+SUMIF([1]Opciones!$AF:$AF,$A4&amp;"_"&amp;AOD$11,[1]Opciones!$AQ:$AQ)</f>
        <v>#VALUE!</v>
      </c>
      <c r="AOE4" t="e">
        <f>+SUMIF([1]Cartera!$R:$R,$A4&amp;"_"&amp;AOE$11,[1]Cartera!$I:$I)+SUMIF([1]Futuros!$AD:$AD,$A4&amp;"_"&amp;AOE$11,[1]Futuros!$AK:$AK)+SUMIF([1]Opciones!$AF:$AF,$A4&amp;"_"&amp;AOE$11,[1]Opciones!$AQ:$AQ)</f>
        <v>#VALUE!</v>
      </c>
      <c r="AOF4" t="e">
        <f>+SUMIF([1]Cartera!$R:$R,$A4&amp;"_"&amp;AOF$11,[1]Cartera!$I:$I)+SUMIF([1]Futuros!$AD:$AD,$A4&amp;"_"&amp;AOF$11,[1]Futuros!$AK:$AK)+SUMIF([1]Opciones!$AF:$AF,$A4&amp;"_"&amp;AOF$11,[1]Opciones!$AQ:$AQ)</f>
        <v>#VALUE!</v>
      </c>
      <c r="AOG4" t="e">
        <f>+SUMIF([1]Cartera!$R:$R,$A4&amp;"_"&amp;AOG$11,[1]Cartera!$I:$I)+SUMIF([1]Futuros!$AD:$AD,$A4&amp;"_"&amp;AOG$11,[1]Futuros!$AK:$AK)+SUMIF([1]Opciones!$AF:$AF,$A4&amp;"_"&amp;AOG$11,[1]Opciones!$AQ:$AQ)</f>
        <v>#VALUE!</v>
      </c>
      <c r="AOH4" t="e">
        <f>+SUMIF([1]Cartera!$R:$R,$A4&amp;"_"&amp;AOH$11,[1]Cartera!$I:$I)+SUMIF([1]Futuros!$AD:$AD,$A4&amp;"_"&amp;AOH$11,[1]Futuros!$AK:$AK)+SUMIF([1]Opciones!$AF:$AF,$A4&amp;"_"&amp;AOH$11,[1]Opciones!$AQ:$AQ)</f>
        <v>#VALUE!</v>
      </c>
      <c r="AOI4" t="e">
        <f>+SUMIF([1]Cartera!$R:$R,$A4&amp;"_"&amp;AOI$11,[1]Cartera!$I:$I)+SUMIF([1]Futuros!$AD:$AD,$A4&amp;"_"&amp;AOI$11,[1]Futuros!$AK:$AK)+SUMIF([1]Opciones!$AF:$AF,$A4&amp;"_"&amp;AOI$11,[1]Opciones!$AQ:$AQ)</f>
        <v>#VALUE!</v>
      </c>
      <c r="AOJ4" t="e">
        <f>+SUMIF([1]Cartera!$R:$R,$A4&amp;"_"&amp;AOJ$11,[1]Cartera!$I:$I)+SUMIF([1]Futuros!$AD:$AD,$A4&amp;"_"&amp;AOJ$11,[1]Futuros!$AK:$AK)+SUMIF([1]Opciones!$AF:$AF,$A4&amp;"_"&amp;AOJ$11,[1]Opciones!$AQ:$AQ)</f>
        <v>#VALUE!</v>
      </c>
      <c r="AOK4" t="e">
        <f>+SUMIF([1]Cartera!$R:$R,$A4&amp;"_"&amp;AOK$11,[1]Cartera!$I:$I)+SUMIF([1]Futuros!$AD:$AD,$A4&amp;"_"&amp;AOK$11,[1]Futuros!$AK:$AK)+SUMIF([1]Opciones!$AF:$AF,$A4&amp;"_"&amp;AOK$11,[1]Opciones!$AQ:$AQ)</f>
        <v>#VALUE!</v>
      </c>
      <c r="AOL4" t="e">
        <f>+SUMIF([1]Cartera!$R:$R,$A4&amp;"_"&amp;AOL$11,[1]Cartera!$I:$I)+SUMIF([1]Futuros!$AD:$AD,$A4&amp;"_"&amp;AOL$11,[1]Futuros!$AK:$AK)+SUMIF([1]Opciones!$AF:$AF,$A4&amp;"_"&amp;AOL$11,[1]Opciones!$AQ:$AQ)</f>
        <v>#VALUE!</v>
      </c>
      <c r="AOM4" t="e">
        <f>+SUMIF([1]Cartera!$R:$R,$A4&amp;"_"&amp;AOM$11,[1]Cartera!$I:$I)+SUMIF([1]Futuros!$AD:$AD,$A4&amp;"_"&amp;AOM$11,[1]Futuros!$AK:$AK)+SUMIF([1]Opciones!$AF:$AF,$A4&amp;"_"&amp;AOM$11,[1]Opciones!$AQ:$AQ)</f>
        <v>#VALUE!</v>
      </c>
      <c r="AON4" t="e">
        <f>+SUMIF([1]Cartera!$R:$R,$A4&amp;"_"&amp;AON$11,[1]Cartera!$I:$I)+SUMIF([1]Futuros!$AD:$AD,$A4&amp;"_"&amp;AON$11,[1]Futuros!$AK:$AK)+SUMIF([1]Opciones!$AF:$AF,$A4&amp;"_"&amp;AON$11,[1]Opciones!$AQ:$AQ)</f>
        <v>#VALUE!</v>
      </c>
      <c r="AOO4" t="e">
        <f>+SUMIF([1]Cartera!$R:$R,$A4&amp;"_"&amp;AOO$11,[1]Cartera!$I:$I)+SUMIF([1]Futuros!$AD:$AD,$A4&amp;"_"&amp;AOO$11,[1]Futuros!$AK:$AK)+SUMIF([1]Opciones!$AF:$AF,$A4&amp;"_"&amp;AOO$11,[1]Opciones!$AQ:$AQ)</f>
        <v>#VALUE!</v>
      </c>
      <c r="AOP4" t="e">
        <f>+SUMIF([1]Cartera!$R:$R,$A4&amp;"_"&amp;AOP$11,[1]Cartera!$I:$I)+SUMIF([1]Futuros!$AD:$AD,$A4&amp;"_"&amp;AOP$11,[1]Futuros!$AK:$AK)+SUMIF([1]Opciones!$AF:$AF,$A4&amp;"_"&amp;AOP$11,[1]Opciones!$AQ:$AQ)</f>
        <v>#VALUE!</v>
      </c>
      <c r="AOQ4" t="e">
        <f>+SUMIF([1]Cartera!$R:$R,$A4&amp;"_"&amp;AOQ$11,[1]Cartera!$I:$I)+SUMIF([1]Futuros!$AD:$AD,$A4&amp;"_"&amp;AOQ$11,[1]Futuros!$AK:$AK)+SUMIF([1]Opciones!$AF:$AF,$A4&amp;"_"&amp;AOQ$11,[1]Opciones!$AQ:$AQ)</f>
        <v>#VALUE!</v>
      </c>
      <c r="AOR4" t="e">
        <f>+SUMIF([1]Cartera!$R:$R,$A4&amp;"_"&amp;AOR$11,[1]Cartera!$I:$I)+SUMIF([1]Futuros!$AD:$AD,$A4&amp;"_"&amp;AOR$11,[1]Futuros!$AK:$AK)+SUMIF([1]Opciones!$AF:$AF,$A4&amp;"_"&amp;AOR$11,[1]Opciones!$AQ:$AQ)</f>
        <v>#VALUE!</v>
      </c>
      <c r="AOS4" t="e">
        <f>+SUMIF([1]Cartera!$R:$R,$A4&amp;"_"&amp;AOS$11,[1]Cartera!$I:$I)+SUMIF([1]Futuros!$AD:$AD,$A4&amp;"_"&amp;AOS$11,[1]Futuros!$AK:$AK)+SUMIF([1]Opciones!$AF:$AF,$A4&amp;"_"&amp;AOS$11,[1]Opciones!$AQ:$AQ)</f>
        <v>#VALUE!</v>
      </c>
      <c r="AOT4" t="e">
        <f>+SUMIF([1]Cartera!$R:$R,$A4&amp;"_"&amp;AOT$11,[1]Cartera!$I:$I)+SUMIF([1]Futuros!$AD:$AD,$A4&amp;"_"&amp;AOT$11,[1]Futuros!$AK:$AK)+SUMIF([1]Opciones!$AF:$AF,$A4&amp;"_"&amp;AOT$11,[1]Opciones!$AQ:$AQ)</f>
        <v>#VALUE!</v>
      </c>
      <c r="AOU4" t="e">
        <f>+SUMIF([1]Cartera!$R:$R,$A4&amp;"_"&amp;AOU$11,[1]Cartera!$I:$I)+SUMIF([1]Futuros!$AD:$AD,$A4&amp;"_"&amp;AOU$11,[1]Futuros!$AK:$AK)+SUMIF([1]Opciones!$AF:$AF,$A4&amp;"_"&amp;AOU$11,[1]Opciones!$AQ:$AQ)</f>
        <v>#VALUE!</v>
      </c>
      <c r="AOV4" t="e">
        <f>+SUMIF([1]Cartera!$R:$R,$A4&amp;"_"&amp;AOV$11,[1]Cartera!$I:$I)+SUMIF([1]Futuros!$AD:$AD,$A4&amp;"_"&amp;AOV$11,[1]Futuros!$AK:$AK)+SUMIF([1]Opciones!$AF:$AF,$A4&amp;"_"&amp;AOV$11,[1]Opciones!$AQ:$AQ)</f>
        <v>#VALUE!</v>
      </c>
      <c r="AOW4" t="e">
        <f>+SUMIF([1]Cartera!$R:$R,$A4&amp;"_"&amp;AOW$11,[1]Cartera!$I:$I)+SUMIF([1]Futuros!$AD:$AD,$A4&amp;"_"&amp;AOW$11,[1]Futuros!$AK:$AK)+SUMIF([1]Opciones!$AF:$AF,$A4&amp;"_"&amp;AOW$11,[1]Opciones!$AQ:$AQ)</f>
        <v>#VALUE!</v>
      </c>
      <c r="AOX4" t="e">
        <f>+SUMIF([1]Cartera!$R:$R,$A4&amp;"_"&amp;AOX$11,[1]Cartera!$I:$I)+SUMIF([1]Futuros!$AD:$AD,$A4&amp;"_"&amp;AOX$11,[1]Futuros!$AK:$AK)+SUMIF([1]Opciones!$AF:$AF,$A4&amp;"_"&amp;AOX$11,[1]Opciones!$AQ:$AQ)</f>
        <v>#VALUE!</v>
      </c>
      <c r="AOY4" t="e">
        <f>+SUMIF([1]Cartera!$R:$R,$A4&amp;"_"&amp;AOY$11,[1]Cartera!$I:$I)+SUMIF([1]Futuros!$AD:$AD,$A4&amp;"_"&amp;AOY$11,[1]Futuros!$AK:$AK)+SUMIF([1]Opciones!$AF:$AF,$A4&amp;"_"&amp;AOY$11,[1]Opciones!$AQ:$AQ)</f>
        <v>#VALUE!</v>
      </c>
      <c r="AOZ4" t="e">
        <f>+SUMIF([1]Cartera!$R:$R,$A4&amp;"_"&amp;AOZ$11,[1]Cartera!$I:$I)+SUMIF([1]Futuros!$AD:$AD,$A4&amp;"_"&amp;AOZ$11,[1]Futuros!$AK:$AK)+SUMIF([1]Opciones!$AF:$AF,$A4&amp;"_"&amp;AOZ$11,[1]Opciones!$AQ:$AQ)</f>
        <v>#VALUE!</v>
      </c>
      <c r="APA4" t="e">
        <f>+SUMIF([1]Cartera!$R:$R,$A4&amp;"_"&amp;APA$11,[1]Cartera!$I:$I)+SUMIF([1]Futuros!$AD:$AD,$A4&amp;"_"&amp;APA$11,[1]Futuros!$AK:$AK)+SUMIF([1]Opciones!$AF:$AF,$A4&amp;"_"&amp;APA$11,[1]Opciones!$AQ:$AQ)</f>
        <v>#VALUE!</v>
      </c>
      <c r="APB4" t="e">
        <f>+SUMIF([1]Cartera!$R:$R,$A4&amp;"_"&amp;APB$11,[1]Cartera!$I:$I)+SUMIF([1]Futuros!$AD:$AD,$A4&amp;"_"&amp;APB$11,[1]Futuros!$AK:$AK)+SUMIF([1]Opciones!$AF:$AF,$A4&amp;"_"&amp;APB$11,[1]Opciones!$AQ:$AQ)</f>
        <v>#VALUE!</v>
      </c>
      <c r="APC4" t="e">
        <f>+SUMIF([1]Cartera!$R:$R,$A4&amp;"_"&amp;APC$11,[1]Cartera!$I:$I)+SUMIF([1]Futuros!$AD:$AD,$A4&amp;"_"&amp;APC$11,[1]Futuros!$AK:$AK)+SUMIF([1]Opciones!$AF:$AF,$A4&amp;"_"&amp;APC$11,[1]Opciones!$AQ:$AQ)</f>
        <v>#VALUE!</v>
      </c>
      <c r="APD4" t="e">
        <f>+SUMIF([1]Cartera!$R:$R,$A4&amp;"_"&amp;APD$11,[1]Cartera!$I:$I)+SUMIF([1]Futuros!$AD:$AD,$A4&amp;"_"&amp;APD$11,[1]Futuros!$AK:$AK)+SUMIF([1]Opciones!$AF:$AF,$A4&amp;"_"&amp;APD$11,[1]Opciones!$AQ:$AQ)</f>
        <v>#VALUE!</v>
      </c>
      <c r="APE4" t="e">
        <f>+SUMIF([1]Cartera!$R:$R,$A4&amp;"_"&amp;APE$11,[1]Cartera!$I:$I)+SUMIF([1]Futuros!$AD:$AD,$A4&amp;"_"&amp;APE$11,[1]Futuros!$AK:$AK)+SUMIF([1]Opciones!$AF:$AF,$A4&amp;"_"&amp;APE$11,[1]Opciones!$AQ:$AQ)</f>
        <v>#VALUE!</v>
      </c>
      <c r="APF4" t="e">
        <f>+SUMIF([1]Cartera!$R:$R,$A4&amp;"_"&amp;APF$11,[1]Cartera!$I:$I)+SUMIF([1]Futuros!$AD:$AD,$A4&amp;"_"&amp;APF$11,[1]Futuros!$AK:$AK)+SUMIF([1]Opciones!$AF:$AF,$A4&amp;"_"&amp;APF$11,[1]Opciones!$AQ:$AQ)</f>
        <v>#VALUE!</v>
      </c>
      <c r="APG4" t="e">
        <f>+SUMIF([1]Cartera!$R:$R,$A4&amp;"_"&amp;APG$11,[1]Cartera!$I:$I)+SUMIF([1]Futuros!$AD:$AD,$A4&amp;"_"&amp;APG$11,[1]Futuros!$AK:$AK)+SUMIF([1]Opciones!$AF:$AF,$A4&amp;"_"&amp;APG$11,[1]Opciones!$AQ:$AQ)</f>
        <v>#VALUE!</v>
      </c>
      <c r="APH4" t="e">
        <f>+SUMIF([1]Cartera!$R:$R,$A4&amp;"_"&amp;APH$11,[1]Cartera!$I:$I)+SUMIF([1]Futuros!$AD:$AD,$A4&amp;"_"&amp;APH$11,[1]Futuros!$AK:$AK)+SUMIF([1]Opciones!$AF:$AF,$A4&amp;"_"&amp;APH$11,[1]Opciones!$AQ:$AQ)</f>
        <v>#VALUE!</v>
      </c>
      <c r="API4" t="e">
        <f>+SUMIF([1]Cartera!$R:$R,$A4&amp;"_"&amp;API$11,[1]Cartera!$I:$I)+SUMIF([1]Futuros!$AD:$AD,$A4&amp;"_"&amp;API$11,[1]Futuros!$AK:$AK)+SUMIF([1]Opciones!$AF:$AF,$A4&amp;"_"&amp;API$11,[1]Opciones!$AQ:$AQ)</f>
        <v>#VALUE!</v>
      </c>
      <c r="APJ4" t="e">
        <f>+SUMIF([1]Cartera!$R:$R,$A4&amp;"_"&amp;APJ$11,[1]Cartera!$I:$I)+SUMIF([1]Futuros!$AD:$AD,$A4&amp;"_"&amp;APJ$11,[1]Futuros!$AK:$AK)+SUMIF([1]Opciones!$AF:$AF,$A4&amp;"_"&amp;APJ$11,[1]Opciones!$AQ:$AQ)</f>
        <v>#VALUE!</v>
      </c>
      <c r="APK4" t="e">
        <f>+SUMIF([1]Cartera!$R:$R,$A4&amp;"_"&amp;APK$11,[1]Cartera!$I:$I)+SUMIF([1]Futuros!$AD:$AD,$A4&amp;"_"&amp;APK$11,[1]Futuros!$AK:$AK)+SUMIF([1]Opciones!$AF:$AF,$A4&amp;"_"&amp;APK$11,[1]Opciones!$AQ:$AQ)</f>
        <v>#VALUE!</v>
      </c>
      <c r="APL4" t="e">
        <f>+SUMIF([1]Cartera!$R:$R,$A4&amp;"_"&amp;APL$11,[1]Cartera!$I:$I)+SUMIF([1]Futuros!$AD:$AD,$A4&amp;"_"&amp;APL$11,[1]Futuros!$AK:$AK)+SUMIF([1]Opciones!$AF:$AF,$A4&amp;"_"&amp;APL$11,[1]Opciones!$AQ:$AQ)</f>
        <v>#VALUE!</v>
      </c>
      <c r="APM4" t="e">
        <f>+SUMIF([1]Cartera!$R:$R,$A4&amp;"_"&amp;APM$11,[1]Cartera!$I:$I)+SUMIF([1]Futuros!$AD:$AD,$A4&amp;"_"&amp;APM$11,[1]Futuros!$AK:$AK)+SUMIF([1]Opciones!$AF:$AF,$A4&amp;"_"&amp;APM$11,[1]Opciones!$AQ:$AQ)</f>
        <v>#VALUE!</v>
      </c>
      <c r="APN4" t="e">
        <f>+SUMIF([1]Cartera!$R:$R,$A4&amp;"_"&amp;APN$11,[1]Cartera!$I:$I)+SUMIF([1]Futuros!$AD:$AD,$A4&amp;"_"&amp;APN$11,[1]Futuros!$AK:$AK)+SUMIF([1]Opciones!$AF:$AF,$A4&amp;"_"&amp;APN$11,[1]Opciones!$AQ:$AQ)</f>
        <v>#VALUE!</v>
      </c>
      <c r="APO4" t="e">
        <f>+SUMIF([1]Cartera!$R:$R,$A4&amp;"_"&amp;APO$11,[1]Cartera!$I:$I)+SUMIF([1]Futuros!$AD:$AD,$A4&amp;"_"&amp;APO$11,[1]Futuros!$AK:$AK)+SUMIF([1]Opciones!$AF:$AF,$A4&amp;"_"&amp;APO$11,[1]Opciones!$AQ:$AQ)</f>
        <v>#VALUE!</v>
      </c>
      <c r="APP4" t="e">
        <f>+SUMIF([1]Cartera!$R:$R,$A4&amp;"_"&amp;APP$11,[1]Cartera!$I:$I)+SUMIF([1]Futuros!$AD:$AD,$A4&amp;"_"&amp;APP$11,[1]Futuros!$AK:$AK)+SUMIF([1]Opciones!$AF:$AF,$A4&amp;"_"&amp;APP$11,[1]Opciones!$AQ:$AQ)</f>
        <v>#VALUE!</v>
      </c>
      <c r="APQ4" t="e">
        <f>+SUMIF([1]Cartera!$R:$R,$A4&amp;"_"&amp;APQ$11,[1]Cartera!$I:$I)+SUMIF([1]Futuros!$AD:$AD,$A4&amp;"_"&amp;APQ$11,[1]Futuros!$AK:$AK)+SUMIF([1]Opciones!$AF:$AF,$A4&amp;"_"&amp;APQ$11,[1]Opciones!$AQ:$AQ)</f>
        <v>#VALUE!</v>
      </c>
      <c r="APR4" t="e">
        <f>+SUMIF([1]Cartera!$R:$R,$A4&amp;"_"&amp;APR$11,[1]Cartera!$I:$I)+SUMIF([1]Futuros!$AD:$AD,$A4&amp;"_"&amp;APR$11,[1]Futuros!$AK:$AK)+SUMIF([1]Opciones!$AF:$AF,$A4&amp;"_"&amp;APR$11,[1]Opciones!$AQ:$AQ)</f>
        <v>#VALUE!</v>
      </c>
      <c r="APS4" t="e">
        <f>+SUMIF([1]Cartera!$R:$R,$A4&amp;"_"&amp;APS$11,[1]Cartera!$I:$I)+SUMIF([1]Futuros!$AD:$AD,$A4&amp;"_"&amp;APS$11,[1]Futuros!$AK:$AK)+SUMIF([1]Opciones!$AF:$AF,$A4&amp;"_"&amp;APS$11,[1]Opciones!$AQ:$AQ)</f>
        <v>#VALUE!</v>
      </c>
      <c r="APT4" t="e">
        <f>+SUMIF([1]Cartera!$R:$R,$A4&amp;"_"&amp;APT$11,[1]Cartera!$I:$I)+SUMIF([1]Futuros!$AD:$AD,$A4&amp;"_"&amp;APT$11,[1]Futuros!$AK:$AK)+SUMIF([1]Opciones!$AF:$AF,$A4&amp;"_"&amp;APT$11,[1]Opciones!$AQ:$AQ)</f>
        <v>#VALUE!</v>
      </c>
      <c r="APU4" t="e">
        <f>+SUMIF([1]Cartera!$R:$R,$A4&amp;"_"&amp;APU$11,[1]Cartera!$I:$I)+SUMIF([1]Futuros!$AD:$AD,$A4&amp;"_"&amp;APU$11,[1]Futuros!$AK:$AK)+SUMIF([1]Opciones!$AF:$AF,$A4&amp;"_"&amp;APU$11,[1]Opciones!$AQ:$AQ)</f>
        <v>#VALUE!</v>
      </c>
      <c r="APV4" t="e">
        <f>+SUMIF([1]Cartera!$R:$R,$A4&amp;"_"&amp;APV$11,[1]Cartera!$I:$I)+SUMIF([1]Futuros!$AD:$AD,$A4&amp;"_"&amp;APV$11,[1]Futuros!$AK:$AK)+SUMIF([1]Opciones!$AF:$AF,$A4&amp;"_"&amp;APV$11,[1]Opciones!$AQ:$AQ)</f>
        <v>#VALUE!</v>
      </c>
      <c r="APW4" t="e">
        <f>+SUMIF([1]Cartera!$R:$R,$A4&amp;"_"&amp;APW$11,[1]Cartera!$I:$I)+SUMIF([1]Futuros!$AD:$AD,$A4&amp;"_"&amp;APW$11,[1]Futuros!$AK:$AK)+SUMIF([1]Opciones!$AF:$AF,$A4&amp;"_"&amp;APW$11,[1]Opciones!$AQ:$AQ)</f>
        <v>#VALUE!</v>
      </c>
      <c r="APX4" t="e">
        <f>+SUMIF([1]Cartera!$R:$R,$A4&amp;"_"&amp;APX$11,[1]Cartera!$I:$I)+SUMIF([1]Futuros!$AD:$AD,$A4&amp;"_"&amp;APX$11,[1]Futuros!$AK:$AK)+SUMIF([1]Opciones!$AF:$AF,$A4&amp;"_"&amp;APX$11,[1]Opciones!$AQ:$AQ)</f>
        <v>#VALUE!</v>
      </c>
      <c r="APY4" t="e">
        <f>+SUMIF([1]Cartera!$R:$R,$A4&amp;"_"&amp;APY$11,[1]Cartera!$I:$I)+SUMIF([1]Futuros!$AD:$AD,$A4&amp;"_"&amp;APY$11,[1]Futuros!$AK:$AK)+SUMIF([1]Opciones!$AF:$AF,$A4&amp;"_"&amp;APY$11,[1]Opciones!$AQ:$AQ)</f>
        <v>#VALUE!</v>
      </c>
      <c r="APZ4" t="e">
        <f>+SUMIF([1]Cartera!$R:$R,$A4&amp;"_"&amp;APZ$11,[1]Cartera!$I:$I)+SUMIF([1]Futuros!$AD:$AD,$A4&amp;"_"&amp;APZ$11,[1]Futuros!$AK:$AK)+SUMIF([1]Opciones!$AF:$AF,$A4&amp;"_"&amp;APZ$11,[1]Opciones!$AQ:$AQ)</f>
        <v>#VALUE!</v>
      </c>
      <c r="AQA4" t="e">
        <f>+SUMIF([1]Cartera!$R:$R,$A4&amp;"_"&amp;AQA$11,[1]Cartera!$I:$I)+SUMIF([1]Futuros!$AD:$AD,$A4&amp;"_"&amp;AQA$11,[1]Futuros!$AK:$AK)+SUMIF([1]Opciones!$AF:$AF,$A4&amp;"_"&amp;AQA$11,[1]Opciones!$AQ:$AQ)</f>
        <v>#VALUE!</v>
      </c>
      <c r="AQB4" t="e">
        <f>+SUMIF([1]Cartera!$R:$R,$A4&amp;"_"&amp;AQB$11,[1]Cartera!$I:$I)+SUMIF([1]Futuros!$AD:$AD,$A4&amp;"_"&amp;AQB$11,[1]Futuros!$AK:$AK)+SUMIF([1]Opciones!$AF:$AF,$A4&amp;"_"&amp;AQB$11,[1]Opciones!$AQ:$AQ)</f>
        <v>#VALUE!</v>
      </c>
      <c r="AQC4" t="e">
        <f>+SUMIF([1]Cartera!$R:$R,$A4&amp;"_"&amp;AQC$11,[1]Cartera!$I:$I)+SUMIF([1]Futuros!$AD:$AD,$A4&amp;"_"&amp;AQC$11,[1]Futuros!$AK:$AK)+SUMIF([1]Opciones!$AF:$AF,$A4&amp;"_"&amp;AQC$11,[1]Opciones!$AQ:$AQ)</f>
        <v>#VALUE!</v>
      </c>
      <c r="AQD4" t="e">
        <f>+SUMIF([1]Cartera!$R:$R,$A4&amp;"_"&amp;AQD$11,[1]Cartera!$I:$I)+SUMIF([1]Futuros!$AD:$AD,$A4&amp;"_"&amp;AQD$11,[1]Futuros!$AK:$AK)+SUMIF([1]Opciones!$AF:$AF,$A4&amp;"_"&amp;AQD$11,[1]Opciones!$AQ:$AQ)</f>
        <v>#VALUE!</v>
      </c>
      <c r="AQE4" t="e">
        <f>+SUMIF([1]Cartera!$R:$R,$A4&amp;"_"&amp;AQE$11,[1]Cartera!$I:$I)+SUMIF([1]Futuros!$AD:$AD,$A4&amp;"_"&amp;AQE$11,[1]Futuros!$AK:$AK)+SUMIF([1]Opciones!$AF:$AF,$A4&amp;"_"&amp;AQE$11,[1]Opciones!$AQ:$AQ)</f>
        <v>#VALUE!</v>
      </c>
      <c r="AQF4" t="e">
        <f>+SUMIF([1]Cartera!$R:$R,$A4&amp;"_"&amp;AQF$11,[1]Cartera!$I:$I)+SUMIF([1]Futuros!$AD:$AD,$A4&amp;"_"&amp;AQF$11,[1]Futuros!$AK:$AK)+SUMIF([1]Opciones!$AF:$AF,$A4&amp;"_"&amp;AQF$11,[1]Opciones!$AQ:$AQ)</f>
        <v>#VALUE!</v>
      </c>
      <c r="AQG4" t="e">
        <f>+SUMIF([1]Cartera!$R:$R,$A4&amp;"_"&amp;AQG$11,[1]Cartera!$I:$I)+SUMIF([1]Futuros!$AD:$AD,$A4&amp;"_"&amp;AQG$11,[1]Futuros!$AK:$AK)+SUMIF([1]Opciones!$AF:$AF,$A4&amp;"_"&amp;AQG$11,[1]Opciones!$AQ:$AQ)</f>
        <v>#VALUE!</v>
      </c>
      <c r="AQH4" t="e">
        <f>+SUMIF([1]Cartera!$R:$R,$A4&amp;"_"&amp;AQH$11,[1]Cartera!$I:$I)+SUMIF([1]Futuros!$AD:$AD,$A4&amp;"_"&amp;AQH$11,[1]Futuros!$AK:$AK)+SUMIF([1]Opciones!$AF:$AF,$A4&amp;"_"&amp;AQH$11,[1]Opciones!$AQ:$AQ)</f>
        <v>#VALUE!</v>
      </c>
      <c r="AQI4" t="e">
        <f>+SUMIF([1]Cartera!$R:$R,$A4&amp;"_"&amp;AQI$11,[1]Cartera!$I:$I)+SUMIF([1]Futuros!$AD:$AD,$A4&amp;"_"&amp;AQI$11,[1]Futuros!$AK:$AK)+SUMIF([1]Opciones!$AF:$AF,$A4&amp;"_"&amp;AQI$11,[1]Opciones!$AQ:$AQ)</f>
        <v>#VALUE!</v>
      </c>
      <c r="AQJ4" t="e">
        <f>+SUMIF([1]Cartera!$R:$R,$A4&amp;"_"&amp;AQJ$11,[1]Cartera!$I:$I)+SUMIF([1]Futuros!$AD:$AD,$A4&amp;"_"&amp;AQJ$11,[1]Futuros!$AK:$AK)+SUMIF([1]Opciones!$AF:$AF,$A4&amp;"_"&amp;AQJ$11,[1]Opciones!$AQ:$AQ)</f>
        <v>#VALUE!</v>
      </c>
      <c r="AQK4" t="e">
        <f>+SUMIF([1]Cartera!$R:$R,$A4&amp;"_"&amp;AQK$11,[1]Cartera!$I:$I)+SUMIF([1]Futuros!$AD:$AD,$A4&amp;"_"&amp;AQK$11,[1]Futuros!$AK:$AK)+SUMIF([1]Opciones!$AF:$AF,$A4&amp;"_"&amp;AQK$11,[1]Opciones!$AQ:$AQ)</f>
        <v>#VALUE!</v>
      </c>
      <c r="AQL4" t="e">
        <f>+SUMIF([1]Cartera!$R:$R,$A4&amp;"_"&amp;AQL$11,[1]Cartera!$I:$I)+SUMIF([1]Futuros!$AD:$AD,$A4&amp;"_"&amp;AQL$11,[1]Futuros!$AK:$AK)+SUMIF([1]Opciones!$AF:$AF,$A4&amp;"_"&amp;AQL$11,[1]Opciones!$AQ:$AQ)</f>
        <v>#VALUE!</v>
      </c>
      <c r="AQM4" t="e">
        <f>+SUMIF([1]Cartera!$R:$R,$A4&amp;"_"&amp;AQM$11,[1]Cartera!$I:$I)+SUMIF([1]Futuros!$AD:$AD,$A4&amp;"_"&amp;AQM$11,[1]Futuros!$AK:$AK)+SUMIF([1]Opciones!$AF:$AF,$A4&amp;"_"&amp;AQM$11,[1]Opciones!$AQ:$AQ)</f>
        <v>#VALUE!</v>
      </c>
      <c r="AQN4" t="e">
        <f>+SUMIF([1]Cartera!$R:$R,$A4&amp;"_"&amp;AQN$11,[1]Cartera!$I:$I)+SUMIF([1]Futuros!$AD:$AD,$A4&amp;"_"&amp;AQN$11,[1]Futuros!$AK:$AK)+SUMIF([1]Opciones!$AF:$AF,$A4&amp;"_"&amp;AQN$11,[1]Opciones!$AQ:$AQ)</f>
        <v>#VALUE!</v>
      </c>
      <c r="AQO4" t="e">
        <f>+SUMIF([1]Cartera!$R:$R,$A4&amp;"_"&amp;AQO$11,[1]Cartera!$I:$I)+SUMIF([1]Futuros!$AD:$AD,$A4&amp;"_"&amp;AQO$11,[1]Futuros!$AK:$AK)+SUMIF([1]Opciones!$AF:$AF,$A4&amp;"_"&amp;AQO$11,[1]Opciones!$AQ:$AQ)</f>
        <v>#VALUE!</v>
      </c>
      <c r="AQP4" t="e">
        <f>+SUMIF([1]Cartera!$R:$R,$A4&amp;"_"&amp;AQP$11,[1]Cartera!$I:$I)+SUMIF([1]Futuros!$AD:$AD,$A4&amp;"_"&amp;AQP$11,[1]Futuros!$AK:$AK)+SUMIF([1]Opciones!$AF:$AF,$A4&amp;"_"&amp;AQP$11,[1]Opciones!$AQ:$AQ)</f>
        <v>#VALUE!</v>
      </c>
      <c r="AQQ4" t="e">
        <f>+SUMIF([1]Cartera!$R:$R,$A4&amp;"_"&amp;AQQ$11,[1]Cartera!$I:$I)+SUMIF([1]Futuros!$AD:$AD,$A4&amp;"_"&amp;AQQ$11,[1]Futuros!$AK:$AK)+SUMIF([1]Opciones!$AF:$AF,$A4&amp;"_"&amp;AQQ$11,[1]Opciones!$AQ:$AQ)</f>
        <v>#VALUE!</v>
      </c>
      <c r="AQR4" t="e">
        <f>+SUMIF([1]Cartera!$R:$R,$A4&amp;"_"&amp;AQR$11,[1]Cartera!$I:$I)+SUMIF([1]Futuros!$AD:$AD,$A4&amp;"_"&amp;AQR$11,[1]Futuros!$AK:$AK)+SUMIF([1]Opciones!$AF:$AF,$A4&amp;"_"&amp;AQR$11,[1]Opciones!$AQ:$AQ)</f>
        <v>#VALUE!</v>
      </c>
      <c r="AQS4" t="e">
        <f>+SUMIF([1]Cartera!$R:$R,$A4&amp;"_"&amp;AQS$11,[1]Cartera!$I:$I)+SUMIF([1]Futuros!$AD:$AD,$A4&amp;"_"&amp;AQS$11,[1]Futuros!$AK:$AK)+SUMIF([1]Opciones!$AF:$AF,$A4&amp;"_"&amp;AQS$11,[1]Opciones!$AQ:$AQ)</f>
        <v>#VALUE!</v>
      </c>
      <c r="AQT4" t="e">
        <f>+SUMIF([1]Cartera!$R:$R,$A4&amp;"_"&amp;AQT$11,[1]Cartera!$I:$I)+SUMIF([1]Futuros!$AD:$AD,$A4&amp;"_"&amp;AQT$11,[1]Futuros!$AK:$AK)+SUMIF([1]Opciones!$AF:$AF,$A4&amp;"_"&amp;AQT$11,[1]Opciones!$AQ:$AQ)</f>
        <v>#VALUE!</v>
      </c>
      <c r="AQU4" t="e">
        <f>+SUMIF([1]Cartera!$R:$R,$A4&amp;"_"&amp;AQU$11,[1]Cartera!$I:$I)+SUMIF([1]Futuros!$AD:$AD,$A4&amp;"_"&amp;AQU$11,[1]Futuros!$AK:$AK)+SUMIF([1]Opciones!$AF:$AF,$A4&amp;"_"&amp;AQU$11,[1]Opciones!$AQ:$AQ)</f>
        <v>#VALUE!</v>
      </c>
      <c r="AQV4" t="e">
        <f>+SUMIF([1]Cartera!$R:$R,$A4&amp;"_"&amp;AQV$11,[1]Cartera!$I:$I)+SUMIF([1]Futuros!$AD:$AD,$A4&amp;"_"&amp;AQV$11,[1]Futuros!$AK:$AK)+SUMIF([1]Opciones!$AF:$AF,$A4&amp;"_"&amp;AQV$11,[1]Opciones!$AQ:$AQ)</f>
        <v>#VALUE!</v>
      </c>
      <c r="AQW4" t="e">
        <f>+SUMIF([1]Cartera!$R:$R,$A4&amp;"_"&amp;AQW$11,[1]Cartera!$I:$I)+SUMIF([1]Futuros!$AD:$AD,$A4&amp;"_"&amp;AQW$11,[1]Futuros!$AK:$AK)+SUMIF([1]Opciones!$AF:$AF,$A4&amp;"_"&amp;AQW$11,[1]Opciones!$AQ:$AQ)</f>
        <v>#VALUE!</v>
      </c>
      <c r="AQX4" t="e">
        <f>+SUMIF([1]Cartera!$R:$R,$A4&amp;"_"&amp;AQX$11,[1]Cartera!$I:$I)+SUMIF([1]Futuros!$AD:$AD,$A4&amp;"_"&amp;AQX$11,[1]Futuros!$AK:$AK)+SUMIF([1]Opciones!$AF:$AF,$A4&amp;"_"&amp;AQX$11,[1]Opciones!$AQ:$AQ)</f>
        <v>#VALUE!</v>
      </c>
      <c r="AQY4" t="e">
        <f>+SUMIF([1]Cartera!$R:$R,$A4&amp;"_"&amp;AQY$11,[1]Cartera!$I:$I)+SUMIF([1]Futuros!$AD:$AD,$A4&amp;"_"&amp;AQY$11,[1]Futuros!$AK:$AK)+SUMIF([1]Opciones!$AF:$AF,$A4&amp;"_"&amp;AQY$11,[1]Opciones!$AQ:$AQ)</f>
        <v>#VALUE!</v>
      </c>
      <c r="AQZ4" t="e">
        <f>+SUMIF([1]Cartera!$R:$R,$A4&amp;"_"&amp;AQZ$11,[1]Cartera!$I:$I)+SUMIF([1]Futuros!$AD:$AD,$A4&amp;"_"&amp;AQZ$11,[1]Futuros!$AK:$AK)+SUMIF([1]Opciones!$AF:$AF,$A4&amp;"_"&amp;AQZ$11,[1]Opciones!$AQ:$AQ)</f>
        <v>#VALUE!</v>
      </c>
      <c r="ARA4" t="e">
        <f>+SUMIF([1]Cartera!$R:$R,$A4&amp;"_"&amp;ARA$11,[1]Cartera!$I:$I)+SUMIF([1]Futuros!$AD:$AD,$A4&amp;"_"&amp;ARA$11,[1]Futuros!$AK:$AK)+SUMIF([1]Opciones!$AF:$AF,$A4&amp;"_"&amp;ARA$11,[1]Opciones!$AQ:$AQ)</f>
        <v>#VALUE!</v>
      </c>
      <c r="ARB4" t="e">
        <f>+SUMIF([1]Cartera!$R:$R,$A4&amp;"_"&amp;ARB$11,[1]Cartera!$I:$I)+SUMIF([1]Futuros!$AD:$AD,$A4&amp;"_"&amp;ARB$11,[1]Futuros!$AK:$AK)+SUMIF([1]Opciones!$AF:$AF,$A4&amp;"_"&amp;ARB$11,[1]Opciones!$AQ:$AQ)</f>
        <v>#VALUE!</v>
      </c>
      <c r="ARC4" t="e">
        <f>+SUMIF([1]Cartera!$R:$R,$A4&amp;"_"&amp;ARC$11,[1]Cartera!$I:$I)+SUMIF([1]Futuros!$AD:$AD,$A4&amp;"_"&amp;ARC$11,[1]Futuros!$AK:$AK)+SUMIF([1]Opciones!$AF:$AF,$A4&amp;"_"&amp;ARC$11,[1]Opciones!$AQ:$AQ)</f>
        <v>#VALUE!</v>
      </c>
      <c r="ARD4" t="e">
        <f>+SUMIF([1]Cartera!$R:$R,$A4&amp;"_"&amp;ARD$11,[1]Cartera!$I:$I)+SUMIF([1]Futuros!$AD:$AD,$A4&amp;"_"&amp;ARD$11,[1]Futuros!$AK:$AK)+SUMIF([1]Opciones!$AF:$AF,$A4&amp;"_"&amp;ARD$11,[1]Opciones!$AQ:$AQ)</f>
        <v>#VALUE!</v>
      </c>
      <c r="ARE4" t="e">
        <f>+SUMIF([1]Cartera!$R:$R,$A4&amp;"_"&amp;ARE$11,[1]Cartera!$I:$I)+SUMIF([1]Futuros!$AD:$AD,$A4&amp;"_"&amp;ARE$11,[1]Futuros!$AK:$AK)+SUMIF([1]Opciones!$AF:$AF,$A4&amp;"_"&amp;ARE$11,[1]Opciones!$AQ:$AQ)</f>
        <v>#VALUE!</v>
      </c>
      <c r="ARF4" t="e">
        <f>+SUMIF([1]Cartera!$R:$R,$A4&amp;"_"&amp;ARF$11,[1]Cartera!$I:$I)+SUMIF([1]Futuros!$AD:$AD,$A4&amp;"_"&amp;ARF$11,[1]Futuros!$AK:$AK)+SUMIF([1]Opciones!$AF:$AF,$A4&amp;"_"&amp;ARF$11,[1]Opciones!$AQ:$AQ)</f>
        <v>#VALUE!</v>
      </c>
      <c r="ARG4" t="e">
        <f>+SUMIF([1]Cartera!$R:$R,$A4&amp;"_"&amp;ARG$11,[1]Cartera!$I:$I)+SUMIF([1]Futuros!$AD:$AD,$A4&amp;"_"&amp;ARG$11,[1]Futuros!$AK:$AK)+SUMIF([1]Opciones!$AF:$AF,$A4&amp;"_"&amp;ARG$11,[1]Opciones!$AQ:$AQ)</f>
        <v>#VALUE!</v>
      </c>
      <c r="ARH4" t="e">
        <f>+SUMIF([1]Cartera!$R:$R,$A4&amp;"_"&amp;ARH$11,[1]Cartera!$I:$I)+SUMIF([1]Futuros!$AD:$AD,$A4&amp;"_"&amp;ARH$11,[1]Futuros!$AK:$AK)+SUMIF([1]Opciones!$AF:$AF,$A4&amp;"_"&amp;ARH$11,[1]Opciones!$AQ:$AQ)</f>
        <v>#VALUE!</v>
      </c>
      <c r="ARI4" t="e">
        <f>+SUMIF([1]Cartera!$R:$R,$A4&amp;"_"&amp;ARI$11,[1]Cartera!$I:$I)+SUMIF([1]Futuros!$AD:$AD,$A4&amp;"_"&amp;ARI$11,[1]Futuros!$AK:$AK)+SUMIF([1]Opciones!$AF:$AF,$A4&amp;"_"&amp;ARI$11,[1]Opciones!$AQ:$AQ)</f>
        <v>#VALUE!</v>
      </c>
      <c r="ARJ4" t="e">
        <f>+SUMIF([1]Cartera!$R:$R,$A4&amp;"_"&amp;ARJ$11,[1]Cartera!$I:$I)+SUMIF([1]Futuros!$AD:$AD,$A4&amp;"_"&amp;ARJ$11,[1]Futuros!$AK:$AK)+SUMIF([1]Opciones!$AF:$AF,$A4&amp;"_"&amp;ARJ$11,[1]Opciones!$AQ:$AQ)</f>
        <v>#VALUE!</v>
      </c>
      <c r="ARK4" t="e">
        <f>+SUMIF([1]Cartera!$R:$R,$A4&amp;"_"&amp;ARK$11,[1]Cartera!$I:$I)+SUMIF([1]Futuros!$AD:$AD,$A4&amp;"_"&amp;ARK$11,[1]Futuros!$AK:$AK)+SUMIF([1]Opciones!$AF:$AF,$A4&amp;"_"&amp;ARK$11,[1]Opciones!$AQ:$AQ)</f>
        <v>#VALUE!</v>
      </c>
      <c r="ARL4" t="e">
        <f>+SUMIF([1]Cartera!$R:$R,$A4&amp;"_"&amp;ARL$11,[1]Cartera!$I:$I)+SUMIF([1]Futuros!$AD:$AD,$A4&amp;"_"&amp;ARL$11,[1]Futuros!$AK:$AK)+SUMIF([1]Opciones!$AF:$AF,$A4&amp;"_"&amp;ARL$11,[1]Opciones!$AQ:$AQ)</f>
        <v>#VALUE!</v>
      </c>
      <c r="ARM4" t="e">
        <f>+SUMIF([1]Cartera!$R:$R,$A4&amp;"_"&amp;ARM$11,[1]Cartera!$I:$I)+SUMIF([1]Futuros!$AD:$AD,$A4&amp;"_"&amp;ARM$11,[1]Futuros!$AK:$AK)+SUMIF([1]Opciones!$AF:$AF,$A4&amp;"_"&amp;ARM$11,[1]Opciones!$AQ:$AQ)</f>
        <v>#VALUE!</v>
      </c>
      <c r="ARN4" t="e">
        <f>+SUMIF([1]Cartera!$R:$R,$A4&amp;"_"&amp;ARN$11,[1]Cartera!$I:$I)+SUMIF([1]Futuros!$AD:$AD,$A4&amp;"_"&amp;ARN$11,[1]Futuros!$AK:$AK)+SUMIF([1]Opciones!$AF:$AF,$A4&amp;"_"&amp;ARN$11,[1]Opciones!$AQ:$AQ)</f>
        <v>#VALUE!</v>
      </c>
      <c r="ARO4" t="e">
        <f>+SUMIF([1]Cartera!$R:$R,$A4&amp;"_"&amp;ARO$11,[1]Cartera!$I:$I)+SUMIF([1]Futuros!$AD:$AD,$A4&amp;"_"&amp;ARO$11,[1]Futuros!$AK:$AK)+SUMIF([1]Opciones!$AF:$AF,$A4&amp;"_"&amp;ARO$11,[1]Opciones!$AQ:$AQ)</f>
        <v>#VALUE!</v>
      </c>
      <c r="ARP4" t="e">
        <f>+SUMIF([1]Cartera!$R:$R,$A4&amp;"_"&amp;ARP$11,[1]Cartera!$I:$I)+SUMIF([1]Futuros!$AD:$AD,$A4&amp;"_"&amp;ARP$11,[1]Futuros!$AK:$AK)+SUMIF([1]Opciones!$AF:$AF,$A4&amp;"_"&amp;ARP$11,[1]Opciones!$AQ:$AQ)</f>
        <v>#VALUE!</v>
      </c>
      <c r="ARQ4" t="e">
        <f>+SUMIF([1]Cartera!$R:$R,$A4&amp;"_"&amp;ARQ$11,[1]Cartera!$I:$I)+SUMIF([1]Futuros!$AD:$AD,$A4&amp;"_"&amp;ARQ$11,[1]Futuros!$AK:$AK)+SUMIF([1]Opciones!$AF:$AF,$A4&amp;"_"&amp;ARQ$11,[1]Opciones!$AQ:$AQ)</f>
        <v>#VALUE!</v>
      </c>
      <c r="ARR4" t="e">
        <f>+SUMIF([1]Cartera!$R:$R,$A4&amp;"_"&amp;ARR$11,[1]Cartera!$I:$I)+SUMIF([1]Futuros!$AD:$AD,$A4&amp;"_"&amp;ARR$11,[1]Futuros!$AK:$AK)+SUMIF([1]Opciones!$AF:$AF,$A4&amp;"_"&amp;ARR$11,[1]Opciones!$AQ:$AQ)</f>
        <v>#VALUE!</v>
      </c>
      <c r="ARS4" t="e">
        <f>+SUMIF([1]Cartera!$R:$R,$A4&amp;"_"&amp;ARS$11,[1]Cartera!$I:$I)+SUMIF([1]Futuros!$AD:$AD,$A4&amp;"_"&amp;ARS$11,[1]Futuros!$AK:$AK)+SUMIF([1]Opciones!$AF:$AF,$A4&amp;"_"&amp;ARS$11,[1]Opciones!$AQ:$AQ)</f>
        <v>#VALUE!</v>
      </c>
      <c r="ART4" t="e">
        <f>+SUMIF([1]Cartera!$R:$R,$A4&amp;"_"&amp;ART$11,[1]Cartera!$I:$I)+SUMIF([1]Futuros!$AD:$AD,$A4&amp;"_"&amp;ART$11,[1]Futuros!$AK:$AK)+SUMIF([1]Opciones!$AF:$AF,$A4&amp;"_"&amp;ART$11,[1]Opciones!$AQ:$AQ)</f>
        <v>#VALUE!</v>
      </c>
      <c r="ARU4" t="e">
        <f>+SUMIF([1]Cartera!$R:$R,$A4&amp;"_"&amp;ARU$11,[1]Cartera!$I:$I)+SUMIF([1]Futuros!$AD:$AD,$A4&amp;"_"&amp;ARU$11,[1]Futuros!$AK:$AK)+SUMIF([1]Opciones!$AF:$AF,$A4&amp;"_"&amp;ARU$11,[1]Opciones!$AQ:$AQ)</f>
        <v>#VALUE!</v>
      </c>
      <c r="ARV4" t="e">
        <f>+SUMIF([1]Cartera!$R:$R,$A4&amp;"_"&amp;ARV$11,[1]Cartera!$I:$I)+SUMIF([1]Futuros!$AD:$AD,$A4&amp;"_"&amp;ARV$11,[1]Futuros!$AK:$AK)+SUMIF([1]Opciones!$AF:$AF,$A4&amp;"_"&amp;ARV$11,[1]Opciones!$AQ:$AQ)</f>
        <v>#VALUE!</v>
      </c>
      <c r="ARW4" t="e">
        <f>+SUMIF([1]Cartera!$R:$R,$A4&amp;"_"&amp;ARW$11,[1]Cartera!$I:$I)+SUMIF([1]Futuros!$AD:$AD,$A4&amp;"_"&amp;ARW$11,[1]Futuros!$AK:$AK)+SUMIF([1]Opciones!$AF:$AF,$A4&amp;"_"&amp;ARW$11,[1]Opciones!$AQ:$AQ)</f>
        <v>#VALUE!</v>
      </c>
      <c r="ARX4" t="e">
        <f>+SUMIF([1]Cartera!$R:$R,$A4&amp;"_"&amp;ARX$11,[1]Cartera!$I:$I)+SUMIF([1]Futuros!$AD:$AD,$A4&amp;"_"&amp;ARX$11,[1]Futuros!$AK:$AK)+SUMIF([1]Opciones!$AF:$AF,$A4&amp;"_"&amp;ARX$11,[1]Opciones!$AQ:$AQ)</f>
        <v>#VALUE!</v>
      </c>
      <c r="ARY4" t="e">
        <f>+SUMIF([1]Cartera!$R:$R,$A4&amp;"_"&amp;ARY$11,[1]Cartera!$I:$I)+SUMIF([1]Futuros!$AD:$AD,$A4&amp;"_"&amp;ARY$11,[1]Futuros!$AK:$AK)+SUMIF([1]Opciones!$AF:$AF,$A4&amp;"_"&amp;ARY$11,[1]Opciones!$AQ:$AQ)</f>
        <v>#VALUE!</v>
      </c>
      <c r="ARZ4" t="e">
        <f>+SUMIF([1]Cartera!$R:$R,$A4&amp;"_"&amp;ARZ$11,[1]Cartera!$I:$I)+SUMIF([1]Futuros!$AD:$AD,$A4&amp;"_"&amp;ARZ$11,[1]Futuros!$AK:$AK)+SUMIF([1]Opciones!$AF:$AF,$A4&amp;"_"&amp;ARZ$11,[1]Opciones!$AQ:$AQ)</f>
        <v>#VALUE!</v>
      </c>
      <c r="ASA4" t="e">
        <f>+SUMIF([1]Cartera!$R:$R,$A4&amp;"_"&amp;ASA$11,[1]Cartera!$I:$I)+SUMIF([1]Futuros!$AD:$AD,$A4&amp;"_"&amp;ASA$11,[1]Futuros!$AK:$AK)+SUMIF([1]Opciones!$AF:$AF,$A4&amp;"_"&amp;ASA$11,[1]Opciones!$AQ:$AQ)</f>
        <v>#VALUE!</v>
      </c>
      <c r="ASB4" t="e">
        <f>+SUMIF([1]Cartera!$R:$R,$A4&amp;"_"&amp;ASB$11,[1]Cartera!$I:$I)+SUMIF([1]Futuros!$AD:$AD,$A4&amp;"_"&amp;ASB$11,[1]Futuros!$AK:$AK)+SUMIF([1]Opciones!$AF:$AF,$A4&amp;"_"&amp;ASB$11,[1]Opciones!$AQ:$AQ)</f>
        <v>#VALUE!</v>
      </c>
      <c r="ASC4" t="e">
        <f>+SUMIF([1]Cartera!$R:$R,$A4&amp;"_"&amp;ASC$11,[1]Cartera!$I:$I)+SUMIF([1]Futuros!$AD:$AD,$A4&amp;"_"&amp;ASC$11,[1]Futuros!$AK:$AK)+SUMIF([1]Opciones!$AF:$AF,$A4&amp;"_"&amp;ASC$11,[1]Opciones!$AQ:$AQ)</f>
        <v>#VALUE!</v>
      </c>
      <c r="ASD4" t="e">
        <f>+SUMIF([1]Cartera!$R:$R,$A4&amp;"_"&amp;ASD$11,[1]Cartera!$I:$I)+SUMIF([1]Futuros!$AD:$AD,$A4&amp;"_"&amp;ASD$11,[1]Futuros!$AK:$AK)+SUMIF([1]Opciones!$AF:$AF,$A4&amp;"_"&amp;ASD$11,[1]Opciones!$AQ:$AQ)</f>
        <v>#VALUE!</v>
      </c>
      <c r="ASE4" t="e">
        <f>+SUMIF([1]Cartera!$R:$R,$A4&amp;"_"&amp;ASE$11,[1]Cartera!$I:$I)+SUMIF([1]Futuros!$AD:$AD,$A4&amp;"_"&amp;ASE$11,[1]Futuros!$AK:$AK)+SUMIF([1]Opciones!$AF:$AF,$A4&amp;"_"&amp;ASE$11,[1]Opciones!$AQ:$AQ)</f>
        <v>#VALUE!</v>
      </c>
      <c r="ASF4" t="e">
        <f>+SUMIF([1]Cartera!$R:$R,$A4&amp;"_"&amp;ASF$11,[1]Cartera!$I:$I)+SUMIF([1]Futuros!$AD:$AD,$A4&amp;"_"&amp;ASF$11,[1]Futuros!$AK:$AK)+SUMIF([1]Opciones!$AF:$AF,$A4&amp;"_"&amp;ASF$11,[1]Opciones!$AQ:$AQ)</f>
        <v>#VALUE!</v>
      </c>
      <c r="ASG4" t="e">
        <f>+SUMIF([1]Cartera!$R:$R,$A4&amp;"_"&amp;ASG$11,[1]Cartera!$I:$I)+SUMIF([1]Futuros!$AD:$AD,$A4&amp;"_"&amp;ASG$11,[1]Futuros!$AK:$AK)+SUMIF([1]Opciones!$AF:$AF,$A4&amp;"_"&amp;ASG$11,[1]Opciones!$AQ:$AQ)</f>
        <v>#VALUE!</v>
      </c>
      <c r="ASH4" t="e">
        <f>+SUMIF([1]Cartera!$R:$R,$A4&amp;"_"&amp;ASH$11,[1]Cartera!$I:$I)+SUMIF([1]Futuros!$AD:$AD,$A4&amp;"_"&amp;ASH$11,[1]Futuros!$AK:$AK)+SUMIF([1]Opciones!$AF:$AF,$A4&amp;"_"&amp;ASH$11,[1]Opciones!$AQ:$AQ)</f>
        <v>#VALUE!</v>
      </c>
      <c r="ASI4" t="e">
        <f>+SUMIF([1]Cartera!$R:$R,$A4&amp;"_"&amp;ASI$11,[1]Cartera!$I:$I)+SUMIF([1]Futuros!$AD:$AD,$A4&amp;"_"&amp;ASI$11,[1]Futuros!$AK:$AK)+SUMIF([1]Opciones!$AF:$AF,$A4&amp;"_"&amp;ASI$11,[1]Opciones!$AQ:$AQ)</f>
        <v>#VALUE!</v>
      </c>
      <c r="ASJ4" t="e">
        <f>+SUMIF([1]Cartera!$R:$R,$A4&amp;"_"&amp;ASJ$11,[1]Cartera!$I:$I)+SUMIF([1]Futuros!$AD:$AD,$A4&amp;"_"&amp;ASJ$11,[1]Futuros!$AK:$AK)+SUMIF([1]Opciones!$AF:$AF,$A4&amp;"_"&amp;ASJ$11,[1]Opciones!$AQ:$AQ)</f>
        <v>#VALUE!</v>
      </c>
      <c r="ASK4" t="e">
        <f>+SUMIF([1]Cartera!$R:$R,$A4&amp;"_"&amp;ASK$11,[1]Cartera!$I:$I)+SUMIF([1]Futuros!$AD:$AD,$A4&amp;"_"&amp;ASK$11,[1]Futuros!$AK:$AK)+SUMIF([1]Opciones!$AF:$AF,$A4&amp;"_"&amp;ASK$11,[1]Opciones!$AQ:$AQ)</f>
        <v>#VALUE!</v>
      </c>
      <c r="ASL4" t="e">
        <f>+SUMIF([1]Cartera!$R:$R,$A4&amp;"_"&amp;ASL$11,[1]Cartera!$I:$I)+SUMIF([1]Futuros!$AD:$AD,$A4&amp;"_"&amp;ASL$11,[1]Futuros!$AK:$AK)+SUMIF([1]Opciones!$AF:$AF,$A4&amp;"_"&amp;ASL$11,[1]Opciones!$AQ:$AQ)</f>
        <v>#VALUE!</v>
      </c>
      <c r="ASM4" t="e">
        <f>+SUMIF([1]Cartera!$R:$R,$A4&amp;"_"&amp;ASM$11,[1]Cartera!$I:$I)+SUMIF([1]Futuros!$AD:$AD,$A4&amp;"_"&amp;ASM$11,[1]Futuros!$AK:$AK)+SUMIF([1]Opciones!$AF:$AF,$A4&amp;"_"&amp;ASM$11,[1]Opciones!$AQ:$AQ)</f>
        <v>#VALUE!</v>
      </c>
      <c r="ASN4" t="e">
        <f>+SUMIF([1]Cartera!$R:$R,$A4&amp;"_"&amp;ASN$11,[1]Cartera!$I:$I)+SUMIF([1]Futuros!$AD:$AD,$A4&amp;"_"&amp;ASN$11,[1]Futuros!$AK:$AK)+SUMIF([1]Opciones!$AF:$AF,$A4&amp;"_"&amp;ASN$11,[1]Opciones!$AQ:$AQ)</f>
        <v>#VALUE!</v>
      </c>
      <c r="ASO4" t="e">
        <f>+SUMIF([1]Cartera!$R:$R,$A4&amp;"_"&amp;ASO$11,[1]Cartera!$I:$I)+SUMIF([1]Futuros!$AD:$AD,$A4&amp;"_"&amp;ASO$11,[1]Futuros!$AK:$AK)+SUMIF([1]Opciones!$AF:$AF,$A4&amp;"_"&amp;ASO$11,[1]Opciones!$AQ:$AQ)</f>
        <v>#VALUE!</v>
      </c>
      <c r="ASP4" t="e">
        <f>+SUMIF([1]Cartera!$R:$R,$A4&amp;"_"&amp;ASP$11,[1]Cartera!$I:$I)+SUMIF([1]Futuros!$AD:$AD,$A4&amp;"_"&amp;ASP$11,[1]Futuros!$AK:$AK)+SUMIF([1]Opciones!$AF:$AF,$A4&amp;"_"&amp;ASP$11,[1]Opciones!$AQ:$AQ)</f>
        <v>#VALUE!</v>
      </c>
      <c r="ASQ4" t="e">
        <f>+SUMIF([1]Cartera!$R:$R,$A4&amp;"_"&amp;ASQ$11,[1]Cartera!$I:$I)+SUMIF([1]Futuros!$AD:$AD,$A4&amp;"_"&amp;ASQ$11,[1]Futuros!$AK:$AK)+SUMIF([1]Opciones!$AF:$AF,$A4&amp;"_"&amp;ASQ$11,[1]Opciones!$AQ:$AQ)</f>
        <v>#VALUE!</v>
      </c>
      <c r="ASR4" t="e">
        <f>+SUMIF([1]Cartera!$R:$R,$A4&amp;"_"&amp;ASR$11,[1]Cartera!$I:$I)+SUMIF([1]Futuros!$AD:$AD,$A4&amp;"_"&amp;ASR$11,[1]Futuros!$AK:$AK)+SUMIF([1]Opciones!$AF:$AF,$A4&amp;"_"&amp;ASR$11,[1]Opciones!$AQ:$AQ)</f>
        <v>#VALUE!</v>
      </c>
      <c r="ASS4" t="e">
        <f>+SUMIF([1]Cartera!$R:$R,$A4&amp;"_"&amp;ASS$11,[1]Cartera!$I:$I)+SUMIF([1]Futuros!$AD:$AD,$A4&amp;"_"&amp;ASS$11,[1]Futuros!$AK:$AK)+SUMIF([1]Opciones!$AF:$AF,$A4&amp;"_"&amp;ASS$11,[1]Opciones!$AQ:$AQ)</f>
        <v>#VALUE!</v>
      </c>
      <c r="AST4" t="e">
        <f>+SUMIF([1]Cartera!$R:$R,$A4&amp;"_"&amp;AST$11,[1]Cartera!$I:$I)+SUMIF([1]Futuros!$AD:$AD,$A4&amp;"_"&amp;AST$11,[1]Futuros!$AK:$AK)+SUMIF([1]Opciones!$AF:$AF,$A4&amp;"_"&amp;AST$11,[1]Opciones!$AQ:$AQ)</f>
        <v>#VALUE!</v>
      </c>
      <c r="ASU4" t="e">
        <f>+SUMIF([1]Cartera!$R:$R,$A4&amp;"_"&amp;ASU$11,[1]Cartera!$I:$I)+SUMIF([1]Futuros!$AD:$AD,$A4&amp;"_"&amp;ASU$11,[1]Futuros!$AK:$AK)+SUMIF([1]Opciones!$AF:$AF,$A4&amp;"_"&amp;ASU$11,[1]Opciones!$AQ:$AQ)</f>
        <v>#VALUE!</v>
      </c>
      <c r="ASV4" t="e">
        <f>+SUMIF([1]Cartera!$R:$R,$A4&amp;"_"&amp;ASV$11,[1]Cartera!$I:$I)+SUMIF([1]Futuros!$AD:$AD,$A4&amp;"_"&amp;ASV$11,[1]Futuros!$AK:$AK)+SUMIF([1]Opciones!$AF:$AF,$A4&amp;"_"&amp;ASV$11,[1]Opciones!$AQ:$AQ)</f>
        <v>#VALUE!</v>
      </c>
      <c r="ASW4" t="e">
        <f>+SUMIF([1]Cartera!$R:$R,$A4&amp;"_"&amp;ASW$11,[1]Cartera!$I:$I)+SUMIF([1]Futuros!$AD:$AD,$A4&amp;"_"&amp;ASW$11,[1]Futuros!$AK:$AK)+SUMIF([1]Opciones!$AF:$AF,$A4&amp;"_"&amp;ASW$11,[1]Opciones!$AQ:$AQ)</f>
        <v>#VALUE!</v>
      </c>
      <c r="ASX4" t="e">
        <f>+SUMIF([1]Cartera!$R:$R,$A4&amp;"_"&amp;ASX$11,[1]Cartera!$I:$I)+SUMIF([1]Futuros!$AD:$AD,$A4&amp;"_"&amp;ASX$11,[1]Futuros!$AK:$AK)+SUMIF([1]Opciones!$AF:$AF,$A4&amp;"_"&amp;ASX$11,[1]Opciones!$AQ:$AQ)</f>
        <v>#VALUE!</v>
      </c>
      <c r="ASY4" t="e">
        <f>+SUMIF([1]Cartera!$R:$R,$A4&amp;"_"&amp;ASY$11,[1]Cartera!$I:$I)+SUMIF([1]Futuros!$AD:$AD,$A4&amp;"_"&amp;ASY$11,[1]Futuros!$AK:$AK)+SUMIF([1]Opciones!$AF:$AF,$A4&amp;"_"&amp;ASY$11,[1]Opciones!$AQ:$AQ)</f>
        <v>#VALUE!</v>
      </c>
      <c r="ASZ4" t="e">
        <f>+SUMIF([1]Cartera!$R:$R,$A4&amp;"_"&amp;ASZ$11,[1]Cartera!$I:$I)+SUMIF([1]Futuros!$AD:$AD,$A4&amp;"_"&amp;ASZ$11,[1]Futuros!$AK:$AK)+SUMIF([1]Opciones!$AF:$AF,$A4&amp;"_"&amp;ASZ$11,[1]Opciones!$AQ:$AQ)</f>
        <v>#VALUE!</v>
      </c>
      <c r="ATA4" t="e">
        <f>+SUMIF([1]Cartera!$R:$R,$A4&amp;"_"&amp;ATA$11,[1]Cartera!$I:$I)+SUMIF([1]Futuros!$AD:$AD,$A4&amp;"_"&amp;ATA$11,[1]Futuros!$AK:$AK)+SUMIF([1]Opciones!$AF:$AF,$A4&amp;"_"&amp;ATA$11,[1]Opciones!$AQ:$AQ)</f>
        <v>#VALUE!</v>
      </c>
      <c r="ATB4" t="e">
        <f>+SUMIF([1]Cartera!$R:$R,$A4&amp;"_"&amp;ATB$11,[1]Cartera!$I:$I)+SUMIF([1]Futuros!$AD:$AD,$A4&amp;"_"&amp;ATB$11,[1]Futuros!$AK:$AK)+SUMIF([1]Opciones!$AF:$AF,$A4&amp;"_"&amp;ATB$11,[1]Opciones!$AQ:$AQ)</f>
        <v>#VALUE!</v>
      </c>
      <c r="ATC4" t="e">
        <f>+SUMIF([1]Cartera!$R:$R,$A4&amp;"_"&amp;ATC$11,[1]Cartera!$I:$I)+SUMIF([1]Futuros!$AD:$AD,$A4&amp;"_"&amp;ATC$11,[1]Futuros!$AK:$AK)+SUMIF([1]Opciones!$AF:$AF,$A4&amp;"_"&amp;ATC$11,[1]Opciones!$AQ:$AQ)</f>
        <v>#VALUE!</v>
      </c>
      <c r="ATD4" t="e">
        <f>+SUMIF([1]Cartera!$R:$R,$A4&amp;"_"&amp;ATD$11,[1]Cartera!$I:$I)+SUMIF([1]Futuros!$AD:$AD,$A4&amp;"_"&amp;ATD$11,[1]Futuros!$AK:$AK)+SUMIF([1]Opciones!$AF:$AF,$A4&amp;"_"&amp;ATD$11,[1]Opciones!$AQ:$AQ)</f>
        <v>#VALUE!</v>
      </c>
      <c r="ATE4" t="e">
        <f>+SUMIF([1]Cartera!$R:$R,$A4&amp;"_"&amp;ATE$11,[1]Cartera!$I:$I)+SUMIF([1]Futuros!$AD:$AD,$A4&amp;"_"&amp;ATE$11,[1]Futuros!$AK:$AK)+SUMIF([1]Opciones!$AF:$AF,$A4&amp;"_"&amp;ATE$11,[1]Opciones!$AQ:$AQ)</f>
        <v>#VALUE!</v>
      </c>
      <c r="ATF4" t="e">
        <f>+SUMIF([1]Cartera!$R:$R,$A4&amp;"_"&amp;ATF$11,[1]Cartera!$I:$I)+SUMIF([1]Futuros!$AD:$AD,$A4&amp;"_"&amp;ATF$11,[1]Futuros!$AK:$AK)+SUMIF([1]Opciones!$AF:$AF,$A4&amp;"_"&amp;ATF$11,[1]Opciones!$AQ:$AQ)</f>
        <v>#VALUE!</v>
      </c>
      <c r="ATG4" t="e">
        <f>+SUMIF([1]Cartera!$R:$R,$A4&amp;"_"&amp;ATG$11,[1]Cartera!$I:$I)+SUMIF([1]Futuros!$AD:$AD,$A4&amp;"_"&amp;ATG$11,[1]Futuros!$AK:$AK)+SUMIF([1]Opciones!$AF:$AF,$A4&amp;"_"&amp;ATG$11,[1]Opciones!$AQ:$AQ)</f>
        <v>#VALUE!</v>
      </c>
      <c r="ATH4" t="e">
        <f>+SUMIF([1]Cartera!$R:$R,$A4&amp;"_"&amp;ATH$11,[1]Cartera!$I:$I)+SUMIF([1]Futuros!$AD:$AD,$A4&amp;"_"&amp;ATH$11,[1]Futuros!$AK:$AK)+SUMIF([1]Opciones!$AF:$AF,$A4&amp;"_"&amp;ATH$11,[1]Opciones!$AQ:$AQ)</f>
        <v>#VALUE!</v>
      </c>
      <c r="ATI4" t="e">
        <f>+SUMIF([1]Cartera!$R:$R,$A4&amp;"_"&amp;ATI$11,[1]Cartera!$I:$I)+SUMIF([1]Futuros!$AD:$AD,$A4&amp;"_"&amp;ATI$11,[1]Futuros!$AK:$AK)+SUMIF([1]Opciones!$AF:$AF,$A4&amp;"_"&amp;ATI$11,[1]Opciones!$AQ:$AQ)</f>
        <v>#VALUE!</v>
      </c>
      <c r="ATJ4" t="e">
        <f>+SUMIF([1]Cartera!$R:$R,$A4&amp;"_"&amp;ATJ$11,[1]Cartera!$I:$I)+SUMIF([1]Futuros!$AD:$AD,$A4&amp;"_"&amp;ATJ$11,[1]Futuros!$AK:$AK)+SUMIF([1]Opciones!$AF:$AF,$A4&amp;"_"&amp;ATJ$11,[1]Opciones!$AQ:$AQ)</f>
        <v>#VALUE!</v>
      </c>
      <c r="ATK4" t="e">
        <f>+SUMIF([1]Cartera!$R:$R,$A4&amp;"_"&amp;ATK$11,[1]Cartera!$I:$I)+SUMIF([1]Futuros!$AD:$AD,$A4&amp;"_"&amp;ATK$11,[1]Futuros!$AK:$AK)+SUMIF([1]Opciones!$AF:$AF,$A4&amp;"_"&amp;ATK$11,[1]Opciones!$AQ:$AQ)</f>
        <v>#VALUE!</v>
      </c>
      <c r="ATL4" t="e">
        <f>+SUMIF([1]Cartera!$R:$R,$A4&amp;"_"&amp;ATL$11,[1]Cartera!$I:$I)+SUMIF([1]Futuros!$AD:$AD,$A4&amp;"_"&amp;ATL$11,[1]Futuros!$AK:$AK)+SUMIF([1]Opciones!$AF:$AF,$A4&amp;"_"&amp;ATL$11,[1]Opciones!$AQ:$AQ)</f>
        <v>#VALUE!</v>
      </c>
      <c r="ATM4" t="e">
        <f>+SUMIF([1]Cartera!$R:$R,$A4&amp;"_"&amp;ATM$11,[1]Cartera!$I:$I)+SUMIF([1]Futuros!$AD:$AD,$A4&amp;"_"&amp;ATM$11,[1]Futuros!$AK:$AK)+SUMIF([1]Opciones!$AF:$AF,$A4&amp;"_"&amp;ATM$11,[1]Opciones!$AQ:$AQ)</f>
        <v>#VALUE!</v>
      </c>
      <c r="ATN4" t="e">
        <f>+SUMIF([1]Cartera!$R:$R,$A4&amp;"_"&amp;ATN$11,[1]Cartera!$I:$I)+SUMIF([1]Futuros!$AD:$AD,$A4&amp;"_"&amp;ATN$11,[1]Futuros!$AK:$AK)+SUMIF([1]Opciones!$AF:$AF,$A4&amp;"_"&amp;ATN$11,[1]Opciones!$AQ:$AQ)</f>
        <v>#VALUE!</v>
      </c>
      <c r="ATO4" t="e">
        <f>+SUMIF([1]Cartera!$R:$R,$A4&amp;"_"&amp;ATO$11,[1]Cartera!$I:$I)+SUMIF([1]Futuros!$AD:$AD,$A4&amp;"_"&amp;ATO$11,[1]Futuros!$AK:$AK)+SUMIF([1]Opciones!$AF:$AF,$A4&amp;"_"&amp;ATO$11,[1]Opciones!$AQ:$AQ)</f>
        <v>#VALUE!</v>
      </c>
      <c r="ATP4" t="e">
        <f>+SUMIF([1]Cartera!$R:$R,$A4&amp;"_"&amp;ATP$11,[1]Cartera!$I:$I)+SUMIF([1]Futuros!$AD:$AD,$A4&amp;"_"&amp;ATP$11,[1]Futuros!$AK:$AK)+SUMIF([1]Opciones!$AF:$AF,$A4&amp;"_"&amp;ATP$11,[1]Opciones!$AQ:$AQ)</f>
        <v>#VALUE!</v>
      </c>
      <c r="ATQ4" t="e">
        <f>+SUMIF([1]Cartera!$R:$R,$A4&amp;"_"&amp;ATQ$11,[1]Cartera!$I:$I)+SUMIF([1]Futuros!$AD:$AD,$A4&amp;"_"&amp;ATQ$11,[1]Futuros!$AK:$AK)+SUMIF([1]Opciones!$AF:$AF,$A4&amp;"_"&amp;ATQ$11,[1]Opciones!$AQ:$AQ)</f>
        <v>#VALUE!</v>
      </c>
    </row>
    <row r="5" spans="1:1213" x14ac:dyDescent="0.25">
      <c r="A5" s="8" t="s">
        <v>3</v>
      </c>
      <c r="B5" s="38" t="s">
        <v>7</v>
      </c>
      <c r="C5" s="1">
        <f t="shared" si="1"/>
        <v>46241</v>
      </c>
      <c r="D5" s="8" t="str">
        <f t="shared" si="0"/>
        <v>IN-FONDO2_PxQ_07/08/2026</v>
      </c>
      <c r="E5">
        <f>+INDEX([1]Pat_Int!$G:$G,MATCH($A5,[1]Pat_Int!$B:$B,0))</f>
        <v>28150046684.720657</v>
      </c>
      <c r="F5">
        <f>+INDEX([1]Pat_Int!$D:$D,MATCH($A5,[1]Pat_Int!$B:$B,0))</f>
        <v>160676367.9589844</v>
      </c>
      <c r="G5">
        <f>+INDEX([1]IN_Mon!$AT$7:$AV$52,MATCH(G$11,[1]IN_Mon!$AP$7:$AP$52,0),MATCH($A5,[1]IN_Mon!$AT$6:$AV$6,0))</f>
        <v>2467.9341589999999</v>
      </c>
      <c r="H5">
        <f>+INDEX([1]IN_Mon!$AT$7:$AV$52,MATCH(H$11,[1]IN_Mon!$AP$7:$AP$52,0),MATCH($A5,[1]IN_Mon!$AT$6:$AV$6,0))</f>
        <v>0</v>
      </c>
      <c r="I5">
        <f>+INDEX([1]IN_Mon!$AT$7:$AV$52,MATCH(I$11,[1]IN_Mon!$AP$7:$AP$52,0),MATCH($A5,[1]IN_Mon!$AT$6:$AV$6,0))</f>
        <v>0</v>
      </c>
      <c r="J5">
        <f>+INDEX([1]IN_Mon!$AT$7:$AV$52,MATCH(J$11,[1]IN_Mon!$AP$7:$AP$52,0),MATCH($A5,[1]IN_Mon!$AT$6:$AV$6,0))</f>
        <v>0</v>
      </c>
      <c r="K5">
        <f>+INDEX([1]IN_Mon!$AT$7:$AV$52,MATCH(K$11,[1]IN_Mon!$AP$7:$AP$52,0),MATCH($A5,[1]IN_Mon!$AT$6:$AV$6,0))</f>
        <v>0</v>
      </c>
      <c r="L5">
        <f>+INDEX([1]IN_Mon!$AT$7:$AV$52,MATCH(L$11,[1]IN_Mon!$AP$7:$AP$52,0),MATCH($A5,[1]IN_Mon!$AT$6:$AV$6,0))</f>
        <v>46086702.330084004</v>
      </c>
      <c r="M5">
        <f>+INDEX([1]IN_Mon!$AT$7:$AV$52,MATCH(M$11,[1]IN_Mon!$AP$7:$AP$52,0),MATCH($A5,[1]IN_Mon!$AT$6:$AV$6,0))</f>
        <v>309050.22532899998</v>
      </c>
      <c r="N5">
        <f>+INDEX([1]IN_Mon!$AT$7:$AV$52,MATCH(N$11,[1]IN_Mon!$AP$7:$AP$52,0),MATCH($A5,[1]IN_Mon!$AT$6:$AV$6,0))</f>
        <v>61238.234491000003</v>
      </c>
      <c r="O5">
        <f>+INDEX([1]IN_Mon!$AT$7:$AV$52,MATCH(O$11,[1]IN_Mon!$AP$7:$AP$52,0),MATCH($A5,[1]IN_Mon!$AT$6:$AV$6,0))</f>
        <v>21.4465</v>
      </c>
      <c r="P5">
        <f>+INDEX([1]IN_Mon!$AT$7:$AV$52,MATCH(P$11,[1]IN_Mon!$AP$7:$AP$52,0),MATCH($A5,[1]IN_Mon!$AT$6:$AV$6,0))</f>
        <v>477.767</v>
      </c>
      <c r="Q5">
        <f>+INDEX([1]IN_Mon!$AT$7:$AV$52,MATCH(Q$11,[1]IN_Mon!$AP$7:$AP$52,0),MATCH($A5,[1]IN_Mon!$AT$6:$AV$6,0))</f>
        <v>0</v>
      </c>
      <c r="R5">
        <f>+INDEX([1]IN_Mon!$AT$7:$AV$52,MATCH(R$11,[1]IN_Mon!$AP$7:$AP$52,0),MATCH($A5,[1]IN_Mon!$AT$6:$AV$6,0))</f>
        <v>71.123379999999997</v>
      </c>
      <c r="S5">
        <f>+INDEX([1]IN_Mon!$AT$7:$AV$52,MATCH(S$11,[1]IN_Mon!$AP$7:$AP$52,0),MATCH($A5,[1]IN_Mon!$AT$6:$AV$6,0))</f>
        <v>0</v>
      </c>
      <c r="T5">
        <f>+INDEX([1]IN_Mon!$AT$7:$AV$52,MATCH(T$11,[1]IN_Mon!$AP$7:$AP$52,0),MATCH($A5,[1]IN_Mon!$AT$6:$AV$6,0))</f>
        <v>62.773829999999997</v>
      </c>
      <c r="U5">
        <f>+INDEX([1]IN_Mon!$AT$7:$AV$52,MATCH(U$11,[1]IN_Mon!$AP$7:$AP$52,0),MATCH($A5,[1]IN_Mon!$AT$6:$AV$6,0))</f>
        <v>107.0808</v>
      </c>
      <c r="V5">
        <f>+INDEX([1]IN_Mon!$AT$7:$AV$52,MATCH(V$11,[1]IN_Mon!$AP$7:$AP$52,0),MATCH($A5,[1]IN_Mon!$AT$6:$AV$6,0))</f>
        <v>4.1846120000000004</v>
      </c>
      <c r="W5">
        <f>+INDEX([1]IN_Mon!$AT$7:$AV$52,MATCH(W$11,[1]IN_Mon!$AP$7:$AP$52,0),MATCH($A5,[1]IN_Mon!$AT$6:$AV$6,0))</f>
        <v>197.1088</v>
      </c>
      <c r="X5">
        <f>+INDEX([1]Pat_Int!$E:$E,MATCH($A5,[1]Pat_Int!$B:$B,0))</f>
        <v>4215424677.4722257</v>
      </c>
      <c r="Y5">
        <f>+INDEX([1]Pat_Int!$F:$F,MATCH($A5,[1]Pat_Int!$B:$B,0))</f>
        <v>4545897338.93645</v>
      </c>
      <c r="Z5">
        <f>+F5-SUM(G5:W5)</f>
        <v>114215967.7499994</v>
      </c>
      <c r="AA5" t="e">
        <f>+SUMIF([1]Cartera!$R:$R,$A5&amp;"_"&amp;AA$11,[1]Cartera!$I:$I)</f>
        <v>#VALUE!</v>
      </c>
      <c r="AB5" t="e">
        <f>+SUMIF([1]Cartera!$R:$R,$A5&amp;"_"&amp;AB$11,[1]Cartera!$I:$I)</f>
        <v>#VALUE!</v>
      </c>
      <c r="AC5" t="e">
        <f>+SUMIF([1]Cartera!$R:$R,$A5&amp;"_"&amp;AC$11,[1]Cartera!$I:$I)</f>
        <v>#VALUE!</v>
      </c>
      <c r="AD5" t="e">
        <f>+SUMIF([1]Cartera!$R:$R,$A5&amp;"_"&amp;AD$11,[1]Cartera!$I:$I)</f>
        <v>#VALUE!</v>
      </c>
      <c r="AE5" t="e">
        <f>+SUMIF([1]Cartera!$R:$R,$A5&amp;"_"&amp;AE$11,[1]Cartera!$I:$I)</f>
        <v>#VALUE!</v>
      </c>
      <c r="AF5" t="e">
        <f>+SUMIF([1]Cartera!$R:$R,$A5&amp;"_"&amp;AF$11,[1]Cartera!$I:$I)</f>
        <v>#VALUE!</v>
      </c>
      <c r="AG5" t="e">
        <f>+SUMIF([1]Cartera!$R:$R,$A5&amp;"_"&amp;AG$11,[1]Cartera!$I:$I)</f>
        <v>#VALUE!</v>
      </c>
      <c r="AH5" t="e">
        <f>+SUMIF([1]Cartera!$R:$R,$A5&amp;"_"&amp;AH$11,[1]Cartera!$I:$I)</f>
        <v>#VALUE!</v>
      </c>
      <c r="AI5" t="e">
        <f>+SUMIF([1]Cartera!$R:$R,$A5&amp;"_"&amp;AI$11,[1]Cartera!$I:$I)+SUMIF([1]Futuros!$AD:$AD,$A5&amp;"_"&amp;AI$11,[1]Futuros!$AK:$AK)+SUMIF([1]Opciones!$AF:$AF,$A5&amp;"_"&amp;AI$11,[1]Opciones!$AQ:$AQ)</f>
        <v>#VALUE!</v>
      </c>
      <c r="AJ5" t="e">
        <f>+SUMIF([1]Cartera!$R:$R,$A5&amp;"_"&amp;AJ$11,[1]Cartera!$I:$I)+SUMIF([1]Futuros!$AD:$AD,$A5&amp;"_"&amp;AJ$11,[1]Futuros!$AK:$AK)+SUMIF([1]Opciones!$AF:$AF,$A5&amp;"_"&amp;AJ$11,[1]Opciones!$AQ:$AQ)</f>
        <v>#VALUE!</v>
      </c>
      <c r="AK5" t="e">
        <f>+SUMIF([1]Cartera!$R:$R,$A5&amp;"_"&amp;AK$11,[1]Cartera!$I:$I)+SUMIF([1]Futuros!$AD:$AD,$A5&amp;"_"&amp;AK$11,[1]Futuros!$AK:$AK)+SUMIF([1]Opciones!$AF:$AF,$A5&amp;"_"&amp;AK$11,[1]Opciones!$AQ:$AQ)</f>
        <v>#VALUE!</v>
      </c>
      <c r="AL5" t="e">
        <f>+SUMIF([1]Cartera!$R:$R,$A5&amp;"_"&amp;AL$11,[1]Cartera!$I:$I)+SUMIF([1]Futuros!$AD:$AD,$A5&amp;"_"&amp;AL$11,[1]Futuros!$AK:$AK)+SUMIF([1]Opciones!$AF:$AF,$A5&amp;"_"&amp;AL$11,[1]Opciones!$AQ:$AQ)</f>
        <v>#VALUE!</v>
      </c>
      <c r="AM5" t="e">
        <f>+SUMIF([1]Cartera!$R:$R,$A5&amp;"_"&amp;AM$11,[1]Cartera!$I:$I)+SUMIF([1]Futuros!$AD:$AD,$A5&amp;"_"&amp;AM$11,[1]Futuros!$AK:$AK)+SUMIF([1]Opciones!$AF:$AF,$A5&amp;"_"&amp;AM$11,[1]Opciones!$AQ:$AQ)</f>
        <v>#VALUE!</v>
      </c>
      <c r="AN5" t="e">
        <f>+SUMIF([1]Cartera!$R:$R,$A5&amp;"_"&amp;AN$11,[1]Cartera!$I:$I)+SUMIF([1]Futuros!$AD:$AD,$A5&amp;"_"&amp;AN$11,[1]Futuros!$AK:$AK)+SUMIF([1]Opciones!$AF:$AF,$A5&amp;"_"&amp;AN$11,[1]Opciones!$AQ:$AQ)</f>
        <v>#VALUE!</v>
      </c>
      <c r="AO5" t="e">
        <f>+SUMIF([1]Cartera!$R:$R,$A5&amp;"_"&amp;AO$11,[1]Cartera!$I:$I)+SUMIF([1]Futuros!$AD:$AD,$A5&amp;"_"&amp;AO$11,[1]Futuros!$AK:$AK)+SUMIF([1]Opciones!$AF:$AF,$A5&amp;"_"&amp;AO$11,[1]Opciones!$AQ:$AQ)</f>
        <v>#VALUE!</v>
      </c>
      <c r="AP5" t="e">
        <f>+SUMIF([1]Cartera!$R:$R,$A5&amp;"_"&amp;AP$11,[1]Cartera!$I:$I)+SUMIF([1]Futuros!$AD:$AD,$A5&amp;"_"&amp;AP$11,[1]Futuros!$AK:$AK)+SUMIF([1]Opciones!$AF:$AF,$A5&amp;"_"&amp;AP$11,[1]Opciones!$AQ:$AQ)</f>
        <v>#VALUE!</v>
      </c>
      <c r="AQ5" t="e">
        <f>+SUMIF([1]Cartera!$R:$R,$A5&amp;"_"&amp;AQ$11,[1]Cartera!$I:$I)+SUMIF([1]Futuros!$AD:$AD,$A5&amp;"_"&amp;AQ$11,[1]Futuros!$AK:$AK)+SUMIF([1]Opciones!$AF:$AF,$A5&amp;"_"&amp;AQ$11,[1]Opciones!$AQ:$AQ)</f>
        <v>#VALUE!</v>
      </c>
      <c r="AR5" t="e">
        <f>+SUMIF([1]Cartera!$R:$R,$A5&amp;"_"&amp;AR$11,[1]Cartera!$I:$I)+SUMIF([1]Futuros!$AD:$AD,$A5&amp;"_"&amp;AR$11,[1]Futuros!$AK:$AK)+SUMIF([1]Opciones!$AF:$AF,$A5&amp;"_"&amp;AR$11,[1]Opciones!$AQ:$AQ)</f>
        <v>#VALUE!</v>
      </c>
      <c r="AS5" t="e">
        <f>+SUMIF([1]Cartera!$R:$R,$A5&amp;"_"&amp;AS$11,[1]Cartera!$I:$I)+SUMIF([1]Futuros!$AD:$AD,$A5&amp;"_"&amp;AS$11,[1]Futuros!$AK:$AK)+SUMIF([1]Opciones!$AF:$AF,$A5&amp;"_"&amp;AS$11,[1]Opciones!$AQ:$AQ)</f>
        <v>#VALUE!</v>
      </c>
      <c r="AT5" t="e">
        <f>+SUMIF([1]Cartera!$R:$R,$A5&amp;"_"&amp;AT$11,[1]Cartera!$I:$I)+SUMIF([1]Futuros!$AD:$AD,$A5&amp;"_"&amp;AT$11,[1]Futuros!$AK:$AK)+SUMIF([1]Opciones!$AF:$AF,$A5&amp;"_"&amp;AT$11,[1]Opciones!$AQ:$AQ)</f>
        <v>#VALUE!</v>
      </c>
      <c r="AU5" t="e">
        <f>+SUMIF([1]Cartera!$R:$R,$A5&amp;"_"&amp;AU$11,[1]Cartera!$I:$I)+SUMIF([1]Futuros!$AD:$AD,$A5&amp;"_"&amp;AU$11,[1]Futuros!$AK:$AK)+SUMIF([1]Opciones!$AF:$AF,$A5&amp;"_"&amp;AU$11,[1]Opciones!$AQ:$AQ)</f>
        <v>#VALUE!</v>
      </c>
      <c r="AV5" t="e">
        <f>+SUMIF([1]Cartera!$R:$R,$A5&amp;"_"&amp;AV$11,[1]Cartera!$I:$I)+SUMIF([1]Futuros!$AD:$AD,$A5&amp;"_"&amp;AV$11,[1]Futuros!$AK:$AK)+SUMIF([1]Opciones!$AF:$AF,$A5&amp;"_"&amp;AV$11,[1]Opciones!$AQ:$AQ)</f>
        <v>#VALUE!</v>
      </c>
      <c r="AW5" t="e">
        <f>+SUMIF([1]Cartera!$R:$R,$A5&amp;"_"&amp;AW$11,[1]Cartera!$I:$I)+SUMIF([1]Futuros!$AD:$AD,$A5&amp;"_"&amp;AW$11,[1]Futuros!$AK:$AK)+SUMIF([1]Opciones!$AF:$AF,$A5&amp;"_"&amp;AW$11,[1]Opciones!$AQ:$AQ)</f>
        <v>#VALUE!</v>
      </c>
      <c r="AX5" t="e">
        <f>+SUMIF([1]Cartera!$R:$R,$A5&amp;"_"&amp;AX$11,[1]Cartera!$I:$I)+SUMIF([1]Futuros!$AD:$AD,$A5&amp;"_"&amp;AX$11,[1]Futuros!$AK:$AK)+SUMIF([1]Opciones!$AF:$AF,$A5&amp;"_"&amp;AX$11,[1]Opciones!$AQ:$AQ)</f>
        <v>#VALUE!</v>
      </c>
      <c r="AY5" t="e">
        <f>+SUMIF([1]Cartera!$R:$R,$A5&amp;"_"&amp;AY$11,[1]Cartera!$I:$I)+SUMIF([1]Futuros!$AD:$AD,$A5&amp;"_"&amp;AY$11,[1]Futuros!$AK:$AK)+SUMIF([1]Opciones!$AF:$AF,$A5&amp;"_"&amp;AY$11,[1]Opciones!$AQ:$AQ)</f>
        <v>#VALUE!</v>
      </c>
      <c r="AZ5" t="e">
        <f>+SUMIF([1]Cartera!$R:$R,$A5&amp;"_"&amp;AZ$11,[1]Cartera!$I:$I)+SUMIF([1]Futuros!$AD:$AD,$A5&amp;"_"&amp;AZ$11,[1]Futuros!$AK:$AK)+SUMIF([1]Opciones!$AF:$AF,$A5&amp;"_"&amp;AZ$11,[1]Opciones!$AQ:$AQ)</f>
        <v>#VALUE!</v>
      </c>
      <c r="BA5" t="e">
        <f>+SUMIF([1]Cartera!$R:$R,$A5&amp;"_"&amp;BA$11,[1]Cartera!$I:$I)+SUMIF([1]Futuros!$AD:$AD,$A5&amp;"_"&amp;BA$11,[1]Futuros!$AK:$AK)+SUMIF([1]Opciones!$AF:$AF,$A5&amp;"_"&amp;BA$11,[1]Opciones!$AQ:$AQ)</f>
        <v>#VALUE!</v>
      </c>
      <c r="BB5" t="e">
        <f>+SUMIF([1]Cartera!$R:$R,$A5&amp;"_"&amp;BB$11,[1]Cartera!$I:$I)+SUMIF([1]Futuros!$AD:$AD,$A5&amp;"_"&amp;BB$11,[1]Futuros!$AK:$AK)+SUMIF([1]Opciones!$AF:$AF,$A5&amp;"_"&amp;BB$11,[1]Opciones!$AQ:$AQ)</f>
        <v>#VALUE!</v>
      </c>
      <c r="BC5" t="e">
        <f>+SUMIF([1]Cartera!$R:$R,$A5&amp;"_"&amp;BC$11,[1]Cartera!$I:$I)+SUMIF([1]Futuros!$AD:$AD,$A5&amp;"_"&amp;BC$11,[1]Futuros!$AK:$AK)+SUMIF([1]Opciones!$AF:$AF,$A5&amp;"_"&amp;BC$11,[1]Opciones!$AQ:$AQ)</f>
        <v>#VALUE!</v>
      </c>
      <c r="BD5" t="e">
        <f>+SUMIF([1]Cartera!$R:$R,$A5&amp;"_"&amp;BD$11,[1]Cartera!$I:$I)+SUMIF([1]Futuros!$AD:$AD,$A5&amp;"_"&amp;BD$11,[1]Futuros!$AK:$AK)+SUMIF([1]Opciones!$AF:$AF,$A5&amp;"_"&amp;BD$11,[1]Opciones!$AQ:$AQ)</f>
        <v>#VALUE!</v>
      </c>
      <c r="BE5" t="e">
        <f>+SUMIF([1]Cartera!$R:$R,$A5&amp;"_"&amp;BE$11,[1]Cartera!$I:$I)+SUMIF([1]Futuros!$AD:$AD,$A5&amp;"_"&amp;BE$11,[1]Futuros!$AK:$AK)+SUMIF([1]Opciones!$AF:$AF,$A5&amp;"_"&amp;BE$11,[1]Opciones!$AQ:$AQ)</f>
        <v>#VALUE!</v>
      </c>
      <c r="BF5" t="e">
        <f>+SUMIF([1]Cartera!$R:$R,$A5&amp;"_"&amp;BF$11,[1]Cartera!$I:$I)+SUMIF([1]Futuros!$AD:$AD,$A5&amp;"_"&amp;BF$11,[1]Futuros!$AK:$AK)+SUMIF([1]Opciones!$AF:$AF,$A5&amp;"_"&amp;BF$11,[1]Opciones!$AQ:$AQ)</f>
        <v>#VALUE!</v>
      </c>
      <c r="BG5" t="e">
        <f>+SUMIF([1]Cartera!$R:$R,$A5&amp;"_"&amp;BG$11,[1]Cartera!$I:$I)+SUMIF([1]Futuros!$AD:$AD,$A5&amp;"_"&amp;BG$11,[1]Futuros!$AK:$AK)+SUMIF([1]Opciones!$AF:$AF,$A5&amp;"_"&amp;BG$11,[1]Opciones!$AQ:$AQ)</f>
        <v>#VALUE!</v>
      </c>
      <c r="BH5" t="e">
        <f>+SUMIF([1]Cartera!$R:$R,$A5&amp;"_"&amp;BH$11,[1]Cartera!$I:$I)+SUMIF([1]Futuros!$AD:$AD,$A5&amp;"_"&amp;BH$11,[1]Futuros!$AK:$AK)+SUMIF([1]Opciones!$AF:$AF,$A5&amp;"_"&amp;BH$11,[1]Opciones!$AQ:$AQ)</f>
        <v>#VALUE!</v>
      </c>
      <c r="BI5" t="e">
        <f>+SUMIF([1]Cartera!$R:$R,$A5&amp;"_"&amp;BI$11,[1]Cartera!$I:$I)+SUMIF([1]Futuros!$AD:$AD,$A5&amp;"_"&amp;BI$11,[1]Futuros!$AK:$AK)+SUMIF([1]Opciones!$AF:$AF,$A5&amp;"_"&amp;BI$11,[1]Opciones!$AQ:$AQ)</f>
        <v>#VALUE!</v>
      </c>
      <c r="BJ5" t="e">
        <f>+SUMIF([1]Cartera!$R:$R,$A5&amp;"_"&amp;BJ$11,[1]Cartera!$I:$I)+SUMIF([1]Futuros!$AD:$AD,$A5&amp;"_"&amp;BJ$11,[1]Futuros!$AK:$AK)+SUMIF([1]Opciones!$AF:$AF,$A5&amp;"_"&amp;BJ$11,[1]Opciones!$AQ:$AQ)</f>
        <v>#VALUE!</v>
      </c>
      <c r="BK5" t="e">
        <f>+SUMIF([1]Cartera!$R:$R,$A5&amp;"_"&amp;BK$11,[1]Cartera!$I:$I)+SUMIF([1]Futuros!$AD:$AD,$A5&amp;"_"&amp;BK$11,[1]Futuros!$AK:$AK)+SUMIF([1]Opciones!$AF:$AF,$A5&amp;"_"&amp;BK$11,[1]Opciones!$AQ:$AQ)</f>
        <v>#VALUE!</v>
      </c>
      <c r="BL5" t="e">
        <f>+SUMIF([1]Cartera!$R:$R,$A5&amp;"_"&amp;BL$11,[1]Cartera!$I:$I)+SUMIF([1]Futuros!$AD:$AD,$A5&amp;"_"&amp;BL$11,[1]Futuros!$AK:$AK)+SUMIF([1]Opciones!$AF:$AF,$A5&amp;"_"&amp;BL$11,[1]Opciones!$AQ:$AQ)</f>
        <v>#VALUE!</v>
      </c>
      <c r="BM5" t="e">
        <f>+SUMIF([1]Cartera!$R:$R,$A5&amp;"_"&amp;BM$11,[1]Cartera!$I:$I)+SUMIF([1]Futuros!$AD:$AD,$A5&amp;"_"&amp;BM$11,[1]Futuros!$AK:$AK)+SUMIF([1]Opciones!$AF:$AF,$A5&amp;"_"&amp;BM$11,[1]Opciones!$AQ:$AQ)</f>
        <v>#VALUE!</v>
      </c>
      <c r="BN5" t="e">
        <f>+SUMIF([1]Cartera!$R:$R,$A5&amp;"_"&amp;BN$11,[1]Cartera!$I:$I)+SUMIF([1]Futuros!$AD:$AD,$A5&amp;"_"&amp;BN$11,[1]Futuros!$AK:$AK)+SUMIF([1]Opciones!$AF:$AF,$A5&amp;"_"&amp;BN$11,[1]Opciones!$AQ:$AQ)</f>
        <v>#VALUE!</v>
      </c>
      <c r="BO5" t="e">
        <f>+SUMIF([1]Cartera!$R:$R,$A5&amp;"_"&amp;BO$11,[1]Cartera!$I:$I)+SUMIF([1]Futuros!$AD:$AD,$A5&amp;"_"&amp;BO$11,[1]Futuros!$AK:$AK)+SUMIF([1]Opciones!$AF:$AF,$A5&amp;"_"&amp;BO$11,[1]Opciones!$AQ:$AQ)</f>
        <v>#VALUE!</v>
      </c>
      <c r="BP5" t="e">
        <f>+SUMIF([1]Cartera!$R:$R,$A5&amp;"_"&amp;BP$11,[1]Cartera!$I:$I)+SUMIF([1]Futuros!$AD:$AD,$A5&amp;"_"&amp;BP$11,[1]Futuros!$AK:$AK)+SUMIF([1]Opciones!$AF:$AF,$A5&amp;"_"&amp;BP$11,[1]Opciones!$AQ:$AQ)</f>
        <v>#VALUE!</v>
      </c>
      <c r="BQ5" t="e">
        <f>+SUMIF([1]Cartera!$R:$R,$A5&amp;"_"&amp;BQ$11,[1]Cartera!$I:$I)+SUMIF([1]Futuros!$AD:$AD,$A5&amp;"_"&amp;BQ$11,[1]Futuros!$AK:$AK)+SUMIF([1]Opciones!$AF:$AF,$A5&amp;"_"&amp;BQ$11,[1]Opciones!$AQ:$AQ)</f>
        <v>#VALUE!</v>
      </c>
      <c r="BR5" t="e">
        <f>+SUMIF([1]Cartera!$R:$R,$A5&amp;"_"&amp;BR$11,[1]Cartera!$I:$I)+SUMIF([1]Futuros!$AD:$AD,$A5&amp;"_"&amp;BR$11,[1]Futuros!$AK:$AK)+SUMIF([1]Opciones!$AF:$AF,$A5&amp;"_"&amp;BR$11,[1]Opciones!$AQ:$AQ)</f>
        <v>#VALUE!</v>
      </c>
      <c r="BS5" t="e">
        <f>+SUMIF([1]Cartera!$R:$R,$A5&amp;"_"&amp;BS$11,[1]Cartera!$I:$I)+SUMIF([1]Futuros!$AD:$AD,$A5&amp;"_"&amp;BS$11,[1]Futuros!$AK:$AK)+SUMIF([1]Opciones!$AF:$AF,$A5&amp;"_"&amp;BS$11,[1]Opciones!$AQ:$AQ)</f>
        <v>#VALUE!</v>
      </c>
      <c r="BT5" t="e">
        <f>+SUMIF([1]Cartera!$R:$R,$A5&amp;"_"&amp;BT$11,[1]Cartera!$I:$I)+SUMIF([1]Futuros!$AD:$AD,$A5&amp;"_"&amp;BT$11,[1]Futuros!$AK:$AK)+SUMIF([1]Opciones!$AF:$AF,$A5&amp;"_"&amp;BT$11,[1]Opciones!$AQ:$AQ)</f>
        <v>#VALUE!</v>
      </c>
      <c r="BU5" t="e">
        <f>+SUMIF([1]Cartera!$R:$R,$A5&amp;"_"&amp;BU$11,[1]Cartera!$I:$I)+SUMIF([1]Futuros!$AD:$AD,$A5&amp;"_"&amp;BU$11,[1]Futuros!$AK:$AK)+SUMIF([1]Opciones!$AF:$AF,$A5&amp;"_"&amp;BU$11,[1]Opciones!$AQ:$AQ)</f>
        <v>#VALUE!</v>
      </c>
      <c r="BV5" t="e">
        <f>+SUMIF([1]Cartera!$R:$R,$A5&amp;"_"&amp;BV$11,[1]Cartera!$I:$I)+SUMIF([1]Futuros!$AD:$AD,$A5&amp;"_"&amp;BV$11,[1]Futuros!$AK:$AK)+SUMIF([1]Opciones!$AF:$AF,$A5&amp;"_"&amp;BV$11,[1]Opciones!$AQ:$AQ)</f>
        <v>#VALUE!</v>
      </c>
      <c r="BW5" t="e">
        <f>+SUMIF([1]Cartera!$R:$R,$A5&amp;"_"&amp;BW$11,[1]Cartera!$I:$I)+SUMIF([1]Futuros!$AD:$AD,$A5&amp;"_"&amp;BW$11,[1]Futuros!$AK:$AK)+SUMIF([1]Opciones!$AF:$AF,$A5&amp;"_"&amp;BW$11,[1]Opciones!$AQ:$AQ)</f>
        <v>#VALUE!</v>
      </c>
      <c r="BX5" t="e">
        <f>+SUMIF([1]Cartera!$R:$R,$A5&amp;"_"&amp;BX$11,[1]Cartera!$I:$I)+SUMIF([1]Futuros!$AD:$AD,$A5&amp;"_"&amp;BX$11,[1]Futuros!$AK:$AK)+SUMIF([1]Opciones!$AF:$AF,$A5&amp;"_"&amp;BX$11,[1]Opciones!$AQ:$AQ)</f>
        <v>#VALUE!</v>
      </c>
      <c r="BY5" t="e">
        <f>+SUMIF([1]Cartera!$R:$R,$A5&amp;"_"&amp;BY$11,[1]Cartera!$I:$I)+SUMIF([1]Futuros!$AD:$AD,$A5&amp;"_"&amp;BY$11,[1]Futuros!$AK:$AK)+SUMIF([1]Opciones!$AF:$AF,$A5&amp;"_"&amp;BY$11,[1]Opciones!$AQ:$AQ)</f>
        <v>#VALUE!</v>
      </c>
      <c r="BZ5" t="e">
        <f>+SUMIF([1]Cartera!$R:$R,$A5&amp;"_"&amp;BZ$11,[1]Cartera!$I:$I)+SUMIF([1]Futuros!$AD:$AD,$A5&amp;"_"&amp;BZ$11,[1]Futuros!$AK:$AK)+SUMIF([1]Opciones!$AF:$AF,$A5&amp;"_"&amp;BZ$11,[1]Opciones!$AQ:$AQ)</f>
        <v>#VALUE!</v>
      </c>
      <c r="CA5" t="e">
        <f>+SUMIF([1]Cartera!$R:$R,$A5&amp;"_"&amp;CA$11,[1]Cartera!$I:$I)+SUMIF([1]Futuros!$AD:$AD,$A5&amp;"_"&amp;CA$11,[1]Futuros!$AK:$AK)+SUMIF([1]Opciones!$AF:$AF,$A5&amp;"_"&amp;CA$11,[1]Opciones!$AQ:$AQ)</f>
        <v>#VALUE!</v>
      </c>
      <c r="CB5" t="e">
        <f>+SUMIF([1]Cartera!$R:$R,$A5&amp;"_"&amp;CB$11,[1]Cartera!$I:$I)+SUMIF([1]Futuros!$AD:$AD,$A5&amp;"_"&amp;CB$11,[1]Futuros!$AK:$AK)+SUMIF([1]Opciones!$AF:$AF,$A5&amp;"_"&amp;CB$11,[1]Opciones!$AQ:$AQ)</f>
        <v>#VALUE!</v>
      </c>
      <c r="CC5" t="e">
        <f>+SUMIF([1]Cartera!$R:$R,$A5&amp;"_"&amp;CC$11,[1]Cartera!$I:$I)+SUMIF([1]Futuros!$AD:$AD,$A5&amp;"_"&amp;CC$11,[1]Futuros!$AK:$AK)+SUMIF([1]Opciones!$AF:$AF,$A5&amp;"_"&amp;CC$11,[1]Opciones!$AQ:$AQ)</f>
        <v>#VALUE!</v>
      </c>
      <c r="CD5" t="e">
        <f>+SUMIF([1]Cartera!$R:$R,$A5&amp;"_"&amp;CD$11,[1]Cartera!$I:$I)+SUMIF([1]Futuros!$AD:$AD,$A5&amp;"_"&amp;CD$11,[1]Futuros!$AK:$AK)+SUMIF([1]Opciones!$AF:$AF,$A5&amp;"_"&amp;CD$11,[1]Opciones!$AQ:$AQ)</f>
        <v>#VALUE!</v>
      </c>
      <c r="CE5" t="e">
        <f>+SUMIF([1]Cartera!$R:$R,$A5&amp;"_"&amp;CE$11,[1]Cartera!$I:$I)+SUMIF([1]Futuros!$AD:$AD,$A5&amp;"_"&amp;CE$11,[1]Futuros!$AK:$AK)+SUMIF([1]Opciones!$AF:$AF,$A5&amp;"_"&amp;CE$11,[1]Opciones!$AQ:$AQ)</f>
        <v>#VALUE!</v>
      </c>
      <c r="CF5" t="e">
        <f>+SUMIF([1]Cartera!$R:$R,$A5&amp;"_"&amp;CF$11,[1]Cartera!$I:$I)+SUMIF([1]Futuros!$AD:$AD,$A5&amp;"_"&amp;CF$11,[1]Futuros!$AK:$AK)+SUMIF([1]Opciones!$AF:$AF,$A5&amp;"_"&amp;CF$11,[1]Opciones!$AQ:$AQ)</f>
        <v>#VALUE!</v>
      </c>
      <c r="CG5" t="e">
        <f>+SUMIF([1]Cartera!$R:$R,$A5&amp;"_"&amp;CG$11,[1]Cartera!$I:$I)+SUMIF([1]Futuros!$AD:$AD,$A5&amp;"_"&amp;CG$11,[1]Futuros!$AK:$AK)+SUMIF([1]Opciones!$AF:$AF,$A5&amp;"_"&amp;CG$11,[1]Opciones!$AQ:$AQ)</f>
        <v>#VALUE!</v>
      </c>
      <c r="CH5" t="e">
        <f>+SUMIF([1]Cartera!$R:$R,$A5&amp;"_"&amp;CH$11,[1]Cartera!$I:$I)+SUMIF([1]Futuros!$AD:$AD,$A5&amp;"_"&amp;CH$11,[1]Futuros!$AK:$AK)+SUMIF([1]Opciones!$AF:$AF,$A5&amp;"_"&amp;CH$11,[1]Opciones!$AQ:$AQ)</f>
        <v>#VALUE!</v>
      </c>
      <c r="CI5" t="e">
        <f>+SUMIF([1]Cartera!$R:$R,$A5&amp;"_"&amp;CI$11,[1]Cartera!$I:$I)+SUMIF([1]Futuros!$AD:$AD,$A5&amp;"_"&amp;CI$11,[1]Futuros!$AK:$AK)+SUMIF([1]Opciones!$AF:$AF,$A5&amp;"_"&amp;CI$11,[1]Opciones!$AQ:$AQ)</f>
        <v>#VALUE!</v>
      </c>
      <c r="CJ5" t="e">
        <f>+SUMIF([1]Cartera!$R:$R,$A5&amp;"_"&amp;CJ$11,[1]Cartera!$I:$I)+SUMIF([1]Futuros!$AD:$AD,$A5&amp;"_"&amp;CJ$11,[1]Futuros!$AK:$AK)+SUMIF([1]Opciones!$AF:$AF,$A5&amp;"_"&amp;CJ$11,[1]Opciones!$AQ:$AQ)</f>
        <v>#VALUE!</v>
      </c>
      <c r="CK5" t="e">
        <f>+SUMIF([1]Cartera!$R:$R,$A5&amp;"_"&amp;CK$11,[1]Cartera!$I:$I)+SUMIF([1]Futuros!$AD:$AD,$A5&amp;"_"&amp;CK$11,[1]Futuros!$AK:$AK)+SUMIF([1]Opciones!$AF:$AF,$A5&amp;"_"&amp;CK$11,[1]Opciones!$AQ:$AQ)</f>
        <v>#VALUE!</v>
      </c>
      <c r="CL5" t="e">
        <f>+SUMIF([1]Cartera!$R:$R,$A5&amp;"_"&amp;CL$11,[1]Cartera!$I:$I)+SUMIF([1]Futuros!$AD:$AD,$A5&amp;"_"&amp;CL$11,[1]Futuros!$AK:$AK)+SUMIF([1]Opciones!$AF:$AF,$A5&amp;"_"&amp;CL$11,[1]Opciones!$AQ:$AQ)</f>
        <v>#VALUE!</v>
      </c>
      <c r="CM5" t="e">
        <f>+SUMIF([1]Cartera!$R:$R,$A5&amp;"_"&amp;CM$11,[1]Cartera!$I:$I)+SUMIF([1]Futuros!$AD:$AD,$A5&amp;"_"&amp;CM$11,[1]Futuros!$AK:$AK)+SUMIF([1]Opciones!$AF:$AF,$A5&amp;"_"&amp;CM$11,[1]Opciones!$AQ:$AQ)</f>
        <v>#VALUE!</v>
      </c>
      <c r="CN5" t="e">
        <f>+SUMIF([1]Cartera!$R:$R,$A5&amp;"_"&amp;CN$11,[1]Cartera!$I:$I)+SUMIF([1]Futuros!$AD:$AD,$A5&amp;"_"&amp;CN$11,[1]Futuros!$AK:$AK)+SUMIF([1]Opciones!$AF:$AF,$A5&amp;"_"&amp;CN$11,[1]Opciones!$AQ:$AQ)</f>
        <v>#VALUE!</v>
      </c>
      <c r="CO5" t="e">
        <f>+SUMIF([1]Cartera!$R:$R,$A5&amp;"_"&amp;CO$11,[1]Cartera!$I:$I)+SUMIF([1]Futuros!$AD:$AD,$A5&amp;"_"&amp;CO$11,[1]Futuros!$AK:$AK)+SUMIF([1]Opciones!$AF:$AF,$A5&amp;"_"&amp;CO$11,[1]Opciones!$AQ:$AQ)</f>
        <v>#VALUE!</v>
      </c>
      <c r="CP5" t="e">
        <f>+SUMIF([1]Cartera!$R:$R,$A5&amp;"_"&amp;CP$11,[1]Cartera!$I:$I)+SUMIF([1]Futuros!$AD:$AD,$A5&amp;"_"&amp;CP$11,[1]Futuros!$AK:$AK)+SUMIF([1]Opciones!$AF:$AF,$A5&amp;"_"&amp;CP$11,[1]Opciones!$AQ:$AQ)</f>
        <v>#VALUE!</v>
      </c>
      <c r="CQ5" t="e">
        <f>+SUMIF([1]Cartera!$R:$R,$A5&amp;"_"&amp;CQ$11,[1]Cartera!$I:$I)+SUMIF([1]Futuros!$AD:$AD,$A5&amp;"_"&amp;CQ$11,[1]Futuros!$AK:$AK)+SUMIF([1]Opciones!$AF:$AF,$A5&amp;"_"&amp;CQ$11,[1]Opciones!$AQ:$AQ)</f>
        <v>#VALUE!</v>
      </c>
      <c r="CR5" t="e">
        <f>+SUMIF([1]Cartera!$R:$R,$A5&amp;"_"&amp;CR$11,[1]Cartera!$I:$I)+SUMIF([1]Futuros!$AD:$AD,$A5&amp;"_"&amp;CR$11,[1]Futuros!$AK:$AK)+SUMIF([1]Opciones!$AF:$AF,$A5&amp;"_"&amp;CR$11,[1]Opciones!$AQ:$AQ)</f>
        <v>#VALUE!</v>
      </c>
      <c r="CS5" t="e">
        <f>+SUMIF([1]Cartera!$R:$R,$A5&amp;"_"&amp;CS$11,[1]Cartera!$I:$I)+SUMIF([1]Futuros!$AD:$AD,$A5&amp;"_"&amp;CS$11,[1]Futuros!$AK:$AK)+SUMIF([1]Opciones!$AF:$AF,$A5&amp;"_"&amp;CS$11,[1]Opciones!$AQ:$AQ)</f>
        <v>#VALUE!</v>
      </c>
      <c r="CT5" t="e">
        <f>+SUMIF([1]Cartera!$R:$R,$A5&amp;"_"&amp;CT$11,[1]Cartera!$I:$I)+SUMIF([1]Futuros!$AD:$AD,$A5&amp;"_"&amp;CT$11,[1]Futuros!$AK:$AK)+SUMIF([1]Opciones!$AF:$AF,$A5&amp;"_"&amp;CT$11,[1]Opciones!$AQ:$AQ)</f>
        <v>#VALUE!</v>
      </c>
      <c r="CU5" t="e">
        <f>+SUMIF([1]Cartera!$R:$R,$A5&amp;"_"&amp;CU$11,[1]Cartera!$I:$I)+SUMIF([1]Futuros!$AD:$AD,$A5&amp;"_"&amp;CU$11,[1]Futuros!$AK:$AK)+SUMIF([1]Opciones!$AF:$AF,$A5&amp;"_"&amp;CU$11,[1]Opciones!$AQ:$AQ)</f>
        <v>#VALUE!</v>
      </c>
      <c r="CV5" t="e">
        <f>+SUMIF([1]Cartera!$R:$R,$A5&amp;"_"&amp;CV$11,[1]Cartera!$I:$I)+SUMIF([1]Futuros!$AD:$AD,$A5&amp;"_"&amp;CV$11,[1]Futuros!$AK:$AK)+SUMIF([1]Opciones!$AF:$AF,$A5&amp;"_"&amp;CV$11,[1]Opciones!$AQ:$AQ)</f>
        <v>#VALUE!</v>
      </c>
      <c r="CW5" t="e">
        <f>+SUMIF([1]Cartera!$R:$R,$A5&amp;"_"&amp;CW$11,[1]Cartera!$I:$I)+SUMIF([1]Futuros!$AD:$AD,$A5&amp;"_"&amp;CW$11,[1]Futuros!$AK:$AK)+SUMIF([1]Opciones!$AF:$AF,$A5&amp;"_"&amp;CW$11,[1]Opciones!$AQ:$AQ)</f>
        <v>#VALUE!</v>
      </c>
      <c r="CX5" t="e">
        <f>+SUMIF([1]Cartera!$R:$R,$A5&amp;"_"&amp;CX$11,[1]Cartera!$I:$I)+SUMIF([1]Futuros!$AD:$AD,$A5&amp;"_"&amp;CX$11,[1]Futuros!$AK:$AK)+SUMIF([1]Opciones!$AF:$AF,$A5&amp;"_"&amp;CX$11,[1]Opciones!$AQ:$AQ)</f>
        <v>#VALUE!</v>
      </c>
      <c r="CY5" t="e">
        <f>+SUMIF([1]Cartera!$R:$R,$A5&amp;"_"&amp;CY$11,[1]Cartera!$I:$I)+SUMIF([1]Futuros!$AD:$AD,$A5&amp;"_"&amp;CY$11,[1]Futuros!$AK:$AK)+SUMIF([1]Opciones!$AF:$AF,$A5&amp;"_"&amp;CY$11,[1]Opciones!$AQ:$AQ)</f>
        <v>#VALUE!</v>
      </c>
      <c r="CZ5" t="e">
        <f>+SUMIF([1]Cartera!$R:$R,$A5&amp;"_"&amp;CZ$11,[1]Cartera!$I:$I)+SUMIF([1]Futuros!$AD:$AD,$A5&amp;"_"&amp;CZ$11,[1]Futuros!$AK:$AK)+SUMIF([1]Opciones!$AF:$AF,$A5&amp;"_"&amp;CZ$11,[1]Opciones!$AQ:$AQ)</f>
        <v>#VALUE!</v>
      </c>
      <c r="DA5" t="e">
        <f>+SUMIF([1]Cartera!$R:$R,$A5&amp;"_"&amp;DA$11,[1]Cartera!$I:$I)+SUMIF([1]Futuros!$AD:$AD,$A5&amp;"_"&amp;DA$11,[1]Futuros!$AK:$AK)+SUMIF([1]Opciones!$AF:$AF,$A5&amp;"_"&amp;DA$11,[1]Opciones!$AQ:$AQ)</f>
        <v>#VALUE!</v>
      </c>
      <c r="DB5" t="e">
        <f>+SUMIF([1]Cartera!$R:$R,$A5&amp;"_"&amp;DB$11,[1]Cartera!$I:$I)+SUMIF([1]Futuros!$AD:$AD,$A5&amp;"_"&amp;DB$11,[1]Futuros!$AK:$AK)+SUMIF([1]Opciones!$AF:$AF,$A5&amp;"_"&amp;DB$11,[1]Opciones!$AQ:$AQ)</f>
        <v>#VALUE!</v>
      </c>
      <c r="DC5" t="e">
        <f>+SUMIF([1]Cartera!$R:$R,$A5&amp;"_"&amp;DC$11,[1]Cartera!$I:$I)+SUMIF([1]Futuros!$AD:$AD,$A5&amp;"_"&amp;DC$11,[1]Futuros!$AK:$AK)+SUMIF([1]Opciones!$AF:$AF,$A5&amp;"_"&amp;DC$11,[1]Opciones!$AQ:$AQ)</f>
        <v>#VALUE!</v>
      </c>
      <c r="DD5" t="e">
        <f>+SUMIF([1]Cartera!$R:$R,$A5&amp;"_"&amp;DD$11,[1]Cartera!$I:$I)+SUMIF([1]Futuros!$AD:$AD,$A5&amp;"_"&amp;DD$11,[1]Futuros!$AK:$AK)+SUMIF([1]Opciones!$AF:$AF,$A5&amp;"_"&amp;DD$11,[1]Opciones!$AQ:$AQ)</f>
        <v>#VALUE!</v>
      </c>
      <c r="DE5" t="e">
        <f>+SUMIF([1]Cartera!$R:$R,$A5&amp;"_"&amp;DE$11,[1]Cartera!$I:$I)+SUMIF([1]Futuros!$AD:$AD,$A5&amp;"_"&amp;DE$11,[1]Futuros!$AK:$AK)+SUMIF([1]Opciones!$AF:$AF,$A5&amp;"_"&amp;DE$11,[1]Opciones!$AQ:$AQ)</f>
        <v>#VALUE!</v>
      </c>
      <c r="DF5" t="e">
        <f>+SUMIF([1]Cartera!$R:$R,$A5&amp;"_"&amp;DF$11,[1]Cartera!$I:$I)+SUMIF([1]Futuros!$AD:$AD,$A5&amp;"_"&amp;DF$11,[1]Futuros!$AK:$AK)+SUMIF([1]Opciones!$AF:$AF,$A5&amp;"_"&amp;DF$11,[1]Opciones!$AQ:$AQ)</f>
        <v>#VALUE!</v>
      </c>
      <c r="DG5" t="e">
        <f>+SUMIF([1]Cartera!$R:$R,$A5&amp;"_"&amp;DG$11,[1]Cartera!$I:$I)+SUMIF([1]Futuros!$AD:$AD,$A5&amp;"_"&amp;DG$11,[1]Futuros!$AK:$AK)+SUMIF([1]Opciones!$AF:$AF,$A5&amp;"_"&amp;DG$11,[1]Opciones!$AQ:$AQ)</f>
        <v>#VALUE!</v>
      </c>
      <c r="DH5" t="e">
        <f>+SUMIF([1]Cartera!$R:$R,$A5&amp;"_"&amp;DH$11,[1]Cartera!$I:$I)+SUMIF([1]Futuros!$AD:$AD,$A5&amp;"_"&amp;DH$11,[1]Futuros!$AK:$AK)+SUMIF([1]Opciones!$AF:$AF,$A5&amp;"_"&amp;DH$11,[1]Opciones!$AQ:$AQ)</f>
        <v>#VALUE!</v>
      </c>
      <c r="DI5" t="e">
        <f>+SUMIF([1]Cartera!$R:$R,$A5&amp;"_"&amp;DI$11,[1]Cartera!$I:$I)+SUMIF([1]Futuros!$AD:$AD,$A5&amp;"_"&amp;DI$11,[1]Futuros!$AK:$AK)+SUMIF([1]Opciones!$AF:$AF,$A5&amp;"_"&amp;DI$11,[1]Opciones!$AQ:$AQ)</f>
        <v>#VALUE!</v>
      </c>
      <c r="DJ5" t="e">
        <f>+SUMIF([1]Cartera!$R:$R,$A5&amp;"_"&amp;DJ$11,[1]Cartera!$I:$I)+SUMIF([1]Futuros!$AD:$AD,$A5&amp;"_"&amp;DJ$11,[1]Futuros!$AK:$AK)+SUMIF([1]Opciones!$AF:$AF,$A5&amp;"_"&amp;DJ$11,[1]Opciones!$AQ:$AQ)</f>
        <v>#VALUE!</v>
      </c>
      <c r="DK5" t="e">
        <f>+SUMIF([1]Cartera!$R:$R,$A5&amp;"_"&amp;DK$11,[1]Cartera!$I:$I)+SUMIF([1]Futuros!$AD:$AD,$A5&amp;"_"&amp;DK$11,[1]Futuros!$AK:$AK)+SUMIF([1]Opciones!$AF:$AF,$A5&amp;"_"&amp;DK$11,[1]Opciones!$AQ:$AQ)</f>
        <v>#VALUE!</v>
      </c>
      <c r="DL5" t="e">
        <f>+SUMIF([1]Cartera!$R:$R,$A5&amp;"_"&amp;DL$11,[1]Cartera!$I:$I)+SUMIF([1]Futuros!$AD:$AD,$A5&amp;"_"&amp;DL$11,[1]Futuros!$AK:$AK)+SUMIF([1]Opciones!$AF:$AF,$A5&amp;"_"&amp;DL$11,[1]Opciones!$AQ:$AQ)</f>
        <v>#VALUE!</v>
      </c>
      <c r="DM5" t="e">
        <f>+SUMIF([1]Cartera!$R:$R,$A5&amp;"_"&amp;DM$11,[1]Cartera!$I:$I)+SUMIF([1]Futuros!$AD:$AD,$A5&amp;"_"&amp;DM$11,[1]Futuros!$AK:$AK)+SUMIF([1]Opciones!$AF:$AF,$A5&amp;"_"&amp;DM$11,[1]Opciones!$AQ:$AQ)</f>
        <v>#VALUE!</v>
      </c>
      <c r="DN5" t="e">
        <f>+SUMIF([1]Cartera!$R:$R,$A5&amp;"_"&amp;DN$11,[1]Cartera!$I:$I)+SUMIF([1]Futuros!$AD:$AD,$A5&amp;"_"&amp;DN$11,[1]Futuros!$AK:$AK)+SUMIF([1]Opciones!$AF:$AF,$A5&amp;"_"&amp;DN$11,[1]Opciones!$AQ:$AQ)</f>
        <v>#VALUE!</v>
      </c>
      <c r="DO5" t="e">
        <f>+SUMIF([1]Cartera!$R:$R,$A5&amp;"_"&amp;DO$11,[1]Cartera!$I:$I)+SUMIF([1]Futuros!$AD:$AD,$A5&amp;"_"&amp;DO$11,[1]Futuros!$AK:$AK)+SUMIF([1]Opciones!$AF:$AF,$A5&amp;"_"&amp;DO$11,[1]Opciones!$AQ:$AQ)</f>
        <v>#VALUE!</v>
      </c>
      <c r="DP5" t="e">
        <f>+SUMIF([1]Cartera!$R:$R,$A5&amp;"_"&amp;DP$11,[1]Cartera!$I:$I)+SUMIF([1]Futuros!$AD:$AD,$A5&amp;"_"&amp;DP$11,[1]Futuros!$AK:$AK)+SUMIF([1]Opciones!$AF:$AF,$A5&amp;"_"&amp;DP$11,[1]Opciones!$AQ:$AQ)</f>
        <v>#VALUE!</v>
      </c>
      <c r="DQ5" t="e">
        <f>+SUMIF([1]Cartera!$R:$R,$A5&amp;"_"&amp;DQ$11,[1]Cartera!$I:$I)+SUMIF([1]Futuros!$AD:$AD,$A5&amp;"_"&amp;DQ$11,[1]Futuros!$AK:$AK)+SUMIF([1]Opciones!$AF:$AF,$A5&amp;"_"&amp;DQ$11,[1]Opciones!$AQ:$AQ)</f>
        <v>#VALUE!</v>
      </c>
      <c r="DR5" t="e">
        <f>+SUMIF([1]Cartera!$R:$R,$A5&amp;"_"&amp;DR$11,[1]Cartera!$I:$I)+SUMIF([1]Futuros!$AD:$AD,$A5&amp;"_"&amp;DR$11,[1]Futuros!$AK:$AK)+SUMIF([1]Opciones!$AF:$AF,$A5&amp;"_"&amp;DR$11,[1]Opciones!$AQ:$AQ)</f>
        <v>#VALUE!</v>
      </c>
      <c r="DS5" t="e">
        <f>+SUMIF([1]Cartera!$R:$R,$A5&amp;"_"&amp;DS$11,[1]Cartera!$I:$I)+SUMIF([1]Futuros!$AD:$AD,$A5&amp;"_"&amp;DS$11,[1]Futuros!$AK:$AK)+SUMIF([1]Opciones!$AF:$AF,$A5&amp;"_"&amp;DS$11,[1]Opciones!$AQ:$AQ)</f>
        <v>#VALUE!</v>
      </c>
      <c r="DT5" t="e">
        <f>+SUMIF([1]Cartera!$R:$R,$A5&amp;"_"&amp;DT$11,[1]Cartera!$I:$I)+SUMIF([1]Futuros!$AD:$AD,$A5&amp;"_"&amp;DT$11,[1]Futuros!$AK:$AK)+SUMIF([1]Opciones!$AF:$AF,$A5&amp;"_"&amp;DT$11,[1]Opciones!$AQ:$AQ)</f>
        <v>#VALUE!</v>
      </c>
      <c r="DU5" t="e">
        <f>+SUMIF([1]Cartera!$R:$R,$A5&amp;"_"&amp;DU$11,[1]Cartera!$I:$I)+SUMIF([1]Futuros!$AD:$AD,$A5&amp;"_"&amp;DU$11,[1]Futuros!$AK:$AK)+SUMIF([1]Opciones!$AF:$AF,$A5&amp;"_"&amp;DU$11,[1]Opciones!$AQ:$AQ)</f>
        <v>#VALUE!</v>
      </c>
      <c r="DV5" t="e">
        <f>+SUMIF([1]Cartera!$R:$R,$A5&amp;"_"&amp;DV$11,[1]Cartera!$I:$I)+SUMIF([1]Futuros!$AD:$AD,$A5&amp;"_"&amp;DV$11,[1]Futuros!$AK:$AK)+SUMIF([1]Opciones!$AF:$AF,$A5&amp;"_"&amp;DV$11,[1]Opciones!$AQ:$AQ)</f>
        <v>#VALUE!</v>
      </c>
      <c r="DW5" t="e">
        <f>+SUMIF([1]Cartera!$R:$R,$A5&amp;"_"&amp;DW$11,[1]Cartera!$I:$I)+SUMIF([1]Futuros!$AD:$AD,$A5&amp;"_"&amp;DW$11,[1]Futuros!$AK:$AK)+SUMIF([1]Opciones!$AF:$AF,$A5&amp;"_"&amp;DW$11,[1]Opciones!$AQ:$AQ)</f>
        <v>#VALUE!</v>
      </c>
      <c r="DX5" t="e">
        <f>+SUMIF([1]Cartera!$R:$R,$A5&amp;"_"&amp;DX$11,[1]Cartera!$I:$I)+SUMIF([1]Futuros!$AD:$AD,$A5&amp;"_"&amp;DX$11,[1]Futuros!$AK:$AK)+SUMIF([1]Opciones!$AF:$AF,$A5&amp;"_"&amp;DX$11,[1]Opciones!$AQ:$AQ)</f>
        <v>#VALUE!</v>
      </c>
      <c r="DY5" t="e">
        <f>+SUMIF([1]Cartera!$R:$R,$A5&amp;"_"&amp;DY$11,[1]Cartera!$I:$I)+SUMIF([1]Futuros!$AD:$AD,$A5&amp;"_"&amp;DY$11,[1]Futuros!$AK:$AK)+SUMIF([1]Opciones!$AF:$AF,$A5&amp;"_"&amp;DY$11,[1]Opciones!$AQ:$AQ)</f>
        <v>#VALUE!</v>
      </c>
      <c r="DZ5" t="e">
        <f>+SUMIF([1]Cartera!$R:$R,$A5&amp;"_"&amp;DZ$11,[1]Cartera!$I:$I)+SUMIF([1]Futuros!$AD:$AD,$A5&amp;"_"&amp;DZ$11,[1]Futuros!$AK:$AK)+SUMIF([1]Opciones!$AF:$AF,$A5&amp;"_"&amp;DZ$11,[1]Opciones!$AQ:$AQ)</f>
        <v>#VALUE!</v>
      </c>
      <c r="EA5" t="e">
        <f>+SUMIF([1]Cartera!$R:$R,$A5&amp;"_"&amp;EA$11,[1]Cartera!$I:$I)+SUMIF([1]Futuros!$AD:$AD,$A5&amp;"_"&amp;EA$11,[1]Futuros!$AK:$AK)+SUMIF([1]Opciones!$AF:$AF,$A5&amp;"_"&amp;EA$11,[1]Opciones!$AQ:$AQ)</f>
        <v>#VALUE!</v>
      </c>
      <c r="EB5" t="e">
        <f>+SUMIF([1]Cartera!$R:$R,$A5&amp;"_"&amp;EB$11,[1]Cartera!$I:$I)+SUMIF([1]Futuros!$AD:$AD,$A5&amp;"_"&amp;EB$11,[1]Futuros!$AK:$AK)+SUMIF([1]Opciones!$AF:$AF,$A5&amp;"_"&amp;EB$11,[1]Opciones!$AQ:$AQ)</f>
        <v>#VALUE!</v>
      </c>
      <c r="EC5" t="e">
        <f>+SUMIF([1]Cartera!$R:$R,$A5&amp;"_"&amp;EC$11,[1]Cartera!$I:$I)+SUMIF([1]Futuros!$AD:$AD,$A5&amp;"_"&amp;EC$11,[1]Futuros!$AK:$AK)+SUMIF([1]Opciones!$AF:$AF,$A5&amp;"_"&amp;EC$11,[1]Opciones!$AQ:$AQ)</f>
        <v>#VALUE!</v>
      </c>
      <c r="ED5" t="e">
        <f>+SUMIF([1]Cartera!$R:$R,$A5&amp;"_"&amp;ED$11,[1]Cartera!$I:$I)+SUMIF([1]Futuros!$AD:$AD,$A5&amp;"_"&amp;ED$11,[1]Futuros!$AK:$AK)+SUMIF([1]Opciones!$AF:$AF,$A5&amp;"_"&amp;ED$11,[1]Opciones!$AQ:$AQ)</f>
        <v>#VALUE!</v>
      </c>
      <c r="EE5" t="e">
        <f>+SUMIF([1]Cartera!$R:$R,$A5&amp;"_"&amp;EE$11,[1]Cartera!$I:$I)+SUMIF([1]Futuros!$AD:$AD,$A5&amp;"_"&amp;EE$11,[1]Futuros!$AK:$AK)+SUMIF([1]Opciones!$AF:$AF,$A5&amp;"_"&amp;EE$11,[1]Opciones!$AQ:$AQ)</f>
        <v>#VALUE!</v>
      </c>
      <c r="EF5" t="e">
        <f>+SUMIF([1]Cartera!$R:$R,$A5&amp;"_"&amp;EF$11,[1]Cartera!$I:$I)+SUMIF([1]Futuros!$AD:$AD,$A5&amp;"_"&amp;EF$11,[1]Futuros!$AK:$AK)+SUMIF([1]Opciones!$AF:$AF,$A5&amp;"_"&amp;EF$11,[1]Opciones!$AQ:$AQ)</f>
        <v>#VALUE!</v>
      </c>
      <c r="EG5" t="e">
        <f>+SUMIF([1]Cartera!$R:$R,$A5&amp;"_"&amp;EG$11,[1]Cartera!$I:$I)+SUMIF([1]Futuros!$AD:$AD,$A5&amp;"_"&amp;EG$11,[1]Futuros!$AK:$AK)+SUMIF([1]Opciones!$AF:$AF,$A5&amp;"_"&amp;EG$11,[1]Opciones!$AQ:$AQ)</f>
        <v>#VALUE!</v>
      </c>
      <c r="EH5" t="e">
        <f>+SUMIF([1]Cartera!$R:$R,$A5&amp;"_"&amp;EH$11,[1]Cartera!$I:$I)+SUMIF([1]Futuros!$AD:$AD,$A5&amp;"_"&amp;EH$11,[1]Futuros!$AK:$AK)+SUMIF([1]Opciones!$AF:$AF,$A5&amp;"_"&amp;EH$11,[1]Opciones!$AQ:$AQ)</f>
        <v>#VALUE!</v>
      </c>
      <c r="EI5" t="e">
        <f>+SUMIF([1]Cartera!$R:$R,$A5&amp;"_"&amp;EI$11,[1]Cartera!$I:$I)+SUMIF([1]Futuros!$AD:$AD,$A5&amp;"_"&amp;EI$11,[1]Futuros!$AK:$AK)+SUMIF([1]Opciones!$AF:$AF,$A5&amp;"_"&amp;EI$11,[1]Opciones!$AQ:$AQ)</f>
        <v>#VALUE!</v>
      </c>
      <c r="EJ5" t="e">
        <f>+SUMIF([1]Cartera!$R:$R,$A5&amp;"_"&amp;EJ$11,[1]Cartera!$I:$I)+SUMIF([1]Futuros!$AD:$AD,$A5&amp;"_"&amp;EJ$11,[1]Futuros!$AK:$AK)+SUMIF([1]Opciones!$AF:$AF,$A5&amp;"_"&amp;EJ$11,[1]Opciones!$AQ:$AQ)</f>
        <v>#VALUE!</v>
      </c>
      <c r="EK5" t="e">
        <f>+SUMIF([1]Cartera!$R:$R,$A5&amp;"_"&amp;EK$11,[1]Cartera!$I:$I)+SUMIF([1]Futuros!$AD:$AD,$A5&amp;"_"&amp;EK$11,[1]Futuros!$AK:$AK)+SUMIF([1]Opciones!$AF:$AF,$A5&amp;"_"&amp;EK$11,[1]Opciones!$AQ:$AQ)</f>
        <v>#VALUE!</v>
      </c>
      <c r="EL5" t="e">
        <f>+SUMIF([1]Cartera!$R:$R,$A5&amp;"_"&amp;EL$11,[1]Cartera!$I:$I)+SUMIF([1]Futuros!$AD:$AD,$A5&amp;"_"&amp;EL$11,[1]Futuros!$AK:$AK)+SUMIF([1]Opciones!$AF:$AF,$A5&amp;"_"&amp;EL$11,[1]Opciones!$AQ:$AQ)</f>
        <v>#VALUE!</v>
      </c>
      <c r="EM5" t="e">
        <f>+SUMIF([1]Cartera!$R:$R,$A5&amp;"_"&amp;EM$11,[1]Cartera!$I:$I)+SUMIF([1]Futuros!$AD:$AD,$A5&amp;"_"&amp;EM$11,[1]Futuros!$AK:$AK)+SUMIF([1]Opciones!$AF:$AF,$A5&amp;"_"&amp;EM$11,[1]Opciones!$AQ:$AQ)</f>
        <v>#VALUE!</v>
      </c>
      <c r="EN5" t="e">
        <f>+SUMIF([1]Cartera!$R:$R,$A5&amp;"_"&amp;EN$11,[1]Cartera!$I:$I)+SUMIF([1]Futuros!$AD:$AD,$A5&amp;"_"&amp;EN$11,[1]Futuros!$AK:$AK)+SUMIF([1]Opciones!$AF:$AF,$A5&amp;"_"&amp;EN$11,[1]Opciones!$AQ:$AQ)</f>
        <v>#VALUE!</v>
      </c>
      <c r="EO5" t="e">
        <f>+SUMIF([1]Cartera!$R:$R,$A5&amp;"_"&amp;EO$11,[1]Cartera!$I:$I)+SUMIF([1]Futuros!$AD:$AD,$A5&amp;"_"&amp;EO$11,[1]Futuros!$AK:$AK)+SUMIF([1]Opciones!$AF:$AF,$A5&amp;"_"&amp;EO$11,[1]Opciones!$AQ:$AQ)</f>
        <v>#VALUE!</v>
      </c>
      <c r="EP5" t="e">
        <f>+SUMIF([1]Cartera!$R:$R,$A5&amp;"_"&amp;EP$11,[1]Cartera!$I:$I)+SUMIF([1]Futuros!$AD:$AD,$A5&amp;"_"&amp;EP$11,[1]Futuros!$AK:$AK)+SUMIF([1]Opciones!$AF:$AF,$A5&amp;"_"&amp;EP$11,[1]Opciones!$AQ:$AQ)</f>
        <v>#VALUE!</v>
      </c>
      <c r="EQ5" t="e">
        <f>+SUMIF([1]Cartera!$R:$R,$A5&amp;"_"&amp;EQ$11,[1]Cartera!$I:$I)+SUMIF([1]Futuros!$AD:$AD,$A5&amp;"_"&amp;EQ$11,[1]Futuros!$AK:$AK)+SUMIF([1]Opciones!$AF:$AF,$A5&amp;"_"&amp;EQ$11,[1]Opciones!$AQ:$AQ)</f>
        <v>#VALUE!</v>
      </c>
      <c r="ER5" t="e">
        <f>+SUMIF([1]Cartera!$R:$R,$A5&amp;"_"&amp;ER$11,[1]Cartera!$I:$I)+SUMIF([1]Futuros!$AD:$AD,$A5&amp;"_"&amp;ER$11,[1]Futuros!$AK:$AK)+SUMIF([1]Opciones!$AF:$AF,$A5&amp;"_"&amp;ER$11,[1]Opciones!$AQ:$AQ)</f>
        <v>#VALUE!</v>
      </c>
      <c r="ES5" t="e">
        <f>+SUMIF([1]Cartera!$R:$R,$A5&amp;"_"&amp;ES$11,[1]Cartera!$I:$I)+SUMIF([1]Futuros!$AD:$AD,$A5&amp;"_"&amp;ES$11,[1]Futuros!$AK:$AK)+SUMIF([1]Opciones!$AF:$AF,$A5&amp;"_"&amp;ES$11,[1]Opciones!$AQ:$AQ)</f>
        <v>#VALUE!</v>
      </c>
      <c r="ET5" t="e">
        <f>+SUMIF([1]Cartera!$R:$R,$A5&amp;"_"&amp;ET$11,[1]Cartera!$I:$I)+SUMIF([1]Futuros!$AD:$AD,$A5&amp;"_"&amp;ET$11,[1]Futuros!$AK:$AK)+SUMIF([1]Opciones!$AF:$AF,$A5&amp;"_"&amp;ET$11,[1]Opciones!$AQ:$AQ)</f>
        <v>#VALUE!</v>
      </c>
      <c r="EU5" t="e">
        <f>+SUMIF([1]Cartera!$R:$R,$A5&amp;"_"&amp;EU$11,[1]Cartera!$I:$I)+SUMIF([1]Futuros!$AD:$AD,$A5&amp;"_"&amp;EU$11,[1]Futuros!$AK:$AK)+SUMIF([1]Opciones!$AF:$AF,$A5&amp;"_"&amp;EU$11,[1]Opciones!$AQ:$AQ)</f>
        <v>#VALUE!</v>
      </c>
      <c r="EV5" t="e">
        <f>+SUMIF([1]Cartera!$R:$R,$A5&amp;"_"&amp;EV$11,[1]Cartera!$I:$I)+SUMIF([1]Futuros!$AD:$AD,$A5&amp;"_"&amp;EV$11,[1]Futuros!$AK:$AK)+SUMIF([1]Opciones!$AF:$AF,$A5&amp;"_"&amp;EV$11,[1]Opciones!$AQ:$AQ)</f>
        <v>#VALUE!</v>
      </c>
      <c r="EW5" t="e">
        <f>+SUMIF([1]Cartera!$R:$R,$A5&amp;"_"&amp;EW$11,[1]Cartera!$I:$I)+SUMIF([1]Futuros!$AD:$AD,$A5&amp;"_"&amp;EW$11,[1]Futuros!$AK:$AK)+SUMIF([1]Opciones!$AF:$AF,$A5&amp;"_"&amp;EW$11,[1]Opciones!$AQ:$AQ)</f>
        <v>#VALUE!</v>
      </c>
      <c r="EX5" t="e">
        <f>+SUMIF([1]Cartera!$R:$R,$A5&amp;"_"&amp;EX$11,[1]Cartera!$I:$I)+SUMIF([1]Futuros!$AD:$AD,$A5&amp;"_"&amp;EX$11,[1]Futuros!$AK:$AK)+SUMIF([1]Opciones!$AF:$AF,$A5&amp;"_"&amp;EX$11,[1]Opciones!$AQ:$AQ)</f>
        <v>#VALUE!</v>
      </c>
      <c r="EY5" t="e">
        <f>+SUMIF([1]Cartera!$R:$R,$A5&amp;"_"&amp;EY$11,[1]Cartera!$I:$I)+SUMIF([1]Futuros!$AD:$AD,$A5&amp;"_"&amp;EY$11,[1]Futuros!$AK:$AK)+SUMIF([1]Opciones!$AF:$AF,$A5&amp;"_"&amp;EY$11,[1]Opciones!$AQ:$AQ)</f>
        <v>#VALUE!</v>
      </c>
      <c r="EZ5" t="e">
        <f>+SUMIF([1]Cartera!$R:$R,$A5&amp;"_"&amp;EZ$11,[1]Cartera!$I:$I)+SUMIF([1]Futuros!$AD:$AD,$A5&amp;"_"&amp;EZ$11,[1]Futuros!$AK:$AK)+SUMIF([1]Opciones!$AF:$AF,$A5&amp;"_"&amp;EZ$11,[1]Opciones!$AQ:$AQ)</f>
        <v>#VALUE!</v>
      </c>
      <c r="FA5" t="e">
        <f>+SUMIF([1]Cartera!$R:$R,$A5&amp;"_"&amp;FA$11,[1]Cartera!$I:$I)+SUMIF([1]Futuros!$AD:$AD,$A5&amp;"_"&amp;FA$11,[1]Futuros!$AK:$AK)+SUMIF([1]Opciones!$AF:$AF,$A5&amp;"_"&amp;FA$11,[1]Opciones!$AQ:$AQ)</f>
        <v>#VALUE!</v>
      </c>
      <c r="FB5" t="e">
        <f>+SUMIF([1]Cartera!$R:$R,$A5&amp;"_"&amp;FB$11,[1]Cartera!$I:$I)+SUMIF([1]Futuros!$AD:$AD,$A5&amp;"_"&amp;FB$11,[1]Futuros!$AK:$AK)+SUMIF([1]Opciones!$AF:$AF,$A5&amp;"_"&amp;FB$11,[1]Opciones!$AQ:$AQ)</f>
        <v>#VALUE!</v>
      </c>
      <c r="FC5" t="e">
        <f>+SUMIF([1]Cartera!$R:$R,$A5&amp;"_"&amp;FC$11,[1]Cartera!$I:$I)+SUMIF([1]Futuros!$AD:$AD,$A5&amp;"_"&amp;FC$11,[1]Futuros!$AK:$AK)+SUMIF([1]Opciones!$AF:$AF,$A5&amp;"_"&amp;FC$11,[1]Opciones!$AQ:$AQ)</f>
        <v>#VALUE!</v>
      </c>
      <c r="FD5" t="e">
        <f>+SUMIF([1]Cartera!$R:$R,$A5&amp;"_"&amp;FD$11,[1]Cartera!$I:$I)+SUMIF([1]Futuros!$AD:$AD,$A5&amp;"_"&amp;FD$11,[1]Futuros!$AK:$AK)+SUMIF([1]Opciones!$AF:$AF,$A5&amp;"_"&amp;FD$11,[1]Opciones!$AQ:$AQ)</f>
        <v>#VALUE!</v>
      </c>
      <c r="FE5" t="e">
        <f>+SUMIF([1]Cartera!$R:$R,$A5&amp;"_"&amp;FE$11,[1]Cartera!$I:$I)+SUMIF([1]Futuros!$AD:$AD,$A5&amp;"_"&amp;FE$11,[1]Futuros!$AK:$AK)+SUMIF([1]Opciones!$AF:$AF,$A5&amp;"_"&amp;FE$11,[1]Opciones!$AQ:$AQ)</f>
        <v>#VALUE!</v>
      </c>
      <c r="FF5" t="e">
        <f>+SUMIF([1]Cartera!$R:$R,$A5&amp;"_"&amp;FF$11,[1]Cartera!$I:$I)+SUMIF([1]Futuros!$AD:$AD,$A5&amp;"_"&amp;FF$11,[1]Futuros!$AK:$AK)+SUMIF([1]Opciones!$AF:$AF,$A5&amp;"_"&amp;FF$11,[1]Opciones!$AQ:$AQ)</f>
        <v>#VALUE!</v>
      </c>
      <c r="FG5" t="e">
        <f>+SUMIF([1]Cartera!$R:$R,$A5&amp;"_"&amp;FG$11,[1]Cartera!$I:$I)+SUMIF([1]Futuros!$AD:$AD,$A5&amp;"_"&amp;FG$11,[1]Futuros!$AK:$AK)+SUMIF([1]Opciones!$AF:$AF,$A5&amp;"_"&amp;FG$11,[1]Opciones!$AQ:$AQ)</f>
        <v>#VALUE!</v>
      </c>
      <c r="FH5" t="e">
        <f>+SUMIF([1]Cartera!$R:$R,$A5&amp;"_"&amp;FH$11,[1]Cartera!$I:$I)+SUMIF([1]Futuros!$AD:$AD,$A5&amp;"_"&amp;FH$11,[1]Futuros!$AK:$AK)+SUMIF([1]Opciones!$AF:$AF,$A5&amp;"_"&amp;FH$11,[1]Opciones!$AQ:$AQ)</f>
        <v>#VALUE!</v>
      </c>
      <c r="FI5" t="e">
        <f>+SUMIF([1]Cartera!$R:$R,$A5&amp;"_"&amp;FI$11,[1]Cartera!$I:$I)+SUMIF([1]Futuros!$AD:$AD,$A5&amp;"_"&amp;FI$11,[1]Futuros!$AK:$AK)+SUMIF([1]Opciones!$AF:$AF,$A5&amp;"_"&amp;FI$11,[1]Opciones!$AQ:$AQ)</f>
        <v>#VALUE!</v>
      </c>
      <c r="FJ5" t="e">
        <f>+SUMIF([1]Cartera!$R:$R,$A5&amp;"_"&amp;FJ$11,[1]Cartera!$I:$I)+SUMIF([1]Futuros!$AD:$AD,$A5&amp;"_"&amp;FJ$11,[1]Futuros!$AK:$AK)+SUMIF([1]Opciones!$AF:$AF,$A5&amp;"_"&amp;FJ$11,[1]Opciones!$AQ:$AQ)</f>
        <v>#VALUE!</v>
      </c>
      <c r="FK5" t="e">
        <f>+SUMIF([1]Cartera!$R:$R,$A5&amp;"_"&amp;FK$11,[1]Cartera!$I:$I)+SUMIF([1]Futuros!$AD:$AD,$A5&amp;"_"&amp;FK$11,[1]Futuros!$AK:$AK)+SUMIF([1]Opciones!$AF:$AF,$A5&amp;"_"&amp;FK$11,[1]Opciones!$AQ:$AQ)</f>
        <v>#VALUE!</v>
      </c>
      <c r="FL5" t="e">
        <f>+SUMIF([1]Cartera!$R:$R,$A5&amp;"_"&amp;FL$11,[1]Cartera!$I:$I)+SUMIF([1]Futuros!$AD:$AD,$A5&amp;"_"&amp;FL$11,[1]Futuros!$AK:$AK)+SUMIF([1]Opciones!$AF:$AF,$A5&amp;"_"&amp;FL$11,[1]Opciones!$AQ:$AQ)</f>
        <v>#VALUE!</v>
      </c>
      <c r="FM5" t="e">
        <f>+SUMIF([1]Cartera!$R:$R,$A5&amp;"_"&amp;FM$11,[1]Cartera!$I:$I)+SUMIF([1]Futuros!$AD:$AD,$A5&amp;"_"&amp;FM$11,[1]Futuros!$AK:$AK)+SUMIF([1]Opciones!$AF:$AF,$A5&amp;"_"&amp;FM$11,[1]Opciones!$AQ:$AQ)</f>
        <v>#VALUE!</v>
      </c>
      <c r="FN5" t="e">
        <f>+SUMIF([1]Cartera!$R:$R,$A5&amp;"_"&amp;FN$11,[1]Cartera!$I:$I)+SUMIF([1]Futuros!$AD:$AD,$A5&amp;"_"&amp;FN$11,[1]Futuros!$AK:$AK)+SUMIF([1]Opciones!$AF:$AF,$A5&amp;"_"&amp;FN$11,[1]Opciones!$AQ:$AQ)</f>
        <v>#VALUE!</v>
      </c>
      <c r="FO5" t="e">
        <f>+SUMIF([1]Cartera!$R:$R,$A5&amp;"_"&amp;FO$11,[1]Cartera!$I:$I)+SUMIF([1]Futuros!$AD:$AD,$A5&amp;"_"&amp;FO$11,[1]Futuros!$AK:$AK)+SUMIF([1]Opciones!$AF:$AF,$A5&amp;"_"&amp;FO$11,[1]Opciones!$AQ:$AQ)</f>
        <v>#VALUE!</v>
      </c>
      <c r="FP5" t="e">
        <f>+SUMIF([1]Cartera!$R:$R,$A5&amp;"_"&amp;FP$11,[1]Cartera!$I:$I)+SUMIF([1]Futuros!$AD:$AD,$A5&amp;"_"&amp;FP$11,[1]Futuros!$AK:$AK)+SUMIF([1]Opciones!$AF:$AF,$A5&amp;"_"&amp;FP$11,[1]Opciones!$AQ:$AQ)</f>
        <v>#VALUE!</v>
      </c>
      <c r="FQ5" t="e">
        <f>+SUMIF([1]Cartera!$R:$R,$A5&amp;"_"&amp;FQ$11,[1]Cartera!$I:$I)+SUMIF([1]Futuros!$AD:$AD,$A5&amp;"_"&amp;FQ$11,[1]Futuros!$AK:$AK)+SUMIF([1]Opciones!$AF:$AF,$A5&amp;"_"&amp;FQ$11,[1]Opciones!$AQ:$AQ)</f>
        <v>#VALUE!</v>
      </c>
      <c r="FR5" t="e">
        <f>+SUMIF([1]Cartera!$R:$R,$A5&amp;"_"&amp;FR$11,[1]Cartera!$I:$I)+SUMIF([1]Futuros!$AD:$AD,$A5&amp;"_"&amp;FR$11,[1]Futuros!$AK:$AK)+SUMIF([1]Opciones!$AF:$AF,$A5&amp;"_"&amp;FR$11,[1]Opciones!$AQ:$AQ)</f>
        <v>#VALUE!</v>
      </c>
      <c r="FS5" t="e">
        <f>+SUMIF([1]Cartera!$R:$R,$A5&amp;"_"&amp;FS$11,[1]Cartera!$I:$I)+SUMIF([1]Futuros!$AD:$AD,$A5&amp;"_"&amp;FS$11,[1]Futuros!$AK:$AK)+SUMIF([1]Opciones!$AF:$AF,$A5&amp;"_"&amp;FS$11,[1]Opciones!$AQ:$AQ)</f>
        <v>#VALUE!</v>
      </c>
      <c r="FT5" t="e">
        <f>+SUMIF([1]Cartera!$R:$R,$A5&amp;"_"&amp;FT$11,[1]Cartera!$I:$I)+SUMIF([1]Futuros!$AD:$AD,$A5&amp;"_"&amp;FT$11,[1]Futuros!$AK:$AK)+SUMIF([1]Opciones!$AF:$AF,$A5&amp;"_"&amp;FT$11,[1]Opciones!$AQ:$AQ)</f>
        <v>#VALUE!</v>
      </c>
      <c r="FU5" t="e">
        <f>+SUMIF([1]Cartera!$R:$R,$A5&amp;"_"&amp;FU$11,[1]Cartera!$I:$I)+SUMIF([1]Futuros!$AD:$AD,$A5&amp;"_"&amp;FU$11,[1]Futuros!$AK:$AK)+SUMIF([1]Opciones!$AF:$AF,$A5&amp;"_"&amp;FU$11,[1]Opciones!$AQ:$AQ)</f>
        <v>#VALUE!</v>
      </c>
      <c r="FV5" t="e">
        <f>+SUMIF([1]Cartera!$R:$R,$A5&amp;"_"&amp;FV$11,[1]Cartera!$I:$I)+SUMIF([1]Futuros!$AD:$AD,$A5&amp;"_"&amp;FV$11,[1]Futuros!$AK:$AK)+SUMIF([1]Opciones!$AF:$AF,$A5&amp;"_"&amp;FV$11,[1]Opciones!$AQ:$AQ)</f>
        <v>#VALUE!</v>
      </c>
      <c r="FW5" t="e">
        <f>+SUMIF([1]Cartera!$R:$R,$A5&amp;"_"&amp;FW$11,[1]Cartera!$I:$I)+SUMIF([1]Futuros!$AD:$AD,$A5&amp;"_"&amp;FW$11,[1]Futuros!$AK:$AK)+SUMIF([1]Opciones!$AF:$AF,$A5&amp;"_"&amp;FW$11,[1]Opciones!$AQ:$AQ)</f>
        <v>#VALUE!</v>
      </c>
      <c r="FX5" t="e">
        <f>+SUMIF([1]Cartera!$R:$R,$A5&amp;"_"&amp;FX$11,[1]Cartera!$I:$I)+SUMIF([1]Futuros!$AD:$AD,$A5&amp;"_"&amp;FX$11,[1]Futuros!$AK:$AK)+SUMIF([1]Opciones!$AF:$AF,$A5&amp;"_"&amp;FX$11,[1]Opciones!$AQ:$AQ)</f>
        <v>#VALUE!</v>
      </c>
      <c r="FY5" t="e">
        <f>+SUMIF([1]Cartera!$R:$R,$A5&amp;"_"&amp;FY$11,[1]Cartera!$I:$I)+SUMIF([1]Futuros!$AD:$AD,$A5&amp;"_"&amp;FY$11,[1]Futuros!$AK:$AK)+SUMIF([1]Opciones!$AF:$AF,$A5&amp;"_"&amp;FY$11,[1]Opciones!$AQ:$AQ)</f>
        <v>#VALUE!</v>
      </c>
      <c r="FZ5" t="e">
        <f>+SUMIF([1]Cartera!$R:$R,$A5&amp;"_"&amp;FZ$11,[1]Cartera!$I:$I)+SUMIF([1]Futuros!$AD:$AD,$A5&amp;"_"&amp;FZ$11,[1]Futuros!$AK:$AK)+SUMIF([1]Opciones!$AF:$AF,$A5&amp;"_"&amp;FZ$11,[1]Opciones!$AQ:$AQ)</f>
        <v>#VALUE!</v>
      </c>
      <c r="GA5" t="e">
        <f>+SUMIF([1]Cartera!$R:$R,$A5&amp;"_"&amp;GA$11,[1]Cartera!$I:$I)+SUMIF([1]Futuros!$AD:$AD,$A5&amp;"_"&amp;GA$11,[1]Futuros!$AK:$AK)+SUMIF([1]Opciones!$AF:$AF,$A5&amp;"_"&amp;GA$11,[1]Opciones!$AQ:$AQ)</f>
        <v>#VALUE!</v>
      </c>
      <c r="GB5" t="e">
        <f>+SUMIF([1]Cartera!$R:$R,$A5&amp;"_"&amp;GB$11,[1]Cartera!$I:$I)+SUMIF([1]Futuros!$AD:$AD,$A5&amp;"_"&amp;GB$11,[1]Futuros!$AK:$AK)+SUMIF([1]Opciones!$AF:$AF,$A5&amp;"_"&amp;GB$11,[1]Opciones!$AQ:$AQ)</f>
        <v>#VALUE!</v>
      </c>
      <c r="GC5" t="e">
        <f>+SUMIF([1]Cartera!$R:$R,$A5&amp;"_"&amp;GC$11,[1]Cartera!$I:$I)+SUMIF([1]Futuros!$AD:$AD,$A5&amp;"_"&amp;GC$11,[1]Futuros!$AK:$AK)+SUMIF([1]Opciones!$AF:$AF,$A5&amp;"_"&amp;GC$11,[1]Opciones!$AQ:$AQ)</f>
        <v>#VALUE!</v>
      </c>
      <c r="GD5" t="e">
        <f>+SUMIF([1]Cartera!$R:$R,$A5&amp;"_"&amp;GD$11,[1]Cartera!$I:$I)+SUMIF([1]Futuros!$AD:$AD,$A5&amp;"_"&amp;GD$11,[1]Futuros!$AK:$AK)+SUMIF([1]Opciones!$AF:$AF,$A5&amp;"_"&amp;GD$11,[1]Opciones!$AQ:$AQ)</f>
        <v>#VALUE!</v>
      </c>
      <c r="GE5" t="e">
        <f>+SUMIF([1]Cartera!$R:$R,$A5&amp;"_"&amp;GE$11,[1]Cartera!$I:$I)+SUMIF([1]Futuros!$AD:$AD,$A5&amp;"_"&amp;GE$11,[1]Futuros!$AK:$AK)+SUMIF([1]Opciones!$AF:$AF,$A5&amp;"_"&amp;GE$11,[1]Opciones!$AQ:$AQ)</f>
        <v>#VALUE!</v>
      </c>
      <c r="GF5" t="e">
        <f>+SUMIF([1]Cartera!$R:$R,$A5&amp;"_"&amp;GF$11,[1]Cartera!$I:$I)+SUMIF([1]Futuros!$AD:$AD,$A5&amp;"_"&amp;GF$11,[1]Futuros!$AK:$AK)+SUMIF([1]Opciones!$AF:$AF,$A5&amp;"_"&amp;GF$11,[1]Opciones!$AQ:$AQ)</f>
        <v>#VALUE!</v>
      </c>
      <c r="GG5" t="e">
        <f>+SUMIF([1]Cartera!$R:$R,$A5&amp;"_"&amp;GG$11,[1]Cartera!$I:$I)+SUMIF([1]Futuros!$AD:$AD,$A5&amp;"_"&amp;GG$11,[1]Futuros!$AK:$AK)+SUMIF([1]Opciones!$AF:$AF,$A5&amp;"_"&amp;GG$11,[1]Opciones!$AQ:$AQ)</f>
        <v>#VALUE!</v>
      </c>
      <c r="GH5" t="e">
        <f>+SUMIF([1]Cartera!$R:$R,$A5&amp;"_"&amp;GH$11,[1]Cartera!$I:$I)+SUMIF([1]Futuros!$AD:$AD,$A5&amp;"_"&amp;GH$11,[1]Futuros!$AK:$AK)+SUMIF([1]Opciones!$AF:$AF,$A5&amp;"_"&amp;GH$11,[1]Opciones!$AQ:$AQ)</f>
        <v>#VALUE!</v>
      </c>
      <c r="GI5" t="e">
        <f>+SUMIF([1]Cartera!$R:$R,$A5&amp;"_"&amp;GI$11,[1]Cartera!$I:$I)+SUMIF([1]Futuros!$AD:$AD,$A5&amp;"_"&amp;GI$11,[1]Futuros!$AK:$AK)+SUMIF([1]Opciones!$AF:$AF,$A5&amp;"_"&amp;GI$11,[1]Opciones!$AQ:$AQ)</f>
        <v>#VALUE!</v>
      </c>
      <c r="GJ5" t="e">
        <f>+SUMIF([1]Cartera!$R:$R,$A5&amp;"_"&amp;GJ$11,[1]Cartera!$I:$I)+SUMIF([1]Futuros!$AD:$AD,$A5&amp;"_"&amp;GJ$11,[1]Futuros!$AK:$AK)+SUMIF([1]Opciones!$AF:$AF,$A5&amp;"_"&amp;GJ$11,[1]Opciones!$AQ:$AQ)</f>
        <v>#VALUE!</v>
      </c>
      <c r="GK5" t="e">
        <f>+SUMIF([1]Cartera!$R:$R,$A5&amp;"_"&amp;GK$11,[1]Cartera!$I:$I)+SUMIF([1]Futuros!$AD:$AD,$A5&amp;"_"&amp;GK$11,[1]Futuros!$AK:$AK)+SUMIF([1]Opciones!$AF:$AF,$A5&amp;"_"&amp;GK$11,[1]Opciones!$AQ:$AQ)</f>
        <v>#VALUE!</v>
      </c>
      <c r="GL5" t="e">
        <f>+SUMIF([1]Cartera!$R:$R,$A5&amp;"_"&amp;GL$11,[1]Cartera!$I:$I)+SUMIF([1]Futuros!$AD:$AD,$A5&amp;"_"&amp;GL$11,[1]Futuros!$AK:$AK)+SUMIF([1]Opciones!$AF:$AF,$A5&amp;"_"&amp;GL$11,[1]Opciones!$AQ:$AQ)</f>
        <v>#VALUE!</v>
      </c>
      <c r="GM5" t="e">
        <f>+SUMIF([1]Cartera!$R:$R,$A5&amp;"_"&amp;GM$11,[1]Cartera!$I:$I)+SUMIF([1]Futuros!$AD:$AD,$A5&amp;"_"&amp;GM$11,[1]Futuros!$AK:$AK)+SUMIF([1]Opciones!$AF:$AF,$A5&amp;"_"&amp;GM$11,[1]Opciones!$AQ:$AQ)</f>
        <v>#VALUE!</v>
      </c>
      <c r="GN5" t="e">
        <f>+SUMIF([1]Cartera!$R:$R,$A5&amp;"_"&amp;GN$11,[1]Cartera!$I:$I)+SUMIF([1]Futuros!$AD:$AD,$A5&amp;"_"&amp;GN$11,[1]Futuros!$AK:$AK)+SUMIF([1]Opciones!$AF:$AF,$A5&amp;"_"&amp;GN$11,[1]Opciones!$AQ:$AQ)</f>
        <v>#VALUE!</v>
      </c>
      <c r="GO5" t="e">
        <f>+SUMIF([1]Cartera!$R:$R,$A5&amp;"_"&amp;GO$11,[1]Cartera!$I:$I)+SUMIF([1]Futuros!$AD:$AD,$A5&amp;"_"&amp;GO$11,[1]Futuros!$AK:$AK)+SUMIF([1]Opciones!$AF:$AF,$A5&amp;"_"&amp;GO$11,[1]Opciones!$AQ:$AQ)</f>
        <v>#VALUE!</v>
      </c>
      <c r="GP5" t="e">
        <f>+SUMIF([1]Cartera!$R:$R,$A5&amp;"_"&amp;GP$11,[1]Cartera!$I:$I)+SUMIF([1]Futuros!$AD:$AD,$A5&amp;"_"&amp;GP$11,[1]Futuros!$AK:$AK)+SUMIF([1]Opciones!$AF:$AF,$A5&amp;"_"&amp;GP$11,[1]Opciones!$AQ:$AQ)</f>
        <v>#VALUE!</v>
      </c>
      <c r="GQ5" t="e">
        <f>+SUMIF([1]Cartera!$R:$R,$A5&amp;"_"&amp;GQ$11,[1]Cartera!$I:$I)+SUMIF([1]Futuros!$AD:$AD,$A5&amp;"_"&amp;GQ$11,[1]Futuros!$AK:$AK)+SUMIF([1]Opciones!$AF:$AF,$A5&amp;"_"&amp;GQ$11,[1]Opciones!$AQ:$AQ)</f>
        <v>#VALUE!</v>
      </c>
      <c r="GR5" t="e">
        <f>+SUMIF([1]Cartera!$R:$R,$A5&amp;"_"&amp;GR$11,[1]Cartera!$I:$I)+SUMIF([1]Futuros!$AD:$AD,$A5&amp;"_"&amp;GR$11,[1]Futuros!$AK:$AK)+SUMIF([1]Opciones!$AF:$AF,$A5&amp;"_"&amp;GR$11,[1]Opciones!$AQ:$AQ)</f>
        <v>#VALUE!</v>
      </c>
      <c r="GS5" t="e">
        <f>+SUMIF([1]Cartera!$R:$R,$A5&amp;"_"&amp;GS$11,[1]Cartera!$I:$I)+SUMIF([1]Futuros!$AD:$AD,$A5&amp;"_"&amp;GS$11,[1]Futuros!$AK:$AK)+SUMIF([1]Opciones!$AF:$AF,$A5&amp;"_"&amp;GS$11,[1]Opciones!$AQ:$AQ)</f>
        <v>#VALUE!</v>
      </c>
      <c r="GT5" t="e">
        <f>+SUMIF([1]Cartera!$R:$R,$A5&amp;"_"&amp;GT$11,[1]Cartera!$I:$I)+SUMIF([1]Futuros!$AD:$AD,$A5&amp;"_"&amp;GT$11,[1]Futuros!$AK:$AK)+SUMIF([1]Opciones!$AF:$AF,$A5&amp;"_"&amp;GT$11,[1]Opciones!$AQ:$AQ)</f>
        <v>#VALUE!</v>
      </c>
      <c r="GU5" t="e">
        <f>+SUMIF([1]Cartera!$R:$R,$A5&amp;"_"&amp;GU$11,[1]Cartera!$I:$I)+SUMIF([1]Futuros!$AD:$AD,$A5&amp;"_"&amp;GU$11,[1]Futuros!$AK:$AK)+SUMIF([1]Opciones!$AF:$AF,$A5&amp;"_"&amp;GU$11,[1]Opciones!$AQ:$AQ)</f>
        <v>#VALUE!</v>
      </c>
      <c r="GV5" t="e">
        <f>+SUMIF([1]Cartera!$R:$R,$A5&amp;"_"&amp;GV$11,[1]Cartera!$I:$I)+SUMIF([1]Futuros!$AD:$AD,$A5&amp;"_"&amp;GV$11,[1]Futuros!$AK:$AK)+SUMIF([1]Opciones!$AF:$AF,$A5&amp;"_"&amp;GV$11,[1]Opciones!$AQ:$AQ)</f>
        <v>#VALUE!</v>
      </c>
      <c r="GW5" t="e">
        <f>+SUMIF([1]Cartera!$R:$R,$A5&amp;"_"&amp;GW$11,[1]Cartera!$I:$I)+SUMIF([1]Futuros!$AD:$AD,$A5&amp;"_"&amp;GW$11,[1]Futuros!$AK:$AK)+SUMIF([1]Opciones!$AF:$AF,$A5&amp;"_"&amp;GW$11,[1]Opciones!$AQ:$AQ)</f>
        <v>#VALUE!</v>
      </c>
      <c r="GX5" t="e">
        <f>+SUMIF([1]Cartera!$R:$R,$A5&amp;"_"&amp;GX$11,[1]Cartera!$I:$I)+SUMIF([1]Futuros!$AD:$AD,$A5&amp;"_"&amp;GX$11,[1]Futuros!$AK:$AK)+SUMIF([1]Opciones!$AF:$AF,$A5&amp;"_"&amp;GX$11,[1]Opciones!$AQ:$AQ)</f>
        <v>#VALUE!</v>
      </c>
      <c r="GY5" t="e">
        <f>+SUMIF([1]Cartera!$R:$R,$A5&amp;"_"&amp;GY$11,[1]Cartera!$I:$I)+SUMIF([1]Futuros!$AD:$AD,$A5&amp;"_"&amp;GY$11,[1]Futuros!$AK:$AK)+SUMIF([1]Opciones!$AF:$AF,$A5&amp;"_"&amp;GY$11,[1]Opciones!$AQ:$AQ)</f>
        <v>#VALUE!</v>
      </c>
      <c r="GZ5" t="e">
        <f>+SUMIF([1]Cartera!$R:$R,$A5&amp;"_"&amp;GZ$11,[1]Cartera!$I:$I)+SUMIF([1]Futuros!$AD:$AD,$A5&amp;"_"&amp;GZ$11,[1]Futuros!$AK:$AK)+SUMIF([1]Opciones!$AF:$AF,$A5&amp;"_"&amp;GZ$11,[1]Opciones!$AQ:$AQ)</f>
        <v>#VALUE!</v>
      </c>
      <c r="HA5" t="e">
        <f>+SUMIF([1]Cartera!$R:$R,$A5&amp;"_"&amp;HA$11,[1]Cartera!$I:$I)+SUMIF([1]Futuros!$AD:$AD,$A5&amp;"_"&amp;HA$11,[1]Futuros!$AK:$AK)+SUMIF([1]Opciones!$AF:$AF,$A5&amp;"_"&amp;HA$11,[1]Opciones!$AQ:$AQ)</f>
        <v>#VALUE!</v>
      </c>
      <c r="HB5" t="e">
        <f>+SUMIF([1]Cartera!$R:$R,$A5&amp;"_"&amp;HB$11,[1]Cartera!$I:$I)+SUMIF([1]Futuros!$AD:$AD,$A5&amp;"_"&amp;HB$11,[1]Futuros!$AK:$AK)+SUMIF([1]Opciones!$AF:$AF,$A5&amp;"_"&amp;HB$11,[1]Opciones!$AQ:$AQ)</f>
        <v>#VALUE!</v>
      </c>
      <c r="HC5" t="e">
        <f>+SUMIF([1]Cartera!$R:$R,$A5&amp;"_"&amp;HC$11,[1]Cartera!$I:$I)+SUMIF([1]Futuros!$AD:$AD,$A5&amp;"_"&amp;HC$11,[1]Futuros!$AK:$AK)+SUMIF([1]Opciones!$AF:$AF,$A5&amp;"_"&amp;HC$11,[1]Opciones!$AQ:$AQ)</f>
        <v>#VALUE!</v>
      </c>
      <c r="HD5" t="e">
        <f>+SUMIF([1]Cartera!$R:$R,$A5&amp;"_"&amp;HD$11,[1]Cartera!$I:$I)+SUMIF([1]Futuros!$AD:$AD,$A5&amp;"_"&amp;HD$11,[1]Futuros!$AK:$AK)+SUMIF([1]Opciones!$AF:$AF,$A5&amp;"_"&amp;HD$11,[1]Opciones!$AQ:$AQ)</f>
        <v>#VALUE!</v>
      </c>
      <c r="HE5" t="e">
        <f>+SUMIF([1]Cartera!$R:$R,$A5&amp;"_"&amp;HE$11,[1]Cartera!$I:$I)+SUMIF([1]Futuros!$AD:$AD,$A5&amp;"_"&amp;HE$11,[1]Futuros!$AK:$AK)+SUMIF([1]Opciones!$AF:$AF,$A5&amp;"_"&amp;HE$11,[1]Opciones!$AQ:$AQ)</f>
        <v>#VALUE!</v>
      </c>
      <c r="HF5" t="e">
        <f>+SUMIF([1]Cartera!$R:$R,$A5&amp;"_"&amp;HF$11,[1]Cartera!$I:$I)+SUMIF([1]Futuros!$AD:$AD,$A5&amp;"_"&amp;HF$11,[1]Futuros!$AK:$AK)+SUMIF([1]Opciones!$AF:$AF,$A5&amp;"_"&amp;HF$11,[1]Opciones!$AQ:$AQ)</f>
        <v>#VALUE!</v>
      </c>
      <c r="HG5" t="e">
        <f>+SUMIF([1]Cartera!$R:$R,$A5&amp;"_"&amp;HG$11,[1]Cartera!$I:$I)+SUMIF([1]Futuros!$AD:$AD,$A5&amp;"_"&amp;HG$11,[1]Futuros!$AK:$AK)+SUMIF([1]Opciones!$AF:$AF,$A5&amp;"_"&amp;HG$11,[1]Opciones!$AQ:$AQ)</f>
        <v>#VALUE!</v>
      </c>
      <c r="HH5" t="e">
        <f>+SUMIF([1]Cartera!$R:$R,$A5&amp;"_"&amp;HH$11,[1]Cartera!$I:$I)+SUMIF([1]Futuros!$AD:$AD,$A5&amp;"_"&amp;HH$11,[1]Futuros!$AK:$AK)+SUMIF([1]Opciones!$AF:$AF,$A5&amp;"_"&amp;HH$11,[1]Opciones!$AQ:$AQ)</f>
        <v>#VALUE!</v>
      </c>
      <c r="HI5" t="e">
        <f>+SUMIF([1]Cartera!$R:$R,$A5&amp;"_"&amp;HI$11,[1]Cartera!$I:$I)+SUMIF([1]Futuros!$AD:$AD,$A5&amp;"_"&amp;HI$11,[1]Futuros!$AK:$AK)+SUMIF([1]Opciones!$AF:$AF,$A5&amp;"_"&amp;HI$11,[1]Opciones!$AQ:$AQ)</f>
        <v>#VALUE!</v>
      </c>
      <c r="HJ5" t="e">
        <f>+SUMIF([1]Cartera!$R:$R,$A5&amp;"_"&amp;HJ$11,[1]Cartera!$I:$I)+SUMIF([1]Futuros!$AD:$AD,$A5&amp;"_"&amp;HJ$11,[1]Futuros!$AK:$AK)+SUMIF([1]Opciones!$AF:$AF,$A5&amp;"_"&amp;HJ$11,[1]Opciones!$AQ:$AQ)</f>
        <v>#VALUE!</v>
      </c>
      <c r="HK5" t="e">
        <f>+SUMIF([1]Cartera!$R:$R,$A5&amp;"_"&amp;HK$11,[1]Cartera!$I:$I)+SUMIF([1]Futuros!$AD:$AD,$A5&amp;"_"&amp;HK$11,[1]Futuros!$AK:$AK)+SUMIF([1]Opciones!$AF:$AF,$A5&amp;"_"&amp;HK$11,[1]Opciones!$AQ:$AQ)</f>
        <v>#VALUE!</v>
      </c>
      <c r="HL5" t="e">
        <f>+SUMIF([1]Cartera!$R:$R,$A5&amp;"_"&amp;HL$11,[1]Cartera!$I:$I)+SUMIF([1]Futuros!$AD:$AD,$A5&amp;"_"&amp;HL$11,[1]Futuros!$AK:$AK)+SUMIF([1]Opciones!$AF:$AF,$A5&amp;"_"&amp;HL$11,[1]Opciones!$AQ:$AQ)</f>
        <v>#VALUE!</v>
      </c>
      <c r="HM5" t="e">
        <f>+SUMIF([1]Cartera!$R:$R,$A5&amp;"_"&amp;HM$11,[1]Cartera!$I:$I)+SUMIF([1]Futuros!$AD:$AD,$A5&amp;"_"&amp;HM$11,[1]Futuros!$AK:$AK)+SUMIF([1]Opciones!$AF:$AF,$A5&amp;"_"&amp;HM$11,[1]Opciones!$AQ:$AQ)</f>
        <v>#VALUE!</v>
      </c>
      <c r="HN5" t="e">
        <f>+SUMIF([1]Cartera!$R:$R,$A5&amp;"_"&amp;HN$11,[1]Cartera!$I:$I)+SUMIF([1]Futuros!$AD:$AD,$A5&amp;"_"&amp;HN$11,[1]Futuros!$AK:$AK)+SUMIF([1]Opciones!$AF:$AF,$A5&amp;"_"&amp;HN$11,[1]Opciones!$AQ:$AQ)</f>
        <v>#VALUE!</v>
      </c>
      <c r="HO5" t="e">
        <f>+SUMIF([1]Cartera!$R:$R,$A5&amp;"_"&amp;HO$11,[1]Cartera!$I:$I)+SUMIF([1]Futuros!$AD:$AD,$A5&amp;"_"&amp;HO$11,[1]Futuros!$AK:$AK)+SUMIF([1]Opciones!$AF:$AF,$A5&amp;"_"&amp;HO$11,[1]Opciones!$AQ:$AQ)</f>
        <v>#VALUE!</v>
      </c>
      <c r="HP5" t="e">
        <f>+SUMIF([1]Cartera!$R:$R,$A5&amp;"_"&amp;HP$11,[1]Cartera!$I:$I)+SUMIF([1]Futuros!$AD:$AD,$A5&amp;"_"&amp;HP$11,[1]Futuros!$AK:$AK)+SUMIF([1]Opciones!$AF:$AF,$A5&amp;"_"&amp;HP$11,[1]Opciones!$AQ:$AQ)</f>
        <v>#VALUE!</v>
      </c>
      <c r="HQ5" t="e">
        <f>+SUMIF([1]Cartera!$R:$R,$A5&amp;"_"&amp;HQ$11,[1]Cartera!$I:$I)+SUMIF([1]Futuros!$AD:$AD,$A5&amp;"_"&amp;HQ$11,[1]Futuros!$AK:$AK)+SUMIF([1]Opciones!$AF:$AF,$A5&amp;"_"&amp;HQ$11,[1]Opciones!$AQ:$AQ)</f>
        <v>#VALUE!</v>
      </c>
      <c r="HR5" t="e">
        <f>+SUMIF([1]Cartera!$R:$R,$A5&amp;"_"&amp;HR$11,[1]Cartera!$I:$I)+SUMIF([1]Futuros!$AD:$AD,$A5&amp;"_"&amp;HR$11,[1]Futuros!$AK:$AK)+SUMIF([1]Opciones!$AF:$AF,$A5&amp;"_"&amp;HR$11,[1]Opciones!$AQ:$AQ)</f>
        <v>#VALUE!</v>
      </c>
      <c r="HS5" t="e">
        <f>+SUMIF([1]Cartera!$R:$R,$A5&amp;"_"&amp;HS$11,[1]Cartera!$I:$I)+SUMIF([1]Futuros!$AD:$AD,$A5&amp;"_"&amp;HS$11,[1]Futuros!$AK:$AK)+SUMIF([1]Opciones!$AF:$AF,$A5&amp;"_"&amp;HS$11,[1]Opciones!$AQ:$AQ)</f>
        <v>#VALUE!</v>
      </c>
      <c r="HT5" t="e">
        <f>+SUMIF([1]Cartera!$R:$R,$A5&amp;"_"&amp;HT$11,[1]Cartera!$I:$I)+SUMIF([1]Futuros!$AD:$AD,$A5&amp;"_"&amp;HT$11,[1]Futuros!$AK:$AK)+SUMIF([1]Opciones!$AF:$AF,$A5&amp;"_"&amp;HT$11,[1]Opciones!$AQ:$AQ)</f>
        <v>#VALUE!</v>
      </c>
      <c r="HU5" t="e">
        <f>+SUMIF([1]Cartera!$R:$R,$A5&amp;"_"&amp;HU$11,[1]Cartera!$I:$I)+SUMIF([1]Futuros!$AD:$AD,$A5&amp;"_"&amp;HU$11,[1]Futuros!$AK:$AK)+SUMIF([1]Opciones!$AF:$AF,$A5&amp;"_"&amp;HU$11,[1]Opciones!$AQ:$AQ)</f>
        <v>#VALUE!</v>
      </c>
      <c r="HV5" t="e">
        <f>+SUMIF([1]Cartera!$R:$R,$A5&amp;"_"&amp;HV$11,[1]Cartera!$I:$I)+SUMIF([1]Futuros!$AD:$AD,$A5&amp;"_"&amp;HV$11,[1]Futuros!$AK:$AK)+SUMIF([1]Opciones!$AF:$AF,$A5&amp;"_"&amp;HV$11,[1]Opciones!$AQ:$AQ)</f>
        <v>#VALUE!</v>
      </c>
      <c r="HW5" t="e">
        <f>+SUMIF([1]Cartera!$R:$R,$A5&amp;"_"&amp;HW$11,[1]Cartera!$I:$I)+SUMIF([1]Futuros!$AD:$AD,$A5&amp;"_"&amp;HW$11,[1]Futuros!$AK:$AK)+SUMIF([1]Opciones!$AF:$AF,$A5&amp;"_"&amp;HW$11,[1]Opciones!$AQ:$AQ)</f>
        <v>#VALUE!</v>
      </c>
      <c r="HX5" t="e">
        <f>+SUMIF([1]Cartera!$R:$R,$A5&amp;"_"&amp;HX$11,[1]Cartera!$I:$I)+SUMIF([1]Futuros!$AD:$AD,$A5&amp;"_"&amp;HX$11,[1]Futuros!$AK:$AK)+SUMIF([1]Opciones!$AF:$AF,$A5&amp;"_"&amp;HX$11,[1]Opciones!$AQ:$AQ)</f>
        <v>#VALUE!</v>
      </c>
      <c r="HY5" t="e">
        <f>+SUMIF([1]Cartera!$R:$R,$A5&amp;"_"&amp;HY$11,[1]Cartera!$I:$I)+SUMIF([1]Futuros!$AD:$AD,$A5&amp;"_"&amp;HY$11,[1]Futuros!$AK:$AK)+SUMIF([1]Opciones!$AF:$AF,$A5&amp;"_"&amp;HY$11,[1]Opciones!$AQ:$AQ)</f>
        <v>#VALUE!</v>
      </c>
      <c r="HZ5" t="e">
        <f>+SUMIF([1]Cartera!$R:$R,$A5&amp;"_"&amp;HZ$11,[1]Cartera!$I:$I)+SUMIF([1]Futuros!$AD:$AD,$A5&amp;"_"&amp;HZ$11,[1]Futuros!$AK:$AK)+SUMIF([1]Opciones!$AF:$AF,$A5&amp;"_"&amp;HZ$11,[1]Opciones!$AQ:$AQ)</f>
        <v>#VALUE!</v>
      </c>
      <c r="IA5" t="e">
        <f>+SUMIF([1]Cartera!$R:$R,$A5&amp;"_"&amp;IA$11,[1]Cartera!$I:$I)+SUMIF([1]Futuros!$AD:$AD,$A5&amp;"_"&amp;IA$11,[1]Futuros!$AK:$AK)+SUMIF([1]Opciones!$AF:$AF,$A5&amp;"_"&amp;IA$11,[1]Opciones!$AQ:$AQ)</f>
        <v>#VALUE!</v>
      </c>
      <c r="IB5" t="e">
        <f>+SUMIF([1]Cartera!$R:$R,$A5&amp;"_"&amp;IB$11,[1]Cartera!$I:$I)+SUMIF([1]Futuros!$AD:$AD,$A5&amp;"_"&amp;IB$11,[1]Futuros!$AK:$AK)+SUMIF([1]Opciones!$AF:$AF,$A5&amp;"_"&amp;IB$11,[1]Opciones!$AQ:$AQ)</f>
        <v>#VALUE!</v>
      </c>
      <c r="IC5" t="e">
        <f>+SUMIF([1]Cartera!$R:$R,$A5&amp;"_"&amp;IC$11,[1]Cartera!$I:$I)+SUMIF([1]Futuros!$AD:$AD,$A5&amp;"_"&amp;IC$11,[1]Futuros!$AK:$AK)+SUMIF([1]Opciones!$AF:$AF,$A5&amp;"_"&amp;IC$11,[1]Opciones!$AQ:$AQ)</f>
        <v>#VALUE!</v>
      </c>
      <c r="ID5" t="e">
        <f>+SUMIF([1]Cartera!$R:$R,$A5&amp;"_"&amp;ID$11,[1]Cartera!$I:$I)+SUMIF([1]Futuros!$AD:$AD,$A5&amp;"_"&amp;ID$11,[1]Futuros!$AK:$AK)+SUMIF([1]Opciones!$AF:$AF,$A5&amp;"_"&amp;ID$11,[1]Opciones!$AQ:$AQ)</f>
        <v>#VALUE!</v>
      </c>
      <c r="IE5" t="e">
        <f>+SUMIF([1]Cartera!$R:$R,$A5&amp;"_"&amp;IE$11,[1]Cartera!$I:$I)+SUMIF([1]Futuros!$AD:$AD,$A5&amp;"_"&amp;IE$11,[1]Futuros!$AK:$AK)+SUMIF([1]Opciones!$AF:$AF,$A5&amp;"_"&amp;IE$11,[1]Opciones!$AQ:$AQ)</f>
        <v>#VALUE!</v>
      </c>
      <c r="IF5" t="e">
        <f>+SUMIF([1]Cartera!$R:$R,$A5&amp;"_"&amp;IF$11,[1]Cartera!$I:$I)+SUMIF([1]Futuros!$AD:$AD,$A5&amp;"_"&amp;IF$11,[1]Futuros!$AK:$AK)+SUMIF([1]Opciones!$AF:$AF,$A5&amp;"_"&amp;IF$11,[1]Opciones!$AQ:$AQ)</f>
        <v>#VALUE!</v>
      </c>
      <c r="IG5" t="e">
        <f>+SUMIF([1]Cartera!$R:$R,$A5&amp;"_"&amp;IG$11,[1]Cartera!$I:$I)+SUMIF([1]Futuros!$AD:$AD,$A5&amp;"_"&amp;IG$11,[1]Futuros!$AK:$AK)+SUMIF([1]Opciones!$AF:$AF,$A5&amp;"_"&amp;IG$11,[1]Opciones!$AQ:$AQ)</f>
        <v>#VALUE!</v>
      </c>
      <c r="IH5" t="e">
        <f>+SUMIF([1]Cartera!$R:$R,$A5&amp;"_"&amp;IH$11,[1]Cartera!$I:$I)+SUMIF([1]Futuros!$AD:$AD,$A5&amp;"_"&amp;IH$11,[1]Futuros!$AK:$AK)+SUMIF([1]Opciones!$AF:$AF,$A5&amp;"_"&amp;IH$11,[1]Opciones!$AQ:$AQ)</f>
        <v>#VALUE!</v>
      </c>
      <c r="II5" t="e">
        <f>+SUMIF([1]Cartera!$R:$R,$A5&amp;"_"&amp;II$11,[1]Cartera!$I:$I)+SUMIF([1]Futuros!$AD:$AD,$A5&amp;"_"&amp;II$11,[1]Futuros!$AK:$AK)+SUMIF([1]Opciones!$AF:$AF,$A5&amp;"_"&amp;II$11,[1]Opciones!$AQ:$AQ)</f>
        <v>#VALUE!</v>
      </c>
      <c r="IJ5" t="e">
        <f>+SUMIF([1]Cartera!$R:$R,$A5&amp;"_"&amp;IJ$11,[1]Cartera!$I:$I)+SUMIF([1]Futuros!$AD:$AD,$A5&amp;"_"&amp;IJ$11,[1]Futuros!$AK:$AK)+SUMIF([1]Opciones!$AF:$AF,$A5&amp;"_"&amp;IJ$11,[1]Opciones!$AQ:$AQ)</f>
        <v>#VALUE!</v>
      </c>
      <c r="IK5" t="e">
        <f>+SUMIF([1]Cartera!$R:$R,$A5&amp;"_"&amp;IK$11,[1]Cartera!$I:$I)+SUMIF([1]Futuros!$AD:$AD,$A5&amp;"_"&amp;IK$11,[1]Futuros!$AK:$AK)+SUMIF([1]Opciones!$AF:$AF,$A5&amp;"_"&amp;IK$11,[1]Opciones!$AQ:$AQ)</f>
        <v>#VALUE!</v>
      </c>
      <c r="IL5" t="e">
        <f>+SUMIF([1]Cartera!$R:$R,$A5&amp;"_"&amp;IL$11,[1]Cartera!$I:$I)+SUMIF([1]Futuros!$AD:$AD,$A5&amp;"_"&amp;IL$11,[1]Futuros!$AK:$AK)+SUMIF([1]Opciones!$AF:$AF,$A5&amp;"_"&amp;IL$11,[1]Opciones!$AQ:$AQ)</f>
        <v>#VALUE!</v>
      </c>
      <c r="IM5" t="e">
        <f>+SUMIF([1]Cartera!$R:$R,$A5&amp;"_"&amp;IM$11,[1]Cartera!$I:$I)+SUMIF([1]Futuros!$AD:$AD,$A5&amp;"_"&amp;IM$11,[1]Futuros!$AK:$AK)+SUMIF([1]Opciones!$AF:$AF,$A5&amp;"_"&amp;IM$11,[1]Opciones!$AQ:$AQ)</f>
        <v>#VALUE!</v>
      </c>
      <c r="IN5" t="e">
        <f>+SUMIF([1]Cartera!$R:$R,$A5&amp;"_"&amp;IN$11,[1]Cartera!$I:$I)+SUMIF([1]Futuros!$AD:$AD,$A5&amp;"_"&amp;IN$11,[1]Futuros!$AK:$AK)+SUMIF([1]Opciones!$AF:$AF,$A5&amp;"_"&amp;IN$11,[1]Opciones!$AQ:$AQ)</f>
        <v>#VALUE!</v>
      </c>
      <c r="IO5" t="e">
        <f>+SUMIF([1]Cartera!$R:$R,$A5&amp;"_"&amp;IO$11,[1]Cartera!$I:$I)+SUMIF([1]Futuros!$AD:$AD,$A5&amp;"_"&amp;IO$11,[1]Futuros!$AK:$AK)+SUMIF([1]Opciones!$AF:$AF,$A5&amp;"_"&amp;IO$11,[1]Opciones!$AQ:$AQ)</f>
        <v>#VALUE!</v>
      </c>
      <c r="IP5" t="e">
        <f>+SUMIF([1]Cartera!$R:$R,$A5&amp;"_"&amp;IP$11,[1]Cartera!$I:$I)+SUMIF([1]Futuros!$AD:$AD,$A5&amp;"_"&amp;IP$11,[1]Futuros!$AK:$AK)+SUMIF([1]Opciones!$AF:$AF,$A5&amp;"_"&amp;IP$11,[1]Opciones!$AQ:$AQ)</f>
        <v>#VALUE!</v>
      </c>
      <c r="IQ5" t="e">
        <f>+SUMIF([1]Cartera!$R:$R,$A5&amp;"_"&amp;IQ$11,[1]Cartera!$I:$I)+SUMIF([1]Futuros!$AD:$AD,$A5&amp;"_"&amp;IQ$11,[1]Futuros!$AK:$AK)+SUMIF([1]Opciones!$AF:$AF,$A5&amp;"_"&amp;IQ$11,[1]Opciones!$AQ:$AQ)</f>
        <v>#VALUE!</v>
      </c>
      <c r="IR5" t="e">
        <f>+SUMIF([1]Cartera!$R:$R,$A5&amp;"_"&amp;IR$11,[1]Cartera!$I:$I)+SUMIF([1]Futuros!$AD:$AD,$A5&amp;"_"&amp;IR$11,[1]Futuros!$AK:$AK)+SUMIF([1]Opciones!$AF:$AF,$A5&amp;"_"&amp;IR$11,[1]Opciones!$AQ:$AQ)</f>
        <v>#VALUE!</v>
      </c>
      <c r="IS5" t="e">
        <f>+SUMIF([1]Cartera!$R:$R,$A5&amp;"_"&amp;IS$11,[1]Cartera!$I:$I)+SUMIF([1]Futuros!$AD:$AD,$A5&amp;"_"&amp;IS$11,[1]Futuros!$AK:$AK)+SUMIF([1]Opciones!$AF:$AF,$A5&amp;"_"&amp;IS$11,[1]Opciones!$AQ:$AQ)</f>
        <v>#VALUE!</v>
      </c>
      <c r="IT5" t="e">
        <f>+SUMIF([1]Cartera!$R:$R,$A5&amp;"_"&amp;IT$11,[1]Cartera!$I:$I)+SUMIF([1]Futuros!$AD:$AD,$A5&amp;"_"&amp;IT$11,[1]Futuros!$AK:$AK)+SUMIF([1]Opciones!$AF:$AF,$A5&amp;"_"&amp;IT$11,[1]Opciones!$AQ:$AQ)</f>
        <v>#VALUE!</v>
      </c>
      <c r="IU5" t="e">
        <f>+SUMIF([1]Cartera!$R:$R,$A5&amp;"_"&amp;IU$11,[1]Cartera!$I:$I)+SUMIF([1]Futuros!$AD:$AD,$A5&amp;"_"&amp;IU$11,[1]Futuros!$AK:$AK)+SUMIF([1]Opciones!$AF:$AF,$A5&amp;"_"&amp;IU$11,[1]Opciones!$AQ:$AQ)</f>
        <v>#VALUE!</v>
      </c>
      <c r="IV5" t="e">
        <f>+SUMIF([1]Cartera!$R:$R,$A5&amp;"_"&amp;IV$11,[1]Cartera!$I:$I)+SUMIF([1]Futuros!$AD:$AD,$A5&amp;"_"&amp;IV$11,[1]Futuros!$AK:$AK)+SUMIF([1]Opciones!$AF:$AF,$A5&amp;"_"&amp;IV$11,[1]Opciones!$AQ:$AQ)</f>
        <v>#VALUE!</v>
      </c>
      <c r="IW5" t="e">
        <f>+SUMIF([1]Cartera!$R:$R,$A5&amp;"_"&amp;IW$11,[1]Cartera!$I:$I)+SUMIF([1]Futuros!$AD:$AD,$A5&amp;"_"&amp;IW$11,[1]Futuros!$AK:$AK)+SUMIF([1]Opciones!$AF:$AF,$A5&amp;"_"&amp;IW$11,[1]Opciones!$AQ:$AQ)</f>
        <v>#VALUE!</v>
      </c>
      <c r="IX5" t="e">
        <f>+SUMIF([1]Cartera!$R:$R,$A5&amp;"_"&amp;IX$11,[1]Cartera!$I:$I)+SUMIF([1]Futuros!$AD:$AD,$A5&amp;"_"&amp;IX$11,[1]Futuros!$AK:$AK)+SUMIF([1]Opciones!$AF:$AF,$A5&amp;"_"&amp;IX$11,[1]Opciones!$AQ:$AQ)</f>
        <v>#VALUE!</v>
      </c>
      <c r="IY5" t="e">
        <f>+SUMIF([1]Cartera!$R:$R,$A5&amp;"_"&amp;IY$11,[1]Cartera!$I:$I)+SUMIF([1]Futuros!$AD:$AD,$A5&amp;"_"&amp;IY$11,[1]Futuros!$AK:$AK)+SUMIF([1]Opciones!$AF:$AF,$A5&amp;"_"&amp;IY$11,[1]Opciones!$AQ:$AQ)</f>
        <v>#VALUE!</v>
      </c>
      <c r="IZ5" t="e">
        <f>+SUMIF([1]Cartera!$R:$R,$A5&amp;"_"&amp;IZ$11,[1]Cartera!$I:$I)+SUMIF([1]Futuros!$AD:$AD,$A5&amp;"_"&amp;IZ$11,[1]Futuros!$AK:$AK)+SUMIF([1]Opciones!$AF:$AF,$A5&amp;"_"&amp;IZ$11,[1]Opciones!$AQ:$AQ)</f>
        <v>#VALUE!</v>
      </c>
      <c r="JA5" t="e">
        <f>+SUMIF([1]Cartera!$R:$R,$A5&amp;"_"&amp;JA$11,[1]Cartera!$I:$I)+SUMIF([1]Futuros!$AD:$AD,$A5&amp;"_"&amp;JA$11,[1]Futuros!$AK:$AK)+SUMIF([1]Opciones!$AF:$AF,$A5&amp;"_"&amp;JA$11,[1]Opciones!$AQ:$AQ)</f>
        <v>#VALUE!</v>
      </c>
      <c r="JB5" t="e">
        <f>+SUMIF([1]Cartera!$R:$R,$A5&amp;"_"&amp;JB$11,[1]Cartera!$I:$I)+SUMIF([1]Futuros!$AD:$AD,$A5&amp;"_"&amp;JB$11,[1]Futuros!$AK:$AK)+SUMIF([1]Opciones!$AF:$AF,$A5&amp;"_"&amp;JB$11,[1]Opciones!$AQ:$AQ)</f>
        <v>#VALUE!</v>
      </c>
      <c r="JC5" t="e">
        <f>+SUMIF([1]Cartera!$R:$R,$A5&amp;"_"&amp;JC$11,[1]Cartera!$I:$I)+SUMIF([1]Futuros!$AD:$AD,$A5&amp;"_"&amp;JC$11,[1]Futuros!$AK:$AK)+SUMIF([1]Opciones!$AF:$AF,$A5&amp;"_"&amp;JC$11,[1]Opciones!$AQ:$AQ)</f>
        <v>#VALUE!</v>
      </c>
      <c r="JD5" t="e">
        <f>+SUMIF([1]Cartera!$R:$R,$A5&amp;"_"&amp;JD$11,[1]Cartera!$I:$I)+SUMIF([1]Futuros!$AD:$AD,$A5&amp;"_"&amp;JD$11,[1]Futuros!$AK:$AK)+SUMIF([1]Opciones!$AF:$AF,$A5&amp;"_"&amp;JD$11,[1]Opciones!$AQ:$AQ)</f>
        <v>#VALUE!</v>
      </c>
      <c r="JE5" t="e">
        <f>+SUMIF([1]Cartera!$R:$R,$A5&amp;"_"&amp;JE$11,[1]Cartera!$I:$I)+SUMIF([1]Futuros!$AD:$AD,$A5&amp;"_"&amp;JE$11,[1]Futuros!$AK:$AK)+SUMIF([1]Opciones!$AF:$AF,$A5&amp;"_"&amp;JE$11,[1]Opciones!$AQ:$AQ)</f>
        <v>#VALUE!</v>
      </c>
      <c r="JF5" t="e">
        <f>+SUMIF([1]Cartera!$R:$R,$A5&amp;"_"&amp;JF$11,[1]Cartera!$I:$I)+SUMIF([1]Futuros!$AD:$AD,$A5&amp;"_"&amp;JF$11,[1]Futuros!$AK:$AK)+SUMIF([1]Opciones!$AF:$AF,$A5&amp;"_"&amp;JF$11,[1]Opciones!$AQ:$AQ)</f>
        <v>#VALUE!</v>
      </c>
      <c r="JG5" t="e">
        <f>+SUMIF([1]Cartera!$R:$R,$A5&amp;"_"&amp;JG$11,[1]Cartera!$I:$I)+SUMIF([1]Futuros!$AD:$AD,$A5&amp;"_"&amp;JG$11,[1]Futuros!$AK:$AK)+SUMIF([1]Opciones!$AF:$AF,$A5&amp;"_"&amp;JG$11,[1]Opciones!$AQ:$AQ)</f>
        <v>#VALUE!</v>
      </c>
      <c r="JH5" t="e">
        <f>+SUMIF([1]Cartera!$R:$R,$A5&amp;"_"&amp;JH$11,[1]Cartera!$I:$I)+SUMIF([1]Futuros!$AD:$AD,$A5&amp;"_"&amp;JH$11,[1]Futuros!$AK:$AK)+SUMIF([1]Opciones!$AF:$AF,$A5&amp;"_"&amp;JH$11,[1]Opciones!$AQ:$AQ)</f>
        <v>#VALUE!</v>
      </c>
      <c r="JI5" t="e">
        <f>+SUMIF([1]Cartera!$R:$R,$A5&amp;"_"&amp;JI$11,[1]Cartera!$I:$I)+SUMIF([1]Futuros!$AD:$AD,$A5&amp;"_"&amp;JI$11,[1]Futuros!$AK:$AK)+SUMIF([1]Opciones!$AF:$AF,$A5&amp;"_"&amp;JI$11,[1]Opciones!$AQ:$AQ)</f>
        <v>#VALUE!</v>
      </c>
      <c r="JJ5" t="e">
        <f>+SUMIF([1]Cartera!$R:$R,$A5&amp;"_"&amp;JJ$11,[1]Cartera!$I:$I)+SUMIF([1]Futuros!$AD:$AD,$A5&amp;"_"&amp;JJ$11,[1]Futuros!$AK:$AK)+SUMIF([1]Opciones!$AF:$AF,$A5&amp;"_"&amp;JJ$11,[1]Opciones!$AQ:$AQ)</f>
        <v>#VALUE!</v>
      </c>
      <c r="JK5" t="e">
        <f>+SUMIF([1]Cartera!$R:$R,$A5&amp;"_"&amp;JK$11,[1]Cartera!$I:$I)+SUMIF([1]Futuros!$AD:$AD,$A5&amp;"_"&amp;JK$11,[1]Futuros!$AK:$AK)+SUMIF([1]Opciones!$AF:$AF,$A5&amp;"_"&amp;JK$11,[1]Opciones!$AQ:$AQ)</f>
        <v>#VALUE!</v>
      </c>
      <c r="JL5" t="e">
        <f>+SUMIF([1]Cartera!$R:$R,$A5&amp;"_"&amp;JL$11,[1]Cartera!$I:$I)+SUMIF([1]Futuros!$AD:$AD,$A5&amp;"_"&amp;JL$11,[1]Futuros!$AK:$AK)+SUMIF([1]Opciones!$AF:$AF,$A5&amp;"_"&amp;JL$11,[1]Opciones!$AQ:$AQ)</f>
        <v>#VALUE!</v>
      </c>
      <c r="JM5" t="e">
        <f>+SUMIF([1]Cartera!$R:$R,$A5&amp;"_"&amp;JM$11,[1]Cartera!$I:$I)+SUMIF([1]Futuros!$AD:$AD,$A5&amp;"_"&amp;JM$11,[1]Futuros!$AK:$AK)+SUMIF([1]Opciones!$AF:$AF,$A5&amp;"_"&amp;JM$11,[1]Opciones!$AQ:$AQ)</f>
        <v>#VALUE!</v>
      </c>
      <c r="JN5" t="e">
        <f>+SUMIF([1]Cartera!$R:$R,$A5&amp;"_"&amp;JN$11,[1]Cartera!$I:$I)+SUMIF([1]Futuros!$AD:$AD,$A5&amp;"_"&amp;JN$11,[1]Futuros!$AK:$AK)+SUMIF([1]Opciones!$AF:$AF,$A5&amp;"_"&amp;JN$11,[1]Opciones!$AQ:$AQ)</f>
        <v>#VALUE!</v>
      </c>
      <c r="JO5" t="e">
        <f>+SUMIF([1]Cartera!$R:$R,$A5&amp;"_"&amp;JO$11,[1]Cartera!$I:$I)+SUMIF([1]Futuros!$AD:$AD,$A5&amp;"_"&amp;JO$11,[1]Futuros!$AK:$AK)+SUMIF([1]Opciones!$AF:$AF,$A5&amp;"_"&amp;JO$11,[1]Opciones!$AQ:$AQ)</f>
        <v>#VALUE!</v>
      </c>
      <c r="JP5" t="e">
        <f>+SUMIF([1]Cartera!$R:$R,$A5&amp;"_"&amp;JP$11,[1]Cartera!$I:$I)+SUMIF([1]Futuros!$AD:$AD,$A5&amp;"_"&amp;JP$11,[1]Futuros!$AK:$AK)+SUMIF([1]Opciones!$AF:$AF,$A5&amp;"_"&amp;JP$11,[1]Opciones!$AQ:$AQ)</f>
        <v>#VALUE!</v>
      </c>
      <c r="JQ5" t="e">
        <f>+SUMIF([1]Cartera!$R:$R,$A5&amp;"_"&amp;JQ$11,[1]Cartera!$I:$I)+SUMIF([1]Futuros!$AD:$AD,$A5&amp;"_"&amp;JQ$11,[1]Futuros!$AK:$AK)+SUMIF([1]Opciones!$AF:$AF,$A5&amp;"_"&amp;JQ$11,[1]Opciones!$AQ:$AQ)</f>
        <v>#VALUE!</v>
      </c>
      <c r="JR5" t="e">
        <f>+SUMIF([1]Cartera!$R:$R,$A5&amp;"_"&amp;JR$11,[1]Cartera!$I:$I)+SUMIF([1]Futuros!$AD:$AD,$A5&amp;"_"&amp;JR$11,[1]Futuros!$AK:$AK)+SUMIF([1]Opciones!$AF:$AF,$A5&amp;"_"&amp;JR$11,[1]Opciones!$AQ:$AQ)</f>
        <v>#VALUE!</v>
      </c>
      <c r="JS5" t="e">
        <f>+SUMIF([1]Cartera!$R:$R,$A5&amp;"_"&amp;JS$11,[1]Cartera!$I:$I)+SUMIF([1]Futuros!$AD:$AD,$A5&amp;"_"&amp;JS$11,[1]Futuros!$AK:$AK)+SUMIF([1]Opciones!$AF:$AF,$A5&amp;"_"&amp;JS$11,[1]Opciones!$AQ:$AQ)</f>
        <v>#VALUE!</v>
      </c>
      <c r="JT5" t="e">
        <f>+SUMIF([1]Cartera!$R:$R,$A5&amp;"_"&amp;JT$11,[1]Cartera!$I:$I)+SUMIF([1]Futuros!$AD:$AD,$A5&amp;"_"&amp;JT$11,[1]Futuros!$AK:$AK)+SUMIF([1]Opciones!$AF:$AF,$A5&amp;"_"&amp;JT$11,[1]Opciones!$AQ:$AQ)</f>
        <v>#VALUE!</v>
      </c>
      <c r="JU5" t="e">
        <f>+SUMIF([1]Cartera!$R:$R,$A5&amp;"_"&amp;JU$11,[1]Cartera!$I:$I)+SUMIF([1]Futuros!$AD:$AD,$A5&amp;"_"&amp;JU$11,[1]Futuros!$AK:$AK)+SUMIF([1]Opciones!$AF:$AF,$A5&amp;"_"&amp;JU$11,[1]Opciones!$AQ:$AQ)</f>
        <v>#VALUE!</v>
      </c>
      <c r="JV5" t="e">
        <f>+SUMIF([1]Cartera!$R:$R,$A5&amp;"_"&amp;JV$11,[1]Cartera!$I:$I)+SUMIF([1]Futuros!$AD:$AD,$A5&amp;"_"&amp;JV$11,[1]Futuros!$AK:$AK)+SUMIF([1]Opciones!$AF:$AF,$A5&amp;"_"&amp;JV$11,[1]Opciones!$AQ:$AQ)</f>
        <v>#VALUE!</v>
      </c>
      <c r="JW5" t="e">
        <f>+SUMIF([1]Cartera!$R:$R,$A5&amp;"_"&amp;JW$11,[1]Cartera!$I:$I)+SUMIF([1]Futuros!$AD:$AD,$A5&amp;"_"&amp;JW$11,[1]Futuros!$AK:$AK)+SUMIF([1]Opciones!$AF:$AF,$A5&amp;"_"&amp;JW$11,[1]Opciones!$AQ:$AQ)</f>
        <v>#VALUE!</v>
      </c>
      <c r="JX5" t="e">
        <f>+SUMIF([1]Cartera!$R:$R,$A5&amp;"_"&amp;JX$11,[1]Cartera!$I:$I)+SUMIF([1]Futuros!$AD:$AD,$A5&amp;"_"&amp;JX$11,[1]Futuros!$AK:$AK)+SUMIF([1]Opciones!$AF:$AF,$A5&amp;"_"&amp;JX$11,[1]Opciones!$AQ:$AQ)</f>
        <v>#VALUE!</v>
      </c>
      <c r="JY5" t="e">
        <f>+SUMIF([1]Cartera!$R:$R,$A5&amp;"_"&amp;JY$11,[1]Cartera!$I:$I)+SUMIF([1]Futuros!$AD:$AD,$A5&amp;"_"&amp;JY$11,[1]Futuros!$AK:$AK)+SUMIF([1]Opciones!$AF:$AF,$A5&amp;"_"&amp;JY$11,[1]Opciones!$AQ:$AQ)</f>
        <v>#VALUE!</v>
      </c>
      <c r="JZ5" t="e">
        <f>+SUMIF([1]Cartera!$R:$R,$A5&amp;"_"&amp;JZ$11,[1]Cartera!$I:$I)+SUMIF([1]Futuros!$AD:$AD,$A5&amp;"_"&amp;JZ$11,[1]Futuros!$AK:$AK)+SUMIF([1]Opciones!$AF:$AF,$A5&amp;"_"&amp;JZ$11,[1]Opciones!$AQ:$AQ)</f>
        <v>#VALUE!</v>
      </c>
      <c r="KA5" t="e">
        <f>+SUMIF([1]Cartera!$R:$R,$A5&amp;"_"&amp;KA$11,[1]Cartera!$I:$I)+SUMIF([1]Futuros!$AD:$AD,$A5&amp;"_"&amp;KA$11,[1]Futuros!$AK:$AK)+SUMIF([1]Opciones!$AF:$AF,$A5&amp;"_"&amp;KA$11,[1]Opciones!$AQ:$AQ)</f>
        <v>#VALUE!</v>
      </c>
      <c r="KB5" t="e">
        <f>+SUMIF([1]Cartera!$R:$R,$A5&amp;"_"&amp;KB$11,[1]Cartera!$I:$I)+SUMIF([1]Futuros!$AD:$AD,$A5&amp;"_"&amp;KB$11,[1]Futuros!$AK:$AK)+SUMIF([1]Opciones!$AF:$AF,$A5&amp;"_"&amp;KB$11,[1]Opciones!$AQ:$AQ)</f>
        <v>#VALUE!</v>
      </c>
      <c r="KC5" t="e">
        <f>+SUMIF([1]Cartera!$R:$R,$A5&amp;"_"&amp;KC$11,[1]Cartera!$I:$I)+SUMIF([1]Futuros!$AD:$AD,$A5&amp;"_"&amp;KC$11,[1]Futuros!$AK:$AK)+SUMIF([1]Opciones!$AF:$AF,$A5&amp;"_"&amp;KC$11,[1]Opciones!$AQ:$AQ)</f>
        <v>#VALUE!</v>
      </c>
      <c r="KD5" t="e">
        <f>+SUMIF([1]Cartera!$R:$R,$A5&amp;"_"&amp;KD$11,[1]Cartera!$I:$I)+SUMIF([1]Futuros!$AD:$AD,$A5&amp;"_"&amp;KD$11,[1]Futuros!$AK:$AK)+SUMIF([1]Opciones!$AF:$AF,$A5&amp;"_"&amp;KD$11,[1]Opciones!$AQ:$AQ)</f>
        <v>#VALUE!</v>
      </c>
      <c r="KE5" t="e">
        <f>+SUMIF([1]Cartera!$R:$R,$A5&amp;"_"&amp;KE$11,[1]Cartera!$I:$I)+SUMIF([1]Futuros!$AD:$AD,$A5&amp;"_"&amp;KE$11,[1]Futuros!$AK:$AK)+SUMIF([1]Opciones!$AF:$AF,$A5&amp;"_"&amp;KE$11,[1]Opciones!$AQ:$AQ)</f>
        <v>#VALUE!</v>
      </c>
      <c r="KF5" t="e">
        <f>+SUMIF([1]Cartera!$R:$R,$A5&amp;"_"&amp;KF$11,[1]Cartera!$I:$I)+SUMIF([1]Futuros!$AD:$AD,$A5&amp;"_"&amp;KF$11,[1]Futuros!$AK:$AK)+SUMIF([1]Opciones!$AF:$AF,$A5&amp;"_"&amp;KF$11,[1]Opciones!$AQ:$AQ)</f>
        <v>#VALUE!</v>
      </c>
      <c r="KG5" t="e">
        <f>+SUMIF([1]Cartera!$R:$R,$A5&amp;"_"&amp;KG$11,[1]Cartera!$I:$I)+SUMIF([1]Futuros!$AD:$AD,$A5&amp;"_"&amp;KG$11,[1]Futuros!$AK:$AK)+SUMIF([1]Opciones!$AF:$AF,$A5&amp;"_"&amp;KG$11,[1]Opciones!$AQ:$AQ)</f>
        <v>#VALUE!</v>
      </c>
      <c r="KH5" t="e">
        <f>+SUMIF([1]Cartera!$R:$R,$A5&amp;"_"&amp;KH$11,[1]Cartera!$I:$I)+SUMIF([1]Futuros!$AD:$AD,$A5&amp;"_"&amp;KH$11,[1]Futuros!$AK:$AK)+SUMIF([1]Opciones!$AF:$AF,$A5&amp;"_"&amp;KH$11,[1]Opciones!$AQ:$AQ)</f>
        <v>#VALUE!</v>
      </c>
      <c r="KI5" t="e">
        <f>+SUMIF([1]Cartera!$R:$R,$A5&amp;"_"&amp;KI$11,[1]Cartera!$I:$I)+SUMIF([1]Futuros!$AD:$AD,$A5&amp;"_"&amp;KI$11,[1]Futuros!$AK:$AK)+SUMIF([1]Opciones!$AF:$AF,$A5&amp;"_"&amp;KI$11,[1]Opciones!$AQ:$AQ)</f>
        <v>#VALUE!</v>
      </c>
      <c r="KJ5" t="e">
        <f>+SUMIF([1]Cartera!$R:$R,$A5&amp;"_"&amp;KJ$11,[1]Cartera!$I:$I)+SUMIF([1]Futuros!$AD:$AD,$A5&amp;"_"&amp;KJ$11,[1]Futuros!$AK:$AK)+SUMIF([1]Opciones!$AF:$AF,$A5&amp;"_"&amp;KJ$11,[1]Opciones!$AQ:$AQ)</f>
        <v>#VALUE!</v>
      </c>
      <c r="KK5" t="e">
        <f>+SUMIF([1]Cartera!$R:$R,$A5&amp;"_"&amp;KK$11,[1]Cartera!$I:$I)+SUMIF([1]Futuros!$AD:$AD,$A5&amp;"_"&amp;KK$11,[1]Futuros!$AK:$AK)+SUMIF([1]Opciones!$AF:$AF,$A5&amp;"_"&amp;KK$11,[1]Opciones!$AQ:$AQ)</f>
        <v>#VALUE!</v>
      </c>
      <c r="KL5" t="e">
        <f>+SUMIF([1]Cartera!$R:$R,$A5&amp;"_"&amp;KL$11,[1]Cartera!$I:$I)+SUMIF([1]Futuros!$AD:$AD,$A5&amp;"_"&amp;KL$11,[1]Futuros!$AK:$AK)+SUMIF([1]Opciones!$AF:$AF,$A5&amp;"_"&amp;KL$11,[1]Opciones!$AQ:$AQ)</f>
        <v>#VALUE!</v>
      </c>
      <c r="KM5" t="e">
        <f>+SUMIF([1]Cartera!$R:$R,$A5&amp;"_"&amp;KM$11,[1]Cartera!$I:$I)+SUMIF([1]Futuros!$AD:$AD,$A5&amp;"_"&amp;KM$11,[1]Futuros!$AK:$AK)+SUMIF([1]Opciones!$AF:$AF,$A5&amp;"_"&amp;KM$11,[1]Opciones!$AQ:$AQ)</f>
        <v>#VALUE!</v>
      </c>
      <c r="KN5" t="e">
        <f>+SUMIF([1]Cartera!$R:$R,$A5&amp;"_"&amp;KN$11,[1]Cartera!$I:$I)+SUMIF([1]Futuros!$AD:$AD,$A5&amp;"_"&amp;KN$11,[1]Futuros!$AK:$AK)+SUMIF([1]Opciones!$AF:$AF,$A5&amp;"_"&amp;KN$11,[1]Opciones!$AQ:$AQ)</f>
        <v>#VALUE!</v>
      </c>
      <c r="KO5" t="e">
        <f>+SUMIF([1]Cartera!$R:$R,$A5&amp;"_"&amp;KO$11,[1]Cartera!$I:$I)+SUMIF([1]Futuros!$AD:$AD,$A5&amp;"_"&amp;KO$11,[1]Futuros!$AK:$AK)+SUMIF([1]Opciones!$AF:$AF,$A5&amp;"_"&amp;KO$11,[1]Opciones!$AQ:$AQ)</f>
        <v>#VALUE!</v>
      </c>
      <c r="KP5" t="e">
        <f>+SUMIF([1]Cartera!$R:$R,$A5&amp;"_"&amp;KP$11,[1]Cartera!$I:$I)+SUMIF([1]Futuros!$AD:$AD,$A5&amp;"_"&amp;KP$11,[1]Futuros!$AK:$AK)+SUMIF([1]Opciones!$AF:$AF,$A5&amp;"_"&amp;KP$11,[1]Opciones!$AQ:$AQ)</f>
        <v>#VALUE!</v>
      </c>
      <c r="KQ5" t="e">
        <f>+SUMIF([1]Cartera!$R:$R,$A5&amp;"_"&amp;KQ$11,[1]Cartera!$I:$I)+SUMIF([1]Futuros!$AD:$AD,$A5&amp;"_"&amp;KQ$11,[1]Futuros!$AK:$AK)+SUMIF([1]Opciones!$AF:$AF,$A5&amp;"_"&amp;KQ$11,[1]Opciones!$AQ:$AQ)</f>
        <v>#VALUE!</v>
      </c>
      <c r="KR5" t="e">
        <f>+SUMIF([1]Cartera!$R:$R,$A5&amp;"_"&amp;KR$11,[1]Cartera!$I:$I)+SUMIF([1]Futuros!$AD:$AD,$A5&amp;"_"&amp;KR$11,[1]Futuros!$AK:$AK)+SUMIF([1]Opciones!$AF:$AF,$A5&amp;"_"&amp;KR$11,[1]Opciones!$AQ:$AQ)</f>
        <v>#VALUE!</v>
      </c>
      <c r="KS5" t="e">
        <f>+SUMIF([1]Cartera!$R:$R,$A5&amp;"_"&amp;KS$11,[1]Cartera!$I:$I)+SUMIF([1]Futuros!$AD:$AD,$A5&amp;"_"&amp;KS$11,[1]Futuros!$AK:$AK)+SUMIF([1]Opciones!$AF:$AF,$A5&amp;"_"&amp;KS$11,[1]Opciones!$AQ:$AQ)</f>
        <v>#VALUE!</v>
      </c>
      <c r="KT5" t="e">
        <f>+SUMIF([1]Cartera!$R:$R,$A5&amp;"_"&amp;KT$11,[1]Cartera!$I:$I)+SUMIF([1]Futuros!$AD:$AD,$A5&amp;"_"&amp;KT$11,[1]Futuros!$AK:$AK)+SUMIF([1]Opciones!$AF:$AF,$A5&amp;"_"&amp;KT$11,[1]Opciones!$AQ:$AQ)</f>
        <v>#VALUE!</v>
      </c>
      <c r="KU5" t="e">
        <f>+SUMIF([1]Cartera!$R:$R,$A5&amp;"_"&amp;KU$11,[1]Cartera!$I:$I)+SUMIF([1]Futuros!$AD:$AD,$A5&amp;"_"&amp;KU$11,[1]Futuros!$AK:$AK)+SUMIF([1]Opciones!$AF:$AF,$A5&amp;"_"&amp;KU$11,[1]Opciones!$AQ:$AQ)</f>
        <v>#VALUE!</v>
      </c>
      <c r="KV5" t="e">
        <f>+SUMIF([1]Cartera!$R:$R,$A5&amp;"_"&amp;KV$11,[1]Cartera!$I:$I)+SUMIF([1]Futuros!$AD:$AD,$A5&amp;"_"&amp;KV$11,[1]Futuros!$AK:$AK)+SUMIF([1]Opciones!$AF:$AF,$A5&amp;"_"&amp;KV$11,[1]Opciones!$AQ:$AQ)</f>
        <v>#VALUE!</v>
      </c>
      <c r="KW5" t="e">
        <f>+SUMIF([1]Cartera!$R:$R,$A5&amp;"_"&amp;KW$11,[1]Cartera!$I:$I)+SUMIF([1]Futuros!$AD:$AD,$A5&amp;"_"&amp;KW$11,[1]Futuros!$AK:$AK)+SUMIF([1]Opciones!$AF:$AF,$A5&amp;"_"&amp;KW$11,[1]Opciones!$AQ:$AQ)</f>
        <v>#VALUE!</v>
      </c>
      <c r="KX5" t="e">
        <f>+SUMIF([1]Cartera!$R:$R,$A5&amp;"_"&amp;KX$11,[1]Cartera!$I:$I)+SUMIF([1]Futuros!$AD:$AD,$A5&amp;"_"&amp;KX$11,[1]Futuros!$AK:$AK)+SUMIF([1]Opciones!$AF:$AF,$A5&amp;"_"&amp;KX$11,[1]Opciones!$AQ:$AQ)</f>
        <v>#VALUE!</v>
      </c>
      <c r="KY5" t="e">
        <f>+SUMIF([1]Cartera!$R:$R,$A5&amp;"_"&amp;KY$11,[1]Cartera!$I:$I)+SUMIF([1]Futuros!$AD:$AD,$A5&amp;"_"&amp;KY$11,[1]Futuros!$AK:$AK)+SUMIF([1]Opciones!$AF:$AF,$A5&amp;"_"&amp;KY$11,[1]Opciones!$AQ:$AQ)</f>
        <v>#VALUE!</v>
      </c>
      <c r="KZ5" t="e">
        <f>+SUMIF([1]Cartera!$R:$R,$A5&amp;"_"&amp;KZ$11,[1]Cartera!$I:$I)+SUMIF([1]Futuros!$AD:$AD,$A5&amp;"_"&amp;KZ$11,[1]Futuros!$AK:$AK)+SUMIF([1]Opciones!$AF:$AF,$A5&amp;"_"&amp;KZ$11,[1]Opciones!$AQ:$AQ)</f>
        <v>#VALUE!</v>
      </c>
      <c r="LA5" t="e">
        <f>+SUMIF([1]Cartera!$R:$R,$A5&amp;"_"&amp;LA$11,[1]Cartera!$I:$I)+SUMIF([1]Futuros!$AD:$AD,$A5&amp;"_"&amp;LA$11,[1]Futuros!$AK:$AK)+SUMIF([1]Opciones!$AF:$AF,$A5&amp;"_"&amp;LA$11,[1]Opciones!$AQ:$AQ)</f>
        <v>#VALUE!</v>
      </c>
      <c r="LB5" t="e">
        <f>+SUMIF([1]Cartera!$R:$R,$A5&amp;"_"&amp;LB$11,[1]Cartera!$I:$I)+SUMIF([1]Futuros!$AD:$AD,$A5&amp;"_"&amp;LB$11,[1]Futuros!$AK:$AK)+SUMIF([1]Opciones!$AF:$AF,$A5&amp;"_"&amp;LB$11,[1]Opciones!$AQ:$AQ)</f>
        <v>#VALUE!</v>
      </c>
      <c r="LC5" t="e">
        <f>+SUMIF([1]Cartera!$R:$R,$A5&amp;"_"&amp;LC$11,[1]Cartera!$I:$I)+SUMIF([1]Futuros!$AD:$AD,$A5&amp;"_"&amp;LC$11,[1]Futuros!$AK:$AK)+SUMIF([1]Opciones!$AF:$AF,$A5&amp;"_"&amp;LC$11,[1]Opciones!$AQ:$AQ)</f>
        <v>#VALUE!</v>
      </c>
      <c r="LD5" t="e">
        <f>+SUMIF([1]Cartera!$R:$R,$A5&amp;"_"&amp;LD$11,[1]Cartera!$I:$I)+SUMIF([1]Futuros!$AD:$AD,$A5&amp;"_"&amp;LD$11,[1]Futuros!$AK:$AK)+SUMIF([1]Opciones!$AF:$AF,$A5&amp;"_"&amp;LD$11,[1]Opciones!$AQ:$AQ)</f>
        <v>#VALUE!</v>
      </c>
      <c r="LE5" t="e">
        <f>+SUMIF([1]Cartera!$R:$R,$A5&amp;"_"&amp;LE$11,[1]Cartera!$I:$I)+SUMIF([1]Futuros!$AD:$AD,$A5&amp;"_"&amp;LE$11,[1]Futuros!$AK:$AK)+SUMIF([1]Opciones!$AF:$AF,$A5&amp;"_"&amp;LE$11,[1]Opciones!$AQ:$AQ)</f>
        <v>#VALUE!</v>
      </c>
      <c r="LF5" t="e">
        <f>+SUMIF([1]Cartera!$R:$R,$A5&amp;"_"&amp;LF$11,[1]Cartera!$I:$I)+SUMIF([1]Futuros!$AD:$AD,$A5&amp;"_"&amp;LF$11,[1]Futuros!$AK:$AK)+SUMIF([1]Opciones!$AF:$AF,$A5&amp;"_"&amp;LF$11,[1]Opciones!$AQ:$AQ)</f>
        <v>#VALUE!</v>
      </c>
      <c r="LG5" t="e">
        <f>+SUMIF([1]Cartera!$R:$R,$A5&amp;"_"&amp;LG$11,[1]Cartera!$I:$I)+SUMIF([1]Futuros!$AD:$AD,$A5&amp;"_"&amp;LG$11,[1]Futuros!$AK:$AK)+SUMIF([1]Opciones!$AF:$AF,$A5&amp;"_"&amp;LG$11,[1]Opciones!$AQ:$AQ)</f>
        <v>#VALUE!</v>
      </c>
      <c r="LH5" t="e">
        <f>+SUMIF([1]Cartera!$R:$R,$A5&amp;"_"&amp;LH$11,[1]Cartera!$I:$I)+SUMIF([1]Futuros!$AD:$AD,$A5&amp;"_"&amp;LH$11,[1]Futuros!$AK:$AK)+SUMIF([1]Opciones!$AF:$AF,$A5&amp;"_"&amp;LH$11,[1]Opciones!$AQ:$AQ)</f>
        <v>#VALUE!</v>
      </c>
      <c r="LI5" t="e">
        <f>+SUMIF([1]Cartera!$R:$R,$A5&amp;"_"&amp;LI$11,[1]Cartera!$I:$I)+SUMIF([1]Futuros!$AD:$AD,$A5&amp;"_"&amp;LI$11,[1]Futuros!$AK:$AK)+SUMIF([1]Opciones!$AF:$AF,$A5&amp;"_"&amp;LI$11,[1]Opciones!$AQ:$AQ)</f>
        <v>#VALUE!</v>
      </c>
      <c r="LJ5" t="e">
        <f>+SUMIF([1]Cartera!$R:$R,$A5&amp;"_"&amp;LJ$11,[1]Cartera!$I:$I)+SUMIF([1]Futuros!$AD:$AD,$A5&amp;"_"&amp;LJ$11,[1]Futuros!$AK:$AK)+SUMIF([1]Opciones!$AF:$AF,$A5&amp;"_"&amp;LJ$11,[1]Opciones!$AQ:$AQ)</f>
        <v>#VALUE!</v>
      </c>
      <c r="LK5" t="e">
        <f>+SUMIF([1]Cartera!$R:$R,$A5&amp;"_"&amp;LK$11,[1]Cartera!$I:$I)+SUMIF([1]Futuros!$AD:$AD,$A5&amp;"_"&amp;LK$11,[1]Futuros!$AK:$AK)+SUMIF([1]Opciones!$AF:$AF,$A5&amp;"_"&amp;LK$11,[1]Opciones!$AQ:$AQ)</f>
        <v>#VALUE!</v>
      </c>
      <c r="LL5" t="e">
        <f>+SUMIF([1]Cartera!$R:$R,$A5&amp;"_"&amp;LL$11,[1]Cartera!$I:$I)+SUMIF([1]Futuros!$AD:$AD,$A5&amp;"_"&amp;LL$11,[1]Futuros!$AK:$AK)+SUMIF([1]Opciones!$AF:$AF,$A5&amp;"_"&amp;LL$11,[1]Opciones!$AQ:$AQ)</f>
        <v>#VALUE!</v>
      </c>
      <c r="LM5" t="e">
        <f>+SUMIF([1]Cartera!$R:$R,$A5&amp;"_"&amp;LM$11,[1]Cartera!$I:$I)+SUMIF([1]Futuros!$AD:$AD,$A5&amp;"_"&amp;LM$11,[1]Futuros!$AK:$AK)+SUMIF([1]Opciones!$AF:$AF,$A5&amp;"_"&amp;LM$11,[1]Opciones!$AQ:$AQ)</f>
        <v>#VALUE!</v>
      </c>
      <c r="LN5" t="e">
        <f>+SUMIF([1]Cartera!$R:$R,$A5&amp;"_"&amp;LN$11,[1]Cartera!$I:$I)+SUMIF([1]Futuros!$AD:$AD,$A5&amp;"_"&amp;LN$11,[1]Futuros!$AK:$AK)+SUMIF([1]Opciones!$AF:$AF,$A5&amp;"_"&amp;LN$11,[1]Opciones!$AQ:$AQ)</f>
        <v>#VALUE!</v>
      </c>
      <c r="LO5" t="e">
        <f>+SUMIF([1]Cartera!$R:$R,$A5&amp;"_"&amp;LO$11,[1]Cartera!$I:$I)+SUMIF([1]Futuros!$AD:$AD,$A5&amp;"_"&amp;LO$11,[1]Futuros!$AK:$AK)+SUMIF([1]Opciones!$AF:$AF,$A5&amp;"_"&amp;LO$11,[1]Opciones!$AQ:$AQ)</f>
        <v>#VALUE!</v>
      </c>
      <c r="LP5" t="e">
        <f>+SUMIF([1]Cartera!$R:$R,$A5&amp;"_"&amp;LP$11,[1]Cartera!$I:$I)+SUMIF([1]Futuros!$AD:$AD,$A5&amp;"_"&amp;LP$11,[1]Futuros!$AK:$AK)+SUMIF([1]Opciones!$AF:$AF,$A5&amp;"_"&amp;LP$11,[1]Opciones!$AQ:$AQ)</f>
        <v>#VALUE!</v>
      </c>
      <c r="LQ5" t="e">
        <f>+SUMIF([1]Cartera!$R:$R,$A5&amp;"_"&amp;LQ$11,[1]Cartera!$I:$I)+SUMIF([1]Futuros!$AD:$AD,$A5&amp;"_"&amp;LQ$11,[1]Futuros!$AK:$AK)+SUMIF([1]Opciones!$AF:$AF,$A5&amp;"_"&amp;LQ$11,[1]Opciones!$AQ:$AQ)</f>
        <v>#VALUE!</v>
      </c>
      <c r="LR5" t="e">
        <f>+SUMIF([1]Cartera!$R:$R,$A5&amp;"_"&amp;LR$11,[1]Cartera!$I:$I)+SUMIF([1]Futuros!$AD:$AD,$A5&amp;"_"&amp;LR$11,[1]Futuros!$AK:$AK)+SUMIF([1]Opciones!$AF:$AF,$A5&amp;"_"&amp;LR$11,[1]Opciones!$AQ:$AQ)</f>
        <v>#VALUE!</v>
      </c>
      <c r="LS5" t="e">
        <f>+SUMIF([1]Cartera!$R:$R,$A5&amp;"_"&amp;LS$11,[1]Cartera!$I:$I)+SUMIF([1]Futuros!$AD:$AD,$A5&amp;"_"&amp;LS$11,[1]Futuros!$AK:$AK)+SUMIF([1]Opciones!$AF:$AF,$A5&amp;"_"&amp;LS$11,[1]Opciones!$AQ:$AQ)</f>
        <v>#VALUE!</v>
      </c>
      <c r="LT5" t="e">
        <f>+SUMIF([1]Cartera!$R:$R,$A5&amp;"_"&amp;LT$11,[1]Cartera!$I:$I)+SUMIF([1]Futuros!$AD:$AD,$A5&amp;"_"&amp;LT$11,[1]Futuros!$AK:$AK)+SUMIF([1]Opciones!$AF:$AF,$A5&amp;"_"&amp;LT$11,[1]Opciones!$AQ:$AQ)</f>
        <v>#VALUE!</v>
      </c>
      <c r="LU5" t="e">
        <f>+SUMIF([1]Cartera!$R:$R,$A5&amp;"_"&amp;LU$11,[1]Cartera!$I:$I)+SUMIF([1]Futuros!$AD:$AD,$A5&amp;"_"&amp;LU$11,[1]Futuros!$AK:$AK)+SUMIF([1]Opciones!$AF:$AF,$A5&amp;"_"&amp;LU$11,[1]Opciones!$AQ:$AQ)</f>
        <v>#VALUE!</v>
      </c>
      <c r="LV5" t="e">
        <f>+SUMIF([1]Cartera!$R:$R,$A5&amp;"_"&amp;LV$11,[1]Cartera!$I:$I)+SUMIF([1]Futuros!$AD:$AD,$A5&amp;"_"&amp;LV$11,[1]Futuros!$AK:$AK)+SUMIF([1]Opciones!$AF:$AF,$A5&amp;"_"&amp;LV$11,[1]Opciones!$AQ:$AQ)</f>
        <v>#VALUE!</v>
      </c>
      <c r="LW5" t="e">
        <f>+SUMIF([1]Cartera!$R:$R,$A5&amp;"_"&amp;LW$11,[1]Cartera!$I:$I)+SUMIF([1]Futuros!$AD:$AD,$A5&amp;"_"&amp;LW$11,[1]Futuros!$AK:$AK)+SUMIF([1]Opciones!$AF:$AF,$A5&amp;"_"&amp;LW$11,[1]Opciones!$AQ:$AQ)</f>
        <v>#VALUE!</v>
      </c>
      <c r="LX5" t="e">
        <f>+SUMIF([1]Cartera!$R:$R,$A5&amp;"_"&amp;LX$11,[1]Cartera!$I:$I)+SUMIF([1]Futuros!$AD:$AD,$A5&amp;"_"&amp;LX$11,[1]Futuros!$AK:$AK)+SUMIF([1]Opciones!$AF:$AF,$A5&amp;"_"&amp;LX$11,[1]Opciones!$AQ:$AQ)</f>
        <v>#VALUE!</v>
      </c>
      <c r="LY5" t="e">
        <f>+SUMIF([1]Cartera!$R:$R,$A5&amp;"_"&amp;LY$11,[1]Cartera!$I:$I)+SUMIF([1]Futuros!$AD:$AD,$A5&amp;"_"&amp;LY$11,[1]Futuros!$AK:$AK)+SUMIF([1]Opciones!$AF:$AF,$A5&amp;"_"&amp;LY$11,[1]Opciones!$AQ:$AQ)</f>
        <v>#VALUE!</v>
      </c>
      <c r="LZ5" t="e">
        <f>+SUMIF([1]Cartera!$R:$R,$A5&amp;"_"&amp;LZ$11,[1]Cartera!$I:$I)+SUMIF([1]Futuros!$AD:$AD,$A5&amp;"_"&amp;LZ$11,[1]Futuros!$AK:$AK)+SUMIF([1]Opciones!$AF:$AF,$A5&amp;"_"&amp;LZ$11,[1]Opciones!$AQ:$AQ)</f>
        <v>#VALUE!</v>
      </c>
      <c r="MA5" t="e">
        <f>+SUMIF([1]Cartera!$R:$R,$A5&amp;"_"&amp;MA$11,[1]Cartera!$I:$I)+SUMIF([1]Futuros!$AD:$AD,$A5&amp;"_"&amp;MA$11,[1]Futuros!$AK:$AK)+SUMIF([1]Opciones!$AF:$AF,$A5&amp;"_"&amp;MA$11,[1]Opciones!$AQ:$AQ)</f>
        <v>#VALUE!</v>
      </c>
      <c r="MB5" t="e">
        <f>+SUMIF([1]Cartera!$R:$R,$A5&amp;"_"&amp;MB$11,[1]Cartera!$I:$I)+SUMIF([1]Futuros!$AD:$AD,$A5&amp;"_"&amp;MB$11,[1]Futuros!$AK:$AK)+SUMIF([1]Opciones!$AF:$AF,$A5&amp;"_"&amp;MB$11,[1]Opciones!$AQ:$AQ)</f>
        <v>#VALUE!</v>
      </c>
      <c r="MC5" t="e">
        <f>+SUMIF([1]Cartera!$R:$R,$A5&amp;"_"&amp;MC$11,[1]Cartera!$I:$I)+SUMIF([1]Futuros!$AD:$AD,$A5&amp;"_"&amp;MC$11,[1]Futuros!$AK:$AK)+SUMIF([1]Opciones!$AF:$AF,$A5&amp;"_"&amp;MC$11,[1]Opciones!$AQ:$AQ)</f>
        <v>#VALUE!</v>
      </c>
      <c r="MD5" t="e">
        <f>+SUMIF([1]Cartera!$R:$R,$A5&amp;"_"&amp;MD$11,[1]Cartera!$I:$I)+SUMIF([1]Futuros!$AD:$AD,$A5&amp;"_"&amp;MD$11,[1]Futuros!$AK:$AK)+SUMIF([1]Opciones!$AF:$AF,$A5&amp;"_"&amp;MD$11,[1]Opciones!$AQ:$AQ)</f>
        <v>#VALUE!</v>
      </c>
      <c r="ME5" t="e">
        <f>+SUMIF([1]Cartera!$R:$R,$A5&amp;"_"&amp;ME$11,[1]Cartera!$I:$I)+SUMIF([1]Futuros!$AD:$AD,$A5&amp;"_"&amp;ME$11,[1]Futuros!$AK:$AK)+SUMIF([1]Opciones!$AF:$AF,$A5&amp;"_"&amp;ME$11,[1]Opciones!$AQ:$AQ)</f>
        <v>#VALUE!</v>
      </c>
      <c r="MF5" t="e">
        <f>+SUMIF([1]Cartera!$R:$R,$A5&amp;"_"&amp;MF$11,[1]Cartera!$I:$I)+SUMIF([1]Futuros!$AD:$AD,$A5&amp;"_"&amp;MF$11,[1]Futuros!$AK:$AK)+SUMIF([1]Opciones!$AF:$AF,$A5&amp;"_"&amp;MF$11,[1]Opciones!$AQ:$AQ)</f>
        <v>#VALUE!</v>
      </c>
      <c r="MG5" t="e">
        <f>+SUMIF([1]Cartera!$R:$R,$A5&amp;"_"&amp;MG$11,[1]Cartera!$I:$I)+SUMIF([1]Futuros!$AD:$AD,$A5&amp;"_"&amp;MG$11,[1]Futuros!$AK:$AK)+SUMIF([1]Opciones!$AF:$AF,$A5&amp;"_"&amp;MG$11,[1]Opciones!$AQ:$AQ)</f>
        <v>#VALUE!</v>
      </c>
      <c r="MH5" t="e">
        <f>+SUMIF([1]Cartera!$R:$R,$A5&amp;"_"&amp;MH$11,[1]Cartera!$I:$I)+SUMIF([1]Futuros!$AD:$AD,$A5&amp;"_"&amp;MH$11,[1]Futuros!$AK:$AK)+SUMIF([1]Opciones!$AF:$AF,$A5&amp;"_"&amp;MH$11,[1]Opciones!$AQ:$AQ)</f>
        <v>#VALUE!</v>
      </c>
      <c r="MI5" t="e">
        <f>+SUMIF([1]Cartera!$R:$R,$A5&amp;"_"&amp;MI$11,[1]Cartera!$I:$I)+SUMIF([1]Futuros!$AD:$AD,$A5&amp;"_"&amp;MI$11,[1]Futuros!$AK:$AK)+SUMIF([1]Opciones!$AF:$AF,$A5&amp;"_"&amp;MI$11,[1]Opciones!$AQ:$AQ)</f>
        <v>#VALUE!</v>
      </c>
      <c r="MJ5" t="e">
        <f>+SUMIF([1]Cartera!$R:$R,$A5&amp;"_"&amp;MJ$11,[1]Cartera!$I:$I)+SUMIF([1]Futuros!$AD:$AD,$A5&amp;"_"&amp;MJ$11,[1]Futuros!$AK:$AK)+SUMIF([1]Opciones!$AF:$AF,$A5&amp;"_"&amp;MJ$11,[1]Opciones!$AQ:$AQ)</f>
        <v>#VALUE!</v>
      </c>
      <c r="MK5" t="e">
        <f>+SUMIF([1]Cartera!$R:$R,$A5&amp;"_"&amp;MK$11,[1]Cartera!$I:$I)+SUMIF([1]Futuros!$AD:$AD,$A5&amp;"_"&amp;MK$11,[1]Futuros!$AK:$AK)+SUMIF([1]Opciones!$AF:$AF,$A5&amp;"_"&amp;MK$11,[1]Opciones!$AQ:$AQ)</f>
        <v>#VALUE!</v>
      </c>
      <c r="ML5" t="e">
        <f>+SUMIF([1]Cartera!$R:$R,$A5&amp;"_"&amp;ML$11,[1]Cartera!$I:$I)+SUMIF([1]Futuros!$AD:$AD,$A5&amp;"_"&amp;ML$11,[1]Futuros!$AK:$AK)+SUMIF([1]Opciones!$AF:$AF,$A5&amp;"_"&amp;ML$11,[1]Opciones!$AQ:$AQ)</f>
        <v>#VALUE!</v>
      </c>
      <c r="MM5" t="e">
        <f>+SUMIF([1]Cartera!$R:$R,$A5&amp;"_"&amp;MM$11,[1]Cartera!$I:$I)+SUMIF([1]Futuros!$AD:$AD,$A5&amp;"_"&amp;MM$11,[1]Futuros!$AK:$AK)+SUMIF([1]Opciones!$AF:$AF,$A5&amp;"_"&amp;MM$11,[1]Opciones!$AQ:$AQ)</f>
        <v>#VALUE!</v>
      </c>
      <c r="MN5" t="e">
        <f>+SUMIF([1]Cartera!$R:$R,$A5&amp;"_"&amp;MN$11,[1]Cartera!$I:$I)+SUMIF([1]Futuros!$AD:$AD,$A5&amp;"_"&amp;MN$11,[1]Futuros!$AK:$AK)+SUMIF([1]Opciones!$AF:$AF,$A5&amp;"_"&amp;MN$11,[1]Opciones!$AQ:$AQ)</f>
        <v>#VALUE!</v>
      </c>
      <c r="MO5" t="e">
        <f>+SUMIF([1]Cartera!$R:$R,$A5&amp;"_"&amp;MO$11,[1]Cartera!$I:$I)+SUMIF([1]Futuros!$AD:$AD,$A5&amp;"_"&amp;MO$11,[1]Futuros!$AK:$AK)+SUMIF([1]Opciones!$AF:$AF,$A5&amp;"_"&amp;MO$11,[1]Opciones!$AQ:$AQ)</f>
        <v>#VALUE!</v>
      </c>
      <c r="MP5" t="e">
        <f>+SUMIF([1]Cartera!$R:$R,$A5&amp;"_"&amp;MP$11,[1]Cartera!$I:$I)+SUMIF([1]Futuros!$AD:$AD,$A5&amp;"_"&amp;MP$11,[1]Futuros!$AK:$AK)+SUMIF([1]Opciones!$AF:$AF,$A5&amp;"_"&amp;MP$11,[1]Opciones!$AQ:$AQ)</f>
        <v>#VALUE!</v>
      </c>
      <c r="MQ5" t="e">
        <f>+SUMIF([1]Cartera!$R:$R,$A5&amp;"_"&amp;MQ$11,[1]Cartera!$I:$I)+SUMIF([1]Futuros!$AD:$AD,$A5&amp;"_"&amp;MQ$11,[1]Futuros!$AK:$AK)+SUMIF([1]Opciones!$AF:$AF,$A5&amp;"_"&amp;MQ$11,[1]Opciones!$AQ:$AQ)</f>
        <v>#VALUE!</v>
      </c>
      <c r="MR5" t="e">
        <f>+SUMIF([1]Cartera!$R:$R,$A5&amp;"_"&amp;MR$11,[1]Cartera!$I:$I)+SUMIF([1]Futuros!$AD:$AD,$A5&amp;"_"&amp;MR$11,[1]Futuros!$AK:$AK)+SUMIF([1]Opciones!$AF:$AF,$A5&amp;"_"&amp;MR$11,[1]Opciones!$AQ:$AQ)</f>
        <v>#VALUE!</v>
      </c>
      <c r="MS5" t="e">
        <f>+SUMIF([1]Cartera!$R:$R,$A5&amp;"_"&amp;MS$11,[1]Cartera!$I:$I)+SUMIF([1]Futuros!$AD:$AD,$A5&amp;"_"&amp;MS$11,[1]Futuros!$AK:$AK)+SUMIF([1]Opciones!$AF:$AF,$A5&amp;"_"&amp;MS$11,[1]Opciones!$AQ:$AQ)</f>
        <v>#VALUE!</v>
      </c>
      <c r="MT5" t="e">
        <f>+SUMIF([1]Cartera!$R:$R,$A5&amp;"_"&amp;MT$11,[1]Cartera!$I:$I)+SUMIF([1]Futuros!$AD:$AD,$A5&amp;"_"&amp;MT$11,[1]Futuros!$AK:$AK)+SUMIF([1]Opciones!$AF:$AF,$A5&amp;"_"&amp;MT$11,[1]Opciones!$AQ:$AQ)</f>
        <v>#VALUE!</v>
      </c>
      <c r="MU5" t="e">
        <f>+SUMIF([1]Cartera!$R:$R,$A5&amp;"_"&amp;MU$11,[1]Cartera!$I:$I)+SUMIF([1]Futuros!$AD:$AD,$A5&amp;"_"&amp;MU$11,[1]Futuros!$AK:$AK)+SUMIF([1]Opciones!$AF:$AF,$A5&amp;"_"&amp;MU$11,[1]Opciones!$AQ:$AQ)</f>
        <v>#VALUE!</v>
      </c>
      <c r="MV5" t="e">
        <f>+SUMIF([1]Cartera!$R:$R,$A5&amp;"_"&amp;MV$11,[1]Cartera!$I:$I)+SUMIF([1]Futuros!$AD:$AD,$A5&amp;"_"&amp;MV$11,[1]Futuros!$AK:$AK)+SUMIF([1]Opciones!$AF:$AF,$A5&amp;"_"&amp;MV$11,[1]Opciones!$AQ:$AQ)</f>
        <v>#VALUE!</v>
      </c>
      <c r="MW5" t="e">
        <f>+SUMIF([1]Cartera!$R:$R,$A5&amp;"_"&amp;MW$11,[1]Cartera!$I:$I)+SUMIF([1]Futuros!$AD:$AD,$A5&amp;"_"&amp;MW$11,[1]Futuros!$AK:$AK)+SUMIF([1]Opciones!$AF:$AF,$A5&amp;"_"&amp;MW$11,[1]Opciones!$AQ:$AQ)</f>
        <v>#VALUE!</v>
      </c>
      <c r="MX5" t="e">
        <f>+SUMIF([1]Cartera!$R:$R,$A5&amp;"_"&amp;MX$11,[1]Cartera!$I:$I)+SUMIF([1]Futuros!$AD:$AD,$A5&amp;"_"&amp;MX$11,[1]Futuros!$AK:$AK)+SUMIF([1]Opciones!$AF:$AF,$A5&amp;"_"&amp;MX$11,[1]Opciones!$AQ:$AQ)</f>
        <v>#VALUE!</v>
      </c>
      <c r="MY5" t="e">
        <f>+SUMIF([1]Cartera!$R:$R,$A5&amp;"_"&amp;MY$11,[1]Cartera!$I:$I)+SUMIF([1]Futuros!$AD:$AD,$A5&amp;"_"&amp;MY$11,[1]Futuros!$AK:$AK)+SUMIF([1]Opciones!$AF:$AF,$A5&amp;"_"&amp;MY$11,[1]Opciones!$AQ:$AQ)</f>
        <v>#VALUE!</v>
      </c>
      <c r="MZ5" t="e">
        <f>+SUMIF([1]Cartera!$R:$R,$A5&amp;"_"&amp;MZ$11,[1]Cartera!$I:$I)+SUMIF([1]Futuros!$AD:$AD,$A5&amp;"_"&amp;MZ$11,[1]Futuros!$AK:$AK)+SUMIF([1]Opciones!$AF:$AF,$A5&amp;"_"&amp;MZ$11,[1]Opciones!$AQ:$AQ)</f>
        <v>#VALUE!</v>
      </c>
      <c r="NA5" t="e">
        <f>+SUMIF([1]Cartera!$R:$R,$A5&amp;"_"&amp;NA$11,[1]Cartera!$I:$I)+SUMIF([1]Futuros!$AD:$AD,$A5&amp;"_"&amp;NA$11,[1]Futuros!$AK:$AK)+SUMIF([1]Opciones!$AF:$AF,$A5&amp;"_"&amp;NA$11,[1]Opciones!$AQ:$AQ)</f>
        <v>#VALUE!</v>
      </c>
      <c r="NB5" t="e">
        <f>+SUMIF([1]Cartera!$R:$R,$A5&amp;"_"&amp;NB$11,[1]Cartera!$I:$I)+SUMIF([1]Futuros!$AD:$AD,$A5&amp;"_"&amp;NB$11,[1]Futuros!$AK:$AK)+SUMIF([1]Opciones!$AF:$AF,$A5&amp;"_"&amp;NB$11,[1]Opciones!$AQ:$AQ)</f>
        <v>#VALUE!</v>
      </c>
      <c r="NC5" t="e">
        <f>+SUMIF([1]Cartera!$R:$R,$A5&amp;"_"&amp;NC$11,[1]Cartera!$I:$I)+SUMIF([1]Futuros!$AD:$AD,$A5&amp;"_"&amp;NC$11,[1]Futuros!$AK:$AK)+SUMIF([1]Opciones!$AF:$AF,$A5&amp;"_"&amp;NC$11,[1]Opciones!$AQ:$AQ)</f>
        <v>#VALUE!</v>
      </c>
      <c r="ND5" t="e">
        <f>+SUMIF([1]Cartera!$R:$R,$A5&amp;"_"&amp;ND$11,[1]Cartera!$I:$I)+SUMIF([1]Futuros!$AD:$AD,$A5&amp;"_"&amp;ND$11,[1]Futuros!$AK:$AK)+SUMIF([1]Opciones!$AF:$AF,$A5&amp;"_"&amp;ND$11,[1]Opciones!$AQ:$AQ)</f>
        <v>#VALUE!</v>
      </c>
      <c r="NE5" t="e">
        <f>+SUMIF([1]Cartera!$R:$R,$A5&amp;"_"&amp;NE$11,[1]Cartera!$I:$I)+SUMIF([1]Futuros!$AD:$AD,$A5&amp;"_"&amp;NE$11,[1]Futuros!$AK:$AK)+SUMIF([1]Opciones!$AF:$AF,$A5&amp;"_"&amp;NE$11,[1]Opciones!$AQ:$AQ)</f>
        <v>#VALUE!</v>
      </c>
      <c r="NF5" t="e">
        <f>+SUMIF([1]Cartera!$R:$R,$A5&amp;"_"&amp;NF$11,[1]Cartera!$I:$I)+SUMIF([1]Futuros!$AD:$AD,$A5&amp;"_"&amp;NF$11,[1]Futuros!$AK:$AK)+SUMIF([1]Opciones!$AF:$AF,$A5&amp;"_"&amp;NF$11,[1]Opciones!$AQ:$AQ)</f>
        <v>#VALUE!</v>
      </c>
      <c r="NG5" t="e">
        <f>+SUMIF([1]Cartera!$R:$R,$A5&amp;"_"&amp;NG$11,[1]Cartera!$I:$I)+SUMIF([1]Futuros!$AD:$AD,$A5&amp;"_"&amp;NG$11,[1]Futuros!$AK:$AK)+SUMIF([1]Opciones!$AF:$AF,$A5&amp;"_"&amp;NG$11,[1]Opciones!$AQ:$AQ)</f>
        <v>#VALUE!</v>
      </c>
      <c r="NH5" t="e">
        <f>+SUMIF([1]Cartera!$R:$R,$A5&amp;"_"&amp;NH$11,[1]Cartera!$I:$I)+SUMIF([1]Futuros!$AD:$AD,$A5&amp;"_"&amp;NH$11,[1]Futuros!$AK:$AK)+SUMIF([1]Opciones!$AF:$AF,$A5&amp;"_"&amp;NH$11,[1]Opciones!$AQ:$AQ)</f>
        <v>#VALUE!</v>
      </c>
      <c r="NI5" t="e">
        <f>+SUMIF([1]Cartera!$R:$R,$A5&amp;"_"&amp;NI$11,[1]Cartera!$I:$I)+SUMIF([1]Futuros!$AD:$AD,$A5&amp;"_"&amp;NI$11,[1]Futuros!$AK:$AK)+SUMIF([1]Opciones!$AF:$AF,$A5&amp;"_"&amp;NI$11,[1]Opciones!$AQ:$AQ)</f>
        <v>#VALUE!</v>
      </c>
      <c r="NJ5" t="e">
        <f>+SUMIF([1]Cartera!$R:$R,$A5&amp;"_"&amp;NJ$11,[1]Cartera!$I:$I)+SUMIF([1]Futuros!$AD:$AD,$A5&amp;"_"&amp;NJ$11,[1]Futuros!$AK:$AK)+SUMIF([1]Opciones!$AF:$AF,$A5&amp;"_"&amp;NJ$11,[1]Opciones!$AQ:$AQ)</f>
        <v>#VALUE!</v>
      </c>
      <c r="NK5" t="e">
        <f>+SUMIF([1]Cartera!$R:$R,$A5&amp;"_"&amp;NK$11,[1]Cartera!$I:$I)+SUMIF([1]Futuros!$AD:$AD,$A5&amp;"_"&amp;NK$11,[1]Futuros!$AK:$AK)+SUMIF([1]Opciones!$AF:$AF,$A5&amp;"_"&amp;NK$11,[1]Opciones!$AQ:$AQ)</f>
        <v>#VALUE!</v>
      </c>
      <c r="NL5" t="e">
        <f>+SUMIF([1]Cartera!$R:$R,$A5&amp;"_"&amp;NL$11,[1]Cartera!$I:$I)+SUMIF([1]Futuros!$AD:$AD,$A5&amp;"_"&amp;NL$11,[1]Futuros!$AK:$AK)+SUMIF([1]Opciones!$AF:$AF,$A5&amp;"_"&amp;NL$11,[1]Opciones!$AQ:$AQ)</f>
        <v>#VALUE!</v>
      </c>
      <c r="NM5" t="e">
        <f>+SUMIF([1]Cartera!$R:$R,$A5&amp;"_"&amp;NM$11,[1]Cartera!$I:$I)+SUMIF([1]Futuros!$AD:$AD,$A5&amp;"_"&amp;NM$11,[1]Futuros!$AK:$AK)+SUMIF([1]Opciones!$AF:$AF,$A5&amp;"_"&amp;NM$11,[1]Opciones!$AQ:$AQ)</f>
        <v>#VALUE!</v>
      </c>
      <c r="NN5" t="e">
        <f>+SUMIF([1]Cartera!$R:$R,$A5&amp;"_"&amp;NN$11,[1]Cartera!$I:$I)+SUMIF([1]Futuros!$AD:$AD,$A5&amp;"_"&amp;NN$11,[1]Futuros!$AK:$AK)+SUMIF([1]Opciones!$AF:$AF,$A5&amp;"_"&amp;NN$11,[1]Opciones!$AQ:$AQ)</f>
        <v>#VALUE!</v>
      </c>
      <c r="NO5" t="e">
        <f>+SUMIF([1]Cartera!$R:$R,$A5&amp;"_"&amp;NO$11,[1]Cartera!$I:$I)+SUMIF([1]Futuros!$AD:$AD,$A5&amp;"_"&amp;NO$11,[1]Futuros!$AK:$AK)+SUMIF([1]Opciones!$AF:$AF,$A5&amp;"_"&amp;NO$11,[1]Opciones!$AQ:$AQ)</f>
        <v>#VALUE!</v>
      </c>
      <c r="NP5" t="e">
        <f>+SUMIF([1]Cartera!$R:$R,$A5&amp;"_"&amp;NP$11,[1]Cartera!$I:$I)+SUMIF([1]Futuros!$AD:$AD,$A5&amp;"_"&amp;NP$11,[1]Futuros!$AK:$AK)+SUMIF([1]Opciones!$AF:$AF,$A5&amp;"_"&amp;NP$11,[1]Opciones!$AQ:$AQ)</f>
        <v>#VALUE!</v>
      </c>
      <c r="NQ5" t="e">
        <f>+SUMIF([1]Cartera!$R:$R,$A5&amp;"_"&amp;NQ$11,[1]Cartera!$I:$I)+SUMIF([1]Futuros!$AD:$AD,$A5&amp;"_"&amp;NQ$11,[1]Futuros!$AK:$AK)+SUMIF([1]Opciones!$AF:$AF,$A5&amp;"_"&amp;NQ$11,[1]Opciones!$AQ:$AQ)</f>
        <v>#VALUE!</v>
      </c>
      <c r="NR5" t="e">
        <f>+SUMIF([1]Cartera!$R:$R,$A5&amp;"_"&amp;NR$11,[1]Cartera!$I:$I)+SUMIF([1]Futuros!$AD:$AD,$A5&amp;"_"&amp;NR$11,[1]Futuros!$AK:$AK)+SUMIF([1]Opciones!$AF:$AF,$A5&amp;"_"&amp;NR$11,[1]Opciones!$AQ:$AQ)</f>
        <v>#VALUE!</v>
      </c>
      <c r="NS5" t="e">
        <f>+SUMIF([1]Cartera!$R:$R,$A5&amp;"_"&amp;NS$11,[1]Cartera!$I:$I)+SUMIF([1]Futuros!$AD:$AD,$A5&amp;"_"&amp;NS$11,[1]Futuros!$AK:$AK)+SUMIF([1]Opciones!$AF:$AF,$A5&amp;"_"&amp;NS$11,[1]Opciones!$AQ:$AQ)</f>
        <v>#VALUE!</v>
      </c>
      <c r="NT5" t="e">
        <f>+SUMIF([1]Cartera!$R:$R,$A5&amp;"_"&amp;NT$11,[1]Cartera!$I:$I)+SUMIF([1]Futuros!$AD:$AD,$A5&amp;"_"&amp;NT$11,[1]Futuros!$AK:$AK)+SUMIF([1]Opciones!$AF:$AF,$A5&amp;"_"&amp;NT$11,[1]Opciones!$AQ:$AQ)</f>
        <v>#VALUE!</v>
      </c>
      <c r="NU5" t="e">
        <f>+SUMIF([1]Cartera!$R:$R,$A5&amp;"_"&amp;NU$11,[1]Cartera!$I:$I)+SUMIF([1]Futuros!$AD:$AD,$A5&amp;"_"&amp;NU$11,[1]Futuros!$AK:$AK)+SUMIF([1]Opciones!$AF:$AF,$A5&amp;"_"&amp;NU$11,[1]Opciones!$AQ:$AQ)</f>
        <v>#VALUE!</v>
      </c>
      <c r="NV5" t="e">
        <f>+SUMIF([1]Cartera!$R:$R,$A5&amp;"_"&amp;NV$11,[1]Cartera!$I:$I)+SUMIF([1]Futuros!$AD:$AD,$A5&amp;"_"&amp;NV$11,[1]Futuros!$AK:$AK)+SUMIF([1]Opciones!$AF:$AF,$A5&amp;"_"&amp;NV$11,[1]Opciones!$AQ:$AQ)</f>
        <v>#VALUE!</v>
      </c>
      <c r="NW5" t="e">
        <f>+SUMIF([1]Cartera!$R:$R,$A5&amp;"_"&amp;NW$11,[1]Cartera!$I:$I)+SUMIF([1]Futuros!$AD:$AD,$A5&amp;"_"&amp;NW$11,[1]Futuros!$AK:$AK)+SUMIF([1]Opciones!$AF:$AF,$A5&amp;"_"&amp;NW$11,[1]Opciones!$AQ:$AQ)</f>
        <v>#VALUE!</v>
      </c>
      <c r="NX5" t="e">
        <f>+SUMIF([1]Cartera!$R:$R,$A5&amp;"_"&amp;NX$11,[1]Cartera!$I:$I)+SUMIF([1]Futuros!$AD:$AD,$A5&amp;"_"&amp;NX$11,[1]Futuros!$AK:$AK)+SUMIF([1]Opciones!$AF:$AF,$A5&amp;"_"&amp;NX$11,[1]Opciones!$AQ:$AQ)</f>
        <v>#VALUE!</v>
      </c>
      <c r="NY5" t="e">
        <f>+SUMIF([1]Cartera!$R:$R,$A5&amp;"_"&amp;NY$11,[1]Cartera!$I:$I)+SUMIF([1]Futuros!$AD:$AD,$A5&amp;"_"&amp;NY$11,[1]Futuros!$AK:$AK)+SUMIF([1]Opciones!$AF:$AF,$A5&amp;"_"&amp;NY$11,[1]Opciones!$AQ:$AQ)</f>
        <v>#VALUE!</v>
      </c>
      <c r="NZ5" t="e">
        <f>+SUMIF([1]Cartera!$R:$R,$A5&amp;"_"&amp;NZ$11,[1]Cartera!$I:$I)+SUMIF([1]Futuros!$AD:$AD,$A5&amp;"_"&amp;NZ$11,[1]Futuros!$AK:$AK)+SUMIF([1]Opciones!$AF:$AF,$A5&amp;"_"&amp;NZ$11,[1]Opciones!$AQ:$AQ)</f>
        <v>#VALUE!</v>
      </c>
      <c r="OA5" t="e">
        <f>+SUMIF([1]Cartera!$R:$R,$A5&amp;"_"&amp;OA$11,[1]Cartera!$I:$I)+SUMIF([1]Futuros!$AD:$AD,$A5&amp;"_"&amp;OA$11,[1]Futuros!$AK:$AK)+SUMIF([1]Opciones!$AF:$AF,$A5&amp;"_"&amp;OA$11,[1]Opciones!$AQ:$AQ)</f>
        <v>#VALUE!</v>
      </c>
      <c r="OB5" t="e">
        <f>+SUMIF([1]Cartera!$R:$R,$A5&amp;"_"&amp;OB$11,[1]Cartera!$I:$I)+SUMIF([1]Futuros!$AD:$AD,$A5&amp;"_"&amp;OB$11,[1]Futuros!$AK:$AK)+SUMIF([1]Opciones!$AF:$AF,$A5&amp;"_"&amp;OB$11,[1]Opciones!$AQ:$AQ)</f>
        <v>#VALUE!</v>
      </c>
      <c r="OC5" t="e">
        <f>+SUMIF([1]Cartera!$R:$R,$A5&amp;"_"&amp;OC$11,[1]Cartera!$I:$I)+SUMIF([1]Futuros!$AD:$AD,$A5&amp;"_"&amp;OC$11,[1]Futuros!$AK:$AK)+SUMIF([1]Opciones!$AF:$AF,$A5&amp;"_"&amp;OC$11,[1]Opciones!$AQ:$AQ)</f>
        <v>#VALUE!</v>
      </c>
      <c r="OD5" t="e">
        <f>+SUMIF([1]Cartera!$R:$R,$A5&amp;"_"&amp;OD$11,[1]Cartera!$I:$I)+SUMIF([1]Futuros!$AD:$AD,$A5&amp;"_"&amp;OD$11,[1]Futuros!$AK:$AK)+SUMIF([1]Opciones!$AF:$AF,$A5&amp;"_"&amp;OD$11,[1]Opciones!$AQ:$AQ)</f>
        <v>#VALUE!</v>
      </c>
      <c r="OE5" t="e">
        <f>+SUMIF([1]Cartera!$R:$R,$A5&amp;"_"&amp;OE$11,[1]Cartera!$I:$I)+SUMIF([1]Futuros!$AD:$AD,$A5&amp;"_"&amp;OE$11,[1]Futuros!$AK:$AK)+SUMIF([1]Opciones!$AF:$AF,$A5&amp;"_"&amp;OE$11,[1]Opciones!$AQ:$AQ)</f>
        <v>#VALUE!</v>
      </c>
      <c r="OF5" t="e">
        <f>+SUMIF([1]Cartera!$R:$R,$A5&amp;"_"&amp;OF$11,[1]Cartera!$I:$I)+SUMIF([1]Futuros!$AD:$AD,$A5&amp;"_"&amp;OF$11,[1]Futuros!$AK:$AK)+SUMIF([1]Opciones!$AF:$AF,$A5&amp;"_"&amp;OF$11,[1]Opciones!$AQ:$AQ)</f>
        <v>#VALUE!</v>
      </c>
      <c r="OG5" t="e">
        <f>+SUMIF([1]Cartera!$R:$R,$A5&amp;"_"&amp;OG$11,[1]Cartera!$I:$I)+SUMIF([1]Futuros!$AD:$AD,$A5&amp;"_"&amp;OG$11,[1]Futuros!$AK:$AK)+SUMIF([1]Opciones!$AF:$AF,$A5&amp;"_"&amp;OG$11,[1]Opciones!$AQ:$AQ)</f>
        <v>#VALUE!</v>
      </c>
      <c r="OH5" t="e">
        <f>+SUMIF([1]Cartera!$R:$R,$A5&amp;"_"&amp;OH$11,[1]Cartera!$I:$I)+SUMIF([1]Futuros!$AD:$AD,$A5&amp;"_"&amp;OH$11,[1]Futuros!$AK:$AK)+SUMIF([1]Opciones!$AF:$AF,$A5&amp;"_"&amp;OH$11,[1]Opciones!$AQ:$AQ)</f>
        <v>#VALUE!</v>
      </c>
      <c r="OI5" t="e">
        <f>+SUMIF([1]Cartera!$R:$R,$A5&amp;"_"&amp;OI$11,[1]Cartera!$I:$I)+SUMIF([1]Futuros!$AD:$AD,$A5&amp;"_"&amp;OI$11,[1]Futuros!$AK:$AK)+SUMIF([1]Opciones!$AF:$AF,$A5&amp;"_"&amp;OI$11,[1]Opciones!$AQ:$AQ)</f>
        <v>#VALUE!</v>
      </c>
      <c r="OJ5" t="e">
        <f>+SUMIF([1]Cartera!$R:$R,$A5&amp;"_"&amp;OJ$11,[1]Cartera!$I:$I)+SUMIF([1]Futuros!$AD:$AD,$A5&amp;"_"&amp;OJ$11,[1]Futuros!$AK:$AK)+SUMIF([1]Opciones!$AF:$AF,$A5&amp;"_"&amp;OJ$11,[1]Opciones!$AQ:$AQ)</f>
        <v>#VALUE!</v>
      </c>
      <c r="OK5" t="e">
        <f>+SUMIF([1]Cartera!$R:$R,$A5&amp;"_"&amp;OK$11,[1]Cartera!$I:$I)+SUMIF([1]Futuros!$AD:$AD,$A5&amp;"_"&amp;OK$11,[1]Futuros!$AK:$AK)+SUMIF([1]Opciones!$AF:$AF,$A5&amp;"_"&amp;OK$11,[1]Opciones!$AQ:$AQ)</f>
        <v>#VALUE!</v>
      </c>
      <c r="OL5" t="e">
        <f>+SUMIF([1]Cartera!$R:$R,$A5&amp;"_"&amp;OL$11,[1]Cartera!$I:$I)+SUMIF([1]Futuros!$AD:$AD,$A5&amp;"_"&amp;OL$11,[1]Futuros!$AK:$AK)+SUMIF([1]Opciones!$AF:$AF,$A5&amp;"_"&amp;OL$11,[1]Opciones!$AQ:$AQ)</f>
        <v>#VALUE!</v>
      </c>
      <c r="OM5" t="e">
        <f>+SUMIF([1]Cartera!$R:$R,$A5&amp;"_"&amp;OM$11,[1]Cartera!$I:$I)+SUMIF([1]Futuros!$AD:$AD,$A5&amp;"_"&amp;OM$11,[1]Futuros!$AK:$AK)+SUMIF([1]Opciones!$AF:$AF,$A5&amp;"_"&amp;OM$11,[1]Opciones!$AQ:$AQ)</f>
        <v>#VALUE!</v>
      </c>
      <c r="ON5" t="e">
        <f>+SUMIF([1]Cartera!$R:$R,$A5&amp;"_"&amp;ON$11,[1]Cartera!$I:$I)+SUMIF([1]Futuros!$AD:$AD,$A5&amp;"_"&amp;ON$11,[1]Futuros!$AK:$AK)+SUMIF([1]Opciones!$AF:$AF,$A5&amp;"_"&amp;ON$11,[1]Opciones!$AQ:$AQ)</f>
        <v>#VALUE!</v>
      </c>
      <c r="OO5" t="e">
        <f>+SUMIF([1]Cartera!$R:$R,$A5&amp;"_"&amp;OO$11,[1]Cartera!$I:$I)+SUMIF([1]Futuros!$AD:$AD,$A5&amp;"_"&amp;OO$11,[1]Futuros!$AK:$AK)+SUMIF([1]Opciones!$AF:$AF,$A5&amp;"_"&amp;OO$11,[1]Opciones!$AQ:$AQ)</f>
        <v>#VALUE!</v>
      </c>
      <c r="OP5" t="e">
        <f>+SUMIF([1]Cartera!$R:$R,$A5&amp;"_"&amp;OP$11,[1]Cartera!$I:$I)+SUMIF([1]Futuros!$AD:$AD,$A5&amp;"_"&amp;OP$11,[1]Futuros!$AK:$AK)+SUMIF([1]Opciones!$AF:$AF,$A5&amp;"_"&amp;OP$11,[1]Opciones!$AQ:$AQ)</f>
        <v>#VALUE!</v>
      </c>
      <c r="OQ5" t="e">
        <f>+SUMIF([1]Cartera!$R:$R,$A5&amp;"_"&amp;OQ$11,[1]Cartera!$I:$I)+SUMIF([1]Futuros!$AD:$AD,$A5&amp;"_"&amp;OQ$11,[1]Futuros!$AK:$AK)+SUMIF([1]Opciones!$AF:$AF,$A5&amp;"_"&amp;OQ$11,[1]Opciones!$AQ:$AQ)</f>
        <v>#VALUE!</v>
      </c>
      <c r="OR5" t="e">
        <f>+SUMIF([1]Cartera!$R:$R,$A5&amp;"_"&amp;OR$11,[1]Cartera!$I:$I)+SUMIF([1]Futuros!$AD:$AD,$A5&amp;"_"&amp;OR$11,[1]Futuros!$AK:$AK)+SUMIF([1]Opciones!$AF:$AF,$A5&amp;"_"&amp;OR$11,[1]Opciones!$AQ:$AQ)</f>
        <v>#VALUE!</v>
      </c>
      <c r="OS5" t="e">
        <f>+SUMIF([1]Cartera!$R:$R,$A5&amp;"_"&amp;OS$11,[1]Cartera!$I:$I)+SUMIF([1]Futuros!$AD:$AD,$A5&amp;"_"&amp;OS$11,[1]Futuros!$AK:$AK)+SUMIF([1]Opciones!$AF:$AF,$A5&amp;"_"&amp;OS$11,[1]Opciones!$AQ:$AQ)</f>
        <v>#VALUE!</v>
      </c>
      <c r="OT5" t="e">
        <f>+SUMIF([1]Cartera!$R:$R,$A5&amp;"_"&amp;OT$11,[1]Cartera!$I:$I)+SUMIF([1]Futuros!$AD:$AD,$A5&amp;"_"&amp;OT$11,[1]Futuros!$AK:$AK)+SUMIF([1]Opciones!$AF:$AF,$A5&amp;"_"&amp;OT$11,[1]Opciones!$AQ:$AQ)</f>
        <v>#VALUE!</v>
      </c>
      <c r="OU5" t="e">
        <f>+SUMIF([1]Cartera!$R:$R,$A5&amp;"_"&amp;OU$11,[1]Cartera!$I:$I)+SUMIF([1]Futuros!$AD:$AD,$A5&amp;"_"&amp;OU$11,[1]Futuros!$AK:$AK)+SUMIF([1]Opciones!$AF:$AF,$A5&amp;"_"&amp;OU$11,[1]Opciones!$AQ:$AQ)</f>
        <v>#VALUE!</v>
      </c>
      <c r="OV5" t="e">
        <f>+SUMIF([1]Cartera!$R:$R,$A5&amp;"_"&amp;OV$11,[1]Cartera!$I:$I)+SUMIF([1]Futuros!$AD:$AD,$A5&amp;"_"&amp;OV$11,[1]Futuros!$AK:$AK)+SUMIF([1]Opciones!$AF:$AF,$A5&amp;"_"&amp;OV$11,[1]Opciones!$AQ:$AQ)</f>
        <v>#VALUE!</v>
      </c>
      <c r="OW5" t="e">
        <f>+SUMIF([1]Cartera!$R:$R,$A5&amp;"_"&amp;OW$11,[1]Cartera!$I:$I)+SUMIF([1]Futuros!$AD:$AD,$A5&amp;"_"&amp;OW$11,[1]Futuros!$AK:$AK)+SUMIF([1]Opciones!$AF:$AF,$A5&amp;"_"&amp;OW$11,[1]Opciones!$AQ:$AQ)</f>
        <v>#VALUE!</v>
      </c>
      <c r="OX5" t="e">
        <f>+SUMIF([1]Cartera!$R:$R,$A5&amp;"_"&amp;OX$11,[1]Cartera!$I:$I)+SUMIF([1]Futuros!$AD:$AD,$A5&amp;"_"&amp;OX$11,[1]Futuros!$AK:$AK)+SUMIF([1]Opciones!$AF:$AF,$A5&amp;"_"&amp;OX$11,[1]Opciones!$AQ:$AQ)</f>
        <v>#VALUE!</v>
      </c>
      <c r="OY5" t="e">
        <f>+SUMIF([1]Cartera!$R:$R,$A5&amp;"_"&amp;OY$11,[1]Cartera!$I:$I)+SUMIF([1]Futuros!$AD:$AD,$A5&amp;"_"&amp;OY$11,[1]Futuros!$AK:$AK)+SUMIF([1]Opciones!$AF:$AF,$A5&amp;"_"&amp;OY$11,[1]Opciones!$AQ:$AQ)</f>
        <v>#VALUE!</v>
      </c>
      <c r="OZ5" t="e">
        <f>+SUMIF([1]Cartera!$R:$R,$A5&amp;"_"&amp;OZ$11,[1]Cartera!$I:$I)+SUMIF([1]Futuros!$AD:$AD,$A5&amp;"_"&amp;OZ$11,[1]Futuros!$AK:$AK)+SUMIF([1]Opciones!$AF:$AF,$A5&amp;"_"&amp;OZ$11,[1]Opciones!$AQ:$AQ)</f>
        <v>#VALUE!</v>
      </c>
      <c r="PA5" t="e">
        <f>+SUMIF([1]Cartera!$R:$R,$A5&amp;"_"&amp;PA$11,[1]Cartera!$I:$I)+SUMIF([1]Futuros!$AD:$AD,$A5&amp;"_"&amp;PA$11,[1]Futuros!$AK:$AK)+SUMIF([1]Opciones!$AF:$AF,$A5&amp;"_"&amp;PA$11,[1]Opciones!$AQ:$AQ)</f>
        <v>#VALUE!</v>
      </c>
      <c r="PB5" t="e">
        <f>+SUMIF([1]Cartera!$R:$R,$A5&amp;"_"&amp;PB$11,[1]Cartera!$I:$I)+SUMIF([1]Futuros!$AD:$AD,$A5&amp;"_"&amp;PB$11,[1]Futuros!$AK:$AK)+SUMIF([1]Opciones!$AF:$AF,$A5&amp;"_"&amp;PB$11,[1]Opciones!$AQ:$AQ)</f>
        <v>#VALUE!</v>
      </c>
      <c r="PC5" t="e">
        <f>+SUMIF([1]Cartera!$R:$R,$A5&amp;"_"&amp;PC$11,[1]Cartera!$I:$I)+SUMIF([1]Futuros!$AD:$AD,$A5&amp;"_"&amp;PC$11,[1]Futuros!$AK:$AK)+SUMIF([1]Opciones!$AF:$AF,$A5&amp;"_"&amp;PC$11,[1]Opciones!$AQ:$AQ)</f>
        <v>#VALUE!</v>
      </c>
      <c r="PD5" t="e">
        <f>+SUMIF([1]Cartera!$R:$R,$A5&amp;"_"&amp;PD$11,[1]Cartera!$I:$I)+SUMIF([1]Futuros!$AD:$AD,$A5&amp;"_"&amp;PD$11,[1]Futuros!$AK:$AK)+SUMIF([1]Opciones!$AF:$AF,$A5&amp;"_"&amp;PD$11,[1]Opciones!$AQ:$AQ)</f>
        <v>#VALUE!</v>
      </c>
      <c r="PE5" t="e">
        <f>+SUMIF([1]Cartera!$R:$R,$A5&amp;"_"&amp;PE$11,[1]Cartera!$I:$I)+SUMIF([1]Futuros!$AD:$AD,$A5&amp;"_"&amp;PE$11,[1]Futuros!$AK:$AK)+SUMIF([1]Opciones!$AF:$AF,$A5&amp;"_"&amp;PE$11,[1]Opciones!$AQ:$AQ)</f>
        <v>#VALUE!</v>
      </c>
      <c r="PF5" t="e">
        <f>+SUMIF([1]Cartera!$R:$R,$A5&amp;"_"&amp;PF$11,[1]Cartera!$I:$I)+SUMIF([1]Futuros!$AD:$AD,$A5&amp;"_"&amp;PF$11,[1]Futuros!$AK:$AK)+SUMIF([1]Opciones!$AF:$AF,$A5&amp;"_"&amp;PF$11,[1]Opciones!$AQ:$AQ)</f>
        <v>#VALUE!</v>
      </c>
      <c r="PG5" t="e">
        <f>+SUMIF([1]Cartera!$R:$R,$A5&amp;"_"&amp;PG$11,[1]Cartera!$I:$I)+SUMIF([1]Futuros!$AD:$AD,$A5&amp;"_"&amp;PG$11,[1]Futuros!$AK:$AK)+SUMIF([1]Opciones!$AF:$AF,$A5&amp;"_"&amp;PG$11,[1]Opciones!$AQ:$AQ)</f>
        <v>#VALUE!</v>
      </c>
      <c r="PH5" t="e">
        <f>+SUMIF([1]Cartera!$R:$R,$A5&amp;"_"&amp;PH$11,[1]Cartera!$I:$I)+SUMIF([1]Futuros!$AD:$AD,$A5&amp;"_"&amp;PH$11,[1]Futuros!$AK:$AK)+SUMIF([1]Opciones!$AF:$AF,$A5&amp;"_"&amp;PH$11,[1]Opciones!$AQ:$AQ)</f>
        <v>#VALUE!</v>
      </c>
      <c r="PI5" t="e">
        <f>+SUMIF([1]Cartera!$R:$R,$A5&amp;"_"&amp;PI$11,[1]Cartera!$I:$I)+SUMIF([1]Futuros!$AD:$AD,$A5&amp;"_"&amp;PI$11,[1]Futuros!$AK:$AK)+SUMIF([1]Opciones!$AF:$AF,$A5&amp;"_"&amp;PI$11,[1]Opciones!$AQ:$AQ)</f>
        <v>#VALUE!</v>
      </c>
      <c r="PJ5" t="e">
        <f>+SUMIF([1]Cartera!$R:$R,$A5&amp;"_"&amp;PJ$11,[1]Cartera!$I:$I)+SUMIF([1]Futuros!$AD:$AD,$A5&amp;"_"&amp;PJ$11,[1]Futuros!$AK:$AK)+SUMIF([1]Opciones!$AF:$AF,$A5&amp;"_"&amp;PJ$11,[1]Opciones!$AQ:$AQ)</f>
        <v>#VALUE!</v>
      </c>
      <c r="PK5" t="e">
        <f>+SUMIF([1]Cartera!$R:$R,$A5&amp;"_"&amp;PK$11,[1]Cartera!$I:$I)+SUMIF([1]Futuros!$AD:$AD,$A5&amp;"_"&amp;PK$11,[1]Futuros!$AK:$AK)+SUMIF([1]Opciones!$AF:$AF,$A5&amp;"_"&amp;PK$11,[1]Opciones!$AQ:$AQ)</f>
        <v>#VALUE!</v>
      </c>
      <c r="PL5" t="e">
        <f>+SUMIF([1]Cartera!$R:$R,$A5&amp;"_"&amp;PL$11,[1]Cartera!$I:$I)+SUMIF([1]Futuros!$AD:$AD,$A5&amp;"_"&amp;PL$11,[1]Futuros!$AK:$AK)+SUMIF([1]Opciones!$AF:$AF,$A5&amp;"_"&amp;PL$11,[1]Opciones!$AQ:$AQ)</f>
        <v>#VALUE!</v>
      </c>
      <c r="PM5" t="e">
        <f>+SUMIF([1]Cartera!$R:$R,$A5&amp;"_"&amp;PM$11,[1]Cartera!$I:$I)+SUMIF([1]Futuros!$AD:$AD,$A5&amp;"_"&amp;PM$11,[1]Futuros!$AK:$AK)+SUMIF([1]Opciones!$AF:$AF,$A5&amp;"_"&amp;PM$11,[1]Opciones!$AQ:$AQ)</f>
        <v>#VALUE!</v>
      </c>
      <c r="PN5" t="e">
        <f>+SUMIF([1]Cartera!$R:$R,$A5&amp;"_"&amp;PN$11,[1]Cartera!$I:$I)+SUMIF([1]Futuros!$AD:$AD,$A5&amp;"_"&amp;PN$11,[1]Futuros!$AK:$AK)+SUMIF([1]Opciones!$AF:$AF,$A5&amp;"_"&amp;PN$11,[1]Opciones!$AQ:$AQ)</f>
        <v>#VALUE!</v>
      </c>
      <c r="PO5" t="e">
        <f>+SUMIF([1]Cartera!$R:$R,$A5&amp;"_"&amp;PO$11,[1]Cartera!$I:$I)+SUMIF([1]Futuros!$AD:$AD,$A5&amp;"_"&amp;PO$11,[1]Futuros!$AK:$AK)+SUMIF([1]Opciones!$AF:$AF,$A5&amp;"_"&amp;PO$11,[1]Opciones!$AQ:$AQ)</f>
        <v>#VALUE!</v>
      </c>
      <c r="PP5" t="e">
        <f>+SUMIF([1]Cartera!$R:$R,$A5&amp;"_"&amp;PP$11,[1]Cartera!$I:$I)+SUMIF([1]Futuros!$AD:$AD,$A5&amp;"_"&amp;PP$11,[1]Futuros!$AK:$AK)+SUMIF([1]Opciones!$AF:$AF,$A5&amp;"_"&amp;PP$11,[1]Opciones!$AQ:$AQ)</f>
        <v>#VALUE!</v>
      </c>
      <c r="PQ5" t="e">
        <f>+SUMIF([1]Cartera!$R:$R,$A5&amp;"_"&amp;PQ$11,[1]Cartera!$I:$I)+SUMIF([1]Futuros!$AD:$AD,$A5&amp;"_"&amp;PQ$11,[1]Futuros!$AK:$AK)+SUMIF([1]Opciones!$AF:$AF,$A5&amp;"_"&amp;PQ$11,[1]Opciones!$AQ:$AQ)</f>
        <v>#VALUE!</v>
      </c>
      <c r="PR5" t="e">
        <f>+SUMIF([1]Cartera!$R:$R,$A5&amp;"_"&amp;PR$11,[1]Cartera!$I:$I)+SUMIF([1]Futuros!$AD:$AD,$A5&amp;"_"&amp;PR$11,[1]Futuros!$AK:$AK)+SUMIF([1]Opciones!$AF:$AF,$A5&amp;"_"&amp;PR$11,[1]Opciones!$AQ:$AQ)</f>
        <v>#VALUE!</v>
      </c>
      <c r="PS5" t="e">
        <f>+SUMIF([1]Cartera!$R:$R,$A5&amp;"_"&amp;PS$11,[1]Cartera!$I:$I)+SUMIF([1]Futuros!$AD:$AD,$A5&amp;"_"&amp;PS$11,[1]Futuros!$AK:$AK)+SUMIF([1]Opciones!$AF:$AF,$A5&amp;"_"&amp;PS$11,[1]Opciones!$AQ:$AQ)</f>
        <v>#VALUE!</v>
      </c>
      <c r="PT5" t="e">
        <f>+SUMIF([1]Cartera!$R:$R,$A5&amp;"_"&amp;PT$11,[1]Cartera!$I:$I)+SUMIF([1]Futuros!$AD:$AD,$A5&amp;"_"&amp;PT$11,[1]Futuros!$AK:$AK)+SUMIF([1]Opciones!$AF:$AF,$A5&amp;"_"&amp;PT$11,[1]Opciones!$AQ:$AQ)</f>
        <v>#VALUE!</v>
      </c>
      <c r="PU5" t="e">
        <f>+SUMIF([1]Cartera!$R:$R,$A5&amp;"_"&amp;PU$11,[1]Cartera!$I:$I)+SUMIF([1]Futuros!$AD:$AD,$A5&amp;"_"&amp;PU$11,[1]Futuros!$AK:$AK)+SUMIF([1]Opciones!$AF:$AF,$A5&amp;"_"&amp;PU$11,[1]Opciones!$AQ:$AQ)</f>
        <v>#VALUE!</v>
      </c>
      <c r="PV5" t="e">
        <f>+SUMIF([1]Cartera!$R:$R,$A5&amp;"_"&amp;PV$11,[1]Cartera!$I:$I)+SUMIF([1]Futuros!$AD:$AD,$A5&amp;"_"&amp;PV$11,[1]Futuros!$AK:$AK)+SUMIF([1]Opciones!$AF:$AF,$A5&amp;"_"&amp;PV$11,[1]Opciones!$AQ:$AQ)</f>
        <v>#VALUE!</v>
      </c>
      <c r="PW5" t="e">
        <f>+SUMIF([1]Cartera!$R:$R,$A5&amp;"_"&amp;PW$11,[1]Cartera!$I:$I)+SUMIF([1]Futuros!$AD:$AD,$A5&amp;"_"&amp;PW$11,[1]Futuros!$AK:$AK)+SUMIF([1]Opciones!$AF:$AF,$A5&amp;"_"&amp;PW$11,[1]Opciones!$AQ:$AQ)</f>
        <v>#VALUE!</v>
      </c>
      <c r="PX5" t="e">
        <f>+SUMIF([1]Cartera!$R:$R,$A5&amp;"_"&amp;PX$11,[1]Cartera!$I:$I)+SUMIF([1]Futuros!$AD:$AD,$A5&amp;"_"&amp;PX$11,[1]Futuros!$AK:$AK)+SUMIF([1]Opciones!$AF:$AF,$A5&amp;"_"&amp;PX$11,[1]Opciones!$AQ:$AQ)</f>
        <v>#VALUE!</v>
      </c>
      <c r="PY5" t="e">
        <f>+SUMIF([1]Cartera!$R:$R,$A5&amp;"_"&amp;PY$11,[1]Cartera!$I:$I)+SUMIF([1]Futuros!$AD:$AD,$A5&amp;"_"&amp;PY$11,[1]Futuros!$AK:$AK)+SUMIF([1]Opciones!$AF:$AF,$A5&amp;"_"&amp;PY$11,[1]Opciones!$AQ:$AQ)</f>
        <v>#VALUE!</v>
      </c>
      <c r="PZ5" t="e">
        <f>+SUMIF([1]Cartera!$R:$R,$A5&amp;"_"&amp;PZ$11,[1]Cartera!$I:$I)+SUMIF([1]Futuros!$AD:$AD,$A5&amp;"_"&amp;PZ$11,[1]Futuros!$AK:$AK)+SUMIF([1]Opciones!$AF:$AF,$A5&amp;"_"&amp;PZ$11,[1]Opciones!$AQ:$AQ)</f>
        <v>#VALUE!</v>
      </c>
      <c r="QA5" t="e">
        <f>+SUMIF([1]Cartera!$R:$R,$A5&amp;"_"&amp;QA$11,[1]Cartera!$I:$I)+SUMIF([1]Futuros!$AD:$AD,$A5&amp;"_"&amp;QA$11,[1]Futuros!$AK:$AK)+SUMIF([1]Opciones!$AF:$AF,$A5&amp;"_"&amp;QA$11,[1]Opciones!$AQ:$AQ)</f>
        <v>#VALUE!</v>
      </c>
      <c r="QB5" t="e">
        <f>+SUMIF([1]Cartera!$R:$R,$A5&amp;"_"&amp;QB$11,[1]Cartera!$I:$I)+SUMIF([1]Futuros!$AD:$AD,$A5&amp;"_"&amp;QB$11,[1]Futuros!$AK:$AK)+SUMIF([1]Opciones!$AF:$AF,$A5&amp;"_"&amp;QB$11,[1]Opciones!$AQ:$AQ)</f>
        <v>#VALUE!</v>
      </c>
      <c r="QC5" t="e">
        <f>+SUMIF([1]Cartera!$R:$R,$A5&amp;"_"&amp;QC$11,[1]Cartera!$I:$I)+SUMIF([1]Futuros!$AD:$AD,$A5&amp;"_"&amp;QC$11,[1]Futuros!$AK:$AK)+SUMIF([1]Opciones!$AF:$AF,$A5&amp;"_"&amp;QC$11,[1]Opciones!$AQ:$AQ)</f>
        <v>#VALUE!</v>
      </c>
      <c r="QD5" t="e">
        <f>+SUMIF([1]Cartera!$R:$R,$A5&amp;"_"&amp;QD$11,[1]Cartera!$I:$I)+SUMIF([1]Futuros!$AD:$AD,$A5&amp;"_"&amp;QD$11,[1]Futuros!$AK:$AK)+SUMIF([1]Opciones!$AF:$AF,$A5&amp;"_"&amp;QD$11,[1]Opciones!$AQ:$AQ)</f>
        <v>#VALUE!</v>
      </c>
      <c r="QE5" t="e">
        <f>+SUMIF([1]Cartera!$R:$R,$A5&amp;"_"&amp;QE$11,[1]Cartera!$I:$I)+SUMIF([1]Futuros!$AD:$AD,$A5&amp;"_"&amp;QE$11,[1]Futuros!$AK:$AK)+SUMIF([1]Opciones!$AF:$AF,$A5&amp;"_"&amp;QE$11,[1]Opciones!$AQ:$AQ)</f>
        <v>#VALUE!</v>
      </c>
      <c r="QF5" t="e">
        <f>+SUMIF([1]Cartera!$R:$R,$A5&amp;"_"&amp;QF$11,[1]Cartera!$I:$I)+SUMIF([1]Futuros!$AD:$AD,$A5&amp;"_"&amp;QF$11,[1]Futuros!$AK:$AK)+SUMIF([1]Opciones!$AF:$AF,$A5&amp;"_"&amp;QF$11,[1]Opciones!$AQ:$AQ)</f>
        <v>#VALUE!</v>
      </c>
      <c r="QG5" t="e">
        <f>+SUMIF([1]Cartera!$R:$R,$A5&amp;"_"&amp;QG$11,[1]Cartera!$I:$I)+SUMIF([1]Futuros!$AD:$AD,$A5&amp;"_"&amp;QG$11,[1]Futuros!$AK:$AK)+SUMIF([1]Opciones!$AF:$AF,$A5&amp;"_"&amp;QG$11,[1]Opciones!$AQ:$AQ)</f>
        <v>#VALUE!</v>
      </c>
      <c r="QH5" t="e">
        <f>+SUMIF([1]Cartera!$R:$R,$A5&amp;"_"&amp;QH$11,[1]Cartera!$I:$I)+SUMIF([1]Futuros!$AD:$AD,$A5&amp;"_"&amp;QH$11,[1]Futuros!$AK:$AK)+SUMIF([1]Opciones!$AF:$AF,$A5&amp;"_"&amp;QH$11,[1]Opciones!$AQ:$AQ)</f>
        <v>#VALUE!</v>
      </c>
      <c r="QI5" t="e">
        <f>+SUMIF([1]Cartera!$R:$R,$A5&amp;"_"&amp;QI$11,[1]Cartera!$I:$I)+SUMIF([1]Futuros!$AD:$AD,$A5&amp;"_"&amp;QI$11,[1]Futuros!$AK:$AK)+SUMIF([1]Opciones!$AF:$AF,$A5&amp;"_"&amp;QI$11,[1]Opciones!$AQ:$AQ)</f>
        <v>#VALUE!</v>
      </c>
      <c r="QJ5" t="e">
        <f>+SUMIF([1]Cartera!$R:$R,$A5&amp;"_"&amp;QJ$11,[1]Cartera!$I:$I)+SUMIF([1]Futuros!$AD:$AD,$A5&amp;"_"&amp;QJ$11,[1]Futuros!$AK:$AK)+SUMIF([1]Opciones!$AF:$AF,$A5&amp;"_"&amp;QJ$11,[1]Opciones!$AQ:$AQ)</f>
        <v>#VALUE!</v>
      </c>
      <c r="QK5" t="e">
        <f>+SUMIF([1]Cartera!$R:$R,$A5&amp;"_"&amp;QK$11,[1]Cartera!$I:$I)+SUMIF([1]Futuros!$AD:$AD,$A5&amp;"_"&amp;QK$11,[1]Futuros!$AK:$AK)+SUMIF([1]Opciones!$AF:$AF,$A5&amp;"_"&amp;QK$11,[1]Opciones!$AQ:$AQ)</f>
        <v>#VALUE!</v>
      </c>
      <c r="QL5" t="e">
        <f>+SUMIF([1]Cartera!$R:$R,$A5&amp;"_"&amp;QL$11,[1]Cartera!$I:$I)+SUMIF([1]Futuros!$AD:$AD,$A5&amp;"_"&amp;QL$11,[1]Futuros!$AK:$AK)+SUMIF([1]Opciones!$AF:$AF,$A5&amp;"_"&amp;QL$11,[1]Opciones!$AQ:$AQ)</f>
        <v>#VALUE!</v>
      </c>
      <c r="QM5" t="e">
        <f>+SUMIF([1]Cartera!$R:$R,$A5&amp;"_"&amp;QM$11,[1]Cartera!$I:$I)+SUMIF([1]Futuros!$AD:$AD,$A5&amp;"_"&amp;QM$11,[1]Futuros!$AK:$AK)+SUMIF([1]Opciones!$AF:$AF,$A5&amp;"_"&amp;QM$11,[1]Opciones!$AQ:$AQ)</f>
        <v>#VALUE!</v>
      </c>
      <c r="QN5" t="e">
        <f>+SUMIF([1]Cartera!$R:$R,$A5&amp;"_"&amp;QN$11,[1]Cartera!$I:$I)+SUMIF([1]Futuros!$AD:$AD,$A5&amp;"_"&amp;QN$11,[1]Futuros!$AK:$AK)+SUMIF([1]Opciones!$AF:$AF,$A5&amp;"_"&amp;QN$11,[1]Opciones!$AQ:$AQ)</f>
        <v>#VALUE!</v>
      </c>
      <c r="QO5" t="e">
        <f>+SUMIF([1]Cartera!$R:$R,$A5&amp;"_"&amp;QO$11,[1]Cartera!$I:$I)+SUMIF([1]Futuros!$AD:$AD,$A5&amp;"_"&amp;QO$11,[1]Futuros!$AK:$AK)+SUMIF([1]Opciones!$AF:$AF,$A5&amp;"_"&amp;QO$11,[1]Opciones!$AQ:$AQ)</f>
        <v>#VALUE!</v>
      </c>
      <c r="QP5" t="e">
        <f>+SUMIF([1]Cartera!$R:$R,$A5&amp;"_"&amp;QP$11,[1]Cartera!$I:$I)+SUMIF([1]Futuros!$AD:$AD,$A5&amp;"_"&amp;QP$11,[1]Futuros!$AK:$AK)+SUMIF([1]Opciones!$AF:$AF,$A5&amp;"_"&amp;QP$11,[1]Opciones!$AQ:$AQ)</f>
        <v>#VALUE!</v>
      </c>
      <c r="QQ5" t="e">
        <f>+SUMIF([1]Cartera!$R:$R,$A5&amp;"_"&amp;QQ$11,[1]Cartera!$I:$I)+SUMIF([1]Futuros!$AD:$AD,$A5&amp;"_"&amp;QQ$11,[1]Futuros!$AK:$AK)+SUMIF([1]Opciones!$AF:$AF,$A5&amp;"_"&amp;QQ$11,[1]Opciones!$AQ:$AQ)</f>
        <v>#VALUE!</v>
      </c>
      <c r="QR5" t="e">
        <f>+SUMIF([1]Cartera!$R:$R,$A5&amp;"_"&amp;QR$11,[1]Cartera!$I:$I)+SUMIF([1]Futuros!$AD:$AD,$A5&amp;"_"&amp;QR$11,[1]Futuros!$AK:$AK)+SUMIF([1]Opciones!$AF:$AF,$A5&amp;"_"&amp;QR$11,[1]Opciones!$AQ:$AQ)</f>
        <v>#VALUE!</v>
      </c>
      <c r="QS5" t="e">
        <f>+SUMIF([1]Cartera!$R:$R,$A5&amp;"_"&amp;QS$11,[1]Cartera!$I:$I)+SUMIF([1]Futuros!$AD:$AD,$A5&amp;"_"&amp;QS$11,[1]Futuros!$AK:$AK)+SUMIF([1]Opciones!$AF:$AF,$A5&amp;"_"&amp;QS$11,[1]Opciones!$AQ:$AQ)</f>
        <v>#VALUE!</v>
      </c>
      <c r="QT5" t="e">
        <f>+SUMIF([1]Cartera!$R:$R,$A5&amp;"_"&amp;QT$11,[1]Cartera!$I:$I)+SUMIF([1]Futuros!$AD:$AD,$A5&amp;"_"&amp;QT$11,[1]Futuros!$AK:$AK)+SUMIF([1]Opciones!$AF:$AF,$A5&amp;"_"&amp;QT$11,[1]Opciones!$AQ:$AQ)</f>
        <v>#VALUE!</v>
      </c>
      <c r="QU5" t="e">
        <f>+SUMIF([1]Cartera!$R:$R,$A5&amp;"_"&amp;QU$11,[1]Cartera!$I:$I)+SUMIF([1]Futuros!$AD:$AD,$A5&amp;"_"&amp;QU$11,[1]Futuros!$AK:$AK)+SUMIF([1]Opciones!$AF:$AF,$A5&amp;"_"&amp;QU$11,[1]Opciones!$AQ:$AQ)</f>
        <v>#VALUE!</v>
      </c>
      <c r="QV5" t="e">
        <f>+SUMIF([1]Cartera!$R:$R,$A5&amp;"_"&amp;QV$11,[1]Cartera!$I:$I)+SUMIF([1]Futuros!$AD:$AD,$A5&amp;"_"&amp;QV$11,[1]Futuros!$AK:$AK)+SUMIF([1]Opciones!$AF:$AF,$A5&amp;"_"&amp;QV$11,[1]Opciones!$AQ:$AQ)</f>
        <v>#VALUE!</v>
      </c>
      <c r="QW5" t="e">
        <f>+SUMIF([1]Cartera!$R:$R,$A5&amp;"_"&amp;QW$11,[1]Cartera!$I:$I)+SUMIF([1]Futuros!$AD:$AD,$A5&amp;"_"&amp;QW$11,[1]Futuros!$AK:$AK)+SUMIF([1]Opciones!$AF:$AF,$A5&amp;"_"&amp;QW$11,[1]Opciones!$AQ:$AQ)</f>
        <v>#VALUE!</v>
      </c>
      <c r="QX5" t="e">
        <f>+SUMIF([1]Cartera!$R:$R,$A5&amp;"_"&amp;QX$11,[1]Cartera!$I:$I)+SUMIF([1]Futuros!$AD:$AD,$A5&amp;"_"&amp;QX$11,[1]Futuros!$AK:$AK)+SUMIF([1]Opciones!$AF:$AF,$A5&amp;"_"&amp;QX$11,[1]Opciones!$AQ:$AQ)</f>
        <v>#VALUE!</v>
      </c>
      <c r="QY5" t="e">
        <f>+SUMIF([1]Cartera!$R:$R,$A5&amp;"_"&amp;QY$11,[1]Cartera!$I:$I)+SUMIF([1]Futuros!$AD:$AD,$A5&amp;"_"&amp;QY$11,[1]Futuros!$AK:$AK)+SUMIF([1]Opciones!$AF:$AF,$A5&amp;"_"&amp;QY$11,[1]Opciones!$AQ:$AQ)</f>
        <v>#VALUE!</v>
      </c>
      <c r="QZ5" t="e">
        <f>+SUMIF([1]Cartera!$R:$R,$A5&amp;"_"&amp;QZ$11,[1]Cartera!$I:$I)+SUMIF([1]Futuros!$AD:$AD,$A5&amp;"_"&amp;QZ$11,[1]Futuros!$AK:$AK)+SUMIF([1]Opciones!$AF:$AF,$A5&amp;"_"&amp;QZ$11,[1]Opciones!$AQ:$AQ)</f>
        <v>#VALUE!</v>
      </c>
      <c r="RA5" t="e">
        <f>+SUMIF([1]Cartera!$R:$R,$A5&amp;"_"&amp;RA$11,[1]Cartera!$I:$I)+SUMIF([1]Futuros!$AD:$AD,$A5&amp;"_"&amp;RA$11,[1]Futuros!$AK:$AK)+SUMIF([1]Opciones!$AF:$AF,$A5&amp;"_"&amp;RA$11,[1]Opciones!$AQ:$AQ)</f>
        <v>#VALUE!</v>
      </c>
      <c r="RB5" t="e">
        <f>+SUMIF([1]Cartera!$R:$R,$A5&amp;"_"&amp;RB$11,[1]Cartera!$I:$I)+SUMIF([1]Futuros!$AD:$AD,$A5&amp;"_"&amp;RB$11,[1]Futuros!$AK:$AK)+SUMIF([1]Opciones!$AF:$AF,$A5&amp;"_"&amp;RB$11,[1]Opciones!$AQ:$AQ)</f>
        <v>#VALUE!</v>
      </c>
      <c r="RC5" t="e">
        <f>+SUMIF([1]Cartera!$R:$R,$A5&amp;"_"&amp;RC$11,[1]Cartera!$I:$I)+SUMIF([1]Futuros!$AD:$AD,$A5&amp;"_"&amp;RC$11,[1]Futuros!$AK:$AK)+SUMIF([1]Opciones!$AF:$AF,$A5&amp;"_"&amp;RC$11,[1]Opciones!$AQ:$AQ)</f>
        <v>#VALUE!</v>
      </c>
      <c r="RD5" t="e">
        <f>+SUMIF([1]Cartera!$R:$R,$A5&amp;"_"&amp;RD$11,[1]Cartera!$I:$I)+SUMIF([1]Futuros!$AD:$AD,$A5&amp;"_"&amp;RD$11,[1]Futuros!$AK:$AK)+SUMIF([1]Opciones!$AF:$AF,$A5&amp;"_"&amp;RD$11,[1]Opciones!$AQ:$AQ)</f>
        <v>#VALUE!</v>
      </c>
      <c r="RE5" t="e">
        <f>+SUMIF([1]Cartera!$R:$R,$A5&amp;"_"&amp;RE$11,[1]Cartera!$I:$I)+SUMIF([1]Futuros!$AD:$AD,$A5&amp;"_"&amp;RE$11,[1]Futuros!$AK:$AK)+SUMIF([1]Opciones!$AF:$AF,$A5&amp;"_"&amp;RE$11,[1]Opciones!$AQ:$AQ)</f>
        <v>#VALUE!</v>
      </c>
      <c r="RF5" t="e">
        <f>+SUMIF([1]Cartera!$R:$R,$A5&amp;"_"&amp;RF$11,[1]Cartera!$I:$I)+SUMIF([1]Futuros!$AD:$AD,$A5&amp;"_"&amp;RF$11,[1]Futuros!$AK:$AK)+SUMIF([1]Opciones!$AF:$AF,$A5&amp;"_"&amp;RF$11,[1]Opciones!$AQ:$AQ)</f>
        <v>#VALUE!</v>
      </c>
      <c r="RG5" t="e">
        <f>+SUMIF([1]Cartera!$R:$R,$A5&amp;"_"&amp;RG$11,[1]Cartera!$I:$I)+SUMIF([1]Futuros!$AD:$AD,$A5&amp;"_"&amp;RG$11,[1]Futuros!$AK:$AK)+SUMIF([1]Opciones!$AF:$AF,$A5&amp;"_"&amp;RG$11,[1]Opciones!$AQ:$AQ)</f>
        <v>#VALUE!</v>
      </c>
      <c r="RH5" t="e">
        <f>+SUMIF([1]Cartera!$R:$R,$A5&amp;"_"&amp;RH$11,[1]Cartera!$I:$I)+SUMIF([1]Futuros!$AD:$AD,$A5&amp;"_"&amp;RH$11,[1]Futuros!$AK:$AK)+SUMIF([1]Opciones!$AF:$AF,$A5&amp;"_"&amp;RH$11,[1]Opciones!$AQ:$AQ)</f>
        <v>#VALUE!</v>
      </c>
      <c r="RI5" t="e">
        <f>+SUMIF([1]Cartera!$R:$R,$A5&amp;"_"&amp;RI$11,[1]Cartera!$I:$I)+SUMIF([1]Futuros!$AD:$AD,$A5&amp;"_"&amp;RI$11,[1]Futuros!$AK:$AK)+SUMIF([1]Opciones!$AF:$AF,$A5&amp;"_"&amp;RI$11,[1]Opciones!$AQ:$AQ)</f>
        <v>#VALUE!</v>
      </c>
      <c r="RJ5" t="e">
        <f>+SUMIF([1]Cartera!$R:$R,$A5&amp;"_"&amp;RJ$11,[1]Cartera!$I:$I)+SUMIF([1]Futuros!$AD:$AD,$A5&amp;"_"&amp;RJ$11,[1]Futuros!$AK:$AK)+SUMIF([1]Opciones!$AF:$AF,$A5&amp;"_"&amp;RJ$11,[1]Opciones!$AQ:$AQ)</f>
        <v>#VALUE!</v>
      </c>
      <c r="RK5" t="e">
        <f>+SUMIF([1]Cartera!$R:$R,$A5&amp;"_"&amp;RK$11,[1]Cartera!$I:$I)+SUMIF([1]Futuros!$AD:$AD,$A5&amp;"_"&amp;RK$11,[1]Futuros!$AK:$AK)+SUMIF([1]Opciones!$AF:$AF,$A5&amp;"_"&amp;RK$11,[1]Opciones!$AQ:$AQ)</f>
        <v>#VALUE!</v>
      </c>
      <c r="RL5" t="e">
        <f>+SUMIF([1]Cartera!$R:$R,$A5&amp;"_"&amp;RL$11,[1]Cartera!$I:$I)+SUMIF([1]Futuros!$AD:$AD,$A5&amp;"_"&amp;RL$11,[1]Futuros!$AK:$AK)+SUMIF([1]Opciones!$AF:$AF,$A5&amp;"_"&amp;RL$11,[1]Opciones!$AQ:$AQ)</f>
        <v>#VALUE!</v>
      </c>
      <c r="RM5" t="e">
        <f>+SUMIF([1]Cartera!$R:$R,$A5&amp;"_"&amp;RM$11,[1]Cartera!$I:$I)+SUMIF([1]Futuros!$AD:$AD,$A5&amp;"_"&amp;RM$11,[1]Futuros!$AK:$AK)+SUMIF([1]Opciones!$AF:$AF,$A5&amp;"_"&amp;RM$11,[1]Opciones!$AQ:$AQ)</f>
        <v>#VALUE!</v>
      </c>
      <c r="RN5" t="e">
        <f>+SUMIF([1]Cartera!$R:$R,$A5&amp;"_"&amp;RN$11,[1]Cartera!$I:$I)+SUMIF([1]Futuros!$AD:$AD,$A5&amp;"_"&amp;RN$11,[1]Futuros!$AK:$AK)+SUMIF([1]Opciones!$AF:$AF,$A5&amp;"_"&amp;RN$11,[1]Opciones!$AQ:$AQ)</f>
        <v>#VALUE!</v>
      </c>
      <c r="RO5" t="e">
        <f>+SUMIF([1]Cartera!$R:$R,$A5&amp;"_"&amp;RO$11,[1]Cartera!$I:$I)+SUMIF([1]Futuros!$AD:$AD,$A5&amp;"_"&amp;RO$11,[1]Futuros!$AK:$AK)+SUMIF([1]Opciones!$AF:$AF,$A5&amp;"_"&amp;RO$11,[1]Opciones!$AQ:$AQ)</f>
        <v>#VALUE!</v>
      </c>
      <c r="RP5" t="e">
        <f>+SUMIF([1]Cartera!$R:$R,$A5&amp;"_"&amp;RP$11,[1]Cartera!$I:$I)+SUMIF([1]Futuros!$AD:$AD,$A5&amp;"_"&amp;RP$11,[1]Futuros!$AK:$AK)+SUMIF([1]Opciones!$AF:$AF,$A5&amp;"_"&amp;RP$11,[1]Opciones!$AQ:$AQ)</f>
        <v>#VALUE!</v>
      </c>
      <c r="RQ5" t="e">
        <f>+SUMIF([1]Cartera!$R:$R,$A5&amp;"_"&amp;RQ$11,[1]Cartera!$I:$I)+SUMIF([1]Futuros!$AD:$AD,$A5&amp;"_"&amp;RQ$11,[1]Futuros!$AK:$AK)+SUMIF([1]Opciones!$AF:$AF,$A5&amp;"_"&amp;RQ$11,[1]Opciones!$AQ:$AQ)</f>
        <v>#VALUE!</v>
      </c>
      <c r="RR5" t="e">
        <f>+SUMIF([1]Cartera!$R:$R,$A5&amp;"_"&amp;RR$11,[1]Cartera!$I:$I)+SUMIF([1]Futuros!$AD:$AD,$A5&amp;"_"&amp;RR$11,[1]Futuros!$AK:$AK)+SUMIF([1]Opciones!$AF:$AF,$A5&amp;"_"&amp;RR$11,[1]Opciones!$AQ:$AQ)</f>
        <v>#VALUE!</v>
      </c>
      <c r="RS5" t="e">
        <f>+SUMIF([1]Cartera!$R:$R,$A5&amp;"_"&amp;RS$11,[1]Cartera!$I:$I)+SUMIF([1]Futuros!$AD:$AD,$A5&amp;"_"&amp;RS$11,[1]Futuros!$AK:$AK)+SUMIF([1]Opciones!$AF:$AF,$A5&amp;"_"&amp;RS$11,[1]Opciones!$AQ:$AQ)</f>
        <v>#VALUE!</v>
      </c>
      <c r="RT5" t="e">
        <f>+SUMIF([1]Cartera!$R:$R,$A5&amp;"_"&amp;RT$11,[1]Cartera!$I:$I)+SUMIF([1]Futuros!$AD:$AD,$A5&amp;"_"&amp;RT$11,[1]Futuros!$AK:$AK)+SUMIF([1]Opciones!$AF:$AF,$A5&amp;"_"&amp;RT$11,[1]Opciones!$AQ:$AQ)</f>
        <v>#VALUE!</v>
      </c>
      <c r="RU5" t="e">
        <f>+SUMIF([1]Cartera!$R:$R,$A5&amp;"_"&amp;RU$11,[1]Cartera!$I:$I)+SUMIF([1]Futuros!$AD:$AD,$A5&amp;"_"&amp;RU$11,[1]Futuros!$AK:$AK)+SUMIF([1]Opciones!$AF:$AF,$A5&amp;"_"&amp;RU$11,[1]Opciones!$AQ:$AQ)</f>
        <v>#VALUE!</v>
      </c>
      <c r="RV5" t="e">
        <f>+SUMIF([1]Cartera!$R:$R,$A5&amp;"_"&amp;RV$11,[1]Cartera!$I:$I)+SUMIF([1]Futuros!$AD:$AD,$A5&amp;"_"&amp;RV$11,[1]Futuros!$AK:$AK)+SUMIF([1]Opciones!$AF:$AF,$A5&amp;"_"&amp;RV$11,[1]Opciones!$AQ:$AQ)</f>
        <v>#VALUE!</v>
      </c>
      <c r="RW5" t="e">
        <f>+SUMIF([1]Cartera!$R:$R,$A5&amp;"_"&amp;RW$11,[1]Cartera!$I:$I)+SUMIF([1]Futuros!$AD:$AD,$A5&amp;"_"&amp;RW$11,[1]Futuros!$AK:$AK)+SUMIF([1]Opciones!$AF:$AF,$A5&amp;"_"&amp;RW$11,[1]Opciones!$AQ:$AQ)</f>
        <v>#VALUE!</v>
      </c>
      <c r="RX5" t="e">
        <f>+SUMIF([1]Cartera!$R:$R,$A5&amp;"_"&amp;RX$11,[1]Cartera!$I:$I)+SUMIF([1]Futuros!$AD:$AD,$A5&amp;"_"&amp;RX$11,[1]Futuros!$AK:$AK)+SUMIF([1]Opciones!$AF:$AF,$A5&amp;"_"&amp;RX$11,[1]Opciones!$AQ:$AQ)</f>
        <v>#VALUE!</v>
      </c>
      <c r="RY5" t="e">
        <f>+SUMIF([1]Cartera!$R:$R,$A5&amp;"_"&amp;RY$11,[1]Cartera!$I:$I)+SUMIF([1]Futuros!$AD:$AD,$A5&amp;"_"&amp;RY$11,[1]Futuros!$AK:$AK)+SUMIF([1]Opciones!$AF:$AF,$A5&amp;"_"&amp;RY$11,[1]Opciones!$AQ:$AQ)</f>
        <v>#VALUE!</v>
      </c>
      <c r="RZ5" t="e">
        <f>+SUMIF([1]Cartera!$R:$R,$A5&amp;"_"&amp;RZ$11,[1]Cartera!$I:$I)+SUMIF([1]Futuros!$AD:$AD,$A5&amp;"_"&amp;RZ$11,[1]Futuros!$AK:$AK)+SUMIF([1]Opciones!$AF:$AF,$A5&amp;"_"&amp;RZ$11,[1]Opciones!$AQ:$AQ)</f>
        <v>#VALUE!</v>
      </c>
      <c r="SA5" t="e">
        <f>+SUMIF([1]Cartera!$R:$R,$A5&amp;"_"&amp;SA$11,[1]Cartera!$I:$I)+SUMIF([1]Futuros!$AD:$AD,$A5&amp;"_"&amp;SA$11,[1]Futuros!$AK:$AK)+SUMIF([1]Opciones!$AF:$AF,$A5&amp;"_"&amp;SA$11,[1]Opciones!$AQ:$AQ)</f>
        <v>#VALUE!</v>
      </c>
      <c r="SB5" t="e">
        <f>+SUMIF([1]Cartera!$R:$R,$A5&amp;"_"&amp;SB$11,[1]Cartera!$I:$I)+SUMIF([1]Futuros!$AD:$AD,$A5&amp;"_"&amp;SB$11,[1]Futuros!$AK:$AK)+SUMIF([1]Opciones!$AF:$AF,$A5&amp;"_"&amp;SB$11,[1]Opciones!$AQ:$AQ)</f>
        <v>#VALUE!</v>
      </c>
      <c r="SC5" t="e">
        <f>+SUMIF([1]Cartera!$R:$R,$A5&amp;"_"&amp;SC$11,[1]Cartera!$I:$I)+SUMIF([1]Futuros!$AD:$AD,$A5&amp;"_"&amp;SC$11,[1]Futuros!$AK:$AK)+SUMIF([1]Opciones!$AF:$AF,$A5&amp;"_"&amp;SC$11,[1]Opciones!$AQ:$AQ)</f>
        <v>#VALUE!</v>
      </c>
      <c r="SD5" t="e">
        <f>+SUMIF([1]Cartera!$R:$R,$A5&amp;"_"&amp;SD$11,[1]Cartera!$I:$I)+SUMIF([1]Futuros!$AD:$AD,$A5&amp;"_"&amp;SD$11,[1]Futuros!$AK:$AK)+SUMIF([1]Opciones!$AF:$AF,$A5&amp;"_"&amp;SD$11,[1]Opciones!$AQ:$AQ)</f>
        <v>#VALUE!</v>
      </c>
      <c r="SE5" t="e">
        <f>+SUMIF([1]Cartera!$R:$R,$A5&amp;"_"&amp;SE$11,[1]Cartera!$I:$I)+SUMIF([1]Futuros!$AD:$AD,$A5&amp;"_"&amp;SE$11,[1]Futuros!$AK:$AK)+SUMIF([1]Opciones!$AF:$AF,$A5&amp;"_"&amp;SE$11,[1]Opciones!$AQ:$AQ)</f>
        <v>#VALUE!</v>
      </c>
      <c r="SF5" t="e">
        <f>+SUMIF([1]Cartera!$R:$R,$A5&amp;"_"&amp;SF$11,[1]Cartera!$I:$I)+SUMIF([1]Futuros!$AD:$AD,$A5&amp;"_"&amp;SF$11,[1]Futuros!$AK:$AK)+SUMIF([1]Opciones!$AF:$AF,$A5&amp;"_"&amp;SF$11,[1]Opciones!$AQ:$AQ)</f>
        <v>#VALUE!</v>
      </c>
      <c r="SG5" t="e">
        <f>+SUMIF([1]Cartera!$R:$R,$A5&amp;"_"&amp;SG$11,[1]Cartera!$I:$I)+SUMIF([1]Futuros!$AD:$AD,$A5&amp;"_"&amp;SG$11,[1]Futuros!$AK:$AK)+SUMIF([1]Opciones!$AF:$AF,$A5&amp;"_"&amp;SG$11,[1]Opciones!$AQ:$AQ)</f>
        <v>#VALUE!</v>
      </c>
      <c r="SH5" t="e">
        <f>+SUMIF([1]Cartera!$R:$R,$A5&amp;"_"&amp;SH$11,[1]Cartera!$I:$I)+SUMIF([1]Futuros!$AD:$AD,$A5&amp;"_"&amp;SH$11,[1]Futuros!$AK:$AK)+SUMIF([1]Opciones!$AF:$AF,$A5&amp;"_"&amp;SH$11,[1]Opciones!$AQ:$AQ)</f>
        <v>#VALUE!</v>
      </c>
      <c r="SI5" t="e">
        <f>+SUMIF([1]Cartera!$R:$R,$A5&amp;"_"&amp;SI$11,[1]Cartera!$I:$I)+SUMIF([1]Futuros!$AD:$AD,$A5&amp;"_"&amp;SI$11,[1]Futuros!$AK:$AK)+SUMIF([1]Opciones!$AF:$AF,$A5&amp;"_"&amp;SI$11,[1]Opciones!$AQ:$AQ)</f>
        <v>#VALUE!</v>
      </c>
      <c r="SJ5" t="e">
        <f>+SUMIF([1]Cartera!$R:$R,$A5&amp;"_"&amp;SJ$11,[1]Cartera!$I:$I)+SUMIF([1]Futuros!$AD:$AD,$A5&amp;"_"&amp;SJ$11,[1]Futuros!$AK:$AK)+SUMIF([1]Opciones!$AF:$AF,$A5&amp;"_"&amp;SJ$11,[1]Opciones!$AQ:$AQ)</f>
        <v>#VALUE!</v>
      </c>
      <c r="SK5" t="e">
        <f>+SUMIF([1]Cartera!$R:$R,$A5&amp;"_"&amp;SK$11,[1]Cartera!$I:$I)+SUMIF([1]Futuros!$AD:$AD,$A5&amp;"_"&amp;SK$11,[1]Futuros!$AK:$AK)+SUMIF([1]Opciones!$AF:$AF,$A5&amp;"_"&amp;SK$11,[1]Opciones!$AQ:$AQ)</f>
        <v>#VALUE!</v>
      </c>
      <c r="SL5" t="e">
        <f>+SUMIF([1]Cartera!$R:$R,$A5&amp;"_"&amp;SL$11,[1]Cartera!$I:$I)+SUMIF([1]Futuros!$AD:$AD,$A5&amp;"_"&amp;SL$11,[1]Futuros!$AK:$AK)+SUMIF([1]Opciones!$AF:$AF,$A5&amp;"_"&amp;SL$11,[1]Opciones!$AQ:$AQ)</f>
        <v>#VALUE!</v>
      </c>
      <c r="SM5" t="e">
        <f>+SUMIF([1]Cartera!$R:$R,$A5&amp;"_"&amp;SM$11,[1]Cartera!$I:$I)+SUMIF([1]Futuros!$AD:$AD,$A5&amp;"_"&amp;SM$11,[1]Futuros!$AK:$AK)+SUMIF([1]Opciones!$AF:$AF,$A5&amp;"_"&amp;SM$11,[1]Opciones!$AQ:$AQ)</f>
        <v>#VALUE!</v>
      </c>
      <c r="SN5" t="e">
        <f>+SUMIF([1]Cartera!$R:$R,$A5&amp;"_"&amp;SN$11,[1]Cartera!$I:$I)+SUMIF([1]Futuros!$AD:$AD,$A5&amp;"_"&amp;SN$11,[1]Futuros!$AK:$AK)+SUMIF([1]Opciones!$AF:$AF,$A5&amp;"_"&amp;SN$11,[1]Opciones!$AQ:$AQ)</f>
        <v>#VALUE!</v>
      </c>
      <c r="SO5" t="e">
        <f>+SUMIF([1]Cartera!$R:$R,$A5&amp;"_"&amp;SO$11,[1]Cartera!$I:$I)+SUMIF([1]Futuros!$AD:$AD,$A5&amp;"_"&amp;SO$11,[1]Futuros!$AK:$AK)+SUMIF([1]Opciones!$AF:$AF,$A5&amp;"_"&amp;SO$11,[1]Opciones!$AQ:$AQ)</f>
        <v>#VALUE!</v>
      </c>
      <c r="SP5" t="e">
        <f>+SUMIF([1]Cartera!$R:$R,$A5&amp;"_"&amp;SP$11,[1]Cartera!$I:$I)+SUMIF([1]Futuros!$AD:$AD,$A5&amp;"_"&amp;SP$11,[1]Futuros!$AK:$AK)+SUMIF([1]Opciones!$AF:$AF,$A5&amp;"_"&amp;SP$11,[1]Opciones!$AQ:$AQ)</f>
        <v>#VALUE!</v>
      </c>
      <c r="SQ5" t="e">
        <f>+SUMIF([1]Cartera!$R:$R,$A5&amp;"_"&amp;SQ$11,[1]Cartera!$I:$I)+SUMIF([1]Futuros!$AD:$AD,$A5&amp;"_"&amp;SQ$11,[1]Futuros!$AK:$AK)+SUMIF([1]Opciones!$AF:$AF,$A5&amp;"_"&amp;SQ$11,[1]Opciones!$AQ:$AQ)</f>
        <v>#VALUE!</v>
      </c>
      <c r="SR5" t="e">
        <f>+SUMIF([1]Cartera!$R:$R,$A5&amp;"_"&amp;SR$11,[1]Cartera!$I:$I)+SUMIF([1]Futuros!$AD:$AD,$A5&amp;"_"&amp;SR$11,[1]Futuros!$AK:$AK)+SUMIF([1]Opciones!$AF:$AF,$A5&amp;"_"&amp;SR$11,[1]Opciones!$AQ:$AQ)</f>
        <v>#VALUE!</v>
      </c>
      <c r="SS5" t="e">
        <f>+SUMIF([1]Cartera!$R:$R,$A5&amp;"_"&amp;SS$11,[1]Cartera!$I:$I)+SUMIF([1]Futuros!$AD:$AD,$A5&amp;"_"&amp;SS$11,[1]Futuros!$AK:$AK)+SUMIF([1]Opciones!$AF:$AF,$A5&amp;"_"&amp;SS$11,[1]Opciones!$AQ:$AQ)</f>
        <v>#VALUE!</v>
      </c>
      <c r="ST5" t="e">
        <f>+SUMIF([1]Cartera!$R:$R,$A5&amp;"_"&amp;ST$11,[1]Cartera!$I:$I)+SUMIF([1]Futuros!$AD:$AD,$A5&amp;"_"&amp;ST$11,[1]Futuros!$AK:$AK)+SUMIF([1]Opciones!$AF:$AF,$A5&amp;"_"&amp;ST$11,[1]Opciones!$AQ:$AQ)</f>
        <v>#VALUE!</v>
      </c>
      <c r="SU5" t="e">
        <f>+SUMIF([1]Cartera!$R:$R,$A5&amp;"_"&amp;SU$11,[1]Cartera!$I:$I)+SUMIF([1]Futuros!$AD:$AD,$A5&amp;"_"&amp;SU$11,[1]Futuros!$AK:$AK)+SUMIF([1]Opciones!$AF:$AF,$A5&amp;"_"&amp;SU$11,[1]Opciones!$AQ:$AQ)</f>
        <v>#VALUE!</v>
      </c>
      <c r="SV5" t="e">
        <f>+SUMIF([1]Cartera!$R:$R,$A5&amp;"_"&amp;SV$11,[1]Cartera!$I:$I)+SUMIF([1]Futuros!$AD:$AD,$A5&amp;"_"&amp;SV$11,[1]Futuros!$AK:$AK)+SUMIF([1]Opciones!$AF:$AF,$A5&amp;"_"&amp;SV$11,[1]Opciones!$AQ:$AQ)</f>
        <v>#VALUE!</v>
      </c>
      <c r="SW5" t="e">
        <f>+SUMIF([1]Cartera!$R:$R,$A5&amp;"_"&amp;SW$11,[1]Cartera!$I:$I)+SUMIF([1]Futuros!$AD:$AD,$A5&amp;"_"&amp;SW$11,[1]Futuros!$AK:$AK)+SUMIF([1]Opciones!$AF:$AF,$A5&amp;"_"&amp;SW$11,[1]Opciones!$AQ:$AQ)</f>
        <v>#VALUE!</v>
      </c>
      <c r="SX5" t="e">
        <f>+SUMIF([1]Cartera!$R:$R,$A5&amp;"_"&amp;SX$11,[1]Cartera!$I:$I)+SUMIF([1]Futuros!$AD:$AD,$A5&amp;"_"&amp;SX$11,[1]Futuros!$AK:$AK)+SUMIF([1]Opciones!$AF:$AF,$A5&amp;"_"&amp;SX$11,[1]Opciones!$AQ:$AQ)</f>
        <v>#VALUE!</v>
      </c>
      <c r="SY5" t="e">
        <f>+SUMIF([1]Cartera!$R:$R,$A5&amp;"_"&amp;SY$11,[1]Cartera!$I:$I)+SUMIF([1]Futuros!$AD:$AD,$A5&amp;"_"&amp;SY$11,[1]Futuros!$AK:$AK)+SUMIF([1]Opciones!$AF:$AF,$A5&amp;"_"&amp;SY$11,[1]Opciones!$AQ:$AQ)</f>
        <v>#VALUE!</v>
      </c>
      <c r="SZ5" t="e">
        <f>+SUMIF([1]Cartera!$R:$R,$A5&amp;"_"&amp;SZ$11,[1]Cartera!$I:$I)+SUMIF([1]Futuros!$AD:$AD,$A5&amp;"_"&amp;SZ$11,[1]Futuros!$AK:$AK)+SUMIF([1]Opciones!$AF:$AF,$A5&amp;"_"&amp;SZ$11,[1]Opciones!$AQ:$AQ)</f>
        <v>#VALUE!</v>
      </c>
      <c r="TA5" t="e">
        <f>+SUMIF([1]Cartera!$R:$R,$A5&amp;"_"&amp;TA$11,[1]Cartera!$I:$I)+SUMIF([1]Futuros!$AD:$AD,$A5&amp;"_"&amp;TA$11,[1]Futuros!$AK:$AK)+SUMIF([1]Opciones!$AF:$AF,$A5&amp;"_"&amp;TA$11,[1]Opciones!$AQ:$AQ)</f>
        <v>#VALUE!</v>
      </c>
      <c r="TB5" t="e">
        <f>+SUMIF([1]Cartera!$R:$R,$A5&amp;"_"&amp;TB$11,[1]Cartera!$I:$I)+SUMIF([1]Futuros!$AD:$AD,$A5&amp;"_"&amp;TB$11,[1]Futuros!$AK:$AK)+SUMIF([1]Opciones!$AF:$AF,$A5&amp;"_"&amp;TB$11,[1]Opciones!$AQ:$AQ)</f>
        <v>#VALUE!</v>
      </c>
      <c r="TC5" t="e">
        <f>+SUMIF([1]Cartera!$R:$R,$A5&amp;"_"&amp;TC$11,[1]Cartera!$I:$I)+SUMIF([1]Futuros!$AD:$AD,$A5&amp;"_"&amp;TC$11,[1]Futuros!$AK:$AK)+SUMIF([1]Opciones!$AF:$AF,$A5&amp;"_"&amp;TC$11,[1]Opciones!$AQ:$AQ)</f>
        <v>#VALUE!</v>
      </c>
      <c r="TD5" t="e">
        <f>+SUMIF([1]Cartera!$R:$R,$A5&amp;"_"&amp;TD$11,[1]Cartera!$I:$I)+SUMIF([1]Futuros!$AD:$AD,$A5&amp;"_"&amp;TD$11,[1]Futuros!$AK:$AK)+SUMIF([1]Opciones!$AF:$AF,$A5&amp;"_"&amp;TD$11,[1]Opciones!$AQ:$AQ)</f>
        <v>#VALUE!</v>
      </c>
      <c r="TE5" t="e">
        <f>+SUMIF([1]Cartera!$R:$R,$A5&amp;"_"&amp;TE$11,[1]Cartera!$I:$I)+SUMIF([1]Futuros!$AD:$AD,$A5&amp;"_"&amp;TE$11,[1]Futuros!$AK:$AK)+SUMIF([1]Opciones!$AF:$AF,$A5&amp;"_"&amp;TE$11,[1]Opciones!$AQ:$AQ)</f>
        <v>#VALUE!</v>
      </c>
      <c r="TF5" t="e">
        <f>+SUMIF([1]Cartera!$R:$R,$A5&amp;"_"&amp;TF$11,[1]Cartera!$I:$I)+SUMIF([1]Futuros!$AD:$AD,$A5&amp;"_"&amp;TF$11,[1]Futuros!$AK:$AK)+SUMIF([1]Opciones!$AF:$AF,$A5&amp;"_"&amp;TF$11,[1]Opciones!$AQ:$AQ)</f>
        <v>#VALUE!</v>
      </c>
      <c r="TG5" t="e">
        <f>+SUMIF([1]Cartera!$R:$R,$A5&amp;"_"&amp;TG$11,[1]Cartera!$I:$I)+SUMIF([1]Futuros!$AD:$AD,$A5&amp;"_"&amp;TG$11,[1]Futuros!$AK:$AK)+SUMIF([1]Opciones!$AF:$AF,$A5&amp;"_"&amp;TG$11,[1]Opciones!$AQ:$AQ)</f>
        <v>#VALUE!</v>
      </c>
      <c r="TH5" t="e">
        <f>+SUMIF([1]Cartera!$R:$R,$A5&amp;"_"&amp;TH$11,[1]Cartera!$I:$I)+SUMIF([1]Futuros!$AD:$AD,$A5&amp;"_"&amp;TH$11,[1]Futuros!$AK:$AK)+SUMIF([1]Opciones!$AF:$AF,$A5&amp;"_"&amp;TH$11,[1]Opciones!$AQ:$AQ)</f>
        <v>#VALUE!</v>
      </c>
      <c r="TI5" t="e">
        <f>+SUMIF([1]Cartera!$R:$R,$A5&amp;"_"&amp;TI$11,[1]Cartera!$I:$I)+SUMIF([1]Futuros!$AD:$AD,$A5&amp;"_"&amp;TI$11,[1]Futuros!$AK:$AK)+SUMIF([1]Opciones!$AF:$AF,$A5&amp;"_"&amp;TI$11,[1]Opciones!$AQ:$AQ)</f>
        <v>#VALUE!</v>
      </c>
      <c r="TJ5" t="e">
        <f>+SUMIF([1]Cartera!$R:$R,$A5&amp;"_"&amp;TJ$11,[1]Cartera!$I:$I)+SUMIF([1]Futuros!$AD:$AD,$A5&amp;"_"&amp;TJ$11,[1]Futuros!$AK:$AK)+SUMIF([1]Opciones!$AF:$AF,$A5&amp;"_"&amp;TJ$11,[1]Opciones!$AQ:$AQ)</f>
        <v>#VALUE!</v>
      </c>
      <c r="TK5" t="e">
        <f>+SUMIF([1]Cartera!$R:$R,$A5&amp;"_"&amp;TK$11,[1]Cartera!$I:$I)+SUMIF([1]Futuros!$AD:$AD,$A5&amp;"_"&amp;TK$11,[1]Futuros!$AK:$AK)+SUMIF([1]Opciones!$AF:$AF,$A5&amp;"_"&amp;TK$11,[1]Opciones!$AQ:$AQ)</f>
        <v>#VALUE!</v>
      </c>
      <c r="TL5" t="e">
        <f>+SUMIF([1]Cartera!$R:$R,$A5&amp;"_"&amp;TL$11,[1]Cartera!$I:$I)+SUMIF([1]Futuros!$AD:$AD,$A5&amp;"_"&amp;TL$11,[1]Futuros!$AK:$AK)+SUMIF([1]Opciones!$AF:$AF,$A5&amp;"_"&amp;TL$11,[1]Opciones!$AQ:$AQ)</f>
        <v>#VALUE!</v>
      </c>
      <c r="TM5" t="e">
        <f>+SUMIF([1]Cartera!$R:$R,$A5&amp;"_"&amp;TM$11,[1]Cartera!$I:$I)+SUMIF([1]Futuros!$AD:$AD,$A5&amp;"_"&amp;TM$11,[1]Futuros!$AK:$AK)+SUMIF([1]Opciones!$AF:$AF,$A5&amp;"_"&amp;TM$11,[1]Opciones!$AQ:$AQ)</f>
        <v>#VALUE!</v>
      </c>
      <c r="TN5" t="e">
        <f>+SUMIF([1]Cartera!$R:$R,$A5&amp;"_"&amp;TN$11,[1]Cartera!$I:$I)+SUMIF([1]Futuros!$AD:$AD,$A5&amp;"_"&amp;TN$11,[1]Futuros!$AK:$AK)+SUMIF([1]Opciones!$AF:$AF,$A5&amp;"_"&amp;TN$11,[1]Opciones!$AQ:$AQ)</f>
        <v>#VALUE!</v>
      </c>
      <c r="TO5" t="e">
        <f>+SUMIF([1]Cartera!$R:$R,$A5&amp;"_"&amp;TO$11,[1]Cartera!$I:$I)+SUMIF([1]Futuros!$AD:$AD,$A5&amp;"_"&amp;TO$11,[1]Futuros!$AK:$AK)+SUMIF([1]Opciones!$AF:$AF,$A5&amp;"_"&amp;TO$11,[1]Opciones!$AQ:$AQ)</f>
        <v>#VALUE!</v>
      </c>
      <c r="TP5" t="e">
        <f>+SUMIF([1]Cartera!$R:$R,$A5&amp;"_"&amp;TP$11,[1]Cartera!$I:$I)+SUMIF([1]Futuros!$AD:$AD,$A5&amp;"_"&amp;TP$11,[1]Futuros!$AK:$AK)+SUMIF([1]Opciones!$AF:$AF,$A5&amp;"_"&amp;TP$11,[1]Opciones!$AQ:$AQ)</f>
        <v>#VALUE!</v>
      </c>
      <c r="TQ5" t="e">
        <f>+SUMIF([1]Cartera!$R:$R,$A5&amp;"_"&amp;TQ$11,[1]Cartera!$I:$I)+SUMIF([1]Futuros!$AD:$AD,$A5&amp;"_"&amp;TQ$11,[1]Futuros!$AK:$AK)+SUMIF([1]Opciones!$AF:$AF,$A5&amp;"_"&amp;TQ$11,[1]Opciones!$AQ:$AQ)</f>
        <v>#VALUE!</v>
      </c>
      <c r="TR5" t="e">
        <f>+SUMIF([1]Cartera!$R:$R,$A5&amp;"_"&amp;TR$11,[1]Cartera!$I:$I)+SUMIF([1]Futuros!$AD:$AD,$A5&amp;"_"&amp;TR$11,[1]Futuros!$AK:$AK)+SUMIF([1]Opciones!$AF:$AF,$A5&amp;"_"&amp;TR$11,[1]Opciones!$AQ:$AQ)</f>
        <v>#VALUE!</v>
      </c>
      <c r="TS5" t="e">
        <f>+SUMIF([1]Cartera!$R:$R,$A5&amp;"_"&amp;TS$11,[1]Cartera!$I:$I)+SUMIF([1]Futuros!$AD:$AD,$A5&amp;"_"&amp;TS$11,[1]Futuros!$AK:$AK)+SUMIF([1]Opciones!$AF:$AF,$A5&amp;"_"&amp;TS$11,[1]Opciones!$AQ:$AQ)</f>
        <v>#VALUE!</v>
      </c>
      <c r="TT5" t="e">
        <f>+SUMIF([1]Cartera!$R:$R,$A5&amp;"_"&amp;TT$11,[1]Cartera!$I:$I)+SUMIF([1]Futuros!$AD:$AD,$A5&amp;"_"&amp;TT$11,[1]Futuros!$AK:$AK)+SUMIF([1]Opciones!$AF:$AF,$A5&amp;"_"&amp;TT$11,[1]Opciones!$AQ:$AQ)</f>
        <v>#VALUE!</v>
      </c>
      <c r="TU5" t="e">
        <f>+SUMIF([1]Cartera!$R:$R,$A5&amp;"_"&amp;TU$11,[1]Cartera!$I:$I)+SUMIF([1]Futuros!$AD:$AD,$A5&amp;"_"&amp;TU$11,[1]Futuros!$AK:$AK)+SUMIF([1]Opciones!$AF:$AF,$A5&amp;"_"&amp;TU$11,[1]Opciones!$AQ:$AQ)</f>
        <v>#VALUE!</v>
      </c>
      <c r="TV5" t="e">
        <f>+SUMIF([1]Cartera!$R:$R,$A5&amp;"_"&amp;TV$11,[1]Cartera!$I:$I)+SUMIF([1]Futuros!$AD:$AD,$A5&amp;"_"&amp;TV$11,[1]Futuros!$AK:$AK)+SUMIF([1]Opciones!$AF:$AF,$A5&amp;"_"&amp;TV$11,[1]Opciones!$AQ:$AQ)</f>
        <v>#VALUE!</v>
      </c>
      <c r="TW5" t="e">
        <f>+SUMIF([1]Cartera!$R:$R,$A5&amp;"_"&amp;TW$11,[1]Cartera!$I:$I)+SUMIF([1]Futuros!$AD:$AD,$A5&amp;"_"&amp;TW$11,[1]Futuros!$AK:$AK)+SUMIF([1]Opciones!$AF:$AF,$A5&amp;"_"&amp;TW$11,[1]Opciones!$AQ:$AQ)</f>
        <v>#VALUE!</v>
      </c>
      <c r="TX5" t="e">
        <f>+SUMIF([1]Cartera!$R:$R,$A5&amp;"_"&amp;TX$11,[1]Cartera!$I:$I)+SUMIF([1]Futuros!$AD:$AD,$A5&amp;"_"&amp;TX$11,[1]Futuros!$AK:$AK)+SUMIF([1]Opciones!$AF:$AF,$A5&amp;"_"&amp;TX$11,[1]Opciones!$AQ:$AQ)</f>
        <v>#VALUE!</v>
      </c>
      <c r="TY5" t="e">
        <f>+SUMIF([1]Cartera!$R:$R,$A5&amp;"_"&amp;TY$11,[1]Cartera!$I:$I)+SUMIF([1]Futuros!$AD:$AD,$A5&amp;"_"&amp;TY$11,[1]Futuros!$AK:$AK)+SUMIF([1]Opciones!$AF:$AF,$A5&amp;"_"&amp;TY$11,[1]Opciones!$AQ:$AQ)</f>
        <v>#VALUE!</v>
      </c>
      <c r="TZ5" t="e">
        <f>+SUMIF([1]Cartera!$R:$R,$A5&amp;"_"&amp;TZ$11,[1]Cartera!$I:$I)+SUMIF([1]Futuros!$AD:$AD,$A5&amp;"_"&amp;TZ$11,[1]Futuros!$AK:$AK)+SUMIF([1]Opciones!$AF:$AF,$A5&amp;"_"&amp;TZ$11,[1]Opciones!$AQ:$AQ)</f>
        <v>#VALUE!</v>
      </c>
      <c r="UA5" t="e">
        <f>+SUMIF([1]Cartera!$R:$R,$A5&amp;"_"&amp;UA$11,[1]Cartera!$I:$I)+SUMIF([1]Futuros!$AD:$AD,$A5&amp;"_"&amp;UA$11,[1]Futuros!$AK:$AK)+SUMIF([1]Opciones!$AF:$AF,$A5&amp;"_"&amp;UA$11,[1]Opciones!$AQ:$AQ)</f>
        <v>#VALUE!</v>
      </c>
      <c r="UB5" t="e">
        <f>+SUMIF([1]Cartera!$R:$R,$A5&amp;"_"&amp;UB$11,[1]Cartera!$I:$I)+SUMIF([1]Futuros!$AD:$AD,$A5&amp;"_"&amp;UB$11,[1]Futuros!$AK:$AK)+SUMIF([1]Opciones!$AF:$AF,$A5&amp;"_"&amp;UB$11,[1]Opciones!$AQ:$AQ)</f>
        <v>#VALUE!</v>
      </c>
      <c r="UC5" t="e">
        <f>+SUMIF([1]Cartera!$R:$R,$A5&amp;"_"&amp;UC$11,[1]Cartera!$I:$I)+SUMIF([1]Futuros!$AD:$AD,$A5&amp;"_"&amp;UC$11,[1]Futuros!$AK:$AK)+SUMIF([1]Opciones!$AF:$AF,$A5&amp;"_"&amp;UC$11,[1]Opciones!$AQ:$AQ)</f>
        <v>#VALUE!</v>
      </c>
      <c r="UD5" t="e">
        <f>+SUMIF([1]Cartera!$R:$R,$A5&amp;"_"&amp;UD$11,[1]Cartera!$I:$I)+SUMIF([1]Futuros!$AD:$AD,$A5&amp;"_"&amp;UD$11,[1]Futuros!$AK:$AK)+SUMIF([1]Opciones!$AF:$AF,$A5&amp;"_"&amp;UD$11,[1]Opciones!$AQ:$AQ)</f>
        <v>#VALUE!</v>
      </c>
      <c r="UE5" t="e">
        <f>+SUMIF([1]Cartera!$R:$R,$A5&amp;"_"&amp;UE$11,[1]Cartera!$I:$I)+SUMIF([1]Futuros!$AD:$AD,$A5&amp;"_"&amp;UE$11,[1]Futuros!$AK:$AK)+SUMIF([1]Opciones!$AF:$AF,$A5&amp;"_"&amp;UE$11,[1]Opciones!$AQ:$AQ)</f>
        <v>#VALUE!</v>
      </c>
      <c r="UF5" t="e">
        <f>+SUMIF([1]Cartera!$R:$R,$A5&amp;"_"&amp;UF$11,[1]Cartera!$I:$I)+SUMIF([1]Futuros!$AD:$AD,$A5&amp;"_"&amp;UF$11,[1]Futuros!$AK:$AK)+SUMIF([1]Opciones!$AF:$AF,$A5&amp;"_"&amp;UF$11,[1]Opciones!$AQ:$AQ)</f>
        <v>#VALUE!</v>
      </c>
      <c r="UG5" t="e">
        <f>+SUMIF([1]Cartera!$R:$R,$A5&amp;"_"&amp;UG$11,[1]Cartera!$I:$I)+SUMIF([1]Futuros!$AD:$AD,$A5&amp;"_"&amp;UG$11,[1]Futuros!$AK:$AK)+SUMIF([1]Opciones!$AF:$AF,$A5&amp;"_"&amp;UG$11,[1]Opciones!$AQ:$AQ)</f>
        <v>#VALUE!</v>
      </c>
      <c r="UH5" t="e">
        <f>+SUMIF([1]Cartera!$R:$R,$A5&amp;"_"&amp;UH$11,[1]Cartera!$I:$I)+SUMIF([1]Futuros!$AD:$AD,$A5&amp;"_"&amp;UH$11,[1]Futuros!$AK:$AK)+SUMIF([1]Opciones!$AF:$AF,$A5&amp;"_"&amp;UH$11,[1]Opciones!$AQ:$AQ)</f>
        <v>#VALUE!</v>
      </c>
      <c r="UI5" t="e">
        <f>+SUMIF([1]Cartera!$R:$R,$A5&amp;"_"&amp;UI$11,[1]Cartera!$I:$I)+SUMIF([1]Futuros!$AD:$AD,$A5&amp;"_"&amp;UI$11,[1]Futuros!$AK:$AK)+SUMIF([1]Opciones!$AF:$AF,$A5&amp;"_"&amp;UI$11,[1]Opciones!$AQ:$AQ)</f>
        <v>#VALUE!</v>
      </c>
      <c r="UJ5" t="e">
        <f>+SUMIF([1]Cartera!$R:$R,$A5&amp;"_"&amp;UJ$11,[1]Cartera!$I:$I)+SUMIF([1]Futuros!$AD:$AD,$A5&amp;"_"&amp;UJ$11,[1]Futuros!$AK:$AK)+SUMIF([1]Opciones!$AF:$AF,$A5&amp;"_"&amp;UJ$11,[1]Opciones!$AQ:$AQ)</f>
        <v>#VALUE!</v>
      </c>
      <c r="UK5" t="e">
        <f>+SUMIF([1]Cartera!$R:$R,$A5&amp;"_"&amp;UK$11,[1]Cartera!$I:$I)+SUMIF([1]Futuros!$AD:$AD,$A5&amp;"_"&amp;UK$11,[1]Futuros!$AK:$AK)+SUMIF([1]Opciones!$AF:$AF,$A5&amp;"_"&amp;UK$11,[1]Opciones!$AQ:$AQ)</f>
        <v>#VALUE!</v>
      </c>
      <c r="UL5" t="e">
        <f>+SUMIF([1]Cartera!$R:$R,$A5&amp;"_"&amp;UL$11,[1]Cartera!$I:$I)+SUMIF([1]Futuros!$AD:$AD,$A5&amp;"_"&amp;UL$11,[1]Futuros!$AK:$AK)+SUMIF([1]Opciones!$AF:$AF,$A5&amp;"_"&amp;UL$11,[1]Opciones!$AQ:$AQ)</f>
        <v>#VALUE!</v>
      </c>
      <c r="UM5" t="e">
        <f>+SUMIF([1]Cartera!$R:$R,$A5&amp;"_"&amp;UM$11,[1]Cartera!$I:$I)+SUMIF([1]Futuros!$AD:$AD,$A5&amp;"_"&amp;UM$11,[1]Futuros!$AK:$AK)+SUMIF([1]Opciones!$AF:$AF,$A5&amp;"_"&amp;UM$11,[1]Opciones!$AQ:$AQ)</f>
        <v>#VALUE!</v>
      </c>
      <c r="UN5" t="e">
        <f>+SUMIF([1]Cartera!$R:$R,$A5&amp;"_"&amp;UN$11,[1]Cartera!$I:$I)+SUMIF([1]Futuros!$AD:$AD,$A5&amp;"_"&amp;UN$11,[1]Futuros!$AK:$AK)+SUMIF([1]Opciones!$AF:$AF,$A5&amp;"_"&amp;UN$11,[1]Opciones!$AQ:$AQ)</f>
        <v>#VALUE!</v>
      </c>
      <c r="UO5" t="e">
        <f>+SUMIF([1]Cartera!$R:$R,$A5&amp;"_"&amp;UO$11,[1]Cartera!$I:$I)+SUMIF([1]Futuros!$AD:$AD,$A5&amp;"_"&amp;UO$11,[1]Futuros!$AK:$AK)+SUMIF([1]Opciones!$AF:$AF,$A5&amp;"_"&amp;UO$11,[1]Opciones!$AQ:$AQ)</f>
        <v>#VALUE!</v>
      </c>
      <c r="UP5" t="e">
        <f>+SUMIF([1]Cartera!$R:$R,$A5&amp;"_"&amp;UP$11,[1]Cartera!$I:$I)+SUMIF([1]Futuros!$AD:$AD,$A5&amp;"_"&amp;UP$11,[1]Futuros!$AK:$AK)+SUMIF([1]Opciones!$AF:$AF,$A5&amp;"_"&amp;UP$11,[1]Opciones!$AQ:$AQ)</f>
        <v>#VALUE!</v>
      </c>
      <c r="UQ5" t="e">
        <f>+SUMIF([1]Cartera!$R:$R,$A5&amp;"_"&amp;UQ$11,[1]Cartera!$I:$I)+SUMIF([1]Futuros!$AD:$AD,$A5&amp;"_"&amp;UQ$11,[1]Futuros!$AK:$AK)+SUMIF([1]Opciones!$AF:$AF,$A5&amp;"_"&amp;UQ$11,[1]Opciones!$AQ:$AQ)</f>
        <v>#VALUE!</v>
      </c>
      <c r="UR5" t="e">
        <f>+SUMIF([1]Cartera!$R:$R,$A5&amp;"_"&amp;UR$11,[1]Cartera!$I:$I)+SUMIF([1]Futuros!$AD:$AD,$A5&amp;"_"&amp;UR$11,[1]Futuros!$AK:$AK)+SUMIF([1]Opciones!$AF:$AF,$A5&amp;"_"&amp;UR$11,[1]Opciones!$AQ:$AQ)</f>
        <v>#VALUE!</v>
      </c>
      <c r="US5" t="e">
        <f>+SUMIF([1]Cartera!$R:$R,$A5&amp;"_"&amp;US$11,[1]Cartera!$I:$I)+SUMIF([1]Futuros!$AD:$AD,$A5&amp;"_"&amp;US$11,[1]Futuros!$AK:$AK)+SUMIF([1]Opciones!$AF:$AF,$A5&amp;"_"&amp;US$11,[1]Opciones!$AQ:$AQ)</f>
        <v>#VALUE!</v>
      </c>
      <c r="UT5" t="e">
        <f>+SUMIF([1]Cartera!$R:$R,$A5&amp;"_"&amp;UT$11,[1]Cartera!$I:$I)+SUMIF([1]Futuros!$AD:$AD,$A5&amp;"_"&amp;UT$11,[1]Futuros!$AK:$AK)+SUMIF([1]Opciones!$AF:$AF,$A5&amp;"_"&amp;UT$11,[1]Opciones!$AQ:$AQ)</f>
        <v>#VALUE!</v>
      </c>
      <c r="UU5" t="e">
        <f>+SUMIF([1]Cartera!$R:$R,$A5&amp;"_"&amp;UU$11,[1]Cartera!$I:$I)+SUMIF([1]Futuros!$AD:$AD,$A5&amp;"_"&amp;UU$11,[1]Futuros!$AK:$AK)+SUMIF([1]Opciones!$AF:$AF,$A5&amp;"_"&amp;UU$11,[1]Opciones!$AQ:$AQ)</f>
        <v>#VALUE!</v>
      </c>
      <c r="UV5" t="e">
        <f>+SUMIF([1]Cartera!$R:$R,$A5&amp;"_"&amp;UV$11,[1]Cartera!$I:$I)+SUMIF([1]Futuros!$AD:$AD,$A5&amp;"_"&amp;UV$11,[1]Futuros!$AK:$AK)+SUMIF([1]Opciones!$AF:$AF,$A5&amp;"_"&amp;UV$11,[1]Opciones!$AQ:$AQ)</f>
        <v>#VALUE!</v>
      </c>
      <c r="UW5" t="e">
        <f>+SUMIF([1]Cartera!$R:$R,$A5&amp;"_"&amp;UW$11,[1]Cartera!$I:$I)+SUMIF([1]Futuros!$AD:$AD,$A5&amp;"_"&amp;UW$11,[1]Futuros!$AK:$AK)+SUMIF([1]Opciones!$AF:$AF,$A5&amp;"_"&amp;UW$11,[1]Opciones!$AQ:$AQ)</f>
        <v>#VALUE!</v>
      </c>
      <c r="UX5" t="e">
        <f>+SUMIF([1]Cartera!$R:$R,$A5&amp;"_"&amp;UX$11,[1]Cartera!$I:$I)+SUMIF([1]Futuros!$AD:$AD,$A5&amp;"_"&amp;UX$11,[1]Futuros!$AK:$AK)+SUMIF([1]Opciones!$AF:$AF,$A5&amp;"_"&amp;UX$11,[1]Opciones!$AQ:$AQ)</f>
        <v>#VALUE!</v>
      </c>
      <c r="UY5" t="e">
        <f>+SUMIF([1]Cartera!$R:$R,$A5&amp;"_"&amp;UY$11,[1]Cartera!$I:$I)+SUMIF([1]Futuros!$AD:$AD,$A5&amp;"_"&amp;UY$11,[1]Futuros!$AK:$AK)+SUMIF([1]Opciones!$AF:$AF,$A5&amp;"_"&amp;UY$11,[1]Opciones!$AQ:$AQ)</f>
        <v>#VALUE!</v>
      </c>
      <c r="UZ5" t="e">
        <f>+SUMIF([1]Cartera!$R:$R,$A5&amp;"_"&amp;UZ$11,[1]Cartera!$I:$I)+SUMIF([1]Futuros!$AD:$AD,$A5&amp;"_"&amp;UZ$11,[1]Futuros!$AK:$AK)+SUMIF([1]Opciones!$AF:$AF,$A5&amp;"_"&amp;UZ$11,[1]Opciones!$AQ:$AQ)</f>
        <v>#VALUE!</v>
      </c>
      <c r="VA5" t="e">
        <f>+SUMIF([1]Cartera!$R:$R,$A5&amp;"_"&amp;VA$11,[1]Cartera!$I:$I)+SUMIF([1]Futuros!$AD:$AD,$A5&amp;"_"&amp;VA$11,[1]Futuros!$AK:$AK)+SUMIF([1]Opciones!$AF:$AF,$A5&amp;"_"&amp;VA$11,[1]Opciones!$AQ:$AQ)</f>
        <v>#VALUE!</v>
      </c>
      <c r="VB5" t="e">
        <f>+SUMIF([1]Cartera!$R:$R,$A5&amp;"_"&amp;VB$11,[1]Cartera!$I:$I)+SUMIF([1]Futuros!$AD:$AD,$A5&amp;"_"&amp;VB$11,[1]Futuros!$AK:$AK)+SUMIF([1]Opciones!$AF:$AF,$A5&amp;"_"&amp;VB$11,[1]Opciones!$AQ:$AQ)</f>
        <v>#VALUE!</v>
      </c>
      <c r="VC5" t="e">
        <f>+SUMIF([1]Cartera!$R:$R,$A5&amp;"_"&amp;VC$11,[1]Cartera!$I:$I)+SUMIF([1]Futuros!$AD:$AD,$A5&amp;"_"&amp;VC$11,[1]Futuros!$AK:$AK)+SUMIF([1]Opciones!$AF:$AF,$A5&amp;"_"&amp;VC$11,[1]Opciones!$AQ:$AQ)</f>
        <v>#VALUE!</v>
      </c>
      <c r="VD5" t="e">
        <f>+SUMIF([1]Cartera!$R:$R,$A5&amp;"_"&amp;VD$11,[1]Cartera!$I:$I)+SUMIF([1]Futuros!$AD:$AD,$A5&amp;"_"&amp;VD$11,[1]Futuros!$AK:$AK)+SUMIF([1]Opciones!$AF:$AF,$A5&amp;"_"&amp;VD$11,[1]Opciones!$AQ:$AQ)</f>
        <v>#VALUE!</v>
      </c>
      <c r="VE5" t="e">
        <f>+SUMIF([1]Cartera!$R:$R,$A5&amp;"_"&amp;VE$11,[1]Cartera!$I:$I)+SUMIF([1]Futuros!$AD:$AD,$A5&amp;"_"&amp;VE$11,[1]Futuros!$AK:$AK)+SUMIF([1]Opciones!$AF:$AF,$A5&amp;"_"&amp;VE$11,[1]Opciones!$AQ:$AQ)</f>
        <v>#VALUE!</v>
      </c>
      <c r="VF5" t="e">
        <f>+SUMIF([1]Cartera!$R:$R,$A5&amp;"_"&amp;VF$11,[1]Cartera!$I:$I)+SUMIF([1]Futuros!$AD:$AD,$A5&amp;"_"&amp;VF$11,[1]Futuros!$AK:$AK)+SUMIF([1]Opciones!$AF:$AF,$A5&amp;"_"&amp;VF$11,[1]Opciones!$AQ:$AQ)</f>
        <v>#VALUE!</v>
      </c>
      <c r="VG5" t="e">
        <f>+SUMIF([1]Cartera!$R:$R,$A5&amp;"_"&amp;VG$11,[1]Cartera!$I:$I)+SUMIF([1]Futuros!$AD:$AD,$A5&amp;"_"&amp;VG$11,[1]Futuros!$AK:$AK)+SUMIF([1]Opciones!$AF:$AF,$A5&amp;"_"&amp;VG$11,[1]Opciones!$AQ:$AQ)</f>
        <v>#VALUE!</v>
      </c>
      <c r="VH5" t="e">
        <f>+SUMIF([1]Cartera!$R:$R,$A5&amp;"_"&amp;VH$11,[1]Cartera!$I:$I)+SUMIF([1]Futuros!$AD:$AD,$A5&amp;"_"&amp;VH$11,[1]Futuros!$AK:$AK)+SUMIF([1]Opciones!$AF:$AF,$A5&amp;"_"&amp;VH$11,[1]Opciones!$AQ:$AQ)</f>
        <v>#VALUE!</v>
      </c>
      <c r="VI5" t="e">
        <f>+SUMIF([1]Cartera!$R:$R,$A5&amp;"_"&amp;VI$11,[1]Cartera!$I:$I)+SUMIF([1]Futuros!$AD:$AD,$A5&amp;"_"&amp;VI$11,[1]Futuros!$AK:$AK)+SUMIF([1]Opciones!$AF:$AF,$A5&amp;"_"&amp;VI$11,[1]Opciones!$AQ:$AQ)</f>
        <v>#VALUE!</v>
      </c>
      <c r="VJ5" t="e">
        <f>+SUMIF([1]Cartera!$R:$R,$A5&amp;"_"&amp;VJ$11,[1]Cartera!$I:$I)+SUMIF([1]Futuros!$AD:$AD,$A5&amp;"_"&amp;VJ$11,[1]Futuros!$AK:$AK)+SUMIF([1]Opciones!$AF:$AF,$A5&amp;"_"&amp;VJ$11,[1]Opciones!$AQ:$AQ)</f>
        <v>#VALUE!</v>
      </c>
      <c r="VK5" t="e">
        <f>+SUMIF([1]Cartera!$R:$R,$A5&amp;"_"&amp;VK$11,[1]Cartera!$I:$I)+SUMIF([1]Futuros!$AD:$AD,$A5&amp;"_"&amp;VK$11,[1]Futuros!$AK:$AK)+SUMIF([1]Opciones!$AF:$AF,$A5&amp;"_"&amp;VK$11,[1]Opciones!$AQ:$AQ)</f>
        <v>#VALUE!</v>
      </c>
      <c r="VL5" t="e">
        <f>+SUMIF([1]Cartera!$R:$R,$A5&amp;"_"&amp;VL$11,[1]Cartera!$I:$I)+SUMIF([1]Futuros!$AD:$AD,$A5&amp;"_"&amp;VL$11,[1]Futuros!$AK:$AK)+SUMIF([1]Opciones!$AF:$AF,$A5&amp;"_"&amp;VL$11,[1]Opciones!$AQ:$AQ)</f>
        <v>#VALUE!</v>
      </c>
      <c r="VM5" t="e">
        <f>+SUMIF([1]Cartera!$R:$R,$A5&amp;"_"&amp;VM$11,[1]Cartera!$I:$I)+SUMIF([1]Futuros!$AD:$AD,$A5&amp;"_"&amp;VM$11,[1]Futuros!$AK:$AK)+SUMIF([1]Opciones!$AF:$AF,$A5&amp;"_"&amp;VM$11,[1]Opciones!$AQ:$AQ)</f>
        <v>#VALUE!</v>
      </c>
      <c r="VN5" t="e">
        <f>+SUMIF([1]Cartera!$R:$R,$A5&amp;"_"&amp;VN$11,[1]Cartera!$I:$I)+SUMIF([1]Futuros!$AD:$AD,$A5&amp;"_"&amp;VN$11,[1]Futuros!$AK:$AK)+SUMIF([1]Opciones!$AF:$AF,$A5&amp;"_"&amp;VN$11,[1]Opciones!$AQ:$AQ)</f>
        <v>#VALUE!</v>
      </c>
      <c r="VO5" t="e">
        <f>+SUMIF([1]Cartera!$R:$R,$A5&amp;"_"&amp;VO$11,[1]Cartera!$I:$I)+SUMIF([1]Futuros!$AD:$AD,$A5&amp;"_"&amp;VO$11,[1]Futuros!$AK:$AK)+SUMIF([1]Opciones!$AF:$AF,$A5&amp;"_"&amp;VO$11,[1]Opciones!$AQ:$AQ)</f>
        <v>#VALUE!</v>
      </c>
      <c r="VP5" t="e">
        <f>+SUMIF([1]Cartera!$R:$R,$A5&amp;"_"&amp;VP$11,[1]Cartera!$I:$I)+SUMIF([1]Futuros!$AD:$AD,$A5&amp;"_"&amp;VP$11,[1]Futuros!$AK:$AK)+SUMIF([1]Opciones!$AF:$AF,$A5&amp;"_"&amp;VP$11,[1]Opciones!$AQ:$AQ)</f>
        <v>#VALUE!</v>
      </c>
      <c r="VQ5" t="e">
        <f>+SUMIF([1]Cartera!$R:$R,$A5&amp;"_"&amp;VQ$11,[1]Cartera!$I:$I)+SUMIF([1]Futuros!$AD:$AD,$A5&amp;"_"&amp;VQ$11,[1]Futuros!$AK:$AK)+SUMIF([1]Opciones!$AF:$AF,$A5&amp;"_"&amp;VQ$11,[1]Opciones!$AQ:$AQ)</f>
        <v>#VALUE!</v>
      </c>
      <c r="VR5" t="e">
        <f>+SUMIF([1]Cartera!$R:$R,$A5&amp;"_"&amp;VR$11,[1]Cartera!$I:$I)+SUMIF([1]Futuros!$AD:$AD,$A5&amp;"_"&amp;VR$11,[1]Futuros!$AK:$AK)+SUMIF([1]Opciones!$AF:$AF,$A5&amp;"_"&amp;VR$11,[1]Opciones!$AQ:$AQ)</f>
        <v>#VALUE!</v>
      </c>
      <c r="VS5" t="e">
        <f>+SUMIF([1]Cartera!$R:$R,$A5&amp;"_"&amp;VS$11,[1]Cartera!$I:$I)+SUMIF([1]Futuros!$AD:$AD,$A5&amp;"_"&amp;VS$11,[1]Futuros!$AK:$AK)+SUMIF([1]Opciones!$AF:$AF,$A5&amp;"_"&amp;VS$11,[1]Opciones!$AQ:$AQ)</f>
        <v>#VALUE!</v>
      </c>
      <c r="VT5" t="e">
        <f>+SUMIF([1]Cartera!$R:$R,$A5&amp;"_"&amp;VT$11,[1]Cartera!$I:$I)+SUMIF([1]Futuros!$AD:$AD,$A5&amp;"_"&amp;VT$11,[1]Futuros!$AK:$AK)+SUMIF([1]Opciones!$AF:$AF,$A5&amp;"_"&amp;VT$11,[1]Opciones!$AQ:$AQ)</f>
        <v>#VALUE!</v>
      </c>
      <c r="VU5" t="e">
        <f>+SUMIF([1]Cartera!$R:$R,$A5&amp;"_"&amp;VU$11,[1]Cartera!$I:$I)+SUMIF([1]Futuros!$AD:$AD,$A5&amp;"_"&amp;VU$11,[1]Futuros!$AK:$AK)+SUMIF([1]Opciones!$AF:$AF,$A5&amp;"_"&amp;VU$11,[1]Opciones!$AQ:$AQ)</f>
        <v>#VALUE!</v>
      </c>
      <c r="VV5" t="e">
        <f>+SUMIF([1]Cartera!$R:$R,$A5&amp;"_"&amp;VV$11,[1]Cartera!$I:$I)+SUMIF([1]Futuros!$AD:$AD,$A5&amp;"_"&amp;VV$11,[1]Futuros!$AK:$AK)+SUMIF([1]Opciones!$AF:$AF,$A5&amp;"_"&amp;VV$11,[1]Opciones!$AQ:$AQ)</f>
        <v>#VALUE!</v>
      </c>
      <c r="VW5" t="e">
        <f>+SUMIF([1]Cartera!$R:$R,$A5&amp;"_"&amp;VW$11,[1]Cartera!$I:$I)+SUMIF([1]Futuros!$AD:$AD,$A5&amp;"_"&amp;VW$11,[1]Futuros!$AK:$AK)+SUMIF([1]Opciones!$AF:$AF,$A5&amp;"_"&amp;VW$11,[1]Opciones!$AQ:$AQ)</f>
        <v>#VALUE!</v>
      </c>
      <c r="VX5" t="e">
        <f>+SUMIF([1]Cartera!$R:$R,$A5&amp;"_"&amp;VX$11,[1]Cartera!$I:$I)+SUMIF([1]Futuros!$AD:$AD,$A5&amp;"_"&amp;VX$11,[1]Futuros!$AK:$AK)+SUMIF([1]Opciones!$AF:$AF,$A5&amp;"_"&amp;VX$11,[1]Opciones!$AQ:$AQ)</f>
        <v>#VALUE!</v>
      </c>
      <c r="VY5" t="e">
        <f>+SUMIF([1]Cartera!$R:$R,$A5&amp;"_"&amp;VY$11,[1]Cartera!$I:$I)+SUMIF([1]Futuros!$AD:$AD,$A5&amp;"_"&amp;VY$11,[1]Futuros!$AK:$AK)+SUMIF([1]Opciones!$AF:$AF,$A5&amp;"_"&amp;VY$11,[1]Opciones!$AQ:$AQ)</f>
        <v>#VALUE!</v>
      </c>
      <c r="VZ5" t="e">
        <f>+SUMIF([1]Cartera!$R:$R,$A5&amp;"_"&amp;VZ$11,[1]Cartera!$I:$I)+SUMIF([1]Futuros!$AD:$AD,$A5&amp;"_"&amp;VZ$11,[1]Futuros!$AK:$AK)+SUMIF([1]Opciones!$AF:$AF,$A5&amp;"_"&amp;VZ$11,[1]Opciones!$AQ:$AQ)</f>
        <v>#VALUE!</v>
      </c>
      <c r="WA5" t="e">
        <f>+SUMIF([1]Cartera!$R:$R,$A5&amp;"_"&amp;WA$11,[1]Cartera!$I:$I)+SUMIF([1]Futuros!$AD:$AD,$A5&amp;"_"&amp;WA$11,[1]Futuros!$AK:$AK)+SUMIF([1]Opciones!$AF:$AF,$A5&amp;"_"&amp;WA$11,[1]Opciones!$AQ:$AQ)</f>
        <v>#VALUE!</v>
      </c>
      <c r="WB5" t="e">
        <f>+SUMIF([1]Cartera!$R:$R,$A5&amp;"_"&amp;WB$11,[1]Cartera!$I:$I)+SUMIF([1]Futuros!$AD:$AD,$A5&amp;"_"&amp;WB$11,[1]Futuros!$AK:$AK)+SUMIF([1]Opciones!$AF:$AF,$A5&amp;"_"&amp;WB$11,[1]Opciones!$AQ:$AQ)</f>
        <v>#VALUE!</v>
      </c>
      <c r="WC5" t="e">
        <f>+SUMIF([1]Cartera!$R:$R,$A5&amp;"_"&amp;WC$11,[1]Cartera!$I:$I)+SUMIF([1]Futuros!$AD:$AD,$A5&amp;"_"&amp;WC$11,[1]Futuros!$AK:$AK)+SUMIF([1]Opciones!$AF:$AF,$A5&amp;"_"&amp;WC$11,[1]Opciones!$AQ:$AQ)</f>
        <v>#VALUE!</v>
      </c>
      <c r="WD5" t="e">
        <f>+SUMIF([1]Cartera!$R:$R,$A5&amp;"_"&amp;WD$11,[1]Cartera!$I:$I)+SUMIF([1]Futuros!$AD:$AD,$A5&amp;"_"&amp;WD$11,[1]Futuros!$AK:$AK)+SUMIF([1]Opciones!$AF:$AF,$A5&amp;"_"&amp;WD$11,[1]Opciones!$AQ:$AQ)</f>
        <v>#VALUE!</v>
      </c>
      <c r="WE5" t="e">
        <f>+SUMIF([1]Cartera!$R:$R,$A5&amp;"_"&amp;WE$11,[1]Cartera!$I:$I)+SUMIF([1]Futuros!$AD:$AD,$A5&amp;"_"&amp;WE$11,[1]Futuros!$AK:$AK)+SUMIF([1]Opciones!$AF:$AF,$A5&amp;"_"&amp;WE$11,[1]Opciones!$AQ:$AQ)</f>
        <v>#VALUE!</v>
      </c>
      <c r="WF5" t="e">
        <f>+SUMIF([1]Cartera!$R:$R,$A5&amp;"_"&amp;WF$11,[1]Cartera!$I:$I)+SUMIF([1]Futuros!$AD:$AD,$A5&amp;"_"&amp;WF$11,[1]Futuros!$AK:$AK)+SUMIF([1]Opciones!$AF:$AF,$A5&amp;"_"&amp;WF$11,[1]Opciones!$AQ:$AQ)</f>
        <v>#VALUE!</v>
      </c>
      <c r="WG5" t="e">
        <f>+SUMIF([1]Cartera!$R:$R,$A5&amp;"_"&amp;WG$11,[1]Cartera!$I:$I)+SUMIF([1]Futuros!$AD:$AD,$A5&amp;"_"&amp;WG$11,[1]Futuros!$AK:$AK)+SUMIF([1]Opciones!$AF:$AF,$A5&amp;"_"&amp;WG$11,[1]Opciones!$AQ:$AQ)</f>
        <v>#VALUE!</v>
      </c>
      <c r="WH5" t="e">
        <f>+SUMIF([1]Cartera!$R:$R,$A5&amp;"_"&amp;WH$11,[1]Cartera!$I:$I)+SUMIF([1]Futuros!$AD:$AD,$A5&amp;"_"&amp;WH$11,[1]Futuros!$AK:$AK)+SUMIF([1]Opciones!$AF:$AF,$A5&amp;"_"&amp;WH$11,[1]Opciones!$AQ:$AQ)</f>
        <v>#VALUE!</v>
      </c>
      <c r="WI5" t="e">
        <f>+SUMIF([1]Cartera!$R:$R,$A5&amp;"_"&amp;WI$11,[1]Cartera!$I:$I)+SUMIF([1]Futuros!$AD:$AD,$A5&amp;"_"&amp;WI$11,[1]Futuros!$AK:$AK)+SUMIF([1]Opciones!$AF:$AF,$A5&amp;"_"&amp;WI$11,[1]Opciones!$AQ:$AQ)</f>
        <v>#VALUE!</v>
      </c>
      <c r="WJ5" t="e">
        <f>+SUMIF([1]Cartera!$R:$R,$A5&amp;"_"&amp;WJ$11,[1]Cartera!$I:$I)+SUMIF([1]Futuros!$AD:$AD,$A5&amp;"_"&amp;WJ$11,[1]Futuros!$AK:$AK)+SUMIF([1]Opciones!$AF:$AF,$A5&amp;"_"&amp;WJ$11,[1]Opciones!$AQ:$AQ)</f>
        <v>#VALUE!</v>
      </c>
      <c r="WK5" t="e">
        <f>+SUMIF([1]Cartera!$R:$R,$A5&amp;"_"&amp;WK$11,[1]Cartera!$I:$I)+SUMIF([1]Futuros!$AD:$AD,$A5&amp;"_"&amp;WK$11,[1]Futuros!$AK:$AK)+SUMIF([1]Opciones!$AF:$AF,$A5&amp;"_"&amp;WK$11,[1]Opciones!$AQ:$AQ)</f>
        <v>#VALUE!</v>
      </c>
      <c r="WL5" t="e">
        <f>+SUMIF([1]Cartera!$R:$R,$A5&amp;"_"&amp;WL$11,[1]Cartera!$I:$I)+SUMIF([1]Futuros!$AD:$AD,$A5&amp;"_"&amp;WL$11,[1]Futuros!$AK:$AK)+SUMIF([1]Opciones!$AF:$AF,$A5&amp;"_"&amp;WL$11,[1]Opciones!$AQ:$AQ)</f>
        <v>#VALUE!</v>
      </c>
      <c r="WM5" t="e">
        <f>+SUMIF([1]Cartera!$R:$R,$A5&amp;"_"&amp;WM$11,[1]Cartera!$I:$I)+SUMIF([1]Futuros!$AD:$AD,$A5&amp;"_"&amp;WM$11,[1]Futuros!$AK:$AK)+SUMIF([1]Opciones!$AF:$AF,$A5&amp;"_"&amp;WM$11,[1]Opciones!$AQ:$AQ)</f>
        <v>#VALUE!</v>
      </c>
      <c r="WN5" t="e">
        <f>+SUMIF([1]Cartera!$R:$R,$A5&amp;"_"&amp;WN$11,[1]Cartera!$I:$I)+SUMIF([1]Futuros!$AD:$AD,$A5&amp;"_"&amp;WN$11,[1]Futuros!$AK:$AK)+SUMIF([1]Opciones!$AF:$AF,$A5&amp;"_"&amp;WN$11,[1]Opciones!$AQ:$AQ)</f>
        <v>#VALUE!</v>
      </c>
      <c r="WO5" t="e">
        <f>+SUMIF([1]Cartera!$R:$R,$A5&amp;"_"&amp;WO$11,[1]Cartera!$I:$I)+SUMIF([1]Futuros!$AD:$AD,$A5&amp;"_"&amp;WO$11,[1]Futuros!$AK:$AK)+SUMIF([1]Opciones!$AF:$AF,$A5&amp;"_"&amp;WO$11,[1]Opciones!$AQ:$AQ)</f>
        <v>#VALUE!</v>
      </c>
      <c r="WP5" t="e">
        <f>+SUMIF([1]Cartera!$R:$R,$A5&amp;"_"&amp;WP$11,[1]Cartera!$I:$I)+SUMIF([1]Futuros!$AD:$AD,$A5&amp;"_"&amp;WP$11,[1]Futuros!$AK:$AK)+SUMIF([1]Opciones!$AF:$AF,$A5&amp;"_"&amp;WP$11,[1]Opciones!$AQ:$AQ)</f>
        <v>#VALUE!</v>
      </c>
      <c r="WQ5" t="e">
        <f>+SUMIF([1]Cartera!$R:$R,$A5&amp;"_"&amp;WQ$11,[1]Cartera!$I:$I)+SUMIF([1]Futuros!$AD:$AD,$A5&amp;"_"&amp;WQ$11,[1]Futuros!$AK:$AK)+SUMIF([1]Opciones!$AF:$AF,$A5&amp;"_"&amp;WQ$11,[1]Opciones!$AQ:$AQ)</f>
        <v>#VALUE!</v>
      </c>
      <c r="WR5" t="e">
        <f>+SUMIF([1]Cartera!$R:$R,$A5&amp;"_"&amp;WR$11,[1]Cartera!$I:$I)+SUMIF([1]Futuros!$AD:$AD,$A5&amp;"_"&amp;WR$11,[1]Futuros!$AK:$AK)+SUMIF([1]Opciones!$AF:$AF,$A5&amp;"_"&amp;WR$11,[1]Opciones!$AQ:$AQ)</f>
        <v>#VALUE!</v>
      </c>
      <c r="WS5" t="e">
        <f>+SUMIF([1]Cartera!$R:$R,$A5&amp;"_"&amp;WS$11,[1]Cartera!$I:$I)+SUMIF([1]Futuros!$AD:$AD,$A5&amp;"_"&amp;WS$11,[1]Futuros!$AK:$AK)+SUMIF([1]Opciones!$AF:$AF,$A5&amp;"_"&amp;WS$11,[1]Opciones!$AQ:$AQ)</f>
        <v>#VALUE!</v>
      </c>
      <c r="WT5" t="e">
        <f>+SUMIF([1]Cartera!$R:$R,$A5&amp;"_"&amp;WT$11,[1]Cartera!$I:$I)+SUMIF([1]Futuros!$AD:$AD,$A5&amp;"_"&amp;WT$11,[1]Futuros!$AK:$AK)+SUMIF([1]Opciones!$AF:$AF,$A5&amp;"_"&amp;WT$11,[1]Opciones!$AQ:$AQ)</f>
        <v>#VALUE!</v>
      </c>
      <c r="WU5" t="e">
        <f>+SUMIF([1]Cartera!$R:$R,$A5&amp;"_"&amp;WU$11,[1]Cartera!$I:$I)+SUMIF([1]Futuros!$AD:$AD,$A5&amp;"_"&amp;WU$11,[1]Futuros!$AK:$AK)+SUMIF([1]Opciones!$AF:$AF,$A5&amp;"_"&amp;WU$11,[1]Opciones!$AQ:$AQ)</f>
        <v>#VALUE!</v>
      </c>
      <c r="WV5" t="e">
        <f>+SUMIF([1]Cartera!$R:$R,$A5&amp;"_"&amp;WV$11,[1]Cartera!$I:$I)+SUMIF([1]Futuros!$AD:$AD,$A5&amp;"_"&amp;WV$11,[1]Futuros!$AK:$AK)+SUMIF([1]Opciones!$AF:$AF,$A5&amp;"_"&amp;WV$11,[1]Opciones!$AQ:$AQ)</f>
        <v>#VALUE!</v>
      </c>
      <c r="WW5" t="e">
        <f>+SUMIF([1]Cartera!$R:$R,$A5&amp;"_"&amp;WW$11,[1]Cartera!$I:$I)+SUMIF([1]Futuros!$AD:$AD,$A5&amp;"_"&amp;WW$11,[1]Futuros!$AK:$AK)+SUMIF([1]Opciones!$AF:$AF,$A5&amp;"_"&amp;WW$11,[1]Opciones!$AQ:$AQ)</f>
        <v>#VALUE!</v>
      </c>
      <c r="WX5" t="e">
        <f>+SUMIF([1]Cartera!$R:$R,$A5&amp;"_"&amp;WX$11,[1]Cartera!$I:$I)+SUMIF([1]Futuros!$AD:$AD,$A5&amp;"_"&amp;WX$11,[1]Futuros!$AK:$AK)+SUMIF([1]Opciones!$AF:$AF,$A5&amp;"_"&amp;WX$11,[1]Opciones!$AQ:$AQ)</f>
        <v>#VALUE!</v>
      </c>
      <c r="WY5" t="e">
        <f>+SUMIF([1]Cartera!$R:$R,$A5&amp;"_"&amp;WY$11,[1]Cartera!$I:$I)+SUMIF([1]Futuros!$AD:$AD,$A5&amp;"_"&amp;WY$11,[1]Futuros!$AK:$AK)+SUMIF([1]Opciones!$AF:$AF,$A5&amp;"_"&amp;WY$11,[1]Opciones!$AQ:$AQ)</f>
        <v>#VALUE!</v>
      </c>
      <c r="WZ5" t="e">
        <f>+SUMIF([1]Cartera!$R:$R,$A5&amp;"_"&amp;WZ$11,[1]Cartera!$I:$I)+SUMIF([1]Futuros!$AD:$AD,$A5&amp;"_"&amp;WZ$11,[1]Futuros!$AK:$AK)+SUMIF([1]Opciones!$AF:$AF,$A5&amp;"_"&amp;WZ$11,[1]Opciones!$AQ:$AQ)</f>
        <v>#VALUE!</v>
      </c>
      <c r="XA5" t="e">
        <f>+SUMIF([1]Cartera!$R:$R,$A5&amp;"_"&amp;XA$11,[1]Cartera!$I:$I)+SUMIF([1]Futuros!$AD:$AD,$A5&amp;"_"&amp;XA$11,[1]Futuros!$AK:$AK)+SUMIF([1]Opciones!$AF:$AF,$A5&amp;"_"&amp;XA$11,[1]Opciones!$AQ:$AQ)</f>
        <v>#VALUE!</v>
      </c>
      <c r="XB5" t="e">
        <f>+SUMIF([1]Cartera!$R:$R,$A5&amp;"_"&amp;XB$11,[1]Cartera!$I:$I)+SUMIF([1]Futuros!$AD:$AD,$A5&amp;"_"&amp;XB$11,[1]Futuros!$AK:$AK)+SUMIF([1]Opciones!$AF:$AF,$A5&amp;"_"&amp;XB$11,[1]Opciones!$AQ:$AQ)</f>
        <v>#VALUE!</v>
      </c>
      <c r="XC5" t="e">
        <f>+SUMIF([1]Cartera!$R:$R,$A5&amp;"_"&amp;XC$11,[1]Cartera!$I:$I)+SUMIF([1]Futuros!$AD:$AD,$A5&amp;"_"&amp;XC$11,[1]Futuros!$AK:$AK)+SUMIF([1]Opciones!$AF:$AF,$A5&amp;"_"&amp;XC$11,[1]Opciones!$AQ:$AQ)</f>
        <v>#VALUE!</v>
      </c>
      <c r="XD5" t="e">
        <f>+SUMIF([1]Cartera!$R:$R,$A5&amp;"_"&amp;XD$11,[1]Cartera!$I:$I)+SUMIF([1]Futuros!$AD:$AD,$A5&amp;"_"&amp;XD$11,[1]Futuros!$AK:$AK)+SUMIF([1]Opciones!$AF:$AF,$A5&amp;"_"&amp;XD$11,[1]Opciones!$AQ:$AQ)</f>
        <v>#VALUE!</v>
      </c>
      <c r="XE5" t="e">
        <f>+SUMIF([1]Cartera!$R:$R,$A5&amp;"_"&amp;XE$11,[1]Cartera!$I:$I)+SUMIF([1]Futuros!$AD:$AD,$A5&amp;"_"&amp;XE$11,[1]Futuros!$AK:$AK)+SUMIF([1]Opciones!$AF:$AF,$A5&amp;"_"&amp;XE$11,[1]Opciones!$AQ:$AQ)</f>
        <v>#VALUE!</v>
      </c>
      <c r="XF5" t="e">
        <f>+SUMIF([1]Cartera!$R:$R,$A5&amp;"_"&amp;XF$11,[1]Cartera!$I:$I)+SUMIF([1]Futuros!$AD:$AD,$A5&amp;"_"&amp;XF$11,[1]Futuros!$AK:$AK)+SUMIF([1]Opciones!$AF:$AF,$A5&amp;"_"&amp;XF$11,[1]Opciones!$AQ:$AQ)</f>
        <v>#VALUE!</v>
      </c>
      <c r="XG5" t="e">
        <f>+SUMIF([1]Cartera!$R:$R,$A5&amp;"_"&amp;XG$11,[1]Cartera!$I:$I)+SUMIF([1]Futuros!$AD:$AD,$A5&amp;"_"&amp;XG$11,[1]Futuros!$AK:$AK)+SUMIF([1]Opciones!$AF:$AF,$A5&amp;"_"&amp;XG$11,[1]Opciones!$AQ:$AQ)</f>
        <v>#VALUE!</v>
      </c>
      <c r="XH5" t="e">
        <f>+SUMIF([1]Cartera!$R:$R,$A5&amp;"_"&amp;XH$11,[1]Cartera!$I:$I)+SUMIF([1]Futuros!$AD:$AD,$A5&amp;"_"&amp;XH$11,[1]Futuros!$AK:$AK)+SUMIF([1]Opciones!$AF:$AF,$A5&amp;"_"&amp;XH$11,[1]Opciones!$AQ:$AQ)</f>
        <v>#VALUE!</v>
      </c>
      <c r="XI5" t="e">
        <f>+SUMIF([1]Cartera!$R:$R,$A5&amp;"_"&amp;XI$11,[1]Cartera!$I:$I)+SUMIF([1]Futuros!$AD:$AD,$A5&amp;"_"&amp;XI$11,[1]Futuros!$AK:$AK)+SUMIF([1]Opciones!$AF:$AF,$A5&amp;"_"&amp;XI$11,[1]Opciones!$AQ:$AQ)</f>
        <v>#VALUE!</v>
      </c>
      <c r="XJ5" t="e">
        <f>+SUMIF([1]Cartera!$R:$R,$A5&amp;"_"&amp;XJ$11,[1]Cartera!$I:$I)+SUMIF([1]Futuros!$AD:$AD,$A5&amp;"_"&amp;XJ$11,[1]Futuros!$AK:$AK)+SUMIF([1]Opciones!$AF:$AF,$A5&amp;"_"&amp;XJ$11,[1]Opciones!$AQ:$AQ)</f>
        <v>#VALUE!</v>
      </c>
      <c r="XK5" t="e">
        <f>+SUMIF([1]Cartera!$R:$R,$A5&amp;"_"&amp;XK$11,[1]Cartera!$I:$I)+SUMIF([1]Futuros!$AD:$AD,$A5&amp;"_"&amp;XK$11,[1]Futuros!$AK:$AK)+SUMIF([1]Opciones!$AF:$AF,$A5&amp;"_"&amp;XK$11,[1]Opciones!$AQ:$AQ)</f>
        <v>#VALUE!</v>
      </c>
      <c r="XL5" t="e">
        <f>+SUMIF([1]Cartera!$R:$R,$A5&amp;"_"&amp;XL$11,[1]Cartera!$I:$I)+SUMIF([1]Futuros!$AD:$AD,$A5&amp;"_"&amp;XL$11,[1]Futuros!$AK:$AK)+SUMIF([1]Opciones!$AF:$AF,$A5&amp;"_"&amp;XL$11,[1]Opciones!$AQ:$AQ)</f>
        <v>#VALUE!</v>
      </c>
      <c r="XM5" t="e">
        <f>+SUMIF([1]Cartera!$R:$R,$A5&amp;"_"&amp;XM$11,[1]Cartera!$I:$I)+SUMIF([1]Futuros!$AD:$AD,$A5&amp;"_"&amp;XM$11,[1]Futuros!$AK:$AK)+SUMIF([1]Opciones!$AF:$AF,$A5&amp;"_"&amp;XM$11,[1]Opciones!$AQ:$AQ)</f>
        <v>#VALUE!</v>
      </c>
      <c r="XN5" t="e">
        <f>+SUMIF([1]Cartera!$R:$R,$A5&amp;"_"&amp;XN$11,[1]Cartera!$I:$I)+SUMIF([1]Futuros!$AD:$AD,$A5&amp;"_"&amp;XN$11,[1]Futuros!$AK:$AK)+SUMIF([1]Opciones!$AF:$AF,$A5&amp;"_"&amp;XN$11,[1]Opciones!$AQ:$AQ)</f>
        <v>#VALUE!</v>
      </c>
      <c r="XO5" t="e">
        <f>+SUMIF([1]Cartera!$R:$R,$A5&amp;"_"&amp;XO$11,[1]Cartera!$I:$I)+SUMIF([1]Futuros!$AD:$AD,$A5&amp;"_"&amp;XO$11,[1]Futuros!$AK:$AK)+SUMIF([1]Opciones!$AF:$AF,$A5&amp;"_"&amp;XO$11,[1]Opciones!$AQ:$AQ)</f>
        <v>#VALUE!</v>
      </c>
      <c r="XP5" t="e">
        <f>+SUMIF([1]Cartera!$R:$R,$A5&amp;"_"&amp;XP$11,[1]Cartera!$I:$I)+SUMIF([1]Futuros!$AD:$AD,$A5&amp;"_"&amp;XP$11,[1]Futuros!$AK:$AK)+SUMIF([1]Opciones!$AF:$AF,$A5&amp;"_"&amp;XP$11,[1]Opciones!$AQ:$AQ)</f>
        <v>#VALUE!</v>
      </c>
      <c r="XQ5" t="e">
        <f>+SUMIF([1]Cartera!$R:$R,$A5&amp;"_"&amp;XQ$11,[1]Cartera!$I:$I)+SUMIF([1]Futuros!$AD:$AD,$A5&amp;"_"&amp;XQ$11,[1]Futuros!$AK:$AK)+SUMIF([1]Opciones!$AF:$AF,$A5&amp;"_"&amp;XQ$11,[1]Opciones!$AQ:$AQ)</f>
        <v>#VALUE!</v>
      </c>
      <c r="XR5" t="e">
        <f>+SUMIF([1]Cartera!$R:$R,$A5&amp;"_"&amp;XR$11,[1]Cartera!$I:$I)+SUMIF([1]Futuros!$AD:$AD,$A5&amp;"_"&amp;XR$11,[1]Futuros!$AK:$AK)+SUMIF([1]Opciones!$AF:$AF,$A5&amp;"_"&amp;XR$11,[1]Opciones!$AQ:$AQ)</f>
        <v>#VALUE!</v>
      </c>
      <c r="XS5" t="e">
        <f>+SUMIF([1]Cartera!$R:$R,$A5&amp;"_"&amp;XS$11,[1]Cartera!$I:$I)+SUMIF([1]Futuros!$AD:$AD,$A5&amp;"_"&amp;XS$11,[1]Futuros!$AK:$AK)+SUMIF([1]Opciones!$AF:$AF,$A5&amp;"_"&amp;XS$11,[1]Opciones!$AQ:$AQ)</f>
        <v>#VALUE!</v>
      </c>
      <c r="XT5" t="e">
        <f>+SUMIF([1]Cartera!$R:$R,$A5&amp;"_"&amp;XT$11,[1]Cartera!$I:$I)+SUMIF([1]Futuros!$AD:$AD,$A5&amp;"_"&amp;XT$11,[1]Futuros!$AK:$AK)+SUMIF([1]Opciones!$AF:$AF,$A5&amp;"_"&amp;XT$11,[1]Opciones!$AQ:$AQ)</f>
        <v>#VALUE!</v>
      </c>
      <c r="XU5" t="e">
        <f>+SUMIF([1]Cartera!$R:$R,$A5&amp;"_"&amp;XU$11,[1]Cartera!$I:$I)+SUMIF([1]Futuros!$AD:$AD,$A5&amp;"_"&amp;XU$11,[1]Futuros!$AK:$AK)+SUMIF([1]Opciones!$AF:$AF,$A5&amp;"_"&amp;XU$11,[1]Opciones!$AQ:$AQ)</f>
        <v>#VALUE!</v>
      </c>
      <c r="XV5" t="e">
        <f>+SUMIF([1]Cartera!$R:$R,$A5&amp;"_"&amp;XV$11,[1]Cartera!$I:$I)+SUMIF([1]Futuros!$AD:$AD,$A5&amp;"_"&amp;XV$11,[1]Futuros!$AK:$AK)+SUMIF([1]Opciones!$AF:$AF,$A5&amp;"_"&amp;XV$11,[1]Opciones!$AQ:$AQ)</f>
        <v>#VALUE!</v>
      </c>
      <c r="XW5" t="e">
        <f>+SUMIF([1]Cartera!$R:$R,$A5&amp;"_"&amp;XW$11,[1]Cartera!$I:$I)+SUMIF([1]Futuros!$AD:$AD,$A5&amp;"_"&amp;XW$11,[1]Futuros!$AK:$AK)+SUMIF([1]Opciones!$AF:$AF,$A5&amp;"_"&amp;XW$11,[1]Opciones!$AQ:$AQ)</f>
        <v>#VALUE!</v>
      </c>
      <c r="XX5" t="e">
        <f>+SUMIF([1]Cartera!$R:$R,$A5&amp;"_"&amp;XX$11,[1]Cartera!$I:$I)+SUMIF([1]Futuros!$AD:$AD,$A5&amp;"_"&amp;XX$11,[1]Futuros!$AK:$AK)+SUMIF([1]Opciones!$AF:$AF,$A5&amp;"_"&amp;XX$11,[1]Opciones!$AQ:$AQ)</f>
        <v>#VALUE!</v>
      </c>
      <c r="XY5" t="e">
        <f>+SUMIF([1]Cartera!$R:$R,$A5&amp;"_"&amp;XY$11,[1]Cartera!$I:$I)+SUMIF([1]Futuros!$AD:$AD,$A5&amp;"_"&amp;XY$11,[1]Futuros!$AK:$AK)+SUMIF([1]Opciones!$AF:$AF,$A5&amp;"_"&amp;XY$11,[1]Opciones!$AQ:$AQ)</f>
        <v>#VALUE!</v>
      </c>
      <c r="XZ5" t="e">
        <f>+SUMIF([1]Cartera!$R:$R,$A5&amp;"_"&amp;XZ$11,[1]Cartera!$I:$I)+SUMIF([1]Futuros!$AD:$AD,$A5&amp;"_"&amp;XZ$11,[1]Futuros!$AK:$AK)+SUMIF([1]Opciones!$AF:$AF,$A5&amp;"_"&amp;XZ$11,[1]Opciones!$AQ:$AQ)</f>
        <v>#VALUE!</v>
      </c>
      <c r="YA5" t="e">
        <f>+SUMIF([1]Cartera!$R:$R,$A5&amp;"_"&amp;YA$11,[1]Cartera!$I:$I)+SUMIF([1]Futuros!$AD:$AD,$A5&amp;"_"&amp;YA$11,[1]Futuros!$AK:$AK)+SUMIF([1]Opciones!$AF:$AF,$A5&amp;"_"&amp;YA$11,[1]Opciones!$AQ:$AQ)</f>
        <v>#VALUE!</v>
      </c>
      <c r="YB5" t="e">
        <f>+SUMIF([1]Cartera!$R:$R,$A5&amp;"_"&amp;YB$11,[1]Cartera!$I:$I)+SUMIF([1]Futuros!$AD:$AD,$A5&amp;"_"&amp;YB$11,[1]Futuros!$AK:$AK)+SUMIF([1]Opciones!$AF:$AF,$A5&amp;"_"&amp;YB$11,[1]Opciones!$AQ:$AQ)</f>
        <v>#VALUE!</v>
      </c>
      <c r="YC5" t="e">
        <f>+SUMIF([1]Cartera!$R:$R,$A5&amp;"_"&amp;YC$11,[1]Cartera!$I:$I)+SUMIF([1]Futuros!$AD:$AD,$A5&amp;"_"&amp;YC$11,[1]Futuros!$AK:$AK)+SUMIF([1]Opciones!$AF:$AF,$A5&amp;"_"&amp;YC$11,[1]Opciones!$AQ:$AQ)</f>
        <v>#VALUE!</v>
      </c>
      <c r="YD5" t="e">
        <f>+SUMIF([1]Cartera!$R:$R,$A5&amp;"_"&amp;YD$11,[1]Cartera!$I:$I)+SUMIF([1]Futuros!$AD:$AD,$A5&amp;"_"&amp;YD$11,[1]Futuros!$AK:$AK)+SUMIF([1]Opciones!$AF:$AF,$A5&amp;"_"&amp;YD$11,[1]Opciones!$AQ:$AQ)</f>
        <v>#VALUE!</v>
      </c>
      <c r="YE5" t="e">
        <f>+SUMIF([1]Cartera!$R:$R,$A5&amp;"_"&amp;YE$11,[1]Cartera!$I:$I)+SUMIF([1]Futuros!$AD:$AD,$A5&amp;"_"&amp;YE$11,[1]Futuros!$AK:$AK)+SUMIF([1]Opciones!$AF:$AF,$A5&amp;"_"&amp;YE$11,[1]Opciones!$AQ:$AQ)</f>
        <v>#VALUE!</v>
      </c>
      <c r="YF5" t="e">
        <f>+SUMIF([1]Cartera!$R:$R,$A5&amp;"_"&amp;YF$11,[1]Cartera!$I:$I)+SUMIF([1]Futuros!$AD:$AD,$A5&amp;"_"&amp;YF$11,[1]Futuros!$AK:$AK)+SUMIF([1]Opciones!$AF:$AF,$A5&amp;"_"&amp;YF$11,[1]Opciones!$AQ:$AQ)</f>
        <v>#VALUE!</v>
      </c>
      <c r="YG5" t="e">
        <f>+SUMIF([1]Cartera!$R:$R,$A5&amp;"_"&amp;YG$11,[1]Cartera!$I:$I)+SUMIF([1]Futuros!$AD:$AD,$A5&amp;"_"&amp;YG$11,[1]Futuros!$AK:$AK)+SUMIF([1]Opciones!$AF:$AF,$A5&amp;"_"&amp;YG$11,[1]Opciones!$AQ:$AQ)</f>
        <v>#VALUE!</v>
      </c>
      <c r="YH5" t="e">
        <f>+SUMIF([1]Cartera!$R:$R,$A5&amp;"_"&amp;YH$11,[1]Cartera!$I:$I)+SUMIF([1]Futuros!$AD:$AD,$A5&amp;"_"&amp;YH$11,[1]Futuros!$AK:$AK)+SUMIF([1]Opciones!$AF:$AF,$A5&amp;"_"&amp;YH$11,[1]Opciones!$AQ:$AQ)</f>
        <v>#VALUE!</v>
      </c>
      <c r="YI5" t="e">
        <f>+SUMIF([1]Cartera!$R:$R,$A5&amp;"_"&amp;YI$11,[1]Cartera!$I:$I)+SUMIF([1]Futuros!$AD:$AD,$A5&amp;"_"&amp;YI$11,[1]Futuros!$AK:$AK)+SUMIF([1]Opciones!$AF:$AF,$A5&amp;"_"&amp;YI$11,[1]Opciones!$AQ:$AQ)</f>
        <v>#VALUE!</v>
      </c>
      <c r="YJ5" t="e">
        <f>+SUMIF([1]Cartera!$R:$R,$A5&amp;"_"&amp;YJ$11,[1]Cartera!$I:$I)+SUMIF([1]Futuros!$AD:$AD,$A5&amp;"_"&amp;YJ$11,[1]Futuros!$AK:$AK)+SUMIF([1]Opciones!$AF:$AF,$A5&amp;"_"&amp;YJ$11,[1]Opciones!$AQ:$AQ)</f>
        <v>#VALUE!</v>
      </c>
      <c r="YK5" t="e">
        <f>+SUMIF([1]Cartera!$R:$R,$A5&amp;"_"&amp;YK$11,[1]Cartera!$I:$I)+SUMIF([1]Futuros!$AD:$AD,$A5&amp;"_"&amp;YK$11,[1]Futuros!$AK:$AK)+SUMIF([1]Opciones!$AF:$AF,$A5&amp;"_"&amp;YK$11,[1]Opciones!$AQ:$AQ)</f>
        <v>#VALUE!</v>
      </c>
      <c r="YL5" t="e">
        <f>+SUMIF([1]Cartera!$R:$R,$A5&amp;"_"&amp;YL$11,[1]Cartera!$I:$I)+SUMIF([1]Futuros!$AD:$AD,$A5&amp;"_"&amp;YL$11,[1]Futuros!$AK:$AK)+SUMIF([1]Opciones!$AF:$AF,$A5&amp;"_"&amp;YL$11,[1]Opciones!$AQ:$AQ)</f>
        <v>#VALUE!</v>
      </c>
      <c r="YM5" t="e">
        <f>+SUMIF([1]Cartera!$R:$R,$A5&amp;"_"&amp;YM$11,[1]Cartera!$I:$I)+SUMIF([1]Futuros!$AD:$AD,$A5&amp;"_"&amp;YM$11,[1]Futuros!$AK:$AK)+SUMIF([1]Opciones!$AF:$AF,$A5&amp;"_"&amp;YM$11,[1]Opciones!$AQ:$AQ)</f>
        <v>#VALUE!</v>
      </c>
      <c r="YN5" t="e">
        <f>+SUMIF([1]Cartera!$R:$R,$A5&amp;"_"&amp;YN$11,[1]Cartera!$I:$I)+SUMIF([1]Futuros!$AD:$AD,$A5&amp;"_"&amp;YN$11,[1]Futuros!$AK:$AK)+SUMIF([1]Opciones!$AF:$AF,$A5&amp;"_"&amp;YN$11,[1]Opciones!$AQ:$AQ)</f>
        <v>#VALUE!</v>
      </c>
      <c r="YO5" t="e">
        <f>+SUMIF([1]Cartera!$R:$R,$A5&amp;"_"&amp;YO$11,[1]Cartera!$I:$I)+SUMIF([1]Futuros!$AD:$AD,$A5&amp;"_"&amp;YO$11,[1]Futuros!$AK:$AK)+SUMIF([1]Opciones!$AF:$AF,$A5&amp;"_"&amp;YO$11,[1]Opciones!$AQ:$AQ)</f>
        <v>#VALUE!</v>
      </c>
      <c r="YP5" t="e">
        <f>+SUMIF([1]Cartera!$R:$R,$A5&amp;"_"&amp;YP$11,[1]Cartera!$I:$I)+SUMIF([1]Futuros!$AD:$AD,$A5&amp;"_"&amp;YP$11,[1]Futuros!$AK:$AK)+SUMIF([1]Opciones!$AF:$AF,$A5&amp;"_"&amp;YP$11,[1]Opciones!$AQ:$AQ)</f>
        <v>#VALUE!</v>
      </c>
      <c r="YQ5" t="e">
        <f>+SUMIF([1]Cartera!$R:$R,$A5&amp;"_"&amp;YQ$11,[1]Cartera!$I:$I)+SUMIF([1]Futuros!$AD:$AD,$A5&amp;"_"&amp;YQ$11,[1]Futuros!$AK:$AK)+SUMIF([1]Opciones!$AF:$AF,$A5&amp;"_"&amp;YQ$11,[1]Opciones!$AQ:$AQ)</f>
        <v>#VALUE!</v>
      </c>
      <c r="YR5" t="e">
        <f>+SUMIF([1]Cartera!$R:$R,$A5&amp;"_"&amp;YR$11,[1]Cartera!$I:$I)+SUMIF([1]Futuros!$AD:$AD,$A5&amp;"_"&amp;YR$11,[1]Futuros!$AK:$AK)+SUMIF([1]Opciones!$AF:$AF,$A5&amp;"_"&amp;YR$11,[1]Opciones!$AQ:$AQ)</f>
        <v>#VALUE!</v>
      </c>
      <c r="YS5" t="e">
        <f>+SUMIF([1]Cartera!$R:$R,$A5&amp;"_"&amp;YS$11,[1]Cartera!$I:$I)+SUMIF([1]Futuros!$AD:$AD,$A5&amp;"_"&amp;YS$11,[1]Futuros!$AK:$AK)+SUMIF([1]Opciones!$AF:$AF,$A5&amp;"_"&amp;YS$11,[1]Opciones!$AQ:$AQ)</f>
        <v>#VALUE!</v>
      </c>
      <c r="YT5" t="e">
        <f>+SUMIF([1]Cartera!$R:$R,$A5&amp;"_"&amp;YT$11,[1]Cartera!$I:$I)+SUMIF([1]Futuros!$AD:$AD,$A5&amp;"_"&amp;YT$11,[1]Futuros!$AK:$AK)+SUMIF([1]Opciones!$AF:$AF,$A5&amp;"_"&amp;YT$11,[1]Opciones!$AQ:$AQ)</f>
        <v>#VALUE!</v>
      </c>
      <c r="YU5" t="e">
        <f>+SUMIF([1]Cartera!$R:$R,$A5&amp;"_"&amp;YU$11,[1]Cartera!$I:$I)+SUMIF([1]Futuros!$AD:$AD,$A5&amp;"_"&amp;YU$11,[1]Futuros!$AK:$AK)+SUMIF([1]Opciones!$AF:$AF,$A5&amp;"_"&amp;YU$11,[1]Opciones!$AQ:$AQ)</f>
        <v>#VALUE!</v>
      </c>
      <c r="YV5" t="e">
        <f>+SUMIF([1]Cartera!$R:$R,$A5&amp;"_"&amp;YV$11,[1]Cartera!$I:$I)+SUMIF([1]Futuros!$AD:$AD,$A5&amp;"_"&amp;YV$11,[1]Futuros!$AK:$AK)+SUMIF([1]Opciones!$AF:$AF,$A5&amp;"_"&amp;YV$11,[1]Opciones!$AQ:$AQ)</f>
        <v>#VALUE!</v>
      </c>
      <c r="YW5" t="e">
        <f>+SUMIF([1]Cartera!$R:$R,$A5&amp;"_"&amp;YW$11,[1]Cartera!$I:$I)+SUMIF([1]Futuros!$AD:$AD,$A5&amp;"_"&amp;YW$11,[1]Futuros!$AK:$AK)+SUMIF([1]Opciones!$AF:$AF,$A5&amp;"_"&amp;YW$11,[1]Opciones!$AQ:$AQ)</f>
        <v>#VALUE!</v>
      </c>
      <c r="YX5" t="e">
        <f>+SUMIF([1]Cartera!$R:$R,$A5&amp;"_"&amp;YX$11,[1]Cartera!$I:$I)+SUMIF([1]Futuros!$AD:$AD,$A5&amp;"_"&amp;YX$11,[1]Futuros!$AK:$AK)+SUMIF([1]Opciones!$AF:$AF,$A5&amp;"_"&amp;YX$11,[1]Opciones!$AQ:$AQ)</f>
        <v>#VALUE!</v>
      </c>
      <c r="YY5" t="e">
        <f>+SUMIF([1]Cartera!$R:$R,$A5&amp;"_"&amp;YY$11,[1]Cartera!$I:$I)+SUMIF([1]Futuros!$AD:$AD,$A5&amp;"_"&amp;YY$11,[1]Futuros!$AK:$AK)+SUMIF([1]Opciones!$AF:$AF,$A5&amp;"_"&amp;YY$11,[1]Opciones!$AQ:$AQ)</f>
        <v>#VALUE!</v>
      </c>
      <c r="YZ5" t="e">
        <f>+SUMIF([1]Cartera!$R:$R,$A5&amp;"_"&amp;YZ$11,[1]Cartera!$I:$I)+SUMIF([1]Futuros!$AD:$AD,$A5&amp;"_"&amp;YZ$11,[1]Futuros!$AK:$AK)+SUMIF([1]Opciones!$AF:$AF,$A5&amp;"_"&amp;YZ$11,[1]Opciones!$AQ:$AQ)</f>
        <v>#VALUE!</v>
      </c>
      <c r="ZA5" t="e">
        <f>+SUMIF([1]Cartera!$R:$R,$A5&amp;"_"&amp;ZA$11,[1]Cartera!$I:$I)+SUMIF([1]Futuros!$AD:$AD,$A5&amp;"_"&amp;ZA$11,[1]Futuros!$AK:$AK)+SUMIF([1]Opciones!$AF:$AF,$A5&amp;"_"&amp;ZA$11,[1]Opciones!$AQ:$AQ)</f>
        <v>#VALUE!</v>
      </c>
      <c r="ZB5" t="e">
        <f>+SUMIF([1]Cartera!$R:$R,$A5&amp;"_"&amp;ZB$11,[1]Cartera!$I:$I)+SUMIF([1]Futuros!$AD:$AD,$A5&amp;"_"&amp;ZB$11,[1]Futuros!$AK:$AK)+SUMIF([1]Opciones!$AF:$AF,$A5&amp;"_"&amp;ZB$11,[1]Opciones!$AQ:$AQ)</f>
        <v>#VALUE!</v>
      </c>
      <c r="ZC5" t="e">
        <f>+SUMIF([1]Cartera!$R:$R,$A5&amp;"_"&amp;ZC$11,[1]Cartera!$I:$I)+SUMIF([1]Futuros!$AD:$AD,$A5&amp;"_"&amp;ZC$11,[1]Futuros!$AK:$AK)+SUMIF([1]Opciones!$AF:$AF,$A5&amp;"_"&amp;ZC$11,[1]Opciones!$AQ:$AQ)</f>
        <v>#VALUE!</v>
      </c>
      <c r="ZD5" t="e">
        <f>+SUMIF([1]Cartera!$R:$R,$A5&amp;"_"&amp;ZD$11,[1]Cartera!$I:$I)+SUMIF([1]Futuros!$AD:$AD,$A5&amp;"_"&amp;ZD$11,[1]Futuros!$AK:$AK)+SUMIF([1]Opciones!$AF:$AF,$A5&amp;"_"&amp;ZD$11,[1]Opciones!$AQ:$AQ)</f>
        <v>#VALUE!</v>
      </c>
      <c r="ZE5" t="e">
        <f>+SUMIF([1]Cartera!$R:$R,$A5&amp;"_"&amp;ZE$11,[1]Cartera!$I:$I)+SUMIF([1]Futuros!$AD:$AD,$A5&amp;"_"&amp;ZE$11,[1]Futuros!$AK:$AK)+SUMIF([1]Opciones!$AF:$AF,$A5&amp;"_"&amp;ZE$11,[1]Opciones!$AQ:$AQ)</f>
        <v>#VALUE!</v>
      </c>
      <c r="ZF5" t="e">
        <f>+SUMIF([1]Cartera!$R:$R,$A5&amp;"_"&amp;ZF$11,[1]Cartera!$I:$I)+SUMIF([1]Futuros!$AD:$AD,$A5&amp;"_"&amp;ZF$11,[1]Futuros!$AK:$AK)+SUMIF([1]Opciones!$AF:$AF,$A5&amp;"_"&amp;ZF$11,[1]Opciones!$AQ:$AQ)</f>
        <v>#VALUE!</v>
      </c>
      <c r="ZG5" t="e">
        <f>+SUMIF([1]Cartera!$R:$R,$A5&amp;"_"&amp;ZG$11,[1]Cartera!$I:$I)+SUMIF([1]Futuros!$AD:$AD,$A5&amp;"_"&amp;ZG$11,[1]Futuros!$AK:$AK)+SUMIF([1]Opciones!$AF:$AF,$A5&amp;"_"&amp;ZG$11,[1]Opciones!$AQ:$AQ)</f>
        <v>#VALUE!</v>
      </c>
      <c r="ZH5" t="e">
        <f>+SUMIF([1]Cartera!$R:$R,$A5&amp;"_"&amp;ZH$11,[1]Cartera!$I:$I)+SUMIF([1]Futuros!$AD:$AD,$A5&amp;"_"&amp;ZH$11,[1]Futuros!$AK:$AK)+SUMIF([1]Opciones!$AF:$AF,$A5&amp;"_"&amp;ZH$11,[1]Opciones!$AQ:$AQ)</f>
        <v>#VALUE!</v>
      </c>
      <c r="ZI5" t="e">
        <f>+SUMIF([1]Cartera!$R:$R,$A5&amp;"_"&amp;ZI$11,[1]Cartera!$I:$I)+SUMIF([1]Futuros!$AD:$AD,$A5&amp;"_"&amp;ZI$11,[1]Futuros!$AK:$AK)+SUMIF([1]Opciones!$AF:$AF,$A5&amp;"_"&amp;ZI$11,[1]Opciones!$AQ:$AQ)</f>
        <v>#VALUE!</v>
      </c>
      <c r="ZJ5" t="e">
        <f>+SUMIF([1]Cartera!$R:$R,$A5&amp;"_"&amp;ZJ$11,[1]Cartera!$I:$I)+SUMIF([1]Futuros!$AD:$AD,$A5&amp;"_"&amp;ZJ$11,[1]Futuros!$AK:$AK)+SUMIF([1]Opciones!$AF:$AF,$A5&amp;"_"&amp;ZJ$11,[1]Opciones!$AQ:$AQ)</f>
        <v>#VALUE!</v>
      </c>
      <c r="ZK5" t="e">
        <f>+SUMIF([1]Cartera!$R:$R,$A5&amp;"_"&amp;ZK$11,[1]Cartera!$I:$I)+SUMIF([1]Futuros!$AD:$AD,$A5&amp;"_"&amp;ZK$11,[1]Futuros!$AK:$AK)+SUMIF([1]Opciones!$AF:$AF,$A5&amp;"_"&amp;ZK$11,[1]Opciones!$AQ:$AQ)</f>
        <v>#VALUE!</v>
      </c>
      <c r="ZL5" t="e">
        <f>+SUMIF([1]Cartera!$R:$R,$A5&amp;"_"&amp;ZL$11,[1]Cartera!$I:$I)+SUMIF([1]Futuros!$AD:$AD,$A5&amp;"_"&amp;ZL$11,[1]Futuros!$AK:$AK)+SUMIF([1]Opciones!$AF:$AF,$A5&amp;"_"&amp;ZL$11,[1]Opciones!$AQ:$AQ)</f>
        <v>#VALUE!</v>
      </c>
      <c r="ZM5" t="e">
        <f>+SUMIF([1]Cartera!$R:$R,$A5&amp;"_"&amp;ZM$11,[1]Cartera!$I:$I)+SUMIF([1]Futuros!$AD:$AD,$A5&amp;"_"&amp;ZM$11,[1]Futuros!$AK:$AK)+SUMIF([1]Opciones!$AF:$AF,$A5&amp;"_"&amp;ZM$11,[1]Opciones!$AQ:$AQ)</f>
        <v>#VALUE!</v>
      </c>
      <c r="ZN5" t="e">
        <f>+SUMIF([1]Cartera!$R:$R,$A5&amp;"_"&amp;ZN$11,[1]Cartera!$I:$I)+SUMIF([1]Futuros!$AD:$AD,$A5&amp;"_"&amp;ZN$11,[1]Futuros!$AK:$AK)+SUMIF([1]Opciones!$AF:$AF,$A5&amp;"_"&amp;ZN$11,[1]Opciones!$AQ:$AQ)</f>
        <v>#VALUE!</v>
      </c>
      <c r="ZO5" t="e">
        <f>+SUMIF([1]Cartera!$R:$R,$A5&amp;"_"&amp;ZO$11,[1]Cartera!$I:$I)+SUMIF([1]Futuros!$AD:$AD,$A5&amp;"_"&amp;ZO$11,[1]Futuros!$AK:$AK)+SUMIF([1]Opciones!$AF:$AF,$A5&amp;"_"&amp;ZO$11,[1]Opciones!$AQ:$AQ)</f>
        <v>#VALUE!</v>
      </c>
      <c r="ZP5" t="e">
        <f>+SUMIF([1]Cartera!$R:$R,$A5&amp;"_"&amp;ZP$11,[1]Cartera!$I:$I)+SUMIF([1]Futuros!$AD:$AD,$A5&amp;"_"&amp;ZP$11,[1]Futuros!$AK:$AK)+SUMIF([1]Opciones!$AF:$AF,$A5&amp;"_"&amp;ZP$11,[1]Opciones!$AQ:$AQ)</f>
        <v>#VALUE!</v>
      </c>
      <c r="ZQ5" t="e">
        <f>+SUMIF([1]Cartera!$R:$R,$A5&amp;"_"&amp;ZQ$11,[1]Cartera!$I:$I)+SUMIF([1]Futuros!$AD:$AD,$A5&amp;"_"&amp;ZQ$11,[1]Futuros!$AK:$AK)+SUMIF([1]Opciones!$AF:$AF,$A5&amp;"_"&amp;ZQ$11,[1]Opciones!$AQ:$AQ)</f>
        <v>#VALUE!</v>
      </c>
      <c r="ZR5" t="e">
        <f>+SUMIF([1]Cartera!$R:$R,$A5&amp;"_"&amp;ZR$11,[1]Cartera!$I:$I)+SUMIF([1]Futuros!$AD:$AD,$A5&amp;"_"&amp;ZR$11,[1]Futuros!$AK:$AK)+SUMIF([1]Opciones!$AF:$AF,$A5&amp;"_"&amp;ZR$11,[1]Opciones!$AQ:$AQ)</f>
        <v>#VALUE!</v>
      </c>
      <c r="ZS5" t="e">
        <f>+SUMIF([1]Cartera!$R:$R,$A5&amp;"_"&amp;ZS$11,[1]Cartera!$I:$I)+SUMIF([1]Futuros!$AD:$AD,$A5&amp;"_"&amp;ZS$11,[1]Futuros!$AK:$AK)+SUMIF([1]Opciones!$AF:$AF,$A5&amp;"_"&amp;ZS$11,[1]Opciones!$AQ:$AQ)</f>
        <v>#VALUE!</v>
      </c>
      <c r="ZT5" t="e">
        <f>+SUMIF([1]Cartera!$R:$R,$A5&amp;"_"&amp;ZT$11,[1]Cartera!$I:$I)+SUMIF([1]Futuros!$AD:$AD,$A5&amp;"_"&amp;ZT$11,[1]Futuros!$AK:$AK)+SUMIF([1]Opciones!$AF:$AF,$A5&amp;"_"&amp;ZT$11,[1]Opciones!$AQ:$AQ)</f>
        <v>#VALUE!</v>
      </c>
      <c r="ZU5" t="e">
        <f>+SUMIF([1]Cartera!$R:$R,$A5&amp;"_"&amp;ZU$11,[1]Cartera!$I:$I)+SUMIF([1]Futuros!$AD:$AD,$A5&amp;"_"&amp;ZU$11,[1]Futuros!$AK:$AK)+SUMIF([1]Opciones!$AF:$AF,$A5&amp;"_"&amp;ZU$11,[1]Opciones!$AQ:$AQ)</f>
        <v>#VALUE!</v>
      </c>
      <c r="ZV5" t="e">
        <f>+SUMIF([1]Cartera!$R:$R,$A5&amp;"_"&amp;ZV$11,[1]Cartera!$I:$I)+SUMIF([1]Futuros!$AD:$AD,$A5&amp;"_"&amp;ZV$11,[1]Futuros!$AK:$AK)+SUMIF([1]Opciones!$AF:$AF,$A5&amp;"_"&amp;ZV$11,[1]Opciones!$AQ:$AQ)</f>
        <v>#VALUE!</v>
      </c>
      <c r="ZW5" t="e">
        <f>+SUMIF([1]Cartera!$R:$R,$A5&amp;"_"&amp;ZW$11,[1]Cartera!$I:$I)+SUMIF([1]Futuros!$AD:$AD,$A5&amp;"_"&amp;ZW$11,[1]Futuros!$AK:$AK)+SUMIF([1]Opciones!$AF:$AF,$A5&amp;"_"&amp;ZW$11,[1]Opciones!$AQ:$AQ)</f>
        <v>#VALUE!</v>
      </c>
      <c r="ZX5" t="e">
        <f>+SUMIF([1]Cartera!$R:$R,$A5&amp;"_"&amp;ZX$11,[1]Cartera!$I:$I)+SUMIF([1]Futuros!$AD:$AD,$A5&amp;"_"&amp;ZX$11,[1]Futuros!$AK:$AK)+SUMIF([1]Opciones!$AF:$AF,$A5&amp;"_"&amp;ZX$11,[1]Opciones!$AQ:$AQ)</f>
        <v>#VALUE!</v>
      </c>
      <c r="ZY5" t="e">
        <f>+SUMIF([1]Cartera!$R:$R,$A5&amp;"_"&amp;ZY$11,[1]Cartera!$I:$I)+SUMIF([1]Futuros!$AD:$AD,$A5&amp;"_"&amp;ZY$11,[1]Futuros!$AK:$AK)+SUMIF([1]Opciones!$AF:$AF,$A5&amp;"_"&amp;ZY$11,[1]Opciones!$AQ:$AQ)</f>
        <v>#VALUE!</v>
      </c>
      <c r="ZZ5" t="e">
        <f>+SUMIF([1]Cartera!$R:$R,$A5&amp;"_"&amp;ZZ$11,[1]Cartera!$I:$I)+SUMIF([1]Futuros!$AD:$AD,$A5&amp;"_"&amp;ZZ$11,[1]Futuros!$AK:$AK)+SUMIF([1]Opciones!$AF:$AF,$A5&amp;"_"&amp;ZZ$11,[1]Opciones!$AQ:$AQ)</f>
        <v>#VALUE!</v>
      </c>
      <c r="AAA5" t="e">
        <f>+SUMIF([1]Cartera!$R:$R,$A5&amp;"_"&amp;AAA$11,[1]Cartera!$I:$I)+SUMIF([1]Futuros!$AD:$AD,$A5&amp;"_"&amp;AAA$11,[1]Futuros!$AK:$AK)+SUMIF([1]Opciones!$AF:$AF,$A5&amp;"_"&amp;AAA$11,[1]Opciones!$AQ:$AQ)</f>
        <v>#VALUE!</v>
      </c>
      <c r="AAB5" t="e">
        <f>+SUMIF([1]Cartera!$R:$R,$A5&amp;"_"&amp;AAB$11,[1]Cartera!$I:$I)+SUMIF([1]Futuros!$AD:$AD,$A5&amp;"_"&amp;AAB$11,[1]Futuros!$AK:$AK)+SUMIF([1]Opciones!$AF:$AF,$A5&amp;"_"&amp;AAB$11,[1]Opciones!$AQ:$AQ)</f>
        <v>#VALUE!</v>
      </c>
      <c r="AAC5" t="e">
        <f>+SUMIF([1]Cartera!$R:$R,$A5&amp;"_"&amp;AAC$11,[1]Cartera!$I:$I)+SUMIF([1]Futuros!$AD:$AD,$A5&amp;"_"&amp;AAC$11,[1]Futuros!$AK:$AK)+SUMIF([1]Opciones!$AF:$AF,$A5&amp;"_"&amp;AAC$11,[1]Opciones!$AQ:$AQ)</f>
        <v>#VALUE!</v>
      </c>
      <c r="AAD5" t="e">
        <f>+SUMIF([1]Cartera!$R:$R,$A5&amp;"_"&amp;AAD$11,[1]Cartera!$I:$I)+SUMIF([1]Futuros!$AD:$AD,$A5&amp;"_"&amp;AAD$11,[1]Futuros!$AK:$AK)+SUMIF([1]Opciones!$AF:$AF,$A5&amp;"_"&amp;AAD$11,[1]Opciones!$AQ:$AQ)</f>
        <v>#VALUE!</v>
      </c>
      <c r="AAE5" t="e">
        <f>+SUMIF([1]Cartera!$R:$R,$A5&amp;"_"&amp;AAE$11,[1]Cartera!$I:$I)+SUMIF([1]Futuros!$AD:$AD,$A5&amp;"_"&amp;AAE$11,[1]Futuros!$AK:$AK)+SUMIF([1]Opciones!$AF:$AF,$A5&amp;"_"&amp;AAE$11,[1]Opciones!$AQ:$AQ)</f>
        <v>#VALUE!</v>
      </c>
      <c r="AAF5" t="e">
        <f>+SUMIF([1]Cartera!$R:$R,$A5&amp;"_"&amp;AAF$11,[1]Cartera!$I:$I)+SUMIF([1]Futuros!$AD:$AD,$A5&amp;"_"&amp;AAF$11,[1]Futuros!$AK:$AK)+SUMIF([1]Opciones!$AF:$AF,$A5&amp;"_"&amp;AAF$11,[1]Opciones!$AQ:$AQ)</f>
        <v>#VALUE!</v>
      </c>
      <c r="AAG5" t="e">
        <f>+SUMIF([1]Cartera!$R:$R,$A5&amp;"_"&amp;AAG$11,[1]Cartera!$I:$I)+SUMIF([1]Futuros!$AD:$AD,$A5&amp;"_"&amp;AAG$11,[1]Futuros!$AK:$AK)+SUMIF([1]Opciones!$AF:$AF,$A5&amp;"_"&amp;AAG$11,[1]Opciones!$AQ:$AQ)</f>
        <v>#VALUE!</v>
      </c>
      <c r="AAH5" t="e">
        <f>+SUMIF([1]Cartera!$R:$R,$A5&amp;"_"&amp;AAH$11,[1]Cartera!$I:$I)+SUMIF([1]Futuros!$AD:$AD,$A5&amp;"_"&amp;AAH$11,[1]Futuros!$AK:$AK)+SUMIF([1]Opciones!$AF:$AF,$A5&amp;"_"&amp;AAH$11,[1]Opciones!$AQ:$AQ)</f>
        <v>#VALUE!</v>
      </c>
      <c r="AAI5" t="e">
        <f>+SUMIF([1]Cartera!$R:$R,$A5&amp;"_"&amp;AAI$11,[1]Cartera!$I:$I)+SUMIF([1]Futuros!$AD:$AD,$A5&amp;"_"&amp;AAI$11,[1]Futuros!$AK:$AK)+SUMIF([1]Opciones!$AF:$AF,$A5&amp;"_"&amp;AAI$11,[1]Opciones!$AQ:$AQ)</f>
        <v>#VALUE!</v>
      </c>
      <c r="AAJ5" t="e">
        <f>+SUMIF([1]Cartera!$R:$R,$A5&amp;"_"&amp;AAJ$11,[1]Cartera!$I:$I)+SUMIF([1]Futuros!$AD:$AD,$A5&amp;"_"&amp;AAJ$11,[1]Futuros!$AK:$AK)+SUMIF([1]Opciones!$AF:$AF,$A5&amp;"_"&amp;AAJ$11,[1]Opciones!$AQ:$AQ)</f>
        <v>#VALUE!</v>
      </c>
      <c r="AAK5" t="e">
        <f>+SUMIF([1]Cartera!$R:$R,$A5&amp;"_"&amp;AAK$11,[1]Cartera!$I:$I)+SUMIF([1]Futuros!$AD:$AD,$A5&amp;"_"&amp;AAK$11,[1]Futuros!$AK:$AK)+SUMIF([1]Opciones!$AF:$AF,$A5&amp;"_"&amp;AAK$11,[1]Opciones!$AQ:$AQ)</f>
        <v>#VALUE!</v>
      </c>
      <c r="AAL5" t="e">
        <f>+SUMIF([1]Cartera!$R:$R,$A5&amp;"_"&amp;AAL$11,[1]Cartera!$I:$I)+SUMIF([1]Futuros!$AD:$AD,$A5&amp;"_"&amp;AAL$11,[1]Futuros!$AK:$AK)+SUMIF([1]Opciones!$AF:$AF,$A5&amp;"_"&amp;AAL$11,[1]Opciones!$AQ:$AQ)</f>
        <v>#VALUE!</v>
      </c>
      <c r="AAM5" t="e">
        <f>+SUMIF([1]Cartera!$R:$R,$A5&amp;"_"&amp;AAM$11,[1]Cartera!$I:$I)+SUMIF([1]Futuros!$AD:$AD,$A5&amp;"_"&amp;AAM$11,[1]Futuros!$AK:$AK)+SUMIF([1]Opciones!$AF:$AF,$A5&amp;"_"&amp;AAM$11,[1]Opciones!$AQ:$AQ)</f>
        <v>#VALUE!</v>
      </c>
      <c r="AAN5" t="e">
        <f>+SUMIF([1]Cartera!$R:$R,$A5&amp;"_"&amp;AAN$11,[1]Cartera!$I:$I)+SUMIF([1]Futuros!$AD:$AD,$A5&amp;"_"&amp;AAN$11,[1]Futuros!$AK:$AK)+SUMIF([1]Opciones!$AF:$AF,$A5&amp;"_"&amp;AAN$11,[1]Opciones!$AQ:$AQ)</f>
        <v>#VALUE!</v>
      </c>
      <c r="AAO5" t="e">
        <f>+SUMIF([1]Cartera!$R:$R,$A5&amp;"_"&amp;AAO$11,[1]Cartera!$I:$I)+SUMIF([1]Futuros!$AD:$AD,$A5&amp;"_"&amp;AAO$11,[1]Futuros!$AK:$AK)+SUMIF([1]Opciones!$AF:$AF,$A5&amp;"_"&amp;AAO$11,[1]Opciones!$AQ:$AQ)</f>
        <v>#VALUE!</v>
      </c>
      <c r="AAP5" t="e">
        <f>+SUMIF([1]Cartera!$R:$R,$A5&amp;"_"&amp;AAP$11,[1]Cartera!$I:$I)+SUMIF([1]Futuros!$AD:$AD,$A5&amp;"_"&amp;AAP$11,[1]Futuros!$AK:$AK)+SUMIF([1]Opciones!$AF:$AF,$A5&amp;"_"&amp;AAP$11,[1]Opciones!$AQ:$AQ)</f>
        <v>#VALUE!</v>
      </c>
      <c r="AAQ5" t="e">
        <f>+SUMIF([1]Cartera!$R:$R,$A5&amp;"_"&amp;AAQ$11,[1]Cartera!$I:$I)+SUMIF([1]Futuros!$AD:$AD,$A5&amp;"_"&amp;AAQ$11,[1]Futuros!$AK:$AK)+SUMIF([1]Opciones!$AF:$AF,$A5&amp;"_"&amp;AAQ$11,[1]Opciones!$AQ:$AQ)</f>
        <v>#VALUE!</v>
      </c>
      <c r="AAR5" t="e">
        <f>+SUMIF([1]Cartera!$R:$R,$A5&amp;"_"&amp;AAR$11,[1]Cartera!$I:$I)+SUMIF([1]Futuros!$AD:$AD,$A5&amp;"_"&amp;AAR$11,[1]Futuros!$AK:$AK)+SUMIF([1]Opciones!$AF:$AF,$A5&amp;"_"&amp;AAR$11,[1]Opciones!$AQ:$AQ)</f>
        <v>#VALUE!</v>
      </c>
      <c r="AAS5" t="e">
        <f>+SUMIF([1]Cartera!$R:$R,$A5&amp;"_"&amp;AAS$11,[1]Cartera!$I:$I)+SUMIF([1]Futuros!$AD:$AD,$A5&amp;"_"&amp;AAS$11,[1]Futuros!$AK:$AK)+SUMIF([1]Opciones!$AF:$AF,$A5&amp;"_"&amp;AAS$11,[1]Opciones!$AQ:$AQ)</f>
        <v>#VALUE!</v>
      </c>
      <c r="AAT5" t="e">
        <f>+SUMIF([1]Cartera!$R:$R,$A5&amp;"_"&amp;AAT$11,[1]Cartera!$I:$I)+SUMIF([1]Futuros!$AD:$AD,$A5&amp;"_"&amp;AAT$11,[1]Futuros!$AK:$AK)+SUMIF([1]Opciones!$AF:$AF,$A5&amp;"_"&amp;AAT$11,[1]Opciones!$AQ:$AQ)</f>
        <v>#VALUE!</v>
      </c>
      <c r="AAU5" t="e">
        <f>+SUMIF([1]Cartera!$R:$R,$A5&amp;"_"&amp;AAU$11,[1]Cartera!$I:$I)+SUMIF([1]Futuros!$AD:$AD,$A5&amp;"_"&amp;AAU$11,[1]Futuros!$AK:$AK)+SUMIF([1]Opciones!$AF:$AF,$A5&amp;"_"&amp;AAU$11,[1]Opciones!$AQ:$AQ)</f>
        <v>#VALUE!</v>
      </c>
      <c r="AAV5" t="e">
        <f>+SUMIF([1]Cartera!$R:$R,$A5&amp;"_"&amp;AAV$11,[1]Cartera!$I:$I)+SUMIF([1]Futuros!$AD:$AD,$A5&amp;"_"&amp;AAV$11,[1]Futuros!$AK:$AK)+SUMIF([1]Opciones!$AF:$AF,$A5&amp;"_"&amp;AAV$11,[1]Opciones!$AQ:$AQ)</f>
        <v>#VALUE!</v>
      </c>
      <c r="AAW5" t="e">
        <f>+SUMIF([1]Cartera!$R:$R,$A5&amp;"_"&amp;AAW$11,[1]Cartera!$I:$I)+SUMIF([1]Futuros!$AD:$AD,$A5&amp;"_"&amp;AAW$11,[1]Futuros!$AK:$AK)+SUMIF([1]Opciones!$AF:$AF,$A5&amp;"_"&amp;AAW$11,[1]Opciones!$AQ:$AQ)</f>
        <v>#VALUE!</v>
      </c>
      <c r="AAX5" t="e">
        <f>+SUMIF([1]Cartera!$R:$R,$A5&amp;"_"&amp;AAX$11,[1]Cartera!$I:$I)+SUMIF([1]Futuros!$AD:$AD,$A5&amp;"_"&amp;AAX$11,[1]Futuros!$AK:$AK)+SUMIF([1]Opciones!$AF:$AF,$A5&amp;"_"&amp;AAX$11,[1]Opciones!$AQ:$AQ)</f>
        <v>#VALUE!</v>
      </c>
      <c r="AAY5" t="e">
        <f>+SUMIF([1]Cartera!$R:$R,$A5&amp;"_"&amp;AAY$11,[1]Cartera!$I:$I)+SUMIF([1]Futuros!$AD:$AD,$A5&amp;"_"&amp;AAY$11,[1]Futuros!$AK:$AK)+SUMIF([1]Opciones!$AF:$AF,$A5&amp;"_"&amp;AAY$11,[1]Opciones!$AQ:$AQ)</f>
        <v>#VALUE!</v>
      </c>
      <c r="AAZ5" t="e">
        <f>+SUMIF([1]Cartera!$R:$R,$A5&amp;"_"&amp;AAZ$11,[1]Cartera!$I:$I)+SUMIF([1]Futuros!$AD:$AD,$A5&amp;"_"&amp;AAZ$11,[1]Futuros!$AK:$AK)+SUMIF([1]Opciones!$AF:$AF,$A5&amp;"_"&amp;AAZ$11,[1]Opciones!$AQ:$AQ)</f>
        <v>#VALUE!</v>
      </c>
      <c r="ABA5" t="e">
        <f>+SUMIF([1]Cartera!$R:$R,$A5&amp;"_"&amp;ABA$11,[1]Cartera!$I:$I)+SUMIF([1]Futuros!$AD:$AD,$A5&amp;"_"&amp;ABA$11,[1]Futuros!$AK:$AK)+SUMIF([1]Opciones!$AF:$AF,$A5&amp;"_"&amp;ABA$11,[1]Opciones!$AQ:$AQ)</f>
        <v>#VALUE!</v>
      </c>
      <c r="ABB5" t="e">
        <f>+SUMIF([1]Cartera!$R:$R,$A5&amp;"_"&amp;ABB$11,[1]Cartera!$I:$I)+SUMIF([1]Futuros!$AD:$AD,$A5&amp;"_"&amp;ABB$11,[1]Futuros!$AK:$AK)+SUMIF([1]Opciones!$AF:$AF,$A5&amp;"_"&amp;ABB$11,[1]Opciones!$AQ:$AQ)</f>
        <v>#VALUE!</v>
      </c>
      <c r="ABC5" t="e">
        <f>+SUMIF([1]Cartera!$R:$R,$A5&amp;"_"&amp;ABC$11,[1]Cartera!$I:$I)+SUMIF([1]Futuros!$AD:$AD,$A5&amp;"_"&amp;ABC$11,[1]Futuros!$AK:$AK)+SUMIF([1]Opciones!$AF:$AF,$A5&amp;"_"&amp;ABC$11,[1]Opciones!$AQ:$AQ)</f>
        <v>#VALUE!</v>
      </c>
      <c r="ABD5" t="e">
        <f>+SUMIF([1]Cartera!$R:$R,$A5&amp;"_"&amp;ABD$11,[1]Cartera!$I:$I)+SUMIF([1]Futuros!$AD:$AD,$A5&amp;"_"&amp;ABD$11,[1]Futuros!$AK:$AK)+SUMIF([1]Opciones!$AF:$AF,$A5&amp;"_"&amp;ABD$11,[1]Opciones!$AQ:$AQ)</f>
        <v>#VALUE!</v>
      </c>
      <c r="ABE5" t="e">
        <f>+SUMIF([1]Cartera!$R:$R,$A5&amp;"_"&amp;ABE$11,[1]Cartera!$I:$I)+SUMIF([1]Futuros!$AD:$AD,$A5&amp;"_"&amp;ABE$11,[1]Futuros!$AK:$AK)+SUMIF([1]Opciones!$AF:$AF,$A5&amp;"_"&amp;ABE$11,[1]Opciones!$AQ:$AQ)</f>
        <v>#VALUE!</v>
      </c>
      <c r="ABF5" t="e">
        <f>+SUMIF([1]Cartera!$R:$R,$A5&amp;"_"&amp;ABF$11,[1]Cartera!$I:$I)+SUMIF([1]Futuros!$AD:$AD,$A5&amp;"_"&amp;ABF$11,[1]Futuros!$AK:$AK)+SUMIF([1]Opciones!$AF:$AF,$A5&amp;"_"&amp;ABF$11,[1]Opciones!$AQ:$AQ)</f>
        <v>#VALUE!</v>
      </c>
      <c r="ABG5" t="e">
        <f>+SUMIF([1]Cartera!$R:$R,$A5&amp;"_"&amp;ABG$11,[1]Cartera!$I:$I)+SUMIF([1]Futuros!$AD:$AD,$A5&amp;"_"&amp;ABG$11,[1]Futuros!$AK:$AK)+SUMIF([1]Opciones!$AF:$AF,$A5&amp;"_"&amp;ABG$11,[1]Opciones!$AQ:$AQ)</f>
        <v>#VALUE!</v>
      </c>
      <c r="ABH5" t="e">
        <f>+SUMIF([1]Cartera!$R:$R,$A5&amp;"_"&amp;ABH$11,[1]Cartera!$I:$I)+SUMIF([1]Futuros!$AD:$AD,$A5&amp;"_"&amp;ABH$11,[1]Futuros!$AK:$AK)+SUMIF([1]Opciones!$AF:$AF,$A5&amp;"_"&amp;ABH$11,[1]Opciones!$AQ:$AQ)</f>
        <v>#VALUE!</v>
      </c>
      <c r="ABI5" t="e">
        <f>+SUMIF([1]Cartera!$R:$R,$A5&amp;"_"&amp;ABI$11,[1]Cartera!$I:$I)+SUMIF([1]Futuros!$AD:$AD,$A5&amp;"_"&amp;ABI$11,[1]Futuros!$AK:$AK)+SUMIF([1]Opciones!$AF:$AF,$A5&amp;"_"&amp;ABI$11,[1]Opciones!$AQ:$AQ)</f>
        <v>#VALUE!</v>
      </c>
      <c r="ABJ5" t="e">
        <f>+SUMIF([1]Cartera!$R:$R,$A5&amp;"_"&amp;ABJ$11,[1]Cartera!$I:$I)+SUMIF([1]Futuros!$AD:$AD,$A5&amp;"_"&amp;ABJ$11,[1]Futuros!$AK:$AK)+SUMIF([1]Opciones!$AF:$AF,$A5&amp;"_"&amp;ABJ$11,[1]Opciones!$AQ:$AQ)</f>
        <v>#VALUE!</v>
      </c>
      <c r="ABK5" t="e">
        <f>+SUMIF([1]Cartera!$R:$R,$A5&amp;"_"&amp;ABK$11,[1]Cartera!$I:$I)+SUMIF([1]Futuros!$AD:$AD,$A5&amp;"_"&amp;ABK$11,[1]Futuros!$AK:$AK)+SUMIF([1]Opciones!$AF:$AF,$A5&amp;"_"&amp;ABK$11,[1]Opciones!$AQ:$AQ)</f>
        <v>#VALUE!</v>
      </c>
      <c r="ABL5" t="e">
        <f>+SUMIF([1]Cartera!$R:$R,$A5&amp;"_"&amp;ABL$11,[1]Cartera!$I:$I)+SUMIF([1]Futuros!$AD:$AD,$A5&amp;"_"&amp;ABL$11,[1]Futuros!$AK:$AK)+SUMIF([1]Opciones!$AF:$AF,$A5&amp;"_"&amp;ABL$11,[1]Opciones!$AQ:$AQ)</f>
        <v>#VALUE!</v>
      </c>
      <c r="ABM5" t="e">
        <f>+SUMIF([1]Cartera!$R:$R,$A5&amp;"_"&amp;ABM$11,[1]Cartera!$I:$I)+SUMIF([1]Futuros!$AD:$AD,$A5&amp;"_"&amp;ABM$11,[1]Futuros!$AK:$AK)+SUMIF([1]Opciones!$AF:$AF,$A5&amp;"_"&amp;ABM$11,[1]Opciones!$AQ:$AQ)</f>
        <v>#VALUE!</v>
      </c>
      <c r="ABN5" t="e">
        <f>+SUMIF([1]Cartera!$R:$R,$A5&amp;"_"&amp;ABN$11,[1]Cartera!$I:$I)+SUMIF([1]Futuros!$AD:$AD,$A5&amp;"_"&amp;ABN$11,[1]Futuros!$AK:$AK)+SUMIF([1]Opciones!$AF:$AF,$A5&amp;"_"&amp;ABN$11,[1]Opciones!$AQ:$AQ)</f>
        <v>#VALUE!</v>
      </c>
      <c r="ABO5" t="e">
        <f>+SUMIF([1]Cartera!$R:$R,$A5&amp;"_"&amp;ABO$11,[1]Cartera!$I:$I)+SUMIF([1]Futuros!$AD:$AD,$A5&amp;"_"&amp;ABO$11,[1]Futuros!$AK:$AK)+SUMIF([1]Opciones!$AF:$AF,$A5&amp;"_"&amp;ABO$11,[1]Opciones!$AQ:$AQ)</f>
        <v>#VALUE!</v>
      </c>
      <c r="ABP5" t="e">
        <f>+SUMIF([1]Cartera!$R:$R,$A5&amp;"_"&amp;ABP$11,[1]Cartera!$I:$I)+SUMIF([1]Futuros!$AD:$AD,$A5&amp;"_"&amp;ABP$11,[1]Futuros!$AK:$AK)+SUMIF([1]Opciones!$AF:$AF,$A5&amp;"_"&amp;ABP$11,[1]Opciones!$AQ:$AQ)</f>
        <v>#VALUE!</v>
      </c>
      <c r="ABQ5" t="e">
        <f>+SUMIF([1]Cartera!$R:$R,$A5&amp;"_"&amp;ABQ$11,[1]Cartera!$I:$I)+SUMIF([1]Futuros!$AD:$AD,$A5&amp;"_"&amp;ABQ$11,[1]Futuros!$AK:$AK)+SUMIF([1]Opciones!$AF:$AF,$A5&amp;"_"&amp;ABQ$11,[1]Opciones!$AQ:$AQ)</f>
        <v>#VALUE!</v>
      </c>
      <c r="ABR5" t="e">
        <f>+SUMIF([1]Cartera!$R:$R,$A5&amp;"_"&amp;ABR$11,[1]Cartera!$I:$I)+SUMIF([1]Futuros!$AD:$AD,$A5&amp;"_"&amp;ABR$11,[1]Futuros!$AK:$AK)+SUMIF([1]Opciones!$AF:$AF,$A5&amp;"_"&amp;ABR$11,[1]Opciones!$AQ:$AQ)</f>
        <v>#VALUE!</v>
      </c>
      <c r="ABS5" t="e">
        <f>+SUMIF([1]Cartera!$R:$R,$A5&amp;"_"&amp;ABS$11,[1]Cartera!$I:$I)+SUMIF([1]Futuros!$AD:$AD,$A5&amp;"_"&amp;ABS$11,[1]Futuros!$AK:$AK)+SUMIF([1]Opciones!$AF:$AF,$A5&amp;"_"&amp;ABS$11,[1]Opciones!$AQ:$AQ)</f>
        <v>#VALUE!</v>
      </c>
      <c r="ABT5" t="e">
        <f>+SUMIF([1]Cartera!$R:$R,$A5&amp;"_"&amp;ABT$11,[1]Cartera!$I:$I)+SUMIF([1]Futuros!$AD:$AD,$A5&amp;"_"&amp;ABT$11,[1]Futuros!$AK:$AK)+SUMIF([1]Opciones!$AF:$AF,$A5&amp;"_"&amp;ABT$11,[1]Opciones!$AQ:$AQ)</f>
        <v>#VALUE!</v>
      </c>
      <c r="ABU5" t="e">
        <f>+SUMIF([1]Cartera!$R:$R,$A5&amp;"_"&amp;ABU$11,[1]Cartera!$I:$I)+SUMIF([1]Futuros!$AD:$AD,$A5&amp;"_"&amp;ABU$11,[1]Futuros!$AK:$AK)+SUMIF([1]Opciones!$AF:$AF,$A5&amp;"_"&amp;ABU$11,[1]Opciones!$AQ:$AQ)</f>
        <v>#VALUE!</v>
      </c>
      <c r="ABV5" t="e">
        <f>+SUMIF([1]Cartera!$R:$R,$A5&amp;"_"&amp;ABV$11,[1]Cartera!$I:$I)+SUMIF([1]Futuros!$AD:$AD,$A5&amp;"_"&amp;ABV$11,[1]Futuros!$AK:$AK)+SUMIF([1]Opciones!$AF:$AF,$A5&amp;"_"&amp;ABV$11,[1]Opciones!$AQ:$AQ)</f>
        <v>#VALUE!</v>
      </c>
      <c r="ABW5" t="e">
        <f>+SUMIF([1]Cartera!$R:$R,$A5&amp;"_"&amp;ABW$11,[1]Cartera!$I:$I)+SUMIF([1]Futuros!$AD:$AD,$A5&amp;"_"&amp;ABW$11,[1]Futuros!$AK:$AK)+SUMIF([1]Opciones!$AF:$AF,$A5&amp;"_"&amp;ABW$11,[1]Opciones!$AQ:$AQ)</f>
        <v>#VALUE!</v>
      </c>
      <c r="ABX5" t="e">
        <f>+SUMIF([1]Cartera!$R:$R,$A5&amp;"_"&amp;ABX$11,[1]Cartera!$I:$I)+SUMIF([1]Futuros!$AD:$AD,$A5&amp;"_"&amp;ABX$11,[1]Futuros!$AK:$AK)+SUMIF([1]Opciones!$AF:$AF,$A5&amp;"_"&amp;ABX$11,[1]Opciones!$AQ:$AQ)</f>
        <v>#VALUE!</v>
      </c>
      <c r="ABY5" t="e">
        <f>+SUMIF([1]Cartera!$R:$R,$A5&amp;"_"&amp;ABY$11,[1]Cartera!$I:$I)+SUMIF([1]Futuros!$AD:$AD,$A5&amp;"_"&amp;ABY$11,[1]Futuros!$AK:$AK)+SUMIF([1]Opciones!$AF:$AF,$A5&amp;"_"&amp;ABY$11,[1]Opciones!$AQ:$AQ)</f>
        <v>#VALUE!</v>
      </c>
      <c r="ABZ5" t="e">
        <f>+SUMIF([1]Cartera!$R:$R,$A5&amp;"_"&amp;ABZ$11,[1]Cartera!$I:$I)+SUMIF([1]Futuros!$AD:$AD,$A5&amp;"_"&amp;ABZ$11,[1]Futuros!$AK:$AK)+SUMIF([1]Opciones!$AF:$AF,$A5&amp;"_"&amp;ABZ$11,[1]Opciones!$AQ:$AQ)</f>
        <v>#VALUE!</v>
      </c>
      <c r="ACA5" t="e">
        <f>+SUMIF([1]Cartera!$R:$R,$A5&amp;"_"&amp;ACA$11,[1]Cartera!$I:$I)+SUMIF([1]Futuros!$AD:$AD,$A5&amp;"_"&amp;ACA$11,[1]Futuros!$AK:$AK)+SUMIF([1]Opciones!$AF:$AF,$A5&amp;"_"&amp;ACA$11,[1]Opciones!$AQ:$AQ)</f>
        <v>#VALUE!</v>
      </c>
      <c r="ACB5" t="e">
        <f>+SUMIF([1]Cartera!$R:$R,$A5&amp;"_"&amp;ACB$11,[1]Cartera!$I:$I)+SUMIF([1]Futuros!$AD:$AD,$A5&amp;"_"&amp;ACB$11,[1]Futuros!$AK:$AK)+SUMIF([1]Opciones!$AF:$AF,$A5&amp;"_"&amp;ACB$11,[1]Opciones!$AQ:$AQ)</f>
        <v>#VALUE!</v>
      </c>
      <c r="ACC5" t="e">
        <f>+SUMIF([1]Cartera!$R:$R,$A5&amp;"_"&amp;ACC$11,[1]Cartera!$I:$I)+SUMIF([1]Futuros!$AD:$AD,$A5&amp;"_"&amp;ACC$11,[1]Futuros!$AK:$AK)+SUMIF([1]Opciones!$AF:$AF,$A5&amp;"_"&amp;ACC$11,[1]Opciones!$AQ:$AQ)</f>
        <v>#VALUE!</v>
      </c>
      <c r="ACD5" t="e">
        <f>+SUMIF([1]Cartera!$R:$R,$A5&amp;"_"&amp;ACD$11,[1]Cartera!$I:$I)+SUMIF([1]Futuros!$AD:$AD,$A5&amp;"_"&amp;ACD$11,[1]Futuros!$AK:$AK)+SUMIF([1]Opciones!$AF:$AF,$A5&amp;"_"&amp;ACD$11,[1]Opciones!$AQ:$AQ)</f>
        <v>#VALUE!</v>
      </c>
      <c r="ACE5" t="e">
        <f>+SUMIF([1]Cartera!$R:$R,$A5&amp;"_"&amp;ACE$11,[1]Cartera!$I:$I)+SUMIF([1]Futuros!$AD:$AD,$A5&amp;"_"&amp;ACE$11,[1]Futuros!$AK:$AK)+SUMIF([1]Opciones!$AF:$AF,$A5&amp;"_"&amp;ACE$11,[1]Opciones!$AQ:$AQ)</f>
        <v>#VALUE!</v>
      </c>
      <c r="ACF5" t="e">
        <f>+SUMIF([1]Cartera!$R:$R,$A5&amp;"_"&amp;ACF$11,[1]Cartera!$I:$I)+SUMIF([1]Futuros!$AD:$AD,$A5&amp;"_"&amp;ACF$11,[1]Futuros!$AK:$AK)+SUMIF([1]Opciones!$AF:$AF,$A5&amp;"_"&amp;ACF$11,[1]Opciones!$AQ:$AQ)</f>
        <v>#VALUE!</v>
      </c>
      <c r="ACG5" t="e">
        <f>+SUMIF([1]Cartera!$R:$R,$A5&amp;"_"&amp;ACG$11,[1]Cartera!$I:$I)+SUMIF([1]Futuros!$AD:$AD,$A5&amp;"_"&amp;ACG$11,[1]Futuros!$AK:$AK)+SUMIF([1]Opciones!$AF:$AF,$A5&amp;"_"&amp;ACG$11,[1]Opciones!$AQ:$AQ)</f>
        <v>#VALUE!</v>
      </c>
      <c r="ACH5" t="e">
        <f>+SUMIF([1]Cartera!$R:$R,$A5&amp;"_"&amp;ACH$11,[1]Cartera!$I:$I)+SUMIF([1]Futuros!$AD:$AD,$A5&amp;"_"&amp;ACH$11,[1]Futuros!$AK:$AK)+SUMIF([1]Opciones!$AF:$AF,$A5&amp;"_"&amp;ACH$11,[1]Opciones!$AQ:$AQ)</f>
        <v>#VALUE!</v>
      </c>
      <c r="ACI5" t="e">
        <f>+SUMIF([1]Cartera!$R:$R,$A5&amp;"_"&amp;ACI$11,[1]Cartera!$I:$I)+SUMIF([1]Futuros!$AD:$AD,$A5&amp;"_"&amp;ACI$11,[1]Futuros!$AK:$AK)+SUMIF([1]Opciones!$AF:$AF,$A5&amp;"_"&amp;ACI$11,[1]Opciones!$AQ:$AQ)</f>
        <v>#VALUE!</v>
      </c>
      <c r="ACJ5" t="e">
        <f>+SUMIF([1]Cartera!$R:$R,$A5&amp;"_"&amp;ACJ$11,[1]Cartera!$I:$I)+SUMIF([1]Futuros!$AD:$AD,$A5&amp;"_"&amp;ACJ$11,[1]Futuros!$AK:$AK)+SUMIF([1]Opciones!$AF:$AF,$A5&amp;"_"&amp;ACJ$11,[1]Opciones!$AQ:$AQ)</f>
        <v>#VALUE!</v>
      </c>
      <c r="ACK5" t="e">
        <f>+SUMIF([1]Cartera!$R:$R,$A5&amp;"_"&amp;ACK$11,[1]Cartera!$I:$I)+SUMIF([1]Futuros!$AD:$AD,$A5&amp;"_"&amp;ACK$11,[1]Futuros!$AK:$AK)+SUMIF([1]Opciones!$AF:$AF,$A5&amp;"_"&amp;ACK$11,[1]Opciones!$AQ:$AQ)</f>
        <v>#VALUE!</v>
      </c>
      <c r="ACL5" t="e">
        <f>+SUMIF([1]Cartera!$R:$R,$A5&amp;"_"&amp;ACL$11,[1]Cartera!$I:$I)+SUMIF([1]Futuros!$AD:$AD,$A5&amp;"_"&amp;ACL$11,[1]Futuros!$AK:$AK)+SUMIF([1]Opciones!$AF:$AF,$A5&amp;"_"&amp;ACL$11,[1]Opciones!$AQ:$AQ)</f>
        <v>#VALUE!</v>
      </c>
      <c r="ACM5" t="e">
        <f>+SUMIF([1]Cartera!$R:$R,$A5&amp;"_"&amp;ACM$11,[1]Cartera!$I:$I)+SUMIF([1]Futuros!$AD:$AD,$A5&amp;"_"&amp;ACM$11,[1]Futuros!$AK:$AK)+SUMIF([1]Opciones!$AF:$AF,$A5&amp;"_"&amp;ACM$11,[1]Opciones!$AQ:$AQ)</f>
        <v>#VALUE!</v>
      </c>
      <c r="ACN5" t="e">
        <f>+SUMIF([1]Cartera!$R:$R,$A5&amp;"_"&amp;ACN$11,[1]Cartera!$I:$I)+SUMIF([1]Futuros!$AD:$AD,$A5&amp;"_"&amp;ACN$11,[1]Futuros!$AK:$AK)+SUMIF([1]Opciones!$AF:$AF,$A5&amp;"_"&amp;ACN$11,[1]Opciones!$AQ:$AQ)</f>
        <v>#VALUE!</v>
      </c>
      <c r="ACO5" t="e">
        <f>+SUMIF([1]Cartera!$R:$R,$A5&amp;"_"&amp;ACO$11,[1]Cartera!$I:$I)+SUMIF([1]Futuros!$AD:$AD,$A5&amp;"_"&amp;ACO$11,[1]Futuros!$AK:$AK)+SUMIF([1]Opciones!$AF:$AF,$A5&amp;"_"&amp;ACO$11,[1]Opciones!$AQ:$AQ)</f>
        <v>#VALUE!</v>
      </c>
      <c r="ACP5" t="e">
        <f>+SUMIF([1]Cartera!$R:$R,$A5&amp;"_"&amp;ACP$11,[1]Cartera!$I:$I)+SUMIF([1]Futuros!$AD:$AD,$A5&amp;"_"&amp;ACP$11,[1]Futuros!$AK:$AK)+SUMIF([1]Opciones!$AF:$AF,$A5&amp;"_"&amp;ACP$11,[1]Opciones!$AQ:$AQ)</f>
        <v>#VALUE!</v>
      </c>
      <c r="ACQ5" t="e">
        <f>+SUMIF([1]Cartera!$R:$R,$A5&amp;"_"&amp;ACQ$11,[1]Cartera!$I:$I)+SUMIF([1]Futuros!$AD:$AD,$A5&amp;"_"&amp;ACQ$11,[1]Futuros!$AK:$AK)+SUMIF([1]Opciones!$AF:$AF,$A5&amp;"_"&amp;ACQ$11,[1]Opciones!$AQ:$AQ)</f>
        <v>#VALUE!</v>
      </c>
      <c r="ACR5" t="e">
        <f>+SUMIF([1]Cartera!$R:$R,$A5&amp;"_"&amp;ACR$11,[1]Cartera!$I:$I)+SUMIF([1]Futuros!$AD:$AD,$A5&amp;"_"&amp;ACR$11,[1]Futuros!$AK:$AK)+SUMIF([1]Opciones!$AF:$AF,$A5&amp;"_"&amp;ACR$11,[1]Opciones!$AQ:$AQ)</f>
        <v>#VALUE!</v>
      </c>
      <c r="ACS5" t="e">
        <f>+SUMIF([1]Cartera!$R:$R,$A5&amp;"_"&amp;ACS$11,[1]Cartera!$I:$I)+SUMIF([1]Futuros!$AD:$AD,$A5&amp;"_"&amp;ACS$11,[1]Futuros!$AK:$AK)+SUMIF([1]Opciones!$AF:$AF,$A5&amp;"_"&amp;ACS$11,[1]Opciones!$AQ:$AQ)</f>
        <v>#VALUE!</v>
      </c>
      <c r="ACT5" t="e">
        <f>+SUMIF([1]Cartera!$R:$R,$A5&amp;"_"&amp;ACT$11,[1]Cartera!$I:$I)+SUMIF([1]Futuros!$AD:$AD,$A5&amp;"_"&amp;ACT$11,[1]Futuros!$AK:$AK)+SUMIF([1]Opciones!$AF:$AF,$A5&amp;"_"&amp;ACT$11,[1]Opciones!$AQ:$AQ)</f>
        <v>#VALUE!</v>
      </c>
      <c r="ACU5" t="e">
        <f>+SUMIF([1]Cartera!$R:$R,$A5&amp;"_"&amp;ACU$11,[1]Cartera!$I:$I)+SUMIF([1]Futuros!$AD:$AD,$A5&amp;"_"&amp;ACU$11,[1]Futuros!$AK:$AK)+SUMIF([1]Opciones!$AF:$AF,$A5&amp;"_"&amp;ACU$11,[1]Opciones!$AQ:$AQ)</f>
        <v>#VALUE!</v>
      </c>
      <c r="ACV5" t="e">
        <f>+SUMIF([1]Cartera!$R:$R,$A5&amp;"_"&amp;ACV$11,[1]Cartera!$I:$I)+SUMIF([1]Futuros!$AD:$AD,$A5&amp;"_"&amp;ACV$11,[1]Futuros!$AK:$AK)+SUMIF([1]Opciones!$AF:$AF,$A5&amp;"_"&amp;ACV$11,[1]Opciones!$AQ:$AQ)</f>
        <v>#VALUE!</v>
      </c>
      <c r="ACW5" t="e">
        <f>+SUMIF([1]Cartera!$R:$R,$A5&amp;"_"&amp;ACW$11,[1]Cartera!$I:$I)+SUMIF([1]Futuros!$AD:$AD,$A5&amp;"_"&amp;ACW$11,[1]Futuros!$AK:$AK)+SUMIF([1]Opciones!$AF:$AF,$A5&amp;"_"&amp;ACW$11,[1]Opciones!$AQ:$AQ)</f>
        <v>#VALUE!</v>
      </c>
      <c r="ACX5" t="e">
        <f>+SUMIF([1]Cartera!$R:$R,$A5&amp;"_"&amp;ACX$11,[1]Cartera!$I:$I)+SUMIF([1]Futuros!$AD:$AD,$A5&amp;"_"&amp;ACX$11,[1]Futuros!$AK:$AK)+SUMIF([1]Opciones!$AF:$AF,$A5&amp;"_"&amp;ACX$11,[1]Opciones!$AQ:$AQ)</f>
        <v>#VALUE!</v>
      </c>
      <c r="ACY5" t="e">
        <f>+SUMIF([1]Cartera!$R:$R,$A5&amp;"_"&amp;ACY$11,[1]Cartera!$I:$I)+SUMIF([1]Futuros!$AD:$AD,$A5&amp;"_"&amp;ACY$11,[1]Futuros!$AK:$AK)+SUMIF([1]Opciones!$AF:$AF,$A5&amp;"_"&amp;ACY$11,[1]Opciones!$AQ:$AQ)</f>
        <v>#VALUE!</v>
      </c>
      <c r="ACZ5" t="e">
        <f>+SUMIF([1]Cartera!$R:$R,$A5&amp;"_"&amp;ACZ$11,[1]Cartera!$I:$I)+SUMIF([1]Futuros!$AD:$AD,$A5&amp;"_"&amp;ACZ$11,[1]Futuros!$AK:$AK)+SUMIF([1]Opciones!$AF:$AF,$A5&amp;"_"&amp;ACZ$11,[1]Opciones!$AQ:$AQ)</f>
        <v>#VALUE!</v>
      </c>
      <c r="ADA5" t="e">
        <f>+SUMIF([1]Cartera!$R:$R,$A5&amp;"_"&amp;ADA$11,[1]Cartera!$I:$I)+SUMIF([1]Futuros!$AD:$AD,$A5&amp;"_"&amp;ADA$11,[1]Futuros!$AK:$AK)+SUMIF([1]Opciones!$AF:$AF,$A5&amp;"_"&amp;ADA$11,[1]Opciones!$AQ:$AQ)</f>
        <v>#VALUE!</v>
      </c>
      <c r="ADB5" t="e">
        <f>+SUMIF([1]Cartera!$R:$R,$A5&amp;"_"&amp;ADB$11,[1]Cartera!$I:$I)+SUMIF([1]Futuros!$AD:$AD,$A5&amp;"_"&amp;ADB$11,[1]Futuros!$AK:$AK)+SUMIF([1]Opciones!$AF:$AF,$A5&amp;"_"&amp;ADB$11,[1]Opciones!$AQ:$AQ)</f>
        <v>#VALUE!</v>
      </c>
      <c r="ADC5" t="e">
        <f>+SUMIF([1]Cartera!$R:$R,$A5&amp;"_"&amp;ADC$11,[1]Cartera!$I:$I)+SUMIF([1]Futuros!$AD:$AD,$A5&amp;"_"&amp;ADC$11,[1]Futuros!$AK:$AK)+SUMIF([1]Opciones!$AF:$AF,$A5&amp;"_"&amp;ADC$11,[1]Opciones!$AQ:$AQ)</f>
        <v>#VALUE!</v>
      </c>
      <c r="ADD5" t="e">
        <f>+SUMIF([1]Cartera!$R:$R,$A5&amp;"_"&amp;ADD$11,[1]Cartera!$I:$I)+SUMIF([1]Futuros!$AD:$AD,$A5&amp;"_"&amp;ADD$11,[1]Futuros!$AK:$AK)+SUMIF([1]Opciones!$AF:$AF,$A5&amp;"_"&amp;ADD$11,[1]Opciones!$AQ:$AQ)</f>
        <v>#VALUE!</v>
      </c>
      <c r="ADE5" t="e">
        <f>+SUMIF([1]Cartera!$R:$R,$A5&amp;"_"&amp;ADE$11,[1]Cartera!$I:$I)+SUMIF([1]Futuros!$AD:$AD,$A5&amp;"_"&amp;ADE$11,[1]Futuros!$AK:$AK)+SUMIF([1]Opciones!$AF:$AF,$A5&amp;"_"&amp;ADE$11,[1]Opciones!$AQ:$AQ)</f>
        <v>#VALUE!</v>
      </c>
      <c r="ADF5" t="e">
        <f>+SUMIF([1]Cartera!$R:$R,$A5&amp;"_"&amp;ADF$11,[1]Cartera!$I:$I)+SUMIF([1]Futuros!$AD:$AD,$A5&amp;"_"&amp;ADF$11,[1]Futuros!$AK:$AK)+SUMIF([1]Opciones!$AF:$AF,$A5&amp;"_"&amp;ADF$11,[1]Opciones!$AQ:$AQ)</f>
        <v>#VALUE!</v>
      </c>
      <c r="ADG5" t="e">
        <f>+SUMIF([1]Cartera!$R:$R,$A5&amp;"_"&amp;ADG$11,[1]Cartera!$I:$I)+SUMIF([1]Futuros!$AD:$AD,$A5&amp;"_"&amp;ADG$11,[1]Futuros!$AK:$AK)+SUMIF([1]Opciones!$AF:$AF,$A5&amp;"_"&amp;ADG$11,[1]Opciones!$AQ:$AQ)</f>
        <v>#VALUE!</v>
      </c>
      <c r="ADH5" t="e">
        <f>+SUMIF([1]Cartera!$R:$R,$A5&amp;"_"&amp;ADH$11,[1]Cartera!$I:$I)+SUMIF([1]Futuros!$AD:$AD,$A5&amp;"_"&amp;ADH$11,[1]Futuros!$AK:$AK)+SUMIF([1]Opciones!$AF:$AF,$A5&amp;"_"&amp;ADH$11,[1]Opciones!$AQ:$AQ)</f>
        <v>#VALUE!</v>
      </c>
      <c r="ADI5" t="e">
        <f>+SUMIF([1]Cartera!$R:$R,$A5&amp;"_"&amp;ADI$11,[1]Cartera!$I:$I)+SUMIF([1]Futuros!$AD:$AD,$A5&amp;"_"&amp;ADI$11,[1]Futuros!$AK:$AK)+SUMIF([1]Opciones!$AF:$AF,$A5&amp;"_"&amp;ADI$11,[1]Opciones!$AQ:$AQ)</f>
        <v>#VALUE!</v>
      </c>
      <c r="ADJ5" t="e">
        <f>+SUMIF([1]Cartera!$R:$R,$A5&amp;"_"&amp;ADJ$11,[1]Cartera!$I:$I)+SUMIF([1]Futuros!$AD:$AD,$A5&amp;"_"&amp;ADJ$11,[1]Futuros!$AK:$AK)+SUMIF([1]Opciones!$AF:$AF,$A5&amp;"_"&amp;ADJ$11,[1]Opciones!$AQ:$AQ)</f>
        <v>#VALUE!</v>
      </c>
      <c r="ADK5" t="e">
        <f>+SUMIF([1]Cartera!$R:$R,$A5&amp;"_"&amp;ADK$11,[1]Cartera!$I:$I)+SUMIF([1]Futuros!$AD:$AD,$A5&amp;"_"&amp;ADK$11,[1]Futuros!$AK:$AK)+SUMIF([1]Opciones!$AF:$AF,$A5&amp;"_"&amp;ADK$11,[1]Opciones!$AQ:$AQ)</f>
        <v>#VALUE!</v>
      </c>
      <c r="ADL5" t="e">
        <f>+SUMIF([1]Cartera!$R:$R,$A5&amp;"_"&amp;ADL$11,[1]Cartera!$I:$I)+SUMIF([1]Futuros!$AD:$AD,$A5&amp;"_"&amp;ADL$11,[1]Futuros!$AK:$AK)+SUMIF([1]Opciones!$AF:$AF,$A5&amp;"_"&amp;ADL$11,[1]Opciones!$AQ:$AQ)</f>
        <v>#VALUE!</v>
      </c>
      <c r="ADM5" t="e">
        <f>+SUMIF([1]Cartera!$R:$R,$A5&amp;"_"&amp;ADM$11,[1]Cartera!$I:$I)+SUMIF([1]Futuros!$AD:$AD,$A5&amp;"_"&amp;ADM$11,[1]Futuros!$AK:$AK)+SUMIF([1]Opciones!$AF:$AF,$A5&amp;"_"&amp;ADM$11,[1]Opciones!$AQ:$AQ)</f>
        <v>#VALUE!</v>
      </c>
      <c r="ADN5" t="e">
        <f>+SUMIF([1]Cartera!$R:$R,$A5&amp;"_"&amp;ADN$11,[1]Cartera!$I:$I)+SUMIF([1]Futuros!$AD:$AD,$A5&amp;"_"&amp;ADN$11,[1]Futuros!$AK:$AK)+SUMIF([1]Opciones!$AF:$AF,$A5&amp;"_"&amp;ADN$11,[1]Opciones!$AQ:$AQ)</f>
        <v>#VALUE!</v>
      </c>
      <c r="ADO5" t="e">
        <f>+SUMIF([1]Cartera!$R:$R,$A5&amp;"_"&amp;ADO$11,[1]Cartera!$I:$I)+SUMIF([1]Futuros!$AD:$AD,$A5&amp;"_"&amp;ADO$11,[1]Futuros!$AK:$AK)+SUMIF([1]Opciones!$AF:$AF,$A5&amp;"_"&amp;ADO$11,[1]Opciones!$AQ:$AQ)</f>
        <v>#VALUE!</v>
      </c>
      <c r="ADP5" t="e">
        <f>+SUMIF([1]Cartera!$R:$R,$A5&amp;"_"&amp;ADP$11,[1]Cartera!$I:$I)+SUMIF([1]Futuros!$AD:$AD,$A5&amp;"_"&amp;ADP$11,[1]Futuros!$AK:$AK)+SUMIF([1]Opciones!$AF:$AF,$A5&amp;"_"&amp;ADP$11,[1]Opciones!$AQ:$AQ)</f>
        <v>#VALUE!</v>
      </c>
      <c r="ADQ5" t="e">
        <f>+SUMIF([1]Cartera!$R:$R,$A5&amp;"_"&amp;ADQ$11,[1]Cartera!$I:$I)+SUMIF([1]Futuros!$AD:$AD,$A5&amp;"_"&amp;ADQ$11,[1]Futuros!$AK:$AK)+SUMIF([1]Opciones!$AF:$AF,$A5&amp;"_"&amp;ADQ$11,[1]Opciones!$AQ:$AQ)</f>
        <v>#VALUE!</v>
      </c>
      <c r="ADR5" t="e">
        <f>+SUMIF([1]Cartera!$R:$R,$A5&amp;"_"&amp;ADR$11,[1]Cartera!$I:$I)+SUMIF([1]Futuros!$AD:$AD,$A5&amp;"_"&amp;ADR$11,[1]Futuros!$AK:$AK)+SUMIF([1]Opciones!$AF:$AF,$A5&amp;"_"&amp;ADR$11,[1]Opciones!$AQ:$AQ)</f>
        <v>#VALUE!</v>
      </c>
      <c r="ADS5" t="e">
        <f>+SUMIF([1]Cartera!$R:$R,$A5&amp;"_"&amp;ADS$11,[1]Cartera!$I:$I)+SUMIF([1]Futuros!$AD:$AD,$A5&amp;"_"&amp;ADS$11,[1]Futuros!$AK:$AK)+SUMIF([1]Opciones!$AF:$AF,$A5&amp;"_"&amp;ADS$11,[1]Opciones!$AQ:$AQ)</f>
        <v>#VALUE!</v>
      </c>
      <c r="ADT5" t="e">
        <f>+SUMIF([1]Cartera!$R:$R,$A5&amp;"_"&amp;ADT$11,[1]Cartera!$I:$I)+SUMIF([1]Futuros!$AD:$AD,$A5&amp;"_"&amp;ADT$11,[1]Futuros!$AK:$AK)+SUMIF([1]Opciones!$AF:$AF,$A5&amp;"_"&amp;ADT$11,[1]Opciones!$AQ:$AQ)</f>
        <v>#VALUE!</v>
      </c>
      <c r="ADU5" t="e">
        <f>+SUMIF([1]Cartera!$R:$R,$A5&amp;"_"&amp;ADU$11,[1]Cartera!$I:$I)+SUMIF([1]Futuros!$AD:$AD,$A5&amp;"_"&amp;ADU$11,[1]Futuros!$AK:$AK)+SUMIF([1]Opciones!$AF:$AF,$A5&amp;"_"&amp;ADU$11,[1]Opciones!$AQ:$AQ)</f>
        <v>#VALUE!</v>
      </c>
      <c r="ADV5" t="e">
        <f>+SUMIF([1]Cartera!$R:$R,$A5&amp;"_"&amp;ADV$11,[1]Cartera!$I:$I)+SUMIF([1]Futuros!$AD:$AD,$A5&amp;"_"&amp;ADV$11,[1]Futuros!$AK:$AK)+SUMIF([1]Opciones!$AF:$AF,$A5&amp;"_"&amp;ADV$11,[1]Opciones!$AQ:$AQ)</f>
        <v>#VALUE!</v>
      </c>
      <c r="ADW5" t="e">
        <f>+SUMIF([1]Cartera!$R:$R,$A5&amp;"_"&amp;ADW$11,[1]Cartera!$I:$I)+SUMIF([1]Futuros!$AD:$AD,$A5&amp;"_"&amp;ADW$11,[1]Futuros!$AK:$AK)+SUMIF([1]Opciones!$AF:$AF,$A5&amp;"_"&amp;ADW$11,[1]Opciones!$AQ:$AQ)</f>
        <v>#VALUE!</v>
      </c>
      <c r="ADX5" t="e">
        <f>+SUMIF([1]Cartera!$R:$R,$A5&amp;"_"&amp;ADX$11,[1]Cartera!$I:$I)+SUMIF([1]Futuros!$AD:$AD,$A5&amp;"_"&amp;ADX$11,[1]Futuros!$AK:$AK)+SUMIF([1]Opciones!$AF:$AF,$A5&amp;"_"&amp;ADX$11,[1]Opciones!$AQ:$AQ)</f>
        <v>#VALUE!</v>
      </c>
      <c r="ADY5" t="e">
        <f>+SUMIF([1]Cartera!$R:$R,$A5&amp;"_"&amp;ADY$11,[1]Cartera!$I:$I)+SUMIF([1]Futuros!$AD:$AD,$A5&amp;"_"&amp;ADY$11,[1]Futuros!$AK:$AK)+SUMIF([1]Opciones!$AF:$AF,$A5&amp;"_"&amp;ADY$11,[1]Opciones!$AQ:$AQ)</f>
        <v>#VALUE!</v>
      </c>
      <c r="ADZ5" t="e">
        <f>+SUMIF([1]Cartera!$R:$R,$A5&amp;"_"&amp;ADZ$11,[1]Cartera!$I:$I)+SUMIF([1]Futuros!$AD:$AD,$A5&amp;"_"&amp;ADZ$11,[1]Futuros!$AK:$AK)+SUMIF([1]Opciones!$AF:$AF,$A5&amp;"_"&amp;ADZ$11,[1]Opciones!$AQ:$AQ)</f>
        <v>#VALUE!</v>
      </c>
      <c r="AEA5" t="e">
        <f>+SUMIF([1]Cartera!$R:$R,$A5&amp;"_"&amp;AEA$11,[1]Cartera!$I:$I)+SUMIF([1]Futuros!$AD:$AD,$A5&amp;"_"&amp;AEA$11,[1]Futuros!$AK:$AK)+SUMIF([1]Opciones!$AF:$AF,$A5&amp;"_"&amp;AEA$11,[1]Opciones!$AQ:$AQ)</f>
        <v>#VALUE!</v>
      </c>
      <c r="AEB5" t="e">
        <f>+SUMIF([1]Cartera!$R:$R,$A5&amp;"_"&amp;AEB$11,[1]Cartera!$I:$I)+SUMIF([1]Futuros!$AD:$AD,$A5&amp;"_"&amp;AEB$11,[1]Futuros!$AK:$AK)+SUMIF([1]Opciones!$AF:$AF,$A5&amp;"_"&amp;AEB$11,[1]Opciones!$AQ:$AQ)</f>
        <v>#VALUE!</v>
      </c>
      <c r="AEC5" t="e">
        <f>+SUMIF([1]Cartera!$R:$R,$A5&amp;"_"&amp;AEC$11,[1]Cartera!$I:$I)+SUMIF([1]Futuros!$AD:$AD,$A5&amp;"_"&amp;AEC$11,[1]Futuros!$AK:$AK)+SUMIF([1]Opciones!$AF:$AF,$A5&amp;"_"&amp;AEC$11,[1]Opciones!$AQ:$AQ)</f>
        <v>#VALUE!</v>
      </c>
      <c r="AED5" t="e">
        <f>+SUMIF([1]Cartera!$R:$R,$A5&amp;"_"&amp;AED$11,[1]Cartera!$I:$I)+SUMIF([1]Futuros!$AD:$AD,$A5&amp;"_"&amp;AED$11,[1]Futuros!$AK:$AK)+SUMIF([1]Opciones!$AF:$AF,$A5&amp;"_"&amp;AED$11,[1]Opciones!$AQ:$AQ)</f>
        <v>#VALUE!</v>
      </c>
      <c r="AEE5" t="e">
        <f>+SUMIF([1]Cartera!$R:$R,$A5&amp;"_"&amp;AEE$11,[1]Cartera!$I:$I)+SUMIF([1]Futuros!$AD:$AD,$A5&amp;"_"&amp;AEE$11,[1]Futuros!$AK:$AK)+SUMIF([1]Opciones!$AF:$AF,$A5&amp;"_"&amp;AEE$11,[1]Opciones!$AQ:$AQ)</f>
        <v>#VALUE!</v>
      </c>
      <c r="AEF5" t="e">
        <f>+SUMIF([1]Cartera!$R:$R,$A5&amp;"_"&amp;AEF$11,[1]Cartera!$I:$I)+SUMIF([1]Futuros!$AD:$AD,$A5&amp;"_"&amp;AEF$11,[1]Futuros!$AK:$AK)+SUMIF([1]Opciones!$AF:$AF,$A5&amp;"_"&amp;AEF$11,[1]Opciones!$AQ:$AQ)</f>
        <v>#VALUE!</v>
      </c>
      <c r="AEG5" t="e">
        <f>+SUMIF([1]Cartera!$R:$R,$A5&amp;"_"&amp;AEG$11,[1]Cartera!$I:$I)+SUMIF([1]Futuros!$AD:$AD,$A5&amp;"_"&amp;AEG$11,[1]Futuros!$AK:$AK)+SUMIF([1]Opciones!$AF:$AF,$A5&amp;"_"&amp;AEG$11,[1]Opciones!$AQ:$AQ)</f>
        <v>#VALUE!</v>
      </c>
      <c r="AEH5" t="e">
        <f>+SUMIF([1]Cartera!$R:$R,$A5&amp;"_"&amp;AEH$11,[1]Cartera!$I:$I)+SUMIF([1]Futuros!$AD:$AD,$A5&amp;"_"&amp;AEH$11,[1]Futuros!$AK:$AK)+SUMIF([1]Opciones!$AF:$AF,$A5&amp;"_"&amp;AEH$11,[1]Opciones!$AQ:$AQ)</f>
        <v>#VALUE!</v>
      </c>
      <c r="AEI5" t="e">
        <f>+SUMIF([1]Cartera!$R:$R,$A5&amp;"_"&amp;AEI$11,[1]Cartera!$I:$I)+SUMIF([1]Futuros!$AD:$AD,$A5&amp;"_"&amp;AEI$11,[1]Futuros!$AK:$AK)+SUMIF([1]Opciones!$AF:$AF,$A5&amp;"_"&amp;AEI$11,[1]Opciones!$AQ:$AQ)</f>
        <v>#VALUE!</v>
      </c>
      <c r="AEJ5" t="e">
        <f>+SUMIF([1]Cartera!$R:$R,$A5&amp;"_"&amp;AEJ$11,[1]Cartera!$I:$I)+SUMIF([1]Futuros!$AD:$AD,$A5&amp;"_"&amp;AEJ$11,[1]Futuros!$AK:$AK)+SUMIF([1]Opciones!$AF:$AF,$A5&amp;"_"&amp;AEJ$11,[1]Opciones!$AQ:$AQ)</f>
        <v>#VALUE!</v>
      </c>
      <c r="AEK5" t="e">
        <f>+SUMIF([1]Cartera!$R:$R,$A5&amp;"_"&amp;AEK$11,[1]Cartera!$I:$I)+SUMIF([1]Futuros!$AD:$AD,$A5&amp;"_"&amp;AEK$11,[1]Futuros!$AK:$AK)+SUMIF([1]Opciones!$AF:$AF,$A5&amp;"_"&amp;AEK$11,[1]Opciones!$AQ:$AQ)</f>
        <v>#VALUE!</v>
      </c>
      <c r="AEL5" t="e">
        <f>+SUMIF([1]Cartera!$R:$R,$A5&amp;"_"&amp;AEL$11,[1]Cartera!$I:$I)+SUMIF([1]Futuros!$AD:$AD,$A5&amp;"_"&amp;AEL$11,[1]Futuros!$AK:$AK)+SUMIF([1]Opciones!$AF:$AF,$A5&amp;"_"&amp;AEL$11,[1]Opciones!$AQ:$AQ)</f>
        <v>#VALUE!</v>
      </c>
      <c r="AEM5" t="e">
        <f>+SUMIF([1]Cartera!$R:$R,$A5&amp;"_"&amp;AEM$11,[1]Cartera!$I:$I)+SUMIF([1]Futuros!$AD:$AD,$A5&amp;"_"&amp;AEM$11,[1]Futuros!$AK:$AK)+SUMIF([1]Opciones!$AF:$AF,$A5&amp;"_"&amp;AEM$11,[1]Opciones!$AQ:$AQ)</f>
        <v>#VALUE!</v>
      </c>
      <c r="AEN5" t="e">
        <f>+SUMIF([1]Cartera!$R:$R,$A5&amp;"_"&amp;AEN$11,[1]Cartera!$I:$I)+SUMIF([1]Futuros!$AD:$AD,$A5&amp;"_"&amp;AEN$11,[1]Futuros!$AK:$AK)+SUMIF([1]Opciones!$AF:$AF,$A5&amp;"_"&amp;AEN$11,[1]Opciones!$AQ:$AQ)</f>
        <v>#VALUE!</v>
      </c>
      <c r="AEO5" t="e">
        <f>+SUMIF([1]Cartera!$R:$R,$A5&amp;"_"&amp;AEO$11,[1]Cartera!$I:$I)+SUMIF([1]Futuros!$AD:$AD,$A5&amp;"_"&amp;AEO$11,[1]Futuros!$AK:$AK)+SUMIF([1]Opciones!$AF:$AF,$A5&amp;"_"&amp;AEO$11,[1]Opciones!$AQ:$AQ)</f>
        <v>#VALUE!</v>
      </c>
      <c r="AEP5" t="e">
        <f>+SUMIF([1]Cartera!$R:$R,$A5&amp;"_"&amp;AEP$11,[1]Cartera!$I:$I)+SUMIF([1]Futuros!$AD:$AD,$A5&amp;"_"&amp;AEP$11,[1]Futuros!$AK:$AK)+SUMIF([1]Opciones!$AF:$AF,$A5&amp;"_"&amp;AEP$11,[1]Opciones!$AQ:$AQ)</f>
        <v>#VALUE!</v>
      </c>
      <c r="AEQ5" t="e">
        <f>+SUMIF([1]Cartera!$R:$R,$A5&amp;"_"&amp;AEQ$11,[1]Cartera!$I:$I)+SUMIF([1]Futuros!$AD:$AD,$A5&amp;"_"&amp;AEQ$11,[1]Futuros!$AK:$AK)+SUMIF([1]Opciones!$AF:$AF,$A5&amp;"_"&amp;AEQ$11,[1]Opciones!$AQ:$AQ)</f>
        <v>#VALUE!</v>
      </c>
      <c r="AER5" t="e">
        <f>+SUMIF([1]Cartera!$R:$R,$A5&amp;"_"&amp;AER$11,[1]Cartera!$I:$I)+SUMIF([1]Futuros!$AD:$AD,$A5&amp;"_"&amp;AER$11,[1]Futuros!$AK:$AK)+SUMIF([1]Opciones!$AF:$AF,$A5&amp;"_"&amp;AER$11,[1]Opciones!$AQ:$AQ)</f>
        <v>#VALUE!</v>
      </c>
      <c r="AES5" t="e">
        <f>+SUMIF([1]Cartera!$R:$R,$A5&amp;"_"&amp;AES$11,[1]Cartera!$I:$I)+SUMIF([1]Futuros!$AD:$AD,$A5&amp;"_"&amp;AES$11,[1]Futuros!$AK:$AK)+SUMIF([1]Opciones!$AF:$AF,$A5&amp;"_"&amp;AES$11,[1]Opciones!$AQ:$AQ)</f>
        <v>#VALUE!</v>
      </c>
      <c r="AET5" t="e">
        <f>+SUMIF([1]Cartera!$R:$R,$A5&amp;"_"&amp;AET$11,[1]Cartera!$I:$I)+SUMIF([1]Futuros!$AD:$AD,$A5&amp;"_"&amp;AET$11,[1]Futuros!$AK:$AK)+SUMIF([1]Opciones!$AF:$AF,$A5&amp;"_"&amp;AET$11,[1]Opciones!$AQ:$AQ)</f>
        <v>#VALUE!</v>
      </c>
      <c r="AEU5" t="e">
        <f>+SUMIF([1]Cartera!$R:$R,$A5&amp;"_"&amp;AEU$11,[1]Cartera!$I:$I)+SUMIF([1]Futuros!$AD:$AD,$A5&amp;"_"&amp;AEU$11,[1]Futuros!$AK:$AK)+SUMIF([1]Opciones!$AF:$AF,$A5&amp;"_"&amp;AEU$11,[1]Opciones!$AQ:$AQ)</f>
        <v>#VALUE!</v>
      </c>
      <c r="AEV5" t="e">
        <f>+SUMIF([1]Cartera!$R:$R,$A5&amp;"_"&amp;AEV$11,[1]Cartera!$I:$I)+SUMIF([1]Futuros!$AD:$AD,$A5&amp;"_"&amp;AEV$11,[1]Futuros!$AK:$AK)+SUMIF([1]Opciones!$AF:$AF,$A5&amp;"_"&amp;AEV$11,[1]Opciones!$AQ:$AQ)</f>
        <v>#VALUE!</v>
      </c>
      <c r="AEW5" t="e">
        <f>+SUMIF([1]Cartera!$R:$R,$A5&amp;"_"&amp;AEW$11,[1]Cartera!$I:$I)+SUMIF([1]Futuros!$AD:$AD,$A5&amp;"_"&amp;AEW$11,[1]Futuros!$AK:$AK)+SUMIF([1]Opciones!$AF:$AF,$A5&amp;"_"&amp;AEW$11,[1]Opciones!$AQ:$AQ)</f>
        <v>#VALUE!</v>
      </c>
      <c r="AEX5" t="e">
        <f>+SUMIF([1]Cartera!$R:$R,$A5&amp;"_"&amp;AEX$11,[1]Cartera!$I:$I)+SUMIF([1]Futuros!$AD:$AD,$A5&amp;"_"&amp;AEX$11,[1]Futuros!$AK:$AK)+SUMIF([1]Opciones!$AF:$AF,$A5&amp;"_"&amp;AEX$11,[1]Opciones!$AQ:$AQ)</f>
        <v>#VALUE!</v>
      </c>
      <c r="AEY5" t="e">
        <f>+SUMIF([1]Cartera!$R:$R,$A5&amp;"_"&amp;AEY$11,[1]Cartera!$I:$I)+SUMIF([1]Futuros!$AD:$AD,$A5&amp;"_"&amp;AEY$11,[1]Futuros!$AK:$AK)+SUMIF([1]Opciones!$AF:$AF,$A5&amp;"_"&amp;AEY$11,[1]Opciones!$AQ:$AQ)</f>
        <v>#VALUE!</v>
      </c>
      <c r="AEZ5" t="e">
        <f>+SUMIF([1]Cartera!$R:$R,$A5&amp;"_"&amp;AEZ$11,[1]Cartera!$I:$I)+SUMIF([1]Futuros!$AD:$AD,$A5&amp;"_"&amp;AEZ$11,[1]Futuros!$AK:$AK)+SUMIF([1]Opciones!$AF:$AF,$A5&amp;"_"&amp;AEZ$11,[1]Opciones!$AQ:$AQ)</f>
        <v>#VALUE!</v>
      </c>
      <c r="AFA5" t="e">
        <f>+SUMIF([1]Cartera!$R:$R,$A5&amp;"_"&amp;AFA$11,[1]Cartera!$I:$I)+SUMIF([1]Futuros!$AD:$AD,$A5&amp;"_"&amp;AFA$11,[1]Futuros!$AK:$AK)+SUMIF([1]Opciones!$AF:$AF,$A5&amp;"_"&amp;AFA$11,[1]Opciones!$AQ:$AQ)</f>
        <v>#VALUE!</v>
      </c>
      <c r="AFB5" t="e">
        <f>+SUMIF([1]Cartera!$R:$R,$A5&amp;"_"&amp;AFB$11,[1]Cartera!$I:$I)+SUMIF([1]Futuros!$AD:$AD,$A5&amp;"_"&amp;AFB$11,[1]Futuros!$AK:$AK)+SUMIF([1]Opciones!$AF:$AF,$A5&amp;"_"&amp;AFB$11,[1]Opciones!$AQ:$AQ)</f>
        <v>#VALUE!</v>
      </c>
      <c r="AFC5" t="e">
        <f>+SUMIF([1]Cartera!$R:$R,$A5&amp;"_"&amp;AFC$11,[1]Cartera!$I:$I)+SUMIF([1]Futuros!$AD:$AD,$A5&amp;"_"&amp;AFC$11,[1]Futuros!$AK:$AK)+SUMIF([1]Opciones!$AF:$AF,$A5&amp;"_"&amp;AFC$11,[1]Opciones!$AQ:$AQ)</f>
        <v>#VALUE!</v>
      </c>
      <c r="AFD5" t="e">
        <f>+SUMIF([1]Cartera!$R:$R,$A5&amp;"_"&amp;AFD$11,[1]Cartera!$I:$I)+SUMIF([1]Futuros!$AD:$AD,$A5&amp;"_"&amp;AFD$11,[1]Futuros!$AK:$AK)+SUMIF([1]Opciones!$AF:$AF,$A5&amp;"_"&amp;AFD$11,[1]Opciones!$AQ:$AQ)</f>
        <v>#VALUE!</v>
      </c>
      <c r="AFE5" t="e">
        <f>+SUMIF([1]Cartera!$R:$R,$A5&amp;"_"&amp;AFE$11,[1]Cartera!$I:$I)+SUMIF([1]Futuros!$AD:$AD,$A5&amp;"_"&amp;AFE$11,[1]Futuros!$AK:$AK)+SUMIF([1]Opciones!$AF:$AF,$A5&amp;"_"&amp;AFE$11,[1]Opciones!$AQ:$AQ)</f>
        <v>#VALUE!</v>
      </c>
      <c r="AFF5" t="e">
        <f>+SUMIF([1]Cartera!$R:$R,$A5&amp;"_"&amp;AFF$11,[1]Cartera!$I:$I)+SUMIF([1]Futuros!$AD:$AD,$A5&amp;"_"&amp;AFF$11,[1]Futuros!$AK:$AK)+SUMIF([1]Opciones!$AF:$AF,$A5&amp;"_"&amp;AFF$11,[1]Opciones!$AQ:$AQ)</f>
        <v>#VALUE!</v>
      </c>
      <c r="AFG5" t="e">
        <f>+SUMIF([1]Cartera!$R:$R,$A5&amp;"_"&amp;AFG$11,[1]Cartera!$I:$I)+SUMIF([1]Futuros!$AD:$AD,$A5&amp;"_"&amp;AFG$11,[1]Futuros!$AK:$AK)+SUMIF([1]Opciones!$AF:$AF,$A5&amp;"_"&amp;AFG$11,[1]Opciones!$AQ:$AQ)</f>
        <v>#VALUE!</v>
      </c>
      <c r="AFH5" t="e">
        <f>+SUMIF([1]Cartera!$R:$R,$A5&amp;"_"&amp;AFH$11,[1]Cartera!$I:$I)+SUMIF([1]Futuros!$AD:$AD,$A5&amp;"_"&amp;AFH$11,[1]Futuros!$AK:$AK)+SUMIF([1]Opciones!$AF:$AF,$A5&amp;"_"&amp;AFH$11,[1]Opciones!$AQ:$AQ)</f>
        <v>#VALUE!</v>
      </c>
      <c r="AFI5" t="e">
        <f>+SUMIF([1]Cartera!$R:$R,$A5&amp;"_"&amp;AFI$11,[1]Cartera!$I:$I)+SUMIF([1]Futuros!$AD:$AD,$A5&amp;"_"&amp;AFI$11,[1]Futuros!$AK:$AK)+SUMIF([1]Opciones!$AF:$AF,$A5&amp;"_"&amp;AFI$11,[1]Opciones!$AQ:$AQ)</f>
        <v>#VALUE!</v>
      </c>
      <c r="AFJ5" t="e">
        <f>+SUMIF([1]Cartera!$R:$R,$A5&amp;"_"&amp;AFJ$11,[1]Cartera!$I:$I)+SUMIF([1]Futuros!$AD:$AD,$A5&amp;"_"&amp;AFJ$11,[1]Futuros!$AK:$AK)+SUMIF([1]Opciones!$AF:$AF,$A5&amp;"_"&amp;AFJ$11,[1]Opciones!$AQ:$AQ)</f>
        <v>#VALUE!</v>
      </c>
      <c r="AFK5" t="e">
        <f>+SUMIF([1]Cartera!$R:$R,$A5&amp;"_"&amp;AFK$11,[1]Cartera!$I:$I)+SUMIF([1]Futuros!$AD:$AD,$A5&amp;"_"&amp;AFK$11,[1]Futuros!$AK:$AK)+SUMIF([1]Opciones!$AF:$AF,$A5&amp;"_"&amp;AFK$11,[1]Opciones!$AQ:$AQ)</f>
        <v>#VALUE!</v>
      </c>
      <c r="AFL5" t="e">
        <f>+SUMIF([1]Cartera!$R:$R,$A5&amp;"_"&amp;AFL$11,[1]Cartera!$I:$I)+SUMIF([1]Futuros!$AD:$AD,$A5&amp;"_"&amp;AFL$11,[1]Futuros!$AK:$AK)+SUMIF([1]Opciones!$AF:$AF,$A5&amp;"_"&amp;AFL$11,[1]Opciones!$AQ:$AQ)</f>
        <v>#VALUE!</v>
      </c>
      <c r="AFM5" t="e">
        <f>+SUMIF([1]Cartera!$R:$R,$A5&amp;"_"&amp;AFM$11,[1]Cartera!$I:$I)+SUMIF([1]Futuros!$AD:$AD,$A5&amp;"_"&amp;AFM$11,[1]Futuros!$AK:$AK)+SUMIF([1]Opciones!$AF:$AF,$A5&amp;"_"&amp;AFM$11,[1]Opciones!$AQ:$AQ)</f>
        <v>#VALUE!</v>
      </c>
      <c r="AFN5" t="e">
        <f>+SUMIF([1]Cartera!$R:$R,$A5&amp;"_"&amp;AFN$11,[1]Cartera!$I:$I)+SUMIF([1]Futuros!$AD:$AD,$A5&amp;"_"&amp;AFN$11,[1]Futuros!$AK:$AK)+SUMIF([1]Opciones!$AF:$AF,$A5&amp;"_"&amp;AFN$11,[1]Opciones!$AQ:$AQ)</f>
        <v>#VALUE!</v>
      </c>
      <c r="AFO5" t="e">
        <f>+SUMIF([1]Cartera!$R:$R,$A5&amp;"_"&amp;AFO$11,[1]Cartera!$I:$I)+SUMIF([1]Futuros!$AD:$AD,$A5&amp;"_"&amp;AFO$11,[1]Futuros!$AK:$AK)+SUMIF([1]Opciones!$AF:$AF,$A5&amp;"_"&amp;AFO$11,[1]Opciones!$AQ:$AQ)</f>
        <v>#VALUE!</v>
      </c>
      <c r="AFP5" t="e">
        <f>+SUMIF([1]Cartera!$R:$R,$A5&amp;"_"&amp;AFP$11,[1]Cartera!$I:$I)+SUMIF([1]Futuros!$AD:$AD,$A5&amp;"_"&amp;AFP$11,[1]Futuros!$AK:$AK)+SUMIF([1]Opciones!$AF:$AF,$A5&amp;"_"&amp;AFP$11,[1]Opciones!$AQ:$AQ)</f>
        <v>#VALUE!</v>
      </c>
      <c r="AFQ5" t="e">
        <f>+SUMIF([1]Cartera!$R:$R,$A5&amp;"_"&amp;AFQ$11,[1]Cartera!$I:$I)+SUMIF([1]Futuros!$AD:$AD,$A5&amp;"_"&amp;AFQ$11,[1]Futuros!$AK:$AK)+SUMIF([1]Opciones!$AF:$AF,$A5&amp;"_"&amp;AFQ$11,[1]Opciones!$AQ:$AQ)</f>
        <v>#VALUE!</v>
      </c>
      <c r="AFR5" t="e">
        <f>+SUMIF([1]Cartera!$R:$R,$A5&amp;"_"&amp;AFR$11,[1]Cartera!$I:$I)+SUMIF([1]Futuros!$AD:$AD,$A5&amp;"_"&amp;AFR$11,[1]Futuros!$AK:$AK)+SUMIF([1]Opciones!$AF:$AF,$A5&amp;"_"&amp;AFR$11,[1]Opciones!$AQ:$AQ)</f>
        <v>#VALUE!</v>
      </c>
      <c r="AFS5" t="e">
        <f>+SUMIF([1]Cartera!$R:$R,$A5&amp;"_"&amp;AFS$11,[1]Cartera!$I:$I)+SUMIF([1]Futuros!$AD:$AD,$A5&amp;"_"&amp;AFS$11,[1]Futuros!$AK:$AK)+SUMIF([1]Opciones!$AF:$AF,$A5&amp;"_"&amp;AFS$11,[1]Opciones!$AQ:$AQ)</f>
        <v>#VALUE!</v>
      </c>
      <c r="AFT5" t="e">
        <f>+SUMIF([1]Cartera!$R:$R,$A5&amp;"_"&amp;AFT$11,[1]Cartera!$I:$I)+SUMIF([1]Futuros!$AD:$AD,$A5&amp;"_"&amp;AFT$11,[1]Futuros!$AK:$AK)+SUMIF([1]Opciones!$AF:$AF,$A5&amp;"_"&amp;AFT$11,[1]Opciones!$AQ:$AQ)</f>
        <v>#VALUE!</v>
      </c>
      <c r="AFU5" t="e">
        <f>+SUMIF([1]Cartera!$R:$R,$A5&amp;"_"&amp;AFU$11,[1]Cartera!$I:$I)+SUMIF([1]Futuros!$AD:$AD,$A5&amp;"_"&amp;AFU$11,[1]Futuros!$AK:$AK)+SUMIF([1]Opciones!$AF:$AF,$A5&amp;"_"&amp;AFU$11,[1]Opciones!$AQ:$AQ)</f>
        <v>#VALUE!</v>
      </c>
      <c r="AFV5" t="e">
        <f>+SUMIF([1]Cartera!$R:$R,$A5&amp;"_"&amp;AFV$11,[1]Cartera!$I:$I)+SUMIF([1]Futuros!$AD:$AD,$A5&amp;"_"&amp;AFV$11,[1]Futuros!$AK:$AK)+SUMIF([1]Opciones!$AF:$AF,$A5&amp;"_"&amp;AFV$11,[1]Opciones!$AQ:$AQ)</f>
        <v>#VALUE!</v>
      </c>
      <c r="AFW5" t="e">
        <f>+SUMIF([1]Cartera!$R:$R,$A5&amp;"_"&amp;AFW$11,[1]Cartera!$I:$I)+SUMIF([1]Futuros!$AD:$AD,$A5&amp;"_"&amp;AFW$11,[1]Futuros!$AK:$AK)+SUMIF([1]Opciones!$AF:$AF,$A5&amp;"_"&amp;AFW$11,[1]Opciones!$AQ:$AQ)</f>
        <v>#VALUE!</v>
      </c>
      <c r="AFX5" t="e">
        <f>+SUMIF([1]Cartera!$R:$R,$A5&amp;"_"&amp;AFX$11,[1]Cartera!$I:$I)+SUMIF([1]Futuros!$AD:$AD,$A5&amp;"_"&amp;AFX$11,[1]Futuros!$AK:$AK)+SUMIF([1]Opciones!$AF:$AF,$A5&amp;"_"&amp;AFX$11,[1]Opciones!$AQ:$AQ)</f>
        <v>#VALUE!</v>
      </c>
      <c r="AFY5" t="e">
        <f>+SUMIF([1]Cartera!$R:$R,$A5&amp;"_"&amp;AFY$11,[1]Cartera!$I:$I)+SUMIF([1]Futuros!$AD:$AD,$A5&amp;"_"&amp;AFY$11,[1]Futuros!$AK:$AK)+SUMIF([1]Opciones!$AF:$AF,$A5&amp;"_"&amp;AFY$11,[1]Opciones!$AQ:$AQ)</f>
        <v>#VALUE!</v>
      </c>
      <c r="AFZ5" t="e">
        <f>+SUMIF([1]Cartera!$R:$R,$A5&amp;"_"&amp;AFZ$11,[1]Cartera!$I:$I)+SUMIF([1]Futuros!$AD:$AD,$A5&amp;"_"&amp;AFZ$11,[1]Futuros!$AK:$AK)+SUMIF([1]Opciones!$AF:$AF,$A5&amp;"_"&amp;AFZ$11,[1]Opciones!$AQ:$AQ)</f>
        <v>#VALUE!</v>
      </c>
      <c r="AGA5" t="e">
        <f>+SUMIF([1]Cartera!$R:$R,$A5&amp;"_"&amp;AGA$11,[1]Cartera!$I:$I)+SUMIF([1]Futuros!$AD:$AD,$A5&amp;"_"&amp;AGA$11,[1]Futuros!$AK:$AK)+SUMIF([1]Opciones!$AF:$AF,$A5&amp;"_"&amp;AGA$11,[1]Opciones!$AQ:$AQ)</f>
        <v>#VALUE!</v>
      </c>
      <c r="AGB5" t="e">
        <f>+SUMIF([1]Cartera!$R:$R,$A5&amp;"_"&amp;AGB$11,[1]Cartera!$I:$I)+SUMIF([1]Futuros!$AD:$AD,$A5&amp;"_"&amp;AGB$11,[1]Futuros!$AK:$AK)+SUMIF([1]Opciones!$AF:$AF,$A5&amp;"_"&amp;AGB$11,[1]Opciones!$AQ:$AQ)</f>
        <v>#VALUE!</v>
      </c>
      <c r="AGC5" t="e">
        <f>+SUMIF([1]Cartera!$R:$R,$A5&amp;"_"&amp;AGC$11,[1]Cartera!$I:$I)+SUMIF([1]Futuros!$AD:$AD,$A5&amp;"_"&amp;AGC$11,[1]Futuros!$AK:$AK)+SUMIF([1]Opciones!$AF:$AF,$A5&amp;"_"&amp;AGC$11,[1]Opciones!$AQ:$AQ)</f>
        <v>#VALUE!</v>
      </c>
      <c r="AGD5" t="e">
        <f>+SUMIF([1]Cartera!$R:$R,$A5&amp;"_"&amp;AGD$11,[1]Cartera!$I:$I)+SUMIF([1]Futuros!$AD:$AD,$A5&amp;"_"&amp;AGD$11,[1]Futuros!$AK:$AK)+SUMIF([1]Opciones!$AF:$AF,$A5&amp;"_"&amp;AGD$11,[1]Opciones!$AQ:$AQ)</f>
        <v>#VALUE!</v>
      </c>
      <c r="AGE5" t="e">
        <f>+SUMIF([1]Cartera!$R:$R,$A5&amp;"_"&amp;AGE$11,[1]Cartera!$I:$I)+SUMIF([1]Futuros!$AD:$AD,$A5&amp;"_"&amp;AGE$11,[1]Futuros!$AK:$AK)+SUMIF([1]Opciones!$AF:$AF,$A5&amp;"_"&amp;AGE$11,[1]Opciones!$AQ:$AQ)</f>
        <v>#VALUE!</v>
      </c>
      <c r="AGF5" t="e">
        <f>+SUMIF([1]Cartera!$R:$R,$A5&amp;"_"&amp;AGF$11,[1]Cartera!$I:$I)+SUMIF([1]Futuros!$AD:$AD,$A5&amp;"_"&amp;AGF$11,[1]Futuros!$AK:$AK)+SUMIF([1]Opciones!$AF:$AF,$A5&amp;"_"&amp;AGF$11,[1]Opciones!$AQ:$AQ)</f>
        <v>#VALUE!</v>
      </c>
      <c r="AGG5" t="e">
        <f>+SUMIF([1]Cartera!$R:$R,$A5&amp;"_"&amp;AGG$11,[1]Cartera!$I:$I)+SUMIF([1]Futuros!$AD:$AD,$A5&amp;"_"&amp;AGG$11,[1]Futuros!$AK:$AK)+SUMIF([1]Opciones!$AF:$AF,$A5&amp;"_"&amp;AGG$11,[1]Opciones!$AQ:$AQ)</f>
        <v>#VALUE!</v>
      </c>
      <c r="AGH5" t="e">
        <f>+SUMIF([1]Cartera!$R:$R,$A5&amp;"_"&amp;AGH$11,[1]Cartera!$I:$I)+SUMIF([1]Futuros!$AD:$AD,$A5&amp;"_"&amp;AGH$11,[1]Futuros!$AK:$AK)+SUMIF([1]Opciones!$AF:$AF,$A5&amp;"_"&amp;AGH$11,[1]Opciones!$AQ:$AQ)</f>
        <v>#VALUE!</v>
      </c>
      <c r="AGI5" t="e">
        <f>+SUMIF([1]Cartera!$R:$R,$A5&amp;"_"&amp;AGI$11,[1]Cartera!$I:$I)+SUMIF([1]Futuros!$AD:$AD,$A5&amp;"_"&amp;AGI$11,[1]Futuros!$AK:$AK)+SUMIF([1]Opciones!$AF:$AF,$A5&amp;"_"&amp;AGI$11,[1]Opciones!$AQ:$AQ)</f>
        <v>#VALUE!</v>
      </c>
      <c r="AGJ5" t="e">
        <f>+SUMIF([1]Cartera!$R:$R,$A5&amp;"_"&amp;AGJ$11,[1]Cartera!$I:$I)+SUMIF([1]Futuros!$AD:$AD,$A5&amp;"_"&amp;AGJ$11,[1]Futuros!$AK:$AK)+SUMIF([1]Opciones!$AF:$AF,$A5&amp;"_"&amp;AGJ$11,[1]Opciones!$AQ:$AQ)</f>
        <v>#VALUE!</v>
      </c>
      <c r="AGK5" t="e">
        <f>+SUMIF([1]Cartera!$R:$R,$A5&amp;"_"&amp;AGK$11,[1]Cartera!$I:$I)+SUMIF([1]Futuros!$AD:$AD,$A5&amp;"_"&amp;AGK$11,[1]Futuros!$AK:$AK)+SUMIF([1]Opciones!$AF:$AF,$A5&amp;"_"&amp;AGK$11,[1]Opciones!$AQ:$AQ)</f>
        <v>#VALUE!</v>
      </c>
      <c r="AGL5" t="e">
        <f>+SUMIF([1]Cartera!$R:$R,$A5&amp;"_"&amp;AGL$11,[1]Cartera!$I:$I)+SUMIF([1]Futuros!$AD:$AD,$A5&amp;"_"&amp;AGL$11,[1]Futuros!$AK:$AK)+SUMIF([1]Opciones!$AF:$AF,$A5&amp;"_"&amp;AGL$11,[1]Opciones!$AQ:$AQ)</f>
        <v>#VALUE!</v>
      </c>
      <c r="AGM5" t="e">
        <f>+SUMIF([1]Cartera!$R:$R,$A5&amp;"_"&amp;AGM$11,[1]Cartera!$I:$I)+SUMIF([1]Futuros!$AD:$AD,$A5&amp;"_"&amp;AGM$11,[1]Futuros!$AK:$AK)+SUMIF([1]Opciones!$AF:$AF,$A5&amp;"_"&amp;AGM$11,[1]Opciones!$AQ:$AQ)</f>
        <v>#VALUE!</v>
      </c>
      <c r="AGN5" t="e">
        <f>+SUMIF([1]Cartera!$R:$R,$A5&amp;"_"&amp;AGN$11,[1]Cartera!$I:$I)+SUMIF([1]Futuros!$AD:$AD,$A5&amp;"_"&amp;AGN$11,[1]Futuros!$AK:$AK)+SUMIF([1]Opciones!$AF:$AF,$A5&amp;"_"&amp;AGN$11,[1]Opciones!$AQ:$AQ)</f>
        <v>#VALUE!</v>
      </c>
      <c r="AGO5" t="e">
        <f>+SUMIF([1]Cartera!$R:$R,$A5&amp;"_"&amp;AGO$11,[1]Cartera!$I:$I)+SUMIF([1]Futuros!$AD:$AD,$A5&amp;"_"&amp;AGO$11,[1]Futuros!$AK:$AK)+SUMIF([1]Opciones!$AF:$AF,$A5&amp;"_"&amp;AGO$11,[1]Opciones!$AQ:$AQ)</f>
        <v>#VALUE!</v>
      </c>
      <c r="AGP5" t="e">
        <f>+SUMIF([1]Cartera!$R:$R,$A5&amp;"_"&amp;AGP$11,[1]Cartera!$I:$I)+SUMIF([1]Futuros!$AD:$AD,$A5&amp;"_"&amp;AGP$11,[1]Futuros!$AK:$AK)+SUMIF([1]Opciones!$AF:$AF,$A5&amp;"_"&amp;AGP$11,[1]Opciones!$AQ:$AQ)</f>
        <v>#VALUE!</v>
      </c>
      <c r="AGQ5" t="e">
        <f>+SUMIF([1]Cartera!$R:$R,$A5&amp;"_"&amp;AGQ$11,[1]Cartera!$I:$I)+SUMIF([1]Futuros!$AD:$AD,$A5&amp;"_"&amp;AGQ$11,[1]Futuros!$AK:$AK)+SUMIF([1]Opciones!$AF:$AF,$A5&amp;"_"&amp;AGQ$11,[1]Opciones!$AQ:$AQ)</f>
        <v>#VALUE!</v>
      </c>
      <c r="AGR5" t="e">
        <f>+SUMIF([1]Cartera!$R:$R,$A5&amp;"_"&amp;AGR$11,[1]Cartera!$I:$I)+SUMIF([1]Futuros!$AD:$AD,$A5&amp;"_"&amp;AGR$11,[1]Futuros!$AK:$AK)+SUMIF([1]Opciones!$AF:$AF,$A5&amp;"_"&amp;AGR$11,[1]Opciones!$AQ:$AQ)</f>
        <v>#VALUE!</v>
      </c>
      <c r="AGS5" t="e">
        <f>+SUMIF([1]Cartera!$R:$R,$A5&amp;"_"&amp;AGS$11,[1]Cartera!$I:$I)+SUMIF([1]Futuros!$AD:$AD,$A5&amp;"_"&amp;AGS$11,[1]Futuros!$AK:$AK)+SUMIF([1]Opciones!$AF:$AF,$A5&amp;"_"&amp;AGS$11,[1]Opciones!$AQ:$AQ)</f>
        <v>#VALUE!</v>
      </c>
      <c r="AGT5" t="e">
        <f>+SUMIF([1]Cartera!$R:$R,$A5&amp;"_"&amp;AGT$11,[1]Cartera!$I:$I)+SUMIF([1]Futuros!$AD:$AD,$A5&amp;"_"&amp;AGT$11,[1]Futuros!$AK:$AK)+SUMIF([1]Opciones!$AF:$AF,$A5&amp;"_"&amp;AGT$11,[1]Opciones!$AQ:$AQ)</f>
        <v>#VALUE!</v>
      </c>
      <c r="AGU5" t="e">
        <f>+SUMIF([1]Cartera!$R:$R,$A5&amp;"_"&amp;AGU$11,[1]Cartera!$I:$I)+SUMIF([1]Futuros!$AD:$AD,$A5&amp;"_"&amp;AGU$11,[1]Futuros!$AK:$AK)+SUMIF([1]Opciones!$AF:$AF,$A5&amp;"_"&amp;AGU$11,[1]Opciones!$AQ:$AQ)</f>
        <v>#VALUE!</v>
      </c>
      <c r="AGV5" t="e">
        <f>+SUMIF([1]Cartera!$R:$R,$A5&amp;"_"&amp;AGV$11,[1]Cartera!$I:$I)+SUMIF([1]Futuros!$AD:$AD,$A5&amp;"_"&amp;AGV$11,[1]Futuros!$AK:$AK)+SUMIF([1]Opciones!$AF:$AF,$A5&amp;"_"&amp;AGV$11,[1]Opciones!$AQ:$AQ)</f>
        <v>#VALUE!</v>
      </c>
      <c r="AGW5" t="e">
        <f>+SUMIF([1]Cartera!$R:$R,$A5&amp;"_"&amp;AGW$11,[1]Cartera!$I:$I)+SUMIF([1]Futuros!$AD:$AD,$A5&amp;"_"&amp;AGW$11,[1]Futuros!$AK:$AK)+SUMIF([1]Opciones!$AF:$AF,$A5&amp;"_"&amp;AGW$11,[1]Opciones!$AQ:$AQ)</f>
        <v>#VALUE!</v>
      </c>
      <c r="AGX5" t="e">
        <f>+SUMIF([1]Cartera!$R:$R,$A5&amp;"_"&amp;AGX$11,[1]Cartera!$I:$I)+SUMIF([1]Futuros!$AD:$AD,$A5&amp;"_"&amp;AGX$11,[1]Futuros!$AK:$AK)+SUMIF([1]Opciones!$AF:$AF,$A5&amp;"_"&amp;AGX$11,[1]Opciones!$AQ:$AQ)</f>
        <v>#VALUE!</v>
      </c>
      <c r="AGY5" t="e">
        <f>+SUMIF([1]Cartera!$R:$R,$A5&amp;"_"&amp;AGY$11,[1]Cartera!$I:$I)+SUMIF([1]Futuros!$AD:$AD,$A5&amp;"_"&amp;AGY$11,[1]Futuros!$AK:$AK)+SUMIF([1]Opciones!$AF:$AF,$A5&amp;"_"&amp;AGY$11,[1]Opciones!$AQ:$AQ)</f>
        <v>#VALUE!</v>
      </c>
      <c r="AGZ5" t="e">
        <f>+SUMIF([1]Cartera!$R:$R,$A5&amp;"_"&amp;AGZ$11,[1]Cartera!$I:$I)+SUMIF([1]Futuros!$AD:$AD,$A5&amp;"_"&amp;AGZ$11,[1]Futuros!$AK:$AK)+SUMIF([1]Opciones!$AF:$AF,$A5&amp;"_"&amp;AGZ$11,[1]Opciones!$AQ:$AQ)</f>
        <v>#VALUE!</v>
      </c>
      <c r="AHA5" t="e">
        <f>+SUMIF([1]Cartera!$R:$R,$A5&amp;"_"&amp;AHA$11,[1]Cartera!$I:$I)+SUMIF([1]Futuros!$AD:$AD,$A5&amp;"_"&amp;AHA$11,[1]Futuros!$AK:$AK)+SUMIF([1]Opciones!$AF:$AF,$A5&amp;"_"&amp;AHA$11,[1]Opciones!$AQ:$AQ)</f>
        <v>#VALUE!</v>
      </c>
      <c r="AHB5" t="e">
        <f>+SUMIF([1]Cartera!$R:$R,$A5&amp;"_"&amp;AHB$11,[1]Cartera!$I:$I)+SUMIF([1]Futuros!$AD:$AD,$A5&amp;"_"&amp;AHB$11,[1]Futuros!$AK:$AK)+SUMIF([1]Opciones!$AF:$AF,$A5&amp;"_"&amp;AHB$11,[1]Opciones!$AQ:$AQ)</f>
        <v>#VALUE!</v>
      </c>
      <c r="AHC5" t="e">
        <f>+SUMIF([1]Cartera!$R:$R,$A5&amp;"_"&amp;AHC$11,[1]Cartera!$I:$I)+SUMIF([1]Futuros!$AD:$AD,$A5&amp;"_"&amp;AHC$11,[1]Futuros!$AK:$AK)+SUMIF([1]Opciones!$AF:$AF,$A5&amp;"_"&amp;AHC$11,[1]Opciones!$AQ:$AQ)</f>
        <v>#VALUE!</v>
      </c>
      <c r="AHD5" t="e">
        <f>+SUMIF([1]Cartera!$R:$R,$A5&amp;"_"&amp;AHD$11,[1]Cartera!$I:$I)+SUMIF([1]Futuros!$AD:$AD,$A5&amp;"_"&amp;AHD$11,[1]Futuros!$AK:$AK)+SUMIF([1]Opciones!$AF:$AF,$A5&amp;"_"&amp;AHD$11,[1]Opciones!$AQ:$AQ)</f>
        <v>#VALUE!</v>
      </c>
      <c r="AHE5" t="e">
        <f>+SUMIF([1]Cartera!$R:$R,$A5&amp;"_"&amp;AHE$11,[1]Cartera!$I:$I)+SUMIF([1]Futuros!$AD:$AD,$A5&amp;"_"&amp;AHE$11,[1]Futuros!$AK:$AK)+SUMIF([1]Opciones!$AF:$AF,$A5&amp;"_"&amp;AHE$11,[1]Opciones!$AQ:$AQ)</f>
        <v>#VALUE!</v>
      </c>
      <c r="AHF5" t="e">
        <f>+SUMIF([1]Cartera!$R:$R,$A5&amp;"_"&amp;AHF$11,[1]Cartera!$I:$I)+SUMIF([1]Futuros!$AD:$AD,$A5&amp;"_"&amp;AHF$11,[1]Futuros!$AK:$AK)+SUMIF([1]Opciones!$AF:$AF,$A5&amp;"_"&amp;AHF$11,[1]Opciones!$AQ:$AQ)</f>
        <v>#VALUE!</v>
      </c>
      <c r="AHG5" t="e">
        <f>+SUMIF([1]Cartera!$R:$R,$A5&amp;"_"&amp;AHG$11,[1]Cartera!$I:$I)+SUMIF([1]Futuros!$AD:$AD,$A5&amp;"_"&amp;AHG$11,[1]Futuros!$AK:$AK)+SUMIF([1]Opciones!$AF:$AF,$A5&amp;"_"&amp;AHG$11,[1]Opciones!$AQ:$AQ)</f>
        <v>#VALUE!</v>
      </c>
      <c r="AHH5" t="e">
        <f>+SUMIF([1]Cartera!$R:$R,$A5&amp;"_"&amp;AHH$11,[1]Cartera!$I:$I)+SUMIF([1]Futuros!$AD:$AD,$A5&amp;"_"&amp;AHH$11,[1]Futuros!$AK:$AK)+SUMIF([1]Opciones!$AF:$AF,$A5&amp;"_"&amp;AHH$11,[1]Opciones!$AQ:$AQ)</f>
        <v>#VALUE!</v>
      </c>
      <c r="AHI5" t="e">
        <f>+SUMIF([1]Cartera!$R:$R,$A5&amp;"_"&amp;AHI$11,[1]Cartera!$I:$I)+SUMIF([1]Futuros!$AD:$AD,$A5&amp;"_"&amp;AHI$11,[1]Futuros!$AK:$AK)+SUMIF([1]Opciones!$AF:$AF,$A5&amp;"_"&amp;AHI$11,[1]Opciones!$AQ:$AQ)</f>
        <v>#VALUE!</v>
      </c>
      <c r="AHJ5" t="e">
        <f>+SUMIF([1]Cartera!$R:$R,$A5&amp;"_"&amp;AHJ$11,[1]Cartera!$I:$I)+SUMIF([1]Futuros!$AD:$AD,$A5&amp;"_"&amp;AHJ$11,[1]Futuros!$AK:$AK)+SUMIF([1]Opciones!$AF:$AF,$A5&amp;"_"&amp;AHJ$11,[1]Opciones!$AQ:$AQ)</f>
        <v>#VALUE!</v>
      </c>
      <c r="AHK5" t="e">
        <f>+SUMIF([1]Cartera!$R:$R,$A5&amp;"_"&amp;AHK$11,[1]Cartera!$I:$I)+SUMIF([1]Futuros!$AD:$AD,$A5&amp;"_"&amp;AHK$11,[1]Futuros!$AK:$AK)+SUMIF([1]Opciones!$AF:$AF,$A5&amp;"_"&amp;AHK$11,[1]Opciones!$AQ:$AQ)</f>
        <v>#VALUE!</v>
      </c>
      <c r="AHL5" t="e">
        <f>+SUMIF([1]Cartera!$R:$R,$A5&amp;"_"&amp;AHL$11,[1]Cartera!$I:$I)+SUMIF([1]Futuros!$AD:$AD,$A5&amp;"_"&amp;AHL$11,[1]Futuros!$AK:$AK)+SUMIF([1]Opciones!$AF:$AF,$A5&amp;"_"&amp;AHL$11,[1]Opciones!$AQ:$AQ)</f>
        <v>#VALUE!</v>
      </c>
      <c r="AHM5" t="e">
        <f>+SUMIF([1]Cartera!$R:$R,$A5&amp;"_"&amp;AHM$11,[1]Cartera!$I:$I)+SUMIF([1]Futuros!$AD:$AD,$A5&amp;"_"&amp;AHM$11,[1]Futuros!$AK:$AK)+SUMIF([1]Opciones!$AF:$AF,$A5&amp;"_"&amp;AHM$11,[1]Opciones!$AQ:$AQ)</f>
        <v>#VALUE!</v>
      </c>
      <c r="AHN5" t="e">
        <f>+SUMIF([1]Cartera!$R:$R,$A5&amp;"_"&amp;AHN$11,[1]Cartera!$I:$I)+SUMIF([1]Futuros!$AD:$AD,$A5&amp;"_"&amp;AHN$11,[1]Futuros!$AK:$AK)+SUMIF([1]Opciones!$AF:$AF,$A5&amp;"_"&amp;AHN$11,[1]Opciones!$AQ:$AQ)</f>
        <v>#VALUE!</v>
      </c>
      <c r="AHO5" t="e">
        <f>+SUMIF([1]Cartera!$R:$R,$A5&amp;"_"&amp;AHO$11,[1]Cartera!$I:$I)+SUMIF([1]Futuros!$AD:$AD,$A5&amp;"_"&amp;AHO$11,[1]Futuros!$AK:$AK)+SUMIF([1]Opciones!$AF:$AF,$A5&amp;"_"&amp;AHO$11,[1]Opciones!$AQ:$AQ)</f>
        <v>#VALUE!</v>
      </c>
      <c r="AHP5" t="e">
        <f>+SUMIF([1]Cartera!$R:$R,$A5&amp;"_"&amp;AHP$11,[1]Cartera!$I:$I)+SUMIF([1]Futuros!$AD:$AD,$A5&amp;"_"&amp;AHP$11,[1]Futuros!$AK:$AK)+SUMIF([1]Opciones!$AF:$AF,$A5&amp;"_"&amp;AHP$11,[1]Opciones!$AQ:$AQ)</f>
        <v>#VALUE!</v>
      </c>
      <c r="AHQ5" t="e">
        <f>+SUMIF([1]Cartera!$R:$R,$A5&amp;"_"&amp;AHQ$11,[1]Cartera!$I:$I)+SUMIF([1]Futuros!$AD:$AD,$A5&amp;"_"&amp;AHQ$11,[1]Futuros!$AK:$AK)+SUMIF([1]Opciones!$AF:$AF,$A5&amp;"_"&amp;AHQ$11,[1]Opciones!$AQ:$AQ)</f>
        <v>#VALUE!</v>
      </c>
      <c r="AHR5" t="e">
        <f>+SUMIF([1]Cartera!$R:$R,$A5&amp;"_"&amp;AHR$11,[1]Cartera!$I:$I)+SUMIF([1]Futuros!$AD:$AD,$A5&amp;"_"&amp;AHR$11,[1]Futuros!$AK:$AK)+SUMIF([1]Opciones!$AF:$AF,$A5&amp;"_"&amp;AHR$11,[1]Opciones!$AQ:$AQ)</f>
        <v>#VALUE!</v>
      </c>
      <c r="AHS5" t="e">
        <f>+SUMIF([1]Cartera!$R:$R,$A5&amp;"_"&amp;AHS$11,[1]Cartera!$I:$I)+SUMIF([1]Futuros!$AD:$AD,$A5&amp;"_"&amp;AHS$11,[1]Futuros!$AK:$AK)+SUMIF([1]Opciones!$AF:$AF,$A5&amp;"_"&amp;AHS$11,[1]Opciones!$AQ:$AQ)</f>
        <v>#VALUE!</v>
      </c>
      <c r="AHT5" t="e">
        <f>+SUMIF([1]Cartera!$R:$R,$A5&amp;"_"&amp;AHT$11,[1]Cartera!$I:$I)+SUMIF([1]Futuros!$AD:$AD,$A5&amp;"_"&amp;AHT$11,[1]Futuros!$AK:$AK)+SUMIF([1]Opciones!$AF:$AF,$A5&amp;"_"&amp;AHT$11,[1]Opciones!$AQ:$AQ)</f>
        <v>#VALUE!</v>
      </c>
      <c r="AHU5" t="e">
        <f>+SUMIF([1]Cartera!$R:$R,$A5&amp;"_"&amp;AHU$11,[1]Cartera!$I:$I)+SUMIF([1]Futuros!$AD:$AD,$A5&amp;"_"&amp;AHU$11,[1]Futuros!$AK:$AK)+SUMIF([1]Opciones!$AF:$AF,$A5&amp;"_"&amp;AHU$11,[1]Opciones!$AQ:$AQ)</f>
        <v>#VALUE!</v>
      </c>
      <c r="AHV5" t="e">
        <f>+SUMIF([1]Cartera!$R:$R,$A5&amp;"_"&amp;AHV$11,[1]Cartera!$I:$I)+SUMIF([1]Futuros!$AD:$AD,$A5&amp;"_"&amp;AHV$11,[1]Futuros!$AK:$AK)+SUMIF([1]Opciones!$AF:$AF,$A5&amp;"_"&amp;AHV$11,[1]Opciones!$AQ:$AQ)</f>
        <v>#VALUE!</v>
      </c>
      <c r="AHW5" t="e">
        <f>+SUMIF([1]Cartera!$R:$R,$A5&amp;"_"&amp;AHW$11,[1]Cartera!$I:$I)+SUMIF([1]Futuros!$AD:$AD,$A5&amp;"_"&amp;AHW$11,[1]Futuros!$AK:$AK)+SUMIF([1]Opciones!$AF:$AF,$A5&amp;"_"&amp;AHW$11,[1]Opciones!$AQ:$AQ)</f>
        <v>#VALUE!</v>
      </c>
      <c r="AHX5" t="e">
        <f>+SUMIF([1]Cartera!$R:$R,$A5&amp;"_"&amp;AHX$11,[1]Cartera!$I:$I)+SUMIF([1]Futuros!$AD:$AD,$A5&amp;"_"&amp;AHX$11,[1]Futuros!$AK:$AK)+SUMIF([1]Opciones!$AF:$AF,$A5&amp;"_"&amp;AHX$11,[1]Opciones!$AQ:$AQ)</f>
        <v>#VALUE!</v>
      </c>
      <c r="AHY5" t="e">
        <f>+SUMIF([1]Cartera!$R:$R,$A5&amp;"_"&amp;AHY$11,[1]Cartera!$I:$I)+SUMIF([1]Futuros!$AD:$AD,$A5&amp;"_"&amp;AHY$11,[1]Futuros!$AK:$AK)+SUMIF([1]Opciones!$AF:$AF,$A5&amp;"_"&amp;AHY$11,[1]Opciones!$AQ:$AQ)</f>
        <v>#VALUE!</v>
      </c>
      <c r="AHZ5" t="e">
        <f>+SUMIF([1]Cartera!$R:$R,$A5&amp;"_"&amp;AHZ$11,[1]Cartera!$I:$I)+SUMIF([1]Futuros!$AD:$AD,$A5&amp;"_"&amp;AHZ$11,[1]Futuros!$AK:$AK)+SUMIF([1]Opciones!$AF:$AF,$A5&amp;"_"&amp;AHZ$11,[1]Opciones!$AQ:$AQ)</f>
        <v>#VALUE!</v>
      </c>
      <c r="AIA5" t="e">
        <f>+SUMIF([1]Cartera!$R:$R,$A5&amp;"_"&amp;AIA$11,[1]Cartera!$I:$I)+SUMIF([1]Futuros!$AD:$AD,$A5&amp;"_"&amp;AIA$11,[1]Futuros!$AK:$AK)+SUMIF([1]Opciones!$AF:$AF,$A5&amp;"_"&amp;AIA$11,[1]Opciones!$AQ:$AQ)</f>
        <v>#VALUE!</v>
      </c>
      <c r="AIB5" t="e">
        <f>+SUMIF([1]Cartera!$R:$R,$A5&amp;"_"&amp;AIB$11,[1]Cartera!$I:$I)+SUMIF([1]Futuros!$AD:$AD,$A5&amp;"_"&amp;AIB$11,[1]Futuros!$AK:$AK)+SUMIF([1]Opciones!$AF:$AF,$A5&amp;"_"&amp;AIB$11,[1]Opciones!$AQ:$AQ)</f>
        <v>#VALUE!</v>
      </c>
      <c r="AIC5" t="e">
        <f>+SUMIF([1]Cartera!$R:$R,$A5&amp;"_"&amp;AIC$11,[1]Cartera!$I:$I)+SUMIF([1]Futuros!$AD:$AD,$A5&amp;"_"&amp;AIC$11,[1]Futuros!$AK:$AK)+SUMIF([1]Opciones!$AF:$AF,$A5&amp;"_"&amp;AIC$11,[1]Opciones!$AQ:$AQ)</f>
        <v>#VALUE!</v>
      </c>
      <c r="AID5" t="e">
        <f>+SUMIF([1]Cartera!$R:$R,$A5&amp;"_"&amp;AID$11,[1]Cartera!$I:$I)+SUMIF([1]Futuros!$AD:$AD,$A5&amp;"_"&amp;AID$11,[1]Futuros!$AK:$AK)+SUMIF([1]Opciones!$AF:$AF,$A5&amp;"_"&amp;AID$11,[1]Opciones!$AQ:$AQ)</f>
        <v>#VALUE!</v>
      </c>
      <c r="AIE5" t="e">
        <f>+SUMIF([1]Cartera!$R:$R,$A5&amp;"_"&amp;AIE$11,[1]Cartera!$I:$I)+SUMIF([1]Futuros!$AD:$AD,$A5&amp;"_"&amp;AIE$11,[1]Futuros!$AK:$AK)+SUMIF([1]Opciones!$AF:$AF,$A5&amp;"_"&amp;AIE$11,[1]Opciones!$AQ:$AQ)</f>
        <v>#VALUE!</v>
      </c>
      <c r="AIF5" t="e">
        <f>+SUMIF([1]Cartera!$R:$R,$A5&amp;"_"&amp;AIF$11,[1]Cartera!$I:$I)+SUMIF([1]Futuros!$AD:$AD,$A5&amp;"_"&amp;AIF$11,[1]Futuros!$AK:$AK)+SUMIF([1]Opciones!$AF:$AF,$A5&amp;"_"&amp;AIF$11,[1]Opciones!$AQ:$AQ)</f>
        <v>#VALUE!</v>
      </c>
      <c r="AIG5" t="e">
        <f>+SUMIF([1]Cartera!$R:$R,$A5&amp;"_"&amp;AIG$11,[1]Cartera!$I:$I)+SUMIF([1]Futuros!$AD:$AD,$A5&amp;"_"&amp;AIG$11,[1]Futuros!$AK:$AK)+SUMIF([1]Opciones!$AF:$AF,$A5&amp;"_"&amp;AIG$11,[1]Opciones!$AQ:$AQ)</f>
        <v>#VALUE!</v>
      </c>
      <c r="AIH5" t="e">
        <f>+SUMIF([1]Cartera!$R:$R,$A5&amp;"_"&amp;AIH$11,[1]Cartera!$I:$I)+SUMIF([1]Futuros!$AD:$AD,$A5&amp;"_"&amp;AIH$11,[1]Futuros!$AK:$AK)+SUMIF([1]Opciones!$AF:$AF,$A5&amp;"_"&amp;AIH$11,[1]Opciones!$AQ:$AQ)</f>
        <v>#VALUE!</v>
      </c>
      <c r="AII5" t="e">
        <f>+SUMIF([1]Cartera!$R:$R,$A5&amp;"_"&amp;AII$11,[1]Cartera!$I:$I)+SUMIF([1]Futuros!$AD:$AD,$A5&amp;"_"&amp;AII$11,[1]Futuros!$AK:$AK)+SUMIF([1]Opciones!$AF:$AF,$A5&amp;"_"&amp;AII$11,[1]Opciones!$AQ:$AQ)</f>
        <v>#VALUE!</v>
      </c>
      <c r="AIJ5" t="e">
        <f>+SUMIF([1]Cartera!$R:$R,$A5&amp;"_"&amp;AIJ$11,[1]Cartera!$I:$I)+SUMIF([1]Futuros!$AD:$AD,$A5&amp;"_"&amp;AIJ$11,[1]Futuros!$AK:$AK)+SUMIF([1]Opciones!$AF:$AF,$A5&amp;"_"&amp;AIJ$11,[1]Opciones!$AQ:$AQ)</f>
        <v>#VALUE!</v>
      </c>
      <c r="AIK5" t="e">
        <f>+SUMIF([1]Cartera!$R:$R,$A5&amp;"_"&amp;AIK$11,[1]Cartera!$I:$I)+SUMIF([1]Futuros!$AD:$AD,$A5&amp;"_"&amp;AIK$11,[1]Futuros!$AK:$AK)+SUMIF([1]Opciones!$AF:$AF,$A5&amp;"_"&amp;AIK$11,[1]Opciones!$AQ:$AQ)</f>
        <v>#VALUE!</v>
      </c>
      <c r="AIL5" t="e">
        <f>+SUMIF([1]Cartera!$R:$R,$A5&amp;"_"&amp;AIL$11,[1]Cartera!$I:$I)+SUMIF([1]Futuros!$AD:$AD,$A5&amp;"_"&amp;AIL$11,[1]Futuros!$AK:$AK)+SUMIF([1]Opciones!$AF:$AF,$A5&amp;"_"&amp;AIL$11,[1]Opciones!$AQ:$AQ)</f>
        <v>#VALUE!</v>
      </c>
      <c r="AIM5" t="e">
        <f>+SUMIF([1]Cartera!$R:$R,$A5&amp;"_"&amp;AIM$11,[1]Cartera!$I:$I)+SUMIF([1]Futuros!$AD:$AD,$A5&amp;"_"&amp;AIM$11,[1]Futuros!$AK:$AK)+SUMIF([1]Opciones!$AF:$AF,$A5&amp;"_"&amp;AIM$11,[1]Opciones!$AQ:$AQ)</f>
        <v>#VALUE!</v>
      </c>
      <c r="AIN5" t="e">
        <f>+SUMIF([1]Cartera!$R:$R,$A5&amp;"_"&amp;AIN$11,[1]Cartera!$I:$I)+SUMIF([1]Futuros!$AD:$AD,$A5&amp;"_"&amp;AIN$11,[1]Futuros!$AK:$AK)+SUMIF([1]Opciones!$AF:$AF,$A5&amp;"_"&amp;AIN$11,[1]Opciones!$AQ:$AQ)</f>
        <v>#VALUE!</v>
      </c>
      <c r="AIO5" t="e">
        <f>+SUMIF([1]Cartera!$R:$R,$A5&amp;"_"&amp;AIO$11,[1]Cartera!$I:$I)+SUMIF([1]Futuros!$AD:$AD,$A5&amp;"_"&amp;AIO$11,[1]Futuros!$AK:$AK)+SUMIF([1]Opciones!$AF:$AF,$A5&amp;"_"&amp;AIO$11,[1]Opciones!$AQ:$AQ)</f>
        <v>#VALUE!</v>
      </c>
      <c r="AIP5" t="e">
        <f>+SUMIF([1]Cartera!$R:$R,$A5&amp;"_"&amp;AIP$11,[1]Cartera!$I:$I)+SUMIF([1]Futuros!$AD:$AD,$A5&amp;"_"&amp;AIP$11,[1]Futuros!$AK:$AK)+SUMIF([1]Opciones!$AF:$AF,$A5&amp;"_"&amp;AIP$11,[1]Opciones!$AQ:$AQ)</f>
        <v>#VALUE!</v>
      </c>
      <c r="AIQ5" t="e">
        <f>+SUMIF([1]Cartera!$R:$R,$A5&amp;"_"&amp;AIQ$11,[1]Cartera!$I:$I)+SUMIF([1]Futuros!$AD:$AD,$A5&amp;"_"&amp;AIQ$11,[1]Futuros!$AK:$AK)+SUMIF([1]Opciones!$AF:$AF,$A5&amp;"_"&amp;AIQ$11,[1]Opciones!$AQ:$AQ)</f>
        <v>#VALUE!</v>
      </c>
      <c r="AIR5" s="2" t="e">
        <f>+SUMIF([1]Cartera!$R:$R,$A5&amp;"_"&amp;AIR$11,[1]Cartera!$I:$I)+SUMIF([1]Futuros!$AD:$AD,$A5&amp;"_"&amp;AIR$11,[1]Futuros!$AK:$AK)+SUMIF([1]Opciones!$AF:$AF,$A5&amp;"_"&amp;AIR$11,[1]Opciones!$AQ:$AQ)</f>
        <v>#VALUE!</v>
      </c>
      <c r="AIS5" t="e">
        <f>+SUMIF([1]Cartera!$R:$R,$A5&amp;"_"&amp;AIS$11,[1]Cartera!$I:$I)+SUMIF([1]Futuros!$AD:$AD,$A5&amp;"_"&amp;AIS$11,[1]Futuros!$AK:$AK)+SUMIF([1]Opciones!$AF:$AF,$A5&amp;"_"&amp;AIS$11,[1]Opciones!$AQ:$AQ)</f>
        <v>#VALUE!</v>
      </c>
      <c r="AIT5" t="e">
        <f>+SUMIF([1]Cartera!$R:$R,$A5&amp;"_"&amp;AIT$11,[1]Cartera!$I:$I)+SUMIF([1]Futuros!$AD:$AD,$A5&amp;"_"&amp;AIT$11,[1]Futuros!$AK:$AK)+SUMIF([1]Opciones!$AF:$AF,$A5&amp;"_"&amp;AIT$11,[1]Opciones!$AQ:$AQ)</f>
        <v>#VALUE!</v>
      </c>
      <c r="AIU5" t="e">
        <f>+SUMIF([1]Cartera!$R:$R,$A5&amp;"_"&amp;AIU$11,[1]Cartera!$I:$I)+SUMIF([1]Futuros!$AD:$AD,$A5&amp;"_"&amp;AIU$11,[1]Futuros!$AK:$AK)+SUMIF([1]Opciones!$AF:$AF,$A5&amp;"_"&amp;AIU$11,[1]Opciones!$AQ:$AQ)</f>
        <v>#VALUE!</v>
      </c>
      <c r="AIV5" t="e">
        <f>+SUMIF([1]Cartera!$R:$R,$A5&amp;"_"&amp;AIV$11,[1]Cartera!$I:$I)+SUMIF([1]Futuros!$AD:$AD,$A5&amp;"_"&amp;AIV$11,[1]Futuros!$AK:$AK)+SUMIF([1]Opciones!$AF:$AF,$A5&amp;"_"&amp;AIV$11,[1]Opciones!$AQ:$AQ)</f>
        <v>#VALUE!</v>
      </c>
      <c r="AIW5" t="e">
        <f>+SUMIF([1]Cartera!$R:$R,$A5&amp;"_"&amp;AIW$11,[1]Cartera!$I:$I)+SUMIF([1]Futuros!$AD:$AD,$A5&amp;"_"&amp;AIW$11,[1]Futuros!$AK:$AK)+SUMIF([1]Opciones!$AF:$AF,$A5&amp;"_"&amp;AIW$11,[1]Opciones!$AQ:$AQ)</f>
        <v>#VALUE!</v>
      </c>
      <c r="AIX5" t="e">
        <f>+SUMIF([1]Cartera!$R:$R,$A5&amp;"_"&amp;AIX$11,[1]Cartera!$I:$I)+SUMIF([1]Futuros!$AD:$AD,$A5&amp;"_"&amp;AIX$11,[1]Futuros!$AK:$AK)+SUMIF([1]Opciones!$AF:$AF,$A5&amp;"_"&amp;AIX$11,[1]Opciones!$AQ:$AQ)</f>
        <v>#VALUE!</v>
      </c>
      <c r="AIY5" t="e">
        <f>+SUMIF([1]Cartera!$R:$R,$A5&amp;"_"&amp;AIY$11,[1]Cartera!$I:$I)+SUMIF([1]Futuros!$AD:$AD,$A5&amp;"_"&amp;AIY$11,[1]Futuros!$AK:$AK)+SUMIF([1]Opciones!$AF:$AF,$A5&amp;"_"&amp;AIY$11,[1]Opciones!$AQ:$AQ)</f>
        <v>#VALUE!</v>
      </c>
      <c r="AIZ5" t="e">
        <f>+SUMIF([1]Cartera!$R:$R,$A5&amp;"_"&amp;AIZ$11,[1]Cartera!$I:$I)+SUMIF([1]Futuros!$AD:$AD,$A5&amp;"_"&amp;AIZ$11,[1]Futuros!$AK:$AK)+SUMIF([1]Opciones!$AF:$AF,$A5&amp;"_"&amp;AIZ$11,[1]Opciones!$AQ:$AQ)</f>
        <v>#VALUE!</v>
      </c>
      <c r="AJA5" t="e">
        <f>+SUMIF([1]Cartera!$R:$R,$A5&amp;"_"&amp;AJA$11,[1]Cartera!$I:$I)+SUMIF([1]Futuros!$AD:$AD,$A5&amp;"_"&amp;AJA$11,[1]Futuros!$AK:$AK)+SUMIF([1]Opciones!$AF:$AF,$A5&amp;"_"&amp;AJA$11,[1]Opciones!$AQ:$AQ)</f>
        <v>#VALUE!</v>
      </c>
      <c r="AJB5" t="e">
        <f>+SUMIF([1]Cartera!$R:$R,$A5&amp;"_"&amp;AJB$11,[1]Cartera!$I:$I)+SUMIF([1]Futuros!$AD:$AD,$A5&amp;"_"&amp;AJB$11,[1]Futuros!$AK:$AK)+SUMIF([1]Opciones!$AF:$AF,$A5&amp;"_"&amp;AJB$11,[1]Opciones!$AQ:$AQ)</f>
        <v>#VALUE!</v>
      </c>
      <c r="AJC5" t="e">
        <f>+SUMIF([1]Cartera!$R:$R,$A5&amp;"_"&amp;AJC$11,[1]Cartera!$I:$I)+SUMIF([1]Futuros!$AD:$AD,$A5&amp;"_"&amp;AJC$11,[1]Futuros!$AK:$AK)+SUMIF([1]Opciones!$AF:$AF,$A5&amp;"_"&amp;AJC$11,[1]Opciones!$AQ:$AQ)</f>
        <v>#VALUE!</v>
      </c>
      <c r="AJD5" t="e">
        <f>+SUMIF([1]Cartera!$R:$R,$A5&amp;"_"&amp;AJD$11,[1]Cartera!$I:$I)+SUMIF([1]Futuros!$AD:$AD,$A5&amp;"_"&amp;AJD$11,[1]Futuros!$AK:$AK)+SUMIF([1]Opciones!$AF:$AF,$A5&amp;"_"&amp;AJD$11,[1]Opciones!$AQ:$AQ)</f>
        <v>#VALUE!</v>
      </c>
      <c r="AJE5" t="e">
        <f>+SUMIF([1]Cartera!$R:$R,$A5&amp;"_"&amp;AJE$11,[1]Cartera!$I:$I)+SUMIF([1]Futuros!$AD:$AD,$A5&amp;"_"&amp;AJE$11,[1]Futuros!$AK:$AK)+SUMIF([1]Opciones!$AF:$AF,$A5&amp;"_"&amp;AJE$11,[1]Opciones!$AQ:$AQ)</f>
        <v>#VALUE!</v>
      </c>
      <c r="AJF5" t="e">
        <f>+SUMIF([1]Cartera!$R:$R,$A5&amp;"_"&amp;AJF$11,[1]Cartera!$I:$I)+SUMIF([1]Futuros!$AD:$AD,$A5&amp;"_"&amp;AJF$11,[1]Futuros!$AK:$AK)+SUMIF([1]Opciones!$AF:$AF,$A5&amp;"_"&amp;AJF$11,[1]Opciones!$AQ:$AQ)</f>
        <v>#VALUE!</v>
      </c>
      <c r="AJG5" t="e">
        <f>+SUMIF([1]Cartera!$R:$R,$A5&amp;"_"&amp;AJG$11,[1]Cartera!$I:$I)+SUMIF([1]Futuros!$AD:$AD,$A5&amp;"_"&amp;AJG$11,[1]Futuros!$AK:$AK)+SUMIF([1]Opciones!$AF:$AF,$A5&amp;"_"&amp;AJG$11,[1]Opciones!$AQ:$AQ)</f>
        <v>#VALUE!</v>
      </c>
      <c r="AJH5" t="e">
        <f>+SUMIF([1]Cartera!$R:$R,$A5&amp;"_"&amp;AJH$11,[1]Cartera!$I:$I)+SUMIF([1]Futuros!$AD:$AD,$A5&amp;"_"&amp;AJH$11,[1]Futuros!$AK:$AK)+SUMIF([1]Opciones!$AF:$AF,$A5&amp;"_"&amp;AJH$11,[1]Opciones!$AQ:$AQ)</f>
        <v>#VALUE!</v>
      </c>
      <c r="AJI5" t="e">
        <f>+SUMIF([1]Cartera!$R:$R,$A5&amp;"_"&amp;AJI$11,[1]Cartera!$I:$I)+SUMIF([1]Futuros!$AD:$AD,$A5&amp;"_"&amp;AJI$11,[1]Futuros!$AK:$AK)+SUMIF([1]Opciones!$AF:$AF,$A5&amp;"_"&amp;AJI$11,[1]Opciones!$AQ:$AQ)</f>
        <v>#VALUE!</v>
      </c>
      <c r="AJJ5" t="e">
        <f>+SUMIF([1]Cartera!$R:$R,$A5&amp;"_"&amp;AJJ$11,[1]Cartera!$I:$I)+SUMIF([1]Futuros!$AD:$AD,$A5&amp;"_"&amp;AJJ$11,[1]Futuros!$AK:$AK)+SUMIF([1]Opciones!$AF:$AF,$A5&amp;"_"&amp;AJJ$11,[1]Opciones!$AQ:$AQ)</f>
        <v>#VALUE!</v>
      </c>
      <c r="AJK5" t="e">
        <f>+SUMIF([1]Cartera!$R:$R,$A5&amp;"_"&amp;AJK$11,[1]Cartera!$I:$I)+SUMIF([1]Futuros!$AD:$AD,$A5&amp;"_"&amp;AJK$11,[1]Futuros!$AK:$AK)+SUMIF([1]Opciones!$AF:$AF,$A5&amp;"_"&amp;AJK$11,[1]Opciones!$AQ:$AQ)</f>
        <v>#VALUE!</v>
      </c>
      <c r="AJL5" t="e">
        <f>+SUMIF([1]Cartera!$R:$R,$A5&amp;"_"&amp;AJL$11,[1]Cartera!$I:$I)+SUMIF([1]Futuros!$AD:$AD,$A5&amp;"_"&amp;AJL$11,[1]Futuros!$AK:$AK)+SUMIF([1]Opciones!$AF:$AF,$A5&amp;"_"&amp;AJL$11,[1]Opciones!$AQ:$AQ)</f>
        <v>#VALUE!</v>
      </c>
      <c r="AJM5" t="e">
        <f>+SUMIF([1]Cartera!$R:$R,$A5&amp;"_"&amp;AJM$11,[1]Cartera!$I:$I)+SUMIF([1]Futuros!$AD:$AD,$A5&amp;"_"&amp;AJM$11,[1]Futuros!$AK:$AK)+SUMIF([1]Opciones!$AF:$AF,$A5&amp;"_"&amp;AJM$11,[1]Opciones!$AQ:$AQ)</f>
        <v>#VALUE!</v>
      </c>
      <c r="AJN5" t="e">
        <f>+SUMIF([1]Cartera!$R:$R,$A5&amp;"_"&amp;AJN$11,[1]Cartera!$I:$I)+SUMIF([1]Futuros!$AD:$AD,$A5&amp;"_"&amp;AJN$11,[1]Futuros!$AK:$AK)+SUMIF([1]Opciones!$AF:$AF,$A5&amp;"_"&amp;AJN$11,[1]Opciones!$AQ:$AQ)</f>
        <v>#VALUE!</v>
      </c>
      <c r="AJO5" t="e">
        <f>+SUMIF([1]Cartera!$R:$R,$A5&amp;"_"&amp;AJO$11,[1]Cartera!$I:$I)+SUMIF([1]Futuros!$AD:$AD,$A5&amp;"_"&amp;AJO$11,[1]Futuros!$AK:$AK)+SUMIF([1]Opciones!$AF:$AF,$A5&amp;"_"&amp;AJO$11,[1]Opciones!$AQ:$AQ)</f>
        <v>#VALUE!</v>
      </c>
      <c r="AJP5" t="e">
        <f>+SUMIF([1]Cartera!$R:$R,$A5&amp;"_"&amp;AJP$11,[1]Cartera!$I:$I)+SUMIF([1]Futuros!$AD:$AD,$A5&amp;"_"&amp;AJP$11,[1]Futuros!$AK:$AK)+SUMIF([1]Opciones!$AF:$AF,$A5&amp;"_"&amp;AJP$11,[1]Opciones!$AQ:$AQ)</f>
        <v>#VALUE!</v>
      </c>
      <c r="AJQ5" t="e">
        <f>+SUMIF([1]Cartera!$R:$R,$A5&amp;"_"&amp;AJQ$11,[1]Cartera!$I:$I)+SUMIF([1]Futuros!$AD:$AD,$A5&amp;"_"&amp;AJQ$11,[1]Futuros!$AK:$AK)+SUMIF([1]Opciones!$AF:$AF,$A5&amp;"_"&amp;AJQ$11,[1]Opciones!$AQ:$AQ)</f>
        <v>#VALUE!</v>
      </c>
      <c r="AJR5" t="e">
        <f>+SUMIF([1]Cartera!$R:$R,$A5&amp;"_"&amp;AJR$11,[1]Cartera!$I:$I)+SUMIF([1]Futuros!$AD:$AD,$A5&amp;"_"&amp;AJR$11,[1]Futuros!$AK:$AK)+SUMIF([1]Opciones!$AF:$AF,$A5&amp;"_"&amp;AJR$11,[1]Opciones!$AQ:$AQ)</f>
        <v>#VALUE!</v>
      </c>
      <c r="AJS5" t="e">
        <f>+SUMIF([1]Cartera!$R:$R,$A5&amp;"_"&amp;AJS$11,[1]Cartera!$I:$I)+SUMIF([1]Futuros!$AD:$AD,$A5&amp;"_"&amp;AJS$11,[1]Futuros!$AK:$AK)+SUMIF([1]Opciones!$AF:$AF,$A5&amp;"_"&amp;AJS$11,[1]Opciones!$AQ:$AQ)</f>
        <v>#VALUE!</v>
      </c>
      <c r="AJT5" t="e">
        <f>+SUMIF([1]Cartera!$R:$R,$A5&amp;"_"&amp;AJT$11,[1]Cartera!$I:$I)+SUMIF([1]Futuros!$AD:$AD,$A5&amp;"_"&amp;AJT$11,[1]Futuros!$AK:$AK)+SUMIF([1]Opciones!$AF:$AF,$A5&amp;"_"&amp;AJT$11,[1]Opciones!$AQ:$AQ)</f>
        <v>#VALUE!</v>
      </c>
      <c r="AJU5" t="e">
        <f>+SUMIF([1]Cartera!$R:$R,$A5&amp;"_"&amp;AJU$11,[1]Cartera!$I:$I)+SUMIF([1]Futuros!$AD:$AD,$A5&amp;"_"&amp;AJU$11,[1]Futuros!$AK:$AK)+SUMIF([1]Opciones!$AF:$AF,$A5&amp;"_"&amp;AJU$11,[1]Opciones!$AQ:$AQ)</f>
        <v>#VALUE!</v>
      </c>
      <c r="AJV5" t="e">
        <f>+SUMIF([1]Cartera!$R:$R,$A5&amp;"_"&amp;AJV$11,[1]Cartera!$I:$I)+SUMIF([1]Futuros!$AD:$AD,$A5&amp;"_"&amp;AJV$11,[1]Futuros!$AK:$AK)+SUMIF([1]Opciones!$AF:$AF,$A5&amp;"_"&amp;AJV$11,[1]Opciones!$AQ:$AQ)</f>
        <v>#VALUE!</v>
      </c>
      <c r="AJW5" t="e">
        <f>+SUMIF([1]Cartera!$R:$R,$A5&amp;"_"&amp;AJW$11,[1]Cartera!$I:$I)+SUMIF([1]Futuros!$AD:$AD,$A5&amp;"_"&amp;AJW$11,[1]Futuros!$AK:$AK)+SUMIF([1]Opciones!$AF:$AF,$A5&amp;"_"&amp;AJW$11,[1]Opciones!$AQ:$AQ)</f>
        <v>#VALUE!</v>
      </c>
      <c r="AJX5" t="e">
        <f>+SUMIF([1]Cartera!$R:$R,$A5&amp;"_"&amp;AJX$11,[1]Cartera!$I:$I)+SUMIF([1]Futuros!$AD:$AD,$A5&amp;"_"&amp;AJX$11,[1]Futuros!$AK:$AK)+SUMIF([1]Opciones!$AF:$AF,$A5&amp;"_"&amp;AJX$11,[1]Opciones!$AQ:$AQ)</f>
        <v>#VALUE!</v>
      </c>
      <c r="AJY5" t="e">
        <f>+SUMIF([1]Cartera!$R:$R,$A5&amp;"_"&amp;AJY$11,[1]Cartera!$I:$I)+SUMIF([1]Futuros!$AD:$AD,$A5&amp;"_"&amp;AJY$11,[1]Futuros!$AK:$AK)+SUMIF([1]Opciones!$AF:$AF,$A5&amp;"_"&amp;AJY$11,[1]Opciones!$AQ:$AQ)</f>
        <v>#VALUE!</v>
      </c>
      <c r="AJZ5" t="e">
        <f>+SUMIF([1]Cartera!$R:$R,$A5&amp;"_"&amp;AJZ$11,[1]Cartera!$I:$I)+SUMIF([1]Futuros!$AD:$AD,$A5&amp;"_"&amp;AJZ$11,[1]Futuros!$AK:$AK)+SUMIF([1]Opciones!$AF:$AF,$A5&amp;"_"&amp;AJZ$11,[1]Opciones!$AQ:$AQ)</f>
        <v>#VALUE!</v>
      </c>
      <c r="AKA5" t="e">
        <f>+SUMIF([1]Cartera!$R:$R,$A5&amp;"_"&amp;AKA$11,[1]Cartera!$I:$I)+SUMIF([1]Futuros!$AD:$AD,$A5&amp;"_"&amp;AKA$11,[1]Futuros!$AK:$AK)+SUMIF([1]Opciones!$AF:$AF,$A5&amp;"_"&amp;AKA$11,[1]Opciones!$AQ:$AQ)</f>
        <v>#VALUE!</v>
      </c>
      <c r="AKB5" t="e">
        <f>+SUMIF([1]Cartera!$R:$R,$A5&amp;"_"&amp;AKB$11,[1]Cartera!$I:$I)+SUMIF([1]Futuros!$AD:$AD,$A5&amp;"_"&amp;AKB$11,[1]Futuros!$AK:$AK)+SUMIF([1]Opciones!$AF:$AF,$A5&amp;"_"&amp;AKB$11,[1]Opciones!$AQ:$AQ)</f>
        <v>#VALUE!</v>
      </c>
      <c r="AKC5" t="e">
        <f>+SUMIF([1]Cartera!$R:$R,$A5&amp;"_"&amp;AKC$11,[1]Cartera!$I:$I)+SUMIF([1]Futuros!$AD:$AD,$A5&amp;"_"&amp;AKC$11,[1]Futuros!$AK:$AK)+SUMIF([1]Opciones!$AF:$AF,$A5&amp;"_"&amp;AKC$11,[1]Opciones!$AQ:$AQ)</f>
        <v>#VALUE!</v>
      </c>
      <c r="AKD5" t="e">
        <f>+SUMIF([1]Cartera!$R:$R,$A5&amp;"_"&amp;AKD$11,[1]Cartera!$I:$I)+SUMIF([1]Futuros!$AD:$AD,$A5&amp;"_"&amp;AKD$11,[1]Futuros!$AK:$AK)+SUMIF([1]Opciones!$AF:$AF,$A5&amp;"_"&amp;AKD$11,[1]Opciones!$AQ:$AQ)</f>
        <v>#VALUE!</v>
      </c>
      <c r="AKE5" t="e">
        <f>+SUMIF([1]Cartera!$R:$R,$A5&amp;"_"&amp;AKE$11,[1]Cartera!$I:$I)+SUMIF([1]Futuros!$AD:$AD,$A5&amp;"_"&amp;AKE$11,[1]Futuros!$AK:$AK)+SUMIF([1]Opciones!$AF:$AF,$A5&amp;"_"&amp;AKE$11,[1]Opciones!$AQ:$AQ)</f>
        <v>#VALUE!</v>
      </c>
      <c r="AKF5" t="e">
        <f>+SUMIF([1]Cartera!$R:$R,$A5&amp;"_"&amp;AKF$11,[1]Cartera!$I:$I)+SUMIF([1]Futuros!$AD:$AD,$A5&amp;"_"&amp;AKF$11,[1]Futuros!$AK:$AK)+SUMIF([1]Opciones!$AF:$AF,$A5&amp;"_"&amp;AKF$11,[1]Opciones!$AQ:$AQ)</f>
        <v>#VALUE!</v>
      </c>
      <c r="AKG5" t="e">
        <f>+SUMIF([1]Cartera!$R:$R,$A5&amp;"_"&amp;AKG$11,[1]Cartera!$I:$I)+SUMIF([1]Futuros!$AD:$AD,$A5&amp;"_"&amp;AKG$11,[1]Futuros!$AK:$AK)+SUMIF([1]Opciones!$AF:$AF,$A5&amp;"_"&amp;AKG$11,[1]Opciones!$AQ:$AQ)</f>
        <v>#VALUE!</v>
      </c>
      <c r="AKH5" t="e">
        <f>+SUMIF([1]Cartera!$R:$R,$A5&amp;"_"&amp;AKH$11,[1]Cartera!$I:$I)+SUMIF([1]Futuros!$AD:$AD,$A5&amp;"_"&amp;AKH$11,[1]Futuros!$AK:$AK)+SUMIF([1]Opciones!$AF:$AF,$A5&amp;"_"&amp;AKH$11,[1]Opciones!$AQ:$AQ)</f>
        <v>#VALUE!</v>
      </c>
      <c r="AKI5" t="e">
        <f>+SUMIF([1]Cartera!$R:$R,$A5&amp;"_"&amp;AKI$11,[1]Cartera!$I:$I)+SUMIF([1]Futuros!$AD:$AD,$A5&amp;"_"&amp;AKI$11,[1]Futuros!$AK:$AK)+SUMIF([1]Opciones!$AF:$AF,$A5&amp;"_"&amp;AKI$11,[1]Opciones!$AQ:$AQ)</f>
        <v>#VALUE!</v>
      </c>
      <c r="AKJ5" t="e">
        <f>+SUMIF([1]Cartera!$R:$R,$A5&amp;"_"&amp;AKJ$11,[1]Cartera!$I:$I)+SUMIF([1]Futuros!$AD:$AD,$A5&amp;"_"&amp;AKJ$11,[1]Futuros!$AK:$AK)+SUMIF([1]Opciones!$AF:$AF,$A5&amp;"_"&amp;AKJ$11,[1]Opciones!$AQ:$AQ)</f>
        <v>#VALUE!</v>
      </c>
      <c r="AKK5" t="e">
        <f>+SUMIF([1]Cartera!$R:$R,$A5&amp;"_"&amp;AKK$11,[1]Cartera!$I:$I)+SUMIF([1]Futuros!$AD:$AD,$A5&amp;"_"&amp;AKK$11,[1]Futuros!$AK:$AK)+SUMIF([1]Opciones!$AF:$AF,$A5&amp;"_"&amp;AKK$11,[1]Opciones!$AQ:$AQ)</f>
        <v>#VALUE!</v>
      </c>
      <c r="AKL5" t="e">
        <f>+SUMIF([1]Cartera!$R:$R,$A5&amp;"_"&amp;AKL$11,[1]Cartera!$I:$I)+SUMIF([1]Futuros!$AD:$AD,$A5&amp;"_"&amp;AKL$11,[1]Futuros!$AK:$AK)+SUMIF([1]Opciones!$AF:$AF,$A5&amp;"_"&amp;AKL$11,[1]Opciones!$AQ:$AQ)</f>
        <v>#VALUE!</v>
      </c>
      <c r="AKM5" t="e">
        <f>+SUMIF([1]Cartera!$R:$R,$A5&amp;"_"&amp;AKM$11,[1]Cartera!$I:$I)+SUMIF([1]Futuros!$AD:$AD,$A5&amp;"_"&amp;AKM$11,[1]Futuros!$AK:$AK)+SUMIF([1]Opciones!$AF:$AF,$A5&amp;"_"&amp;AKM$11,[1]Opciones!$AQ:$AQ)</f>
        <v>#VALUE!</v>
      </c>
      <c r="AKN5" t="e">
        <f>+SUMIF([1]Cartera!$R:$R,$A5&amp;"_"&amp;AKN$11,[1]Cartera!$I:$I)+SUMIF([1]Futuros!$AD:$AD,$A5&amp;"_"&amp;AKN$11,[1]Futuros!$AK:$AK)+SUMIF([1]Opciones!$AF:$AF,$A5&amp;"_"&amp;AKN$11,[1]Opciones!$AQ:$AQ)</f>
        <v>#VALUE!</v>
      </c>
      <c r="AKO5" t="e">
        <f>+SUMIF([1]Cartera!$R:$R,$A5&amp;"_"&amp;AKO$11,[1]Cartera!$I:$I)+SUMIF([1]Futuros!$AD:$AD,$A5&amp;"_"&amp;AKO$11,[1]Futuros!$AK:$AK)+SUMIF([1]Opciones!$AF:$AF,$A5&amp;"_"&amp;AKO$11,[1]Opciones!$AQ:$AQ)</f>
        <v>#VALUE!</v>
      </c>
      <c r="AKP5" t="e">
        <f>+SUMIF([1]Cartera!$R:$R,$A5&amp;"_"&amp;AKP$11,[1]Cartera!$I:$I)+SUMIF([1]Futuros!$AD:$AD,$A5&amp;"_"&amp;AKP$11,[1]Futuros!$AK:$AK)+SUMIF([1]Opciones!$AF:$AF,$A5&amp;"_"&amp;AKP$11,[1]Opciones!$AQ:$AQ)</f>
        <v>#VALUE!</v>
      </c>
      <c r="AKQ5" t="e">
        <f>+SUMIF([1]Cartera!$R:$R,$A5&amp;"_"&amp;AKQ$11,[1]Cartera!$I:$I)+SUMIF([1]Futuros!$AD:$AD,$A5&amp;"_"&amp;AKQ$11,[1]Futuros!$AK:$AK)+SUMIF([1]Opciones!$AF:$AF,$A5&amp;"_"&amp;AKQ$11,[1]Opciones!$AQ:$AQ)</f>
        <v>#VALUE!</v>
      </c>
      <c r="AKR5" t="e">
        <f>+SUMIF([1]Cartera!$R:$R,$A5&amp;"_"&amp;AKR$11,[1]Cartera!$I:$I)+SUMIF([1]Futuros!$AD:$AD,$A5&amp;"_"&amp;AKR$11,[1]Futuros!$AK:$AK)+SUMIF([1]Opciones!$AF:$AF,$A5&amp;"_"&amp;AKR$11,[1]Opciones!$AQ:$AQ)</f>
        <v>#VALUE!</v>
      </c>
      <c r="AKS5" t="e">
        <f>+SUMIF([1]Cartera!$R:$R,$A5&amp;"_"&amp;AKS$11,[1]Cartera!$I:$I)+SUMIF([1]Futuros!$AD:$AD,$A5&amp;"_"&amp;AKS$11,[1]Futuros!$AK:$AK)+SUMIF([1]Opciones!$AF:$AF,$A5&amp;"_"&amp;AKS$11,[1]Opciones!$AQ:$AQ)</f>
        <v>#VALUE!</v>
      </c>
      <c r="AKT5" t="e">
        <f>+SUMIF([1]Cartera!$R:$R,$A5&amp;"_"&amp;AKT$11,[1]Cartera!$I:$I)+SUMIF([1]Futuros!$AD:$AD,$A5&amp;"_"&amp;AKT$11,[1]Futuros!$AK:$AK)+SUMIF([1]Opciones!$AF:$AF,$A5&amp;"_"&amp;AKT$11,[1]Opciones!$AQ:$AQ)</f>
        <v>#VALUE!</v>
      </c>
      <c r="AKU5" t="e">
        <f>+SUMIF([1]Cartera!$R:$R,$A5&amp;"_"&amp;AKU$11,[1]Cartera!$I:$I)+SUMIF([1]Futuros!$AD:$AD,$A5&amp;"_"&amp;AKU$11,[1]Futuros!$AK:$AK)+SUMIF([1]Opciones!$AF:$AF,$A5&amp;"_"&amp;AKU$11,[1]Opciones!$AQ:$AQ)</f>
        <v>#VALUE!</v>
      </c>
      <c r="AKV5" t="e">
        <f>+SUMIF([1]Cartera!$R:$R,$A5&amp;"_"&amp;AKV$11,[1]Cartera!$I:$I)+SUMIF([1]Futuros!$AD:$AD,$A5&amp;"_"&amp;AKV$11,[1]Futuros!$AK:$AK)+SUMIF([1]Opciones!$AF:$AF,$A5&amp;"_"&amp;AKV$11,[1]Opciones!$AQ:$AQ)</f>
        <v>#VALUE!</v>
      </c>
      <c r="AKW5" t="e">
        <f>+SUMIF([1]Cartera!$R:$R,$A5&amp;"_"&amp;AKW$11,[1]Cartera!$I:$I)+SUMIF([1]Futuros!$AD:$AD,$A5&amp;"_"&amp;AKW$11,[1]Futuros!$AK:$AK)+SUMIF([1]Opciones!$AF:$AF,$A5&amp;"_"&amp;AKW$11,[1]Opciones!$AQ:$AQ)</f>
        <v>#VALUE!</v>
      </c>
      <c r="AKX5" t="e">
        <f>+SUMIF([1]Cartera!$R:$R,$A5&amp;"_"&amp;AKX$11,[1]Cartera!$I:$I)+SUMIF([1]Futuros!$AD:$AD,$A5&amp;"_"&amp;AKX$11,[1]Futuros!$AK:$AK)+SUMIF([1]Opciones!$AF:$AF,$A5&amp;"_"&amp;AKX$11,[1]Opciones!$AQ:$AQ)</f>
        <v>#VALUE!</v>
      </c>
      <c r="AKY5" t="e">
        <f>+SUMIF([1]Cartera!$R:$R,$A5&amp;"_"&amp;AKY$11,[1]Cartera!$I:$I)+SUMIF([1]Futuros!$AD:$AD,$A5&amp;"_"&amp;AKY$11,[1]Futuros!$AK:$AK)+SUMIF([1]Opciones!$AF:$AF,$A5&amp;"_"&amp;AKY$11,[1]Opciones!$AQ:$AQ)</f>
        <v>#VALUE!</v>
      </c>
      <c r="AKZ5" t="e">
        <f>+SUMIF([1]Cartera!$R:$R,$A5&amp;"_"&amp;AKZ$11,[1]Cartera!$I:$I)+SUMIF([1]Futuros!$AD:$AD,$A5&amp;"_"&amp;AKZ$11,[1]Futuros!$AK:$AK)+SUMIF([1]Opciones!$AF:$AF,$A5&amp;"_"&amp;AKZ$11,[1]Opciones!$AQ:$AQ)</f>
        <v>#VALUE!</v>
      </c>
      <c r="ALA5" t="e">
        <f>+SUMIF([1]Cartera!$R:$R,$A5&amp;"_"&amp;ALA$11,[1]Cartera!$I:$I)+SUMIF([1]Futuros!$AD:$AD,$A5&amp;"_"&amp;ALA$11,[1]Futuros!$AK:$AK)+SUMIF([1]Opciones!$AF:$AF,$A5&amp;"_"&amp;ALA$11,[1]Opciones!$AQ:$AQ)</f>
        <v>#VALUE!</v>
      </c>
      <c r="ALB5" t="e">
        <f>+SUMIF([1]Cartera!$R:$R,$A5&amp;"_"&amp;ALB$11,[1]Cartera!$I:$I)+SUMIF([1]Futuros!$AD:$AD,$A5&amp;"_"&amp;ALB$11,[1]Futuros!$AK:$AK)+SUMIF([1]Opciones!$AF:$AF,$A5&amp;"_"&amp;ALB$11,[1]Opciones!$AQ:$AQ)</f>
        <v>#VALUE!</v>
      </c>
      <c r="ALC5" t="e">
        <f>+SUMIF([1]Cartera!$R:$R,$A5&amp;"_"&amp;ALC$11,[1]Cartera!$I:$I)+SUMIF([1]Futuros!$AD:$AD,$A5&amp;"_"&amp;ALC$11,[1]Futuros!$AK:$AK)+SUMIF([1]Opciones!$AF:$AF,$A5&amp;"_"&amp;ALC$11,[1]Opciones!$AQ:$AQ)</f>
        <v>#VALUE!</v>
      </c>
      <c r="ALD5" t="e">
        <f>+SUMIF([1]Cartera!$R:$R,$A5&amp;"_"&amp;ALD$11,[1]Cartera!$I:$I)+SUMIF([1]Futuros!$AD:$AD,$A5&amp;"_"&amp;ALD$11,[1]Futuros!$AK:$AK)+SUMIF([1]Opciones!$AF:$AF,$A5&amp;"_"&amp;ALD$11,[1]Opciones!$AQ:$AQ)</f>
        <v>#VALUE!</v>
      </c>
      <c r="ALE5" t="e">
        <f>+SUMIF([1]Cartera!$R:$R,$A5&amp;"_"&amp;ALE$11,[1]Cartera!$I:$I)+SUMIF([1]Futuros!$AD:$AD,$A5&amp;"_"&amp;ALE$11,[1]Futuros!$AK:$AK)+SUMIF([1]Opciones!$AF:$AF,$A5&amp;"_"&amp;ALE$11,[1]Opciones!$AQ:$AQ)</f>
        <v>#VALUE!</v>
      </c>
      <c r="ALF5" t="e">
        <f>+SUMIF([1]Cartera!$R:$R,$A5&amp;"_"&amp;ALF$11,[1]Cartera!$I:$I)+SUMIF([1]Futuros!$AD:$AD,$A5&amp;"_"&amp;ALF$11,[1]Futuros!$AK:$AK)+SUMIF([1]Opciones!$AF:$AF,$A5&amp;"_"&amp;ALF$11,[1]Opciones!$AQ:$AQ)</f>
        <v>#VALUE!</v>
      </c>
      <c r="ALG5" t="e">
        <f>+SUMIF([1]Cartera!$R:$R,$A5&amp;"_"&amp;ALG$11,[1]Cartera!$I:$I)+SUMIF([1]Futuros!$AD:$AD,$A5&amp;"_"&amp;ALG$11,[1]Futuros!$AK:$AK)+SUMIF([1]Opciones!$AF:$AF,$A5&amp;"_"&amp;ALG$11,[1]Opciones!$AQ:$AQ)</f>
        <v>#VALUE!</v>
      </c>
      <c r="ALH5" t="e">
        <f>+SUMIF([1]Cartera!$R:$R,$A5&amp;"_"&amp;ALH$11,[1]Cartera!$I:$I)+SUMIF([1]Futuros!$AD:$AD,$A5&amp;"_"&amp;ALH$11,[1]Futuros!$AK:$AK)+SUMIF([1]Opciones!$AF:$AF,$A5&amp;"_"&amp;ALH$11,[1]Opciones!$AQ:$AQ)</f>
        <v>#VALUE!</v>
      </c>
      <c r="ALI5" t="e">
        <f>+SUMIF([1]Cartera!$R:$R,$A5&amp;"_"&amp;ALI$11,[1]Cartera!$I:$I)+SUMIF([1]Futuros!$AD:$AD,$A5&amp;"_"&amp;ALI$11,[1]Futuros!$AK:$AK)+SUMIF([1]Opciones!$AF:$AF,$A5&amp;"_"&amp;ALI$11,[1]Opciones!$AQ:$AQ)</f>
        <v>#VALUE!</v>
      </c>
      <c r="ALJ5" t="e">
        <f>+SUMIF([1]Cartera!$R:$R,$A5&amp;"_"&amp;ALJ$11,[1]Cartera!$I:$I)+SUMIF([1]Futuros!$AD:$AD,$A5&amp;"_"&amp;ALJ$11,[1]Futuros!$AK:$AK)+SUMIF([1]Opciones!$AF:$AF,$A5&amp;"_"&amp;ALJ$11,[1]Opciones!$AQ:$AQ)</f>
        <v>#VALUE!</v>
      </c>
      <c r="ALK5" t="e">
        <f>+SUMIF([1]Cartera!$R:$R,$A5&amp;"_"&amp;ALK$11,[1]Cartera!$I:$I)+SUMIF([1]Futuros!$AD:$AD,$A5&amp;"_"&amp;ALK$11,[1]Futuros!$AK:$AK)+SUMIF([1]Opciones!$AF:$AF,$A5&amp;"_"&amp;ALK$11,[1]Opciones!$AQ:$AQ)</f>
        <v>#VALUE!</v>
      </c>
      <c r="ALL5" t="e">
        <f>+SUMIF([1]Cartera!$R:$R,$A5&amp;"_"&amp;ALL$11,[1]Cartera!$I:$I)+SUMIF([1]Futuros!$AD:$AD,$A5&amp;"_"&amp;ALL$11,[1]Futuros!$AK:$AK)+SUMIF([1]Opciones!$AF:$AF,$A5&amp;"_"&amp;ALL$11,[1]Opciones!$AQ:$AQ)</f>
        <v>#VALUE!</v>
      </c>
      <c r="ALM5" t="e">
        <f>+SUMIF([1]Cartera!$R:$R,$A5&amp;"_"&amp;ALM$11,[1]Cartera!$I:$I)+SUMIF([1]Futuros!$AD:$AD,$A5&amp;"_"&amp;ALM$11,[1]Futuros!$AK:$AK)+SUMIF([1]Opciones!$AF:$AF,$A5&amp;"_"&amp;ALM$11,[1]Opciones!$AQ:$AQ)</f>
        <v>#VALUE!</v>
      </c>
      <c r="ALN5" t="e">
        <f>+SUMIF([1]Cartera!$R:$R,$A5&amp;"_"&amp;ALN$11,[1]Cartera!$I:$I)+SUMIF([1]Futuros!$AD:$AD,$A5&amp;"_"&amp;ALN$11,[1]Futuros!$AK:$AK)+SUMIF([1]Opciones!$AF:$AF,$A5&amp;"_"&amp;ALN$11,[1]Opciones!$AQ:$AQ)</f>
        <v>#VALUE!</v>
      </c>
      <c r="ALO5" t="e">
        <f>+SUMIF([1]Cartera!$R:$R,$A5&amp;"_"&amp;ALO$11,[1]Cartera!$I:$I)+SUMIF([1]Futuros!$AD:$AD,$A5&amp;"_"&amp;ALO$11,[1]Futuros!$AK:$AK)+SUMIF([1]Opciones!$AF:$AF,$A5&amp;"_"&amp;ALO$11,[1]Opciones!$AQ:$AQ)</f>
        <v>#VALUE!</v>
      </c>
      <c r="ALP5" t="e">
        <f>+SUMIF([1]Cartera!$R:$R,$A5&amp;"_"&amp;ALP$11,[1]Cartera!$I:$I)+SUMIF([1]Futuros!$AD:$AD,$A5&amp;"_"&amp;ALP$11,[1]Futuros!$AK:$AK)+SUMIF([1]Opciones!$AF:$AF,$A5&amp;"_"&amp;ALP$11,[1]Opciones!$AQ:$AQ)</f>
        <v>#VALUE!</v>
      </c>
      <c r="ALQ5" t="e">
        <f>+SUMIF([1]Cartera!$R:$R,$A5&amp;"_"&amp;ALQ$11,[1]Cartera!$I:$I)+SUMIF([1]Futuros!$AD:$AD,$A5&amp;"_"&amp;ALQ$11,[1]Futuros!$AK:$AK)+SUMIF([1]Opciones!$AF:$AF,$A5&amp;"_"&amp;ALQ$11,[1]Opciones!$AQ:$AQ)</f>
        <v>#VALUE!</v>
      </c>
      <c r="ALR5" t="e">
        <f>+SUMIF([1]Cartera!$R:$R,$A5&amp;"_"&amp;ALR$11,[1]Cartera!$I:$I)+SUMIF([1]Futuros!$AD:$AD,$A5&amp;"_"&amp;ALR$11,[1]Futuros!$AK:$AK)+SUMIF([1]Opciones!$AF:$AF,$A5&amp;"_"&amp;ALR$11,[1]Opciones!$AQ:$AQ)</f>
        <v>#VALUE!</v>
      </c>
      <c r="ALS5" t="e">
        <f>+SUMIF([1]Cartera!$R:$R,$A5&amp;"_"&amp;ALS$11,[1]Cartera!$I:$I)+SUMIF([1]Futuros!$AD:$AD,$A5&amp;"_"&amp;ALS$11,[1]Futuros!$AK:$AK)+SUMIF([1]Opciones!$AF:$AF,$A5&amp;"_"&amp;ALS$11,[1]Opciones!$AQ:$AQ)</f>
        <v>#VALUE!</v>
      </c>
      <c r="ALT5" t="e">
        <f>+SUMIF([1]Cartera!$R:$R,$A5&amp;"_"&amp;ALT$11,[1]Cartera!$I:$I)+SUMIF([1]Futuros!$AD:$AD,$A5&amp;"_"&amp;ALT$11,[1]Futuros!$AK:$AK)+SUMIF([1]Opciones!$AF:$AF,$A5&amp;"_"&amp;ALT$11,[1]Opciones!$AQ:$AQ)</f>
        <v>#VALUE!</v>
      </c>
      <c r="ALU5" t="e">
        <f>+SUMIF([1]Cartera!$R:$R,$A5&amp;"_"&amp;ALU$11,[1]Cartera!$I:$I)+SUMIF([1]Futuros!$AD:$AD,$A5&amp;"_"&amp;ALU$11,[1]Futuros!$AK:$AK)+SUMIF([1]Opciones!$AF:$AF,$A5&amp;"_"&amp;ALU$11,[1]Opciones!$AQ:$AQ)</f>
        <v>#VALUE!</v>
      </c>
      <c r="ALV5" t="e">
        <f>+SUMIF([1]Cartera!$R:$R,$A5&amp;"_"&amp;ALV$11,[1]Cartera!$I:$I)+SUMIF([1]Futuros!$AD:$AD,$A5&amp;"_"&amp;ALV$11,[1]Futuros!$AK:$AK)+SUMIF([1]Opciones!$AF:$AF,$A5&amp;"_"&amp;ALV$11,[1]Opciones!$AQ:$AQ)</f>
        <v>#VALUE!</v>
      </c>
      <c r="ALW5" t="e">
        <f>+SUMIF([1]Cartera!$R:$R,$A5&amp;"_"&amp;ALW$11,[1]Cartera!$I:$I)+SUMIF([1]Futuros!$AD:$AD,$A5&amp;"_"&amp;ALW$11,[1]Futuros!$AK:$AK)+SUMIF([1]Opciones!$AF:$AF,$A5&amp;"_"&amp;ALW$11,[1]Opciones!$AQ:$AQ)</f>
        <v>#VALUE!</v>
      </c>
      <c r="ALX5" t="e">
        <f>+SUMIF([1]Cartera!$R:$R,$A5&amp;"_"&amp;ALX$11,[1]Cartera!$I:$I)+SUMIF([1]Futuros!$AD:$AD,$A5&amp;"_"&amp;ALX$11,[1]Futuros!$AK:$AK)+SUMIF([1]Opciones!$AF:$AF,$A5&amp;"_"&amp;ALX$11,[1]Opciones!$AQ:$AQ)</f>
        <v>#VALUE!</v>
      </c>
      <c r="ALY5" t="e">
        <f>+SUMIF([1]Cartera!$R:$R,$A5&amp;"_"&amp;ALY$11,[1]Cartera!$I:$I)+SUMIF([1]Futuros!$AD:$AD,$A5&amp;"_"&amp;ALY$11,[1]Futuros!$AK:$AK)+SUMIF([1]Opciones!$AF:$AF,$A5&amp;"_"&amp;ALY$11,[1]Opciones!$AQ:$AQ)</f>
        <v>#VALUE!</v>
      </c>
      <c r="ALZ5" t="e">
        <f>+SUMIF([1]Cartera!$R:$R,$A5&amp;"_"&amp;ALZ$11,[1]Cartera!$I:$I)+SUMIF([1]Futuros!$AD:$AD,$A5&amp;"_"&amp;ALZ$11,[1]Futuros!$AK:$AK)+SUMIF([1]Opciones!$AF:$AF,$A5&amp;"_"&amp;ALZ$11,[1]Opciones!$AQ:$AQ)</f>
        <v>#VALUE!</v>
      </c>
      <c r="AMA5" t="e">
        <f>+SUMIF([1]Cartera!$R:$R,$A5&amp;"_"&amp;AMA$11,[1]Cartera!$I:$I)+SUMIF([1]Futuros!$AD:$AD,$A5&amp;"_"&amp;AMA$11,[1]Futuros!$AK:$AK)+SUMIF([1]Opciones!$AF:$AF,$A5&amp;"_"&amp;AMA$11,[1]Opciones!$AQ:$AQ)</f>
        <v>#VALUE!</v>
      </c>
      <c r="AMB5" t="e">
        <f>+SUMIF([1]Cartera!$R:$R,$A5&amp;"_"&amp;AMB$11,[1]Cartera!$I:$I)+SUMIF([1]Futuros!$AD:$AD,$A5&amp;"_"&amp;AMB$11,[1]Futuros!$AK:$AK)+SUMIF([1]Opciones!$AF:$AF,$A5&amp;"_"&amp;AMB$11,[1]Opciones!$AQ:$AQ)</f>
        <v>#VALUE!</v>
      </c>
      <c r="AMC5" t="e">
        <f>+SUMIF([1]Cartera!$R:$R,$A5&amp;"_"&amp;AMC$11,[1]Cartera!$I:$I)+SUMIF([1]Futuros!$AD:$AD,$A5&amp;"_"&amp;AMC$11,[1]Futuros!$AK:$AK)+SUMIF([1]Opciones!$AF:$AF,$A5&amp;"_"&amp;AMC$11,[1]Opciones!$AQ:$AQ)</f>
        <v>#VALUE!</v>
      </c>
      <c r="AMD5" t="e">
        <f>+SUMIF([1]Cartera!$R:$R,$A5&amp;"_"&amp;AMD$11,[1]Cartera!$I:$I)+SUMIF([1]Futuros!$AD:$AD,$A5&amp;"_"&amp;AMD$11,[1]Futuros!$AK:$AK)+SUMIF([1]Opciones!$AF:$AF,$A5&amp;"_"&amp;AMD$11,[1]Opciones!$AQ:$AQ)</f>
        <v>#VALUE!</v>
      </c>
      <c r="AME5" t="e">
        <f>+SUMIF([1]Cartera!$R:$R,$A5&amp;"_"&amp;AME$11,[1]Cartera!$I:$I)+SUMIF([1]Futuros!$AD:$AD,$A5&amp;"_"&amp;AME$11,[1]Futuros!$AK:$AK)+SUMIF([1]Opciones!$AF:$AF,$A5&amp;"_"&amp;AME$11,[1]Opciones!$AQ:$AQ)</f>
        <v>#VALUE!</v>
      </c>
      <c r="AMF5" t="e">
        <f>+SUMIF([1]Cartera!$R:$R,$A5&amp;"_"&amp;AMF$11,[1]Cartera!$I:$I)+SUMIF([1]Futuros!$AD:$AD,$A5&amp;"_"&amp;AMF$11,[1]Futuros!$AK:$AK)+SUMIF([1]Opciones!$AF:$AF,$A5&amp;"_"&amp;AMF$11,[1]Opciones!$AQ:$AQ)</f>
        <v>#VALUE!</v>
      </c>
      <c r="AMG5" t="e">
        <f>+SUMIF([1]Cartera!$R:$R,$A5&amp;"_"&amp;AMG$11,[1]Cartera!$I:$I)+SUMIF([1]Futuros!$AD:$AD,$A5&amp;"_"&amp;AMG$11,[1]Futuros!$AK:$AK)+SUMIF([1]Opciones!$AF:$AF,$A5&amp;"_"&amp;AMG$11,[1]Opciones!$AQ:$AQ)</f>
        <v>#VALUE!</v>
      </c>
      <c r="AMH5" t="e">
        <f>+SUMIF([1]Cartera!$R:$R,$A5&amp;"_"&amp;AMH$11,[1]Cartera!$I:$I)+SUMIF([1]Futuros!$AD:$AD,$A5&amp;"_"&amp;AMH$11,[1]Futuros!$AK:$AK)+SUMIF([1]Opciones!$AF:$AF,$A5&amp;"_"&amp;AMH$11,[1]Opciones!$AQ:$AQ)</f>
        <v>#VALUE!</v>
      </c>
      <c r="AMI5" t="e">
        <f>+SUMIF([1]Cartera!$R:$R,$A5&amp;"_"&amp;AMI$11,[1]Cartera!$I:$I)+SUMIF([1]Futuros!$AD:$AD,$A5&amp;"_"&amp;AMI$11,[1]Futuros!$AK:$AK)+SUMIF([1]Opciones!$AF:$AF,$A5&amp;"_"&amp;AMI$11,[1]Opciones!$AQ:$AQ)</f>
        <v>#VALUE!</v>
      </c>
      <c r="AMJ5" t="e">
        <f>+SUMIF([1]Cartera!$R:$R,$A5&amp;"_"&amp;AMJ$11,[1]Cartera!$I:$I)+SUMIF([1]Futuros!$AD:$AD,$A5&amp;"_"&amp;AMJ$11,[1]Futuros!$AK:$AK)+SUMIF([1]Opciones!$AF:$AF,$A5&amp;"_"&amp;AMJ$11,[1]Opciones!$AQ:$AQ)</f>
        <v>#VALUE!</v>
      </c>
      <c r="AMK5" t="e">
        <f>+SUMIF([1]Cartera!$R:$R,$A5&amp;"_"&amp;AMK$11,[1]Cartera!$I:$I)+SUMIF([1]Futuros!$AD:$AD,$A5&amp;"_"&amp;AMK$11,[1]Futuros!$AK:$AK)+SUMIF([1]Opciones!$AF:$AF,$A5&amp;"_"&amp;AMK$11,[1]Opciones!$AQ:$AQ)</f>
        <v>#VALUE!</v>
      </c>
      <c r="AML5" t="e">
        <f>+SUMIF([1]Cartera!$R:$R,$A5&amp;"_"&amp;AML$11,[1]Cartera!$I:$I)+SUMIF([1]Futuros!$AD:$AD,$A5&amp;"_"&amp;AML$11,[1]Futuros!$AK:$AK)+SUMIF([1]Opciones!$AF:$AF,$A5&amp;"_"&amp;AML$11,[1]Opciones!$AQ:$AQ)</f>
        <v>#VALUE!</v>
      </c>
      <c r="AMM5" t="e">
        <f>+SUMIF([1]Cartera!$R:$R,$A5&amp;"_"&amp;AMM$11,[1]Cartera!$I:$I)+SUMIF([1]Futuros!$AD:$AD,$A5&amp;"_"&amp;AMM$11,[1]Futuros!$AK:$AK)+SUMIF([1]Opciones!$AF:$AF,$A5&amp;"_"&amp;AMM$11,[1]Opciones!$AQ:$AQ)</f>
        <v>#VALUE!</v>
      </c>
      <c r="AMN5" t="e">
        <f>+SUMIF([1]Cartera!$R:$R,$A5&amp;"_"&amp;AMN$11,[1]Cartera!$I:$I)+SUMIF([1]Futuros!$AD:$AD,$A5&amp;"_"&amp;AMN$11,[1]Futuros!$AK:$AK)+SUMIF([1]Opciones!$AF:$AF,$A5&amp;"_"&amp;AMN$11,[1]Opciones!$AQ:$AQ)</f>
        <v>#VALUE!</v>
      </c>
      <c r="AMO5" t="e">
        <f>+SUMIF([1]Cartera!$R:$R,$A5&amp;"_"&amp;AMO$11,[1]Cartera!$I:$I)+SUMIF([1]Futuros!$AD:$AD,$A5&amp;"_"&amp;AMO$11,[1]Futuros!$AK:$AK)+SUMIF([1]Opciones!$AF:$AF,$A5&amp;"_"&amp;AMO$11,[1]Opciones!$AQ:$AQ)</f>
        <v>#VALUE!</v>
      </c>
      <c r="AMP5" t="e">
        <f>+SUMIF([1]Cartera!$R:$R,$A5&amp;"_"&amp;AMP$11,[1]Cartera!$I:$I)+SUMIF([1]Futuros!$AD:$AD,$A5&amp;"_"&amp;AMP$11,[1]Futuros!$AK:$AK)+SUMIF([1]Opciones!$AF:$AF,$A5&amp;"_"&amp;AMP$11,[1]Opciones!$AQ:$AQ)</f>
        <v>#VALUE!</v>
      </c>
      <c r="AMQ5" t="e">
        <f>+SUMIF([1]Cartera!$R:$R,$A5&amp;"_"&amp;AMQ$11,[1]Cartera!$I:$I)+SUMIF([1]Futuros!$AD:$AD,$A5&amp;"_"&amp;AMQ$11,[1]Futuros!$AK:$AK)+SUMIF([1]Opciones!$AF:$AF,$A5&amp;"_"&amp;AMQ$11,[1]Opciones!$AQ:$AQ)</f>
        <v>#VALUE!</v>
      </c>
      <c r="AMR5" t="e">
        <f>+SUMIF([1]Cartera!$R:$R,$A5&amp;"_"&amp;AMR$11,[1]Cartera!$I:$I)+SUMIF([1]Futuros!$AD:$AD,$A5&amp;"_"&amp;AMR$11,[1]Futuros!$AK:$AK)+SUMIF([1]Opciones!$AF:$AF,$A5&amp;"_"&amp;AMR$11,[1]Opciones!$AQ:$AQ)</f>
        <v>#VALUE!</v>
      </c>
      <c r="AMS5" t="e">
        <f>+SUMIF([1]Cartera!$R:$R,$A5&amp;"_"&amp;AMS$11,[1]Cartera!$I:$I)+SUMIF([1]Futuros!$AD:$AD,$A5&amp;"_"&amp;AMS$11,[1]Futuros!$AK:$AK)+SUMIF([1]Opciones!$AF:$AF,$A5&amp;"_"&amp;AMS$11,[1]Opciones!$AQ:$AQ)</f>
        <v>#VALUE!</v>
      </c>
      <c r="AMT5" t="e">
        <f>+SUMIF([1]Cartera!$R:$R,$A5&amp;"_"&amp;AMT$11,[1]Cartera!$I:$I)+SUMIF([1]Futuros!$AD:$AD,$A5&amp;"_"&amp;AMT$11,[1]Futuros!$AK:$AK)+SUMIF([1]Opciones!$AF:$AF,$A5&amp;"_"&amp;AMT$11,[1]Opciones!$AQ:$AQ)</f>
        <v>#VALUE!</v>
      </c>
      <c r="AMU5" t="e">
        <f>+SUMIF([1]Cartera!$R:$R,$A5&amp;"_"&amp;AMU$11,[1]Cartera!$I:$I)+SUMIF([1]Futuros!$AD:$AD,$A5&amp;"_"&amp;AMU$11,[1]Futuros!$AK:$AK)+SUMIF([1]Opciones!$AF:$AF,$A5&amp;"_"&amp;AMU$11,[1]Opciones!$AQ:$AQ)</f>
        <v>#VALUE!</v>
      </c>
      <c r="AMV5" t="e">
        <f>+SUMIF([1]Cartera!$R:$R,$A5&amp;"_"&amp;AMV$11,[1]Cartera!$I:$I)+SUMIF([1]Futuros!$AD:$AD,$A5&amp;"_"&amp;AMV$11,[1]Futuros!$AK:$AK)+SUMIF([1]Opciones!$AF:$AF,$A5&amp;"_"&amp;AMV$11,[1]Opciones!$AQ:$AQ)</f>
        <v>#VALUE!</v>
      </c>
      <c r="AMW5" t="e">
        <f>+SUMIF([1]Cartera!$R:$R,$A5&amp;"_"&amp;AMW$11,[1]Cartera!$I:$I)+SUMIF([1]Futuros!$AD:$AD,$A5&amp;"_"&amp;AMW$11,[1]Futuros!$AK:$AK)+SUMIF([1]Opciones!$AF:$AF,$A5&amp;"_"&amp;AMW$11,[1]Opciones!$AQ:$AQ)</f>
        <v>#VALUE!</v>
      </c>
      <c r="AMX5" t="e">
        <f>+SUMIF([1]Cartera!$R:$R,$A5&amp;"_"&amp;AMX$11,[1]Cartera!$I:$I)+SUMIF([1]Futuros!$AD:$AD,$A5&amp;"_"&amp;AMX$11,[1]Futuros!$AK:$AK)+SUMIF([1]Opciones!$AF:$AF,$A5&amp;"_"&amp;AMX$11,[1]Opciones!$AQ:$AQ)</f>
        <v>#VALUE!</v>
      </c>
      <c r="AMY5" t="e">
        <f>+SUMIF([1]Cartera!$R:$R,$A5&amp;"_"&amp;AMY$11,[1]Cartera!$I:$I)+SUMIF([1]Futuros!$AD:$AD,$A5&amp;"_"&amp;AMY$11,[1]Futuros!$AK:$AK)+SUMIF([1]Opciones!$AF:$AF,$A5&amp;"_"&amp;AMY$11,[1]Opciones!$AQ:$AQ)</f>
        <v>#VALUE!</v>
      </c>
      <c r="AMZ5" t="e">
        <f>+SUMIF([1]Cartera!$R:$R,$A5&amp;"_"&amp;AMZ$11,[1]Cartera!$I:$I)+SUMIF([1]Futuros!$AD:$AD,$A5&amp;"_"&amp;AMZ$11,[1]Futuros!$AK:$AK)+SUMIF([1]Opciones!$AF:$AF,$A5&amp;"_"&amp;AMZ$11,[1]Opciones!$AQ:$AQ)</f>
        <v>#VALUE!</v>
      </c>
      <c r="ANA5" t="e">
        <f>+SUMIF([1]Cartera!$R:$R,$A5&amp;"_"&amp;ANA$11,[1]Cartera!$I:$I)+SUMIF([1]Futuros!$AD:$AD,$A5&amp;"_"&amp;ANA$11,[1]Futuros!$AK:$AK)+SUMIF([1]Opciones!$AF:$AF,$A5&amp;"_"&amp;ANA$11,[1]Opciones!$AQ:$AQ)</f>
        <v>#VALUE!</v>
      </c>
      <c r="ANB5" t="e">
        <f>+SUMIF([1]Cartera!$R:$R,$A5&amp;"_"&amp;ANB$11,[1]Cartera!$I:$I)+SUMIF([1]Futuros!$AD:$AD,$A5&amp;"_"&amp;ANB$11,[1]Futuros!$AK:$AK)+SUMIF([1]Opciones!$AF:$AF,$A5&amp;"_"&amp;ANB$11,[1]Opciones!$AQ:$AQ)</f>
        <v>#VALUE!</v>
      </c>
      <c r="ANC5" t="e">
        <f>+SUMIF([1]Cartera!$R:$R,$A5&amp;"_"&amp;ANC$11,[1]Cartera!$I:$I)+SUMIF([1]Futuros!$AD:$AD,$A5&amp;"_"&amp;ANC$11,[1]Futuros!$AK:$AK)+SUMIF([1]Opciones!$AF:$AF,$A5&amp;"_"&amp;ANC$11,[1]Opciones!$AQ:$AQ)</f>
        <v>#VALUE!</v>
      </c>
      <c r="AND5" t="e">
        <f>+SUMIF([1]Cartera!$R:$R,$A5&amp;"_"&amp;AND$11,[1]Cartera!$I:$I)+SUMIF([1]Futuros!$AD:$AD,$A5&amp;"_"&amp;AND$11,[1]Futuros!$AK:$AK)+SUMIF([1]Opciones!$AF:$AF,$A5&amp;"_"&amp;AND$11,[1]Opciones!$AQ:$AQ)</f>
        <v>#VALUE!</v>
      </c>
      <c r="ANE5" t="e">
        <f>+SUMIF([1]Cartera!$R:$R,$A5&amp;"_"&amp;ANE$11,[1]Cartera!$I:$I)+SUMIF([1]Futuros!$AD:$AD,$A5&amp;"_"&amp;ANE$11,[1]Futuros!$AK:$AK)+SUMIF([1]Opciones!$AF:$AF,$A5&amp;"_"&amp;ANE$11,[1]Opciones!$AQ:$AQ)</f>
        <v>#VALUE!</v>
      </c>
      <c r="ANF5" t="e">
        <f>+SUMIF([1]Cartera!$R:$R,$A5&amp;"_"&amp;ANF$11,[1]Cartera!$I:$I)+SUMIF([1]Futuros!$AD:$AD,$A5&amp;"_"&amp;ANF$11,[1]Futuros!$AK:$AK)+SUMIF([1]Opciones!$AF:$AF,$A5&amp;"_"&amp;ANF$11,[1]Opciones!$AQ:$AQ)</f>
        <v>#VALUE!</v>
      </c>
      <c r="ANG5" t="e">
        <f>+SUMIF([1]Cartera!$R:$R,$A5&amp;"_"&amp;ANG$11,[1]Cartera!$I:$I)+SUMIF([1]Futuros!$AD:$AD,$A5&amp;"_"&amp;ANG$11,[1]Futuros!$AK:$AK)+SUMIF([1]Opciones!$AF:$AF,$A5&amp;"_"&amp;ANG$11,[1]Opciones!$AQ:$AQ)</f>
        <v>#VALUE!</v>
      </c>
      <c r="ANH5" t="e">
        <f>+SUMIF([1]Cartera!$R:$R,$A5&amp;"_"&amp;ANH$11,[1]Cartera!$I:$I)+SUMIF([1]Futuros!$AD:$AD,$A5&amp;"_"&amp;ANH$11,[1]Futuros!$AK:$AK)+SUMIF([1]Opciones!$AF:$AF,$A5&amp;"_"&amp;ANH$11,[1]Opciones!$AQ:$AQ)</f>
        <v>#VALUE!</v>
      </c>
      <c r="ANI5" t="e">
        <f>+SUMIF([1]Cartera!$R:$R,$A5&amp;"_"&amp;ANI$11,[1]Cartera!$I:$I)+SUMIF([1]Futuros!$AD:$AD,$A5&amp;"_"&amp;ANI$11,[1]Futuros!$AK:$AK)+SUMIF([1]Opciones!$AF:$AF,$A5&amp;"_"&amp;ANI$11,[1]Opciones!$AQ:$AQ)</f>
        <v>#VALUE!</v>
      </c>
      <c r="ANJ5" t="e">
        <f>+SUMIF([1]Cartera!$R:$R,$A5&amp;"_"&amp;ANJ$11,[1]Cartera!$I:$I)+SUMIF([1]Futuros!$AD:$AD,$A5&amp;"_"&amp;ANJ$11,[1]Futuros!$AK:$AK)+SUMIF([1]Opciones!$AF:$AF,$A5&amp;"_"&amp;ANJ$11,[1]Opciones!$AQ:$AQ)</f>
        <v>#VALUE!</v>
      </c>
      <c r="ANK5" t="e">
        <f>+SUMIF([1]Cartera!$R:$R,$A5&amp;"_"&amp;ANK$11,[1]Cartera!$I:$I)+SUMIF([1]Futuros!$AD:$AD,$A5&amp;"_"&amp;ANK$11,[1]Futuros!$AK:$AK)+SUMIF([1]Opciones!$AF:$AF,$A5&amp;"_"&amp;ANK$11,[1]Opciones!$AQ:$AQ)</f>
        <v>#VALUE!</v>
      </c>
      <c r="ANL5" t="e">
        <f>+SUMIF([1]Cartera!$R:$R,$A5&amp;"_"&amp;ANL$11,[1]Cartera!$I:$I)+SUMIF([1]Futuros!$AD:$AD,$A5&amp;"_"&amp;ANL$11,[1]Futuros!$AK:$AK)+SUMIF([1]Opciones!$AF:$AF,$A5&amp;"_"&amp;ANL$11,[1]Opciones!$AQ:$AQ)</f>
        <v>#VALUE!</v>
      </c>
      <c r="ANM5" t="e">
        <f>+SUMIF([1]Cartera!$R:$R,$A5&amp;"_"&amp;ANM$11,[1]Cartera!$I:$I)+SUMIF([1]Futuros!$AD:$AD,$A5&amp;"_"&amp;ANM$11,[1]Futuros!$AK:$AK)+SUMIF([1]Opciones!$AF:$AF,$A5&amp;"_"&amp;ANM$11,[1]Opciones!$AQ:$AQ)</f>
        <v>#VALUE!</v>
      </c>
      <c r="ANN5" t="e">
        <f>+SUMIF([1]Cartera!$R:$R,$A5&amp;"_"&amp;ANN$11,[1]Cartera!$I:$I)+SUMIF([1]Futuros!$AD:$AD,$A5&amp;"_"&amp;ANN$11,[1]Futuros!$AK:$AK)+SUMIF([1]Opciones!$AF:$AF,$A5&amp;"_"&amp;ANN$11,[1]Opciones!$AQ:$AQ)</f>
        <v>#VALUE!</v>
      </c>
      <c r="ANO5" t="e">
        <f>+SUMIF([1]Cartera!$R:$R,$A5&amp;"_"&amp;ANO$11,[1]Cartera!$I:$I)+SUMIF([1]Futuros!$AD:$AD,$A5&amp;"_"&amp;ANO$11,[1]Futuros!$AK:$AK)+SUMIF([1]Opciones!$AF:$AF,$A5&amp;"_"&amp;ANO$11,[1]Opciones!$AQ:$AQ)</f>
        <v>#VALUE!</v>
      </c>
      <c r="ANP5" t="e">
        <f>+SUMIF([1]Cartera!$R:$R,$A5&amp;"_"&amp;ANP$11,[1]Cartera!$I:$I)+SUMIF([1]Futuros!$AD:$AD,$A5&amp;"_"&amp;ANP$11,[1]Futuros!$AK:$AK)+SUMIF([1]Opciones!$AF:$AF,$A5&amp;"_"&amp;ANP$11,[1]Opciones!$AQ:$AQ)</f>
        <v>#VALUE!</v>
      </c>
      <c r="ANQ5" t="e">
        <f>+SUMIF([1]Cartera!$R:$R,$A5&amp;"_"&amp;ANQ$11,[1]Cartera!$I:$I)+SUMIF([1]Futuros!$AD:$AD,$A5&amp;"_"&amp;ANQ$11,[1]Futuros!$AK:$AK)+SUMIF([1]Opciones!$AF:$AF,$A5&amp;"_"&amp;ANQ$11,[1]Opciones!$AQ:$AQ)</f>
        <v>#VALUE!</v>
      </c>
      <c r="ANR5" t="e">
        <f>+SUMIF([1]Cartera!$R:$R,$A5&amp;"_"&amp;ANR$11,[1]Cartera!$I:$I)+SUMIF([1]Futuros!$AD:$AD,$A5&amp;"_"&amp;ANR$11,[1]Futuros!$AK:$AK)+SUMIF([1]Opciones!$AF:$AF,$A5&amp;"_"&amp;ANR$11,[1]Opciones!$AQ:$AQ)</f>
        <v>#VALUE!</v>
      </c>
      <c r="ANS5" t="e">
        <f>+SUMIF([1]Cartera!$R:$R,$A5&amp;"_"&amp;ANS$11,[1]Cartera!$I:$I)+SUMIF([1]Futuros!$AD:$AD,$A5&amp;"_"&amp;ANS$11,[1]Futuros!$AK:$AK)+SUMIF([1]Opciones!$AF:$AF,$A5&amp;"_"&amp;ANS$11,[1]Opciones!$AQ:$AQ)</f>
        <v>#VALUE!</v>
      </c>
      <c r="ANT5" t="e">
        <f>+SUMIF([1]Cartera!$R:$R,$A5&amp;"_"&amp;ANT$11,[1]Cartera!$I:$I)+SUMIF([1]Futuros!$AD:$AD,$A5&amp;"_"&amp;ANT$11,[1]Futuros!$AK:$AK)+SUMIF([1]Opciones!$AF:$AF,$A5&amp;"_"&amp;ANT$11,[1]Opciones!$AQ:$AQ)</f>
        <v>#VALUE!</v>
      </c>
      <c r="ANU5" t="e">
        <f>+SUMIF([1]Cartera!$R:$R,$A5&amp;"_"&amp;ANU$11,[1]Cartera!$I:$I)+SUMIF([1]Futuros!$AD:$AD,$A5&amp;"_"&amp;ANU$11,[1]Futuros!$AK:$AK)+SUMIF([1]Opciones!$AF:$AF,$A5&amp;"_"&amp;ANU$11,[1]Opciones!$AQ:$AQ)</f>
        <v>#VALUE!</v>
      </c>
      <c r="ANV5" t="e">
        <f>+SUMIF([1]Cartera!$R:$R,$A5&amp;"_"&amp;ANV$11,[1]Cartera!$I:$I)+SUMIF([1]Futuros!$AD:$AD,$A5&amp;"_"&amp;ANV$11,[1]Futuros!$AK:$AK)+SUMIF([1]Opciones!$AF:$AF,$A5&amp;"_"&amp;ANV$11,[1]Opciones!$AQ:$AQ)</f>
        <v>#VALUE!</v>
      </c>
      <c r="ANW5" t="e">
        <f>+SUMIF([1]Cartera!$R:$R,$A5&amp;"_"&amp;ANW$11,[1]Cartera!$I:$I)+SUMIF([1]Futuros!$AD:$AD,$A5&amp;"_"&amp;ANW$11,[1]Futuros!$AK:$AK)+SUMIF([1]Opciones!$AF:$AF,$A5&amp;"_"&amp;ANW$11,[1]Opciones!$AQ:$AQ)</f>
        <v>#VALUE!</v>
      </c>
      <c r="ANX5" t="e">
        <f>+SUMIF([1]Cartera!$R:$R,$A5&amp;"_"&amp;ANX$11,[1]Cartera!$I:$I)+SUMIF([1]Futuros!$AD:$AD,$A5&amp;"_"&amp;ANX$11,[1]Futuros!$AK:$AK)+SUMIF([1]Opciones!$AF:$AF,$A5&amp;"_"&amp;ANX$11,[1]Opciones!$AQ:$AQ)</f>
        <v>#VALUE!</v>
      </c>
      <c r="ANY5" t="e">
        <f>+SUMIF([1]Cartera!$R:$R,$A5&amp;"_"&amp;ANY$11,[1]Cartera!$I:$I)+SUMIF([1]Futuros!$AD:$AD,$A5&amp;"_"&amp;ANY$11,[1]Futuros!$AK:$AK)+SUMIF([1]Opciones!$AF:$AF,$A5&amp;"_"&amp;ANY$11,[1]Opciones!$AQ:$AQ)</f>
        <v>#VALUE!</v>
      </c>
      <c r="ANZ5" t="e">
        <f>+SUMIF([1]Cartera!$R:$R,$A5&amp;"_"&amp;ANZ$11,[1]Cartera!$I:$I)+SUMIF([1]Futuros!$AD:$AD,$A5&amp;"_"&amp;ANZ$11,[1]Futuros!$AK:$AK)+SUMIF([1]Opciones!$AF:$AF,$A5&amp;"_"&amp;ANZ$11,[1]Opciones!$AQ:$AQ)</f>
        <v>#VALUE!</v>
      </c>
      <c r="AOA5" t="e">
        <f>+SUMIF([1]Cartera!$R:$R,$A5&amp;"_"&amp;AOA$11,[1]Cartera!$I:$I)+SUMIF([1]Futuros!$AD:$AD,$A5&amp;"_"&amp;AOA$11,[1]Futuros!$AK:$AK)+SUMIF([1]Opciones!$AF:$AF,$A5&amp;"_"&amp;AOA$11,[1]Opciones!$AQ:$AQ)</f>
        <v>#VALUE!</v>
      </c>
      <c r="AOB5" t="e">
        <f>+SUMIF([1]Cartera!$R:$R,$A5&amp;"_"&amp;AOB$11,[1]Cartera!$I:$I)+SUMIF([1]Futuros!$AD:$AD,$A5&amp;"_"&amp;AOB$11,[1]Futuros!$AK:$AK)+SUMIF([1]Opciones!$AF:$AF,$A5&amp;"_"&amp;AOB$11,[1]Opciones!$AQ:$AQ)</f>
        <v>#VALUE!</v>
      </c>
      <c r="AOC5" t="e">
        <f>+SUMIF([1]Cartera!$R:$R,$A5&amp;"_"&amp;AOC$11,[1]Cartera!$I:$I)+SUMIF([1]Futuros!$AD:$AD,$A5&amp;"_"&amp;AOC$11,[1]Futuros!$AK:$AK)+SUMIF([1]Opciones!$AF:$AF,$A5&amp;"_"&amp;AOC$11,[1]Opciones!$AQ:$AQ)</f>
        <v>#VALUE!</v>
      </c>
      <c r="AOD5" t="e">
        <f>+SUMIF([1]Cartera!$R:$R,$A5&amp;"_"&amp;AOD$11,[1]Cartera!$I:$I)+SUMIF([1]Futuros!$AD:$AD,$A5&amp;"_"&amp;AOD$11,[1]Futuros!$AK:$AK)+SUMIF([1]Opciones!$AF:$AF,$A5&amp;"_"&amp;AOD$11,[1]Opciones!$AQ:$AQ)</f>
        <v>#VALUE!</v>
      </c>
      <c r="AOE5" t="e">
        <f>+SUMIF([1]Cartera!$R:$R,$A5&amp;"_"&amp;AOE$11,[1]Cartera!$I:$I)+SUMIF([1]Futuros!$AD:$AD,$A5&amp;"_"&amp;AOE$11,[1]Futuros!$AK:$AK)+SUMIF([1]Opciones!$AF:$AF,$A5&amp;"_"&amp;AOE$11,[1]Opciones!$AQ:$AQ)</f>
        <v>#VALUE!</v>
      </c>
      <c r="AOF5" t="e">
        <f>+SUMIF([1]Cartera!$R:$R,$A5&amp;"_"&amp;AOF$11,[1]Cartera!$I:$I)+SUMIF([1]Futuros!$AD:$AD,$A5&amp;"_"&amp;AOF$11,[1]Futuros!$AK:$AK)+SUMIF([1]Opciones!$AF:$AF,$A5&amp;"_"&amp;AOF$11,[1]Opciones!$AQ:$AQ)</f>
        <v>#VALUE!</v>
      </c>
      <c r="AOG5" t="e">
        <f>+SUMIF([1]Cartera!$R:$R,$A5&amp;"_"&amp;AOG$11,[1]Cartera!$I:$I)+SUMIF([1]Futuros!$AD:$AD,$A5&amp;"_"&amp;AOG$11,[1]Futuros!$AK:$AK)+SUMIF([1]Opciones!$AF:$AF,$A5&amp;"_"&amp;AOG$11,[1]Opciones!$AQ:$AQ)</f>
        <v>#VALUE!</v>
      </c>
      <c r="AOH5" t="e">
        <f>+SUMIF([1]Cartera!$R:$R,$A5&amp;"_"&amp;AOH$11,[1]Cartera!$I:$I)+SUMIF([1]Futuros!$AD:$AD,$A5&amp;"_"&amp;AOH$11,[1]Futuros!$AK:$AK)+SUMIF([1]Opciones!$AF:$AF,$A5&amp;"_"&amp;AOH$11,[1]Opciones!$AQ:$AQ)</f>
        <v>#VALUE!</v>
      </c>
      <c r="AOI5" t="e">
        <f>+SUMIF([1]Cartera!$R:$R,$A5&amp;"_"&amp;AOI$11,[1]Cartera!$I:$I)+SUMIF([1]Futuros!$AD:$AD,$A5&amp;"_"&amp;AOI$11,[1]Futuros!$AK:$AK)+SUMIF([1]Opciones!$AF:$AF,$A5&amp;"_"&amp;AOI$11,[1]Opciones!$AQ:$AQ)</f>
        <v>#VALUE!</v>
      </c>
      <c r="AOJ5" t="e">
        <f>+SUMIF([1]Cartera!$R:$R,$A5&amp;"_"&amp;AOJ$11,[1]Cartera!$I:$I)+SUMIF([1]Futuros!$AD:$AD,$A5&amp;"_"&amp;AOJ$11,[1]Futuros!$AK:$AK)+SUMIF([1]Opciones!$AF:$AF,$A5&amp;"_"&amp;AOJ$11,[1]Opciones!$AQ:$AQ)</f>
        <v>#VALUE!</v>
      </c>
      <c r="AOK5" t="e">
        <f>+SUMIF([1]Cartera!$R:$R,$A5&amp;"_"&amp;AOK$11,[1]Cartera!$I:$I)+SUMIF([1]Futuros!$AD:$AD,$A5&amp;"_"&amp;AOK$11,[1]Futuros!$AK:$AK)+SUMIF([1]Opciones!$AF:$AF,$A5&amp;"_"&amp;AOK$11,[1]Opciones!$AQ:$AQ)</f>
        <v>#VALUE!</v>
      </c>
      <c r="AOL5" t="e">
        <f>+SUMIF([1]Cartera!$R:$R,$A5&amp;"_"&amp;AOL$11,[1]Cartera!$I:$I)+SUMIF([1]Futuros!$AD:$AD,$A5&amp;"_"&amp;AOL$11,[1]Futuros!$AK:$AK)+SUMIF([1]Opciones!$AF:$AF,$A5&amp;"_"&amp;AOL$11,[1]Opciones!$AQ:$AQ)</f>
        <v>#VALUE!</v>
      </c>
      <c r="AOM5" t="e">
        <f>+SUMIF([1]Cartera!$R:$R,$A5&amp;"_"&amp;AOM$11,[1]Cartera!$I:$I)+SUMIF([1]Futuros!$AD:$AD,$A5&amp;"_"&amp;AOM$11,[1]Futuros!$AK:$AK)+SUMIF([1]Opciones!$AF:$AF,$A5&amp;"_"&amp;AOM$11,[1]Opciones!$AQ:$AQ)</f>
        <v>#VALUE!</v>
      </c>
      <c r="AON5" t="e">
        <f>+SUMIF([1]Cartera!$R:$R,$A5&amp;"_"&amp;AON$11,[1]Cartera!$I:$I)+SUMIF([1]Futuros!$AD:$AD,$A5&amp;"_"&amp;AON$11,[1]Futuros!$AK:$AK)+SUMIF([1]Opciones!$AF:$AF,$A5&amp;"_"&amp;AON$11,[1]Opciones!$AQ:$AQ)</f>
        <v>#VALUE!</v>
      </c>
      <c r="AOO5" t="e">
        <f>+SUMIF([1]Cartera!$R:$R,$A5&amp;"_"&amp;AOO$11,[1]Cartera!$I:$I)+SUMIF([1]Futuros!$AD:$AD,$A5&amp;"_"&amp;AOO$11,[1]Futuros!$AK:$AK)+SUMIF([1]Opciones!$AF:$AF,$A5&amp;"_"&amp;AOO$11,[1]Opciones!$AQ:$AQ)</f>
        <v>#VALUE!</v>
      </c>
      <c r="AOP5" t="e">
        <f>+SUMIF([1]Cartera!$R:$R,$A5&amp;"_"&amp;AOP$11,[1]Cartera!$I:$I)+SUMIF([1]Futuros!$AD:$AD,$A5&amp;"_"&amp;AOP$11,[1]Futuros!$AK:$AK)+SUMIF([1]Opciones!$AF:$AF,$A5&amp;"_"&amp;AOP$11,[1]Opciones!$AQ:$AQ)</f>
        <v>#VALUE!</v>
      </c>
      <c r="AOQ5" t="e">
        <f>+SUMIF([1]Cartera!$R:$R,$A5&amp;"_"&amp;AOQ$11,[1]Cartera!$I:$I)+SUMIF([1]Futuros!$AD:$AD,$A5&amp;"_"&amp;AOQ$11,[1]Futuros!$AK:$AK)+SUMIF([1]Opciones!$AF:$AF,$A5&amp;"_"&amp;AOQ$11,[1]Opciones!$AQ:$AQ)</f>
        <v>#VALUE!</v>
      </c>
      <c r="AOR5" t="e">
        <f>+SUMIF([1]Cartera!$R:$R,$A5&amp;"_"&amp;AOR$11,[1]Cartera!$I:$I)+SUMIF([1]Futuros!$AD:$AD,$A5&amp;"_"&amp;AOR$11,[1]Futuros!$AK:$AK)+SUMIF([1]Opciones!$AF:$AF,$A5&amp;"_"&amp;AOR$11,[1]Opciones!$AQ:$AQ)</f>
        <v>#VALUE!</v>
      </c>
      <c r="AOS5" t="e">
        <f>+SUMIF([1]Cartera!$R:$R,$A5&amp;"_"&amp;AOS$11,[1]Cartera!$I:$I)+SUMIF([1]Futuros!$AD:$AD,$A5&amp;"_"&amp;AOS$11,[1]Futuros!$AK:$AK)+SUMIF([1]Opciones!$AF:$AF,$A5&amp;"_"&amp;AOS$11,[1]Opciones!$AQ:$AQ)</f>
        <v>#VALUE!</v>
      </c>
      <c r="AOT5" t="e">
        <f>+SUMIF([1]Cartera!$R:$R,$A5&amp;"_"&amp;AOT$11,[1]Cartera!$I:$I)+SUMIF([1]Futuros!$AD:$AD,$A5&amp;"_"&amp;AOT$11,[1]Futuros!$AK:$AK)+SUMIF([1]Opciones!$AF:$AF,$A5&amp;"_"&amp;AOT$11,[1]Opciones!$AQ:$AQ)</f>
        <v>#VALUE!</v>
      </c>
      <c r="AOU5" t="e">
        <f>+SUMIF([1]Cartera!$R:$R,$A5&amp;"_"&amp;AOU$11,[1]Cartera!$I:$I)+SUMIF([1]Futuros!$AD:$AD,$A5&amp;"_"&amp;AOU$11,[1]Futuros!$AK:$AK)+SUMIF([1]Opciones!$AF:$AF,$A5&amp;"_"&amp;AOU$11,[1]Opciones!$AQ:$AQ)</f>
        <v>#VALUE!</v>
      </c>
      <c r="AOV5" t="e">
        <f>+SUMIF([1]Cartera!$R:$R,$A5&amp;"_"&amp;AOV$11,[1]Cartera!$I:$I)+SUMIF([1]Futuros!$AD:$AD,$A5&amp;"_"&amp;AOV$11,[1]Futuros!$AK:$AK)+SUMIF([1]Opciones!$AF:$AF,$A5&amp;"_"&amp;AOV$11,[1]Opciones!$AQ:$AQ)</f>
        <v>#VALUE!</v>
      </c>
      <c r="AOW5" t="e">
        <f>+SUMIF([1]Cartera!$R:$R,$A5&amp;"_"&amp;AOW$11,[1]Cartera!$I:$I)+SUMIF([1]Futuros!$AD:$AD,$A5&amp;"_"&amp;AOW$11,[1]Futuros!$AK:$AK)+SUMIF([1]Opciones!$AF:$AF,$A5&amp;"_"&amp;AOW$11,[1]Opciones!$AQ:$AQ)</f>
        <v>#VALUE!</v>
      </c>
      <c r="AOX5" t="e">
        <f>+SUMIF([1]Cartera!$R:$R,$A5&amp;"_"&amp;AOX$11,[1]Cartera!$I:$I)+SUMIF([1]Futuros!$AD:$AD,$A5&amp;"_"&amp;AOX$11,[1]Futuros!$AK:$AK)+SUMIF([1]Opciones!$AF:$AF,$A5&amp;"_"&amp;AOX$11,[1]Opciones!$AQ:$AQ)</f>
        <v>#VALUE!</v>
      </c>
      <c r="AOY5" t="e">
        <f>+SUMIF([1]Cartera!$R:$R,$A5&amp;"_"&amp;AOY$11,[1]Cartera!$I:$I)+SUMIF([1]Futuros!$AD:$AD,$A5&amp;"_"&amp;AOY$11,[1]Futuros!$AK:$AK)+SUMIF([1]Opciones!$AF:$AF,$A5&amp;"_"&amp;AOY$11,[1]Opciones!$AQ:$AQ)</f>
        <v>#VALUE!</v>
      </c>
      <c r="AOZ5" t="e">
        <f>+SUMIF([1]Cartera!$R:$R,$A5&amp;"_"&amp;AOZ$11,[1]Cartera!$I:$I)+SUMIF([1]Futuros!$AD:$AD,$A5&amp;"_"&amp;AOZ$11,[1]Futuros!$AK:$AK)+SUMIF([1]Opciones!$AF:$AF,$A5&amp;"_"&amp;AOZ$11,[1]Opciones!$AQ:$AQ)</f>
        <v>#VALUE!</v>
      </c>
      <c r="APA5" t="e">
        <f>+SUMIF([1]Cartera!$R:$R,$A5&amp;"_"&amp;APA$11,[1]Cartera!$I:$I)+SUMIF([1]Futuros!$AD:$AD,$A5&amp;"_"&amp;APA$11,[1]Futuros!$AK:$AK)+SUMIF([1]Opciones!$AF:$AF,$A5&amp;"_"&amp;APA$11,[1]Opciones!$AQ:$AQ)</f>
        <v>#VALUE!</v>
      </c>
      <c r="APB5" t="e">
        <f>+SUMIF([1]Cartera!$R:$R,$A5&amp;"_"&amp;APB$11,[1]Cartera!$I:$I)+SUMIF([1]Futuros!$AD:$AD,$A5&amp;"_"&amp;APB$11,[1]Futuros!$AK:$AK)+SUMIF([1]Opciones!$AF:$AF,$A5&amp;"_"&amp;APB$11,[1]Opciones!$AQ:$AQ)</f>
        <v>#VALUE!</v>
      </c>
      <c r="APC5" t="e">
        <f>+SUMIF([1]Cartera!$R:$R,$A5&amp;"_"&amp;APC$11,[1]Cartera!$I:$I)+SUMIF([1]Futuros!$AD:$AD,$A5&amp;"_"&amp;APC$11,[1]Futuros!$AK:$AK)+SUMIF([1]Opciones!$AF:$AF,$A5&amp;"_"&amp;APC$11,[1]Opciones!$AQ:$AQ)</f>
        <v>#VALUE!</v>
      </c>
      <c r="APD5" t="e">
        <f>+SUMIF([1]Cartera!$R:$R,$A5&amp;"_"&amp;APD$11,[1]Cartera!$I:$I)+SUMIF([1]Futuros!$AD:$AD,$A5&amp;"_"&amp;APD$11,[1]Futuros!$AK:$AK)+SUMIF([1]Opciones!$AF:$AF,$A5&amp;"_"&amp;APD$11,[1]Opciones!$AQ:$AQ)</f>
        <v>#VALUE!</v>
      </c>
      <c r="APE5" t="e">
        <f>+SUMIF([1]Cartera!$R:$R,$A5&amp;"_"&amp;APE$11,[1]Cartera!$I:$I)+SUMIF([1]Futuros!$AD:$AD,$A5&amp;"_"&amp;APE$11,[1]Futuros!$AK:$AK)+SUMIF([1]Opciones!$AF:$AF,$A5&amp;"_"&amp;APE$11,[1]Opciones!$AQ:$AQ)</f>
        <v>#VALUE!</v>
      </c>
      <c r="APF5" t="e">
        <f>+SUMIF([1]Cartera!$R:$R,$A5&amp;"_"&amp;APF$11,[1]Cartera!$I:$I)+SUMIF([1]Futuros!$AD:$AD,$A5&amp;"_"&amp;APF$11,[1]Futuros!$AK:$AK)+SUMIF([1]Opciones!$AF:$AF,$A5&amp;"_"&amp;APF$11,[1]Opciones!$AQ:$AQ)</f>
        <v>#VALUE!</v>
      </c>
      <c r="APG5" t="e">
        <f>+SUMIF([1]Cartera!$R:$R,$A5&amp;"_"&amp;APG$11,[1]Cartera!$I:$I)+SUMIF([1]Futuros!$AD:$AD,$A5&amp;"_"&amp;APG$11,[1]Futuros!$AK:$AK)+SUMIF([1]Opciones!$AF:$AF,$A5&amp;"_"&amp;APG$11,[1]Opciones!$AQ:$AQ)</f>
        <v>#VALUE!</v>
      </c>
      <c r="APH5" t="e">
        <f>+SUMIF([1]Cartera!$R:$R,$A5&amp;"_"&amp;APH$11,[1]Cartera!$I:$I)+SUMIF([1]Futuros!$AD:$AD,$A5&amp;"_"&amp;APH$11,[1]Futuros!$AK:$AK)+SUMIF([1]Opciones!$AF:$AF,$A5&amp;"_"&amp;APH$11,[1]Opciones!$AQ:$AQ)</f>
        <v>#VALUE!</v>
      </c>
      <c r="API5" t="e">
        <f>+SUMIF([1]Cartera!$R:$R,$A5&amp;"_"&amp;API$11,[1]Cartera!$I:$I)+SUMIF([1]Futuros!$AD:$AD,$A5&amp;"_"&amp;API$11,[1]Futuros!$AK:$AK)+SUMIF([1]Opciones!$AF:$AF,$A5&amp;"_"&amp;API$11,[1]Opciones!$AQ:$AQ)</f>
        <v>#VALUE!</v>
      </c>
      <c r="APJ5" t="e">
        <f>+SUMIF([1]Cartera!$R:$R,$A5&amp;"_"&amp;APJ$11,[1]Cartera!$I:$I)+SUMIF([1]Futuros!$AD:$AD,$A5&amp;"_"&amp;APJ$11,[1]Futuros!$AK:$AK)+SUMIF([1]Opciones!$AF:$AF,$A5&amp;"_"&amp;APJ$11,[1]Opciones!$AQ:$AQ)</f>
        <v>#VALUE!</v>
      </c>
      <c r="APK5" t="e">
        <f>+SUMIF([1]Cartera!$R:$R,$A5&amp;"_"&amp;APK$11,[1]Cartera!$I:$I)+SUMIF([1]Futuros!$AD:$AD,$A5&amp;"_"&amp;APK$11,[1]Futuros!$AK:$AK)+SUMIF([1]Opciones!$AF:$AF,$A5&amp;"_"&amp;APK$11,[1]Opciones!$AQ:$AQ)</f>
        <v>#VALUE!</v>
      </c>
      <c r="APL5" t="e">
        <f>+SUMIF([1]Cartera!$R:$R,$A5&amp;"_"&amp;APL$11,[1]Cartera!$I:$I)+SUMIF([1]Futuros!$AD:$AD,$A5&amp;"_"&amp;APL$11,[1]Futuros!$AK:$AK)+SUMIF([1]Opciones!$AF:$AF,$A5&amp;"_"&amp;APL$11,[1]Opciones!$AQ:$AQ)</f>
        <v>#VALUE!</v>
      </c>
      <c r="APM5" t="e">
        <f>+SUMIF([1]Cartera!$R:$R,$A5&amp;"_"&amp;APM$11,[1]Cartera!$I:$I)+SUMIF([1]Futuros!$AD:$AD,$A5&amp;"_"&amp;APM$11,[1]Futuros!$AK:$AK)+SUMIF([1]Opciones!$AF:$AF,$A5&amp;"_"&amp;APM$11,[1]Opciones!$AQ:$AQ)</f>
        <v>#VALUE!</v>
      </c>
      <c r="APN5" t="e">
        <f>+SUMIF([1]Cartera!$R:$R,$A5&amp;"_"&amp;APN$11,[1]Cartera!$I:$I)+SUMIF([1]Futuros!$AD:$AD,$A5&amp;"_"&amp;APN$11,[1]Futuros!$AK:$AK)+SUMIF([1]Opciones!$AF:$AF,$A5&amp;"_"&amp;APN$11,[1]Opciones!$AQ:$AQ)</f>
        <v>#VALUE!</v>
      </c>
      <c r="APO5" t="e">
        <f>+SUMIF([1]Cartera!$R:$R,$A5&amp;"_"&amp;APO$11,[1]Cartera!$I:$I)+SUMIF([1]Futuros!$AD:$AD,$A5&amp;"_"&amp;APO$11,[1]Futuros!$AK:$AK)+SUMIF([1]Opciones!$AF:$AF,$A5&amp;"_"&amp;APO$11,[1]Opciones!$AQ:$AQ)</f>
        <v>#VALUE!</v>
      </c>
      <c r="APP5" t="e">
        <f>+SUMIF([1]Cartera!$R:$R,$A5&amp;"_"&amp;APP$11,[1]Cartera!$I:$I)+SUMIF([1]Futuros!$AD:$AD,$A5&amp;"_"&amp;APP$11,[1]Futuros!$AK:$AK)+SUMIF([1]Opciones!$AF:$AF,$A5&amp;"_"&amp;APP$11,[1]Opciones!$AQ:$AQ)</f>
        <v>#VALUE!</v>
      </c>
      <c r="APQ5" t="e">
        <f>+SUMIF([1]Cartera!$R:$R,$A5&amp;"_"&amp;APQ$11,[1]Cartera!$I:$I)+SUMIF([1]Futuros!$AD:$AD,$A5&amp;"_"&amp;APQ$11,[1]Futuros!$AK:$AK)+SUMIF([1]Opciones!$AF:$AF,$A5&amp;"_"&amp;APQ$11,[1]Opciones!$AQ:$AQ)</f>
        <v>#VALUE!</v>
      </c>
      <c r="APR5" t="e">
        <f>+SUMIF([1]Cartera!$R:$R,$A5&amp;"_"&amp;APR$11,[1]Cartera!$I:$I)+SUMIF([1]Futuros!$AD:$AD,$A5&amp;"_"&amp;APR$11,[1]Futuros!$AK:$AK)+SUMIF([1]Opciones!$AF:$AF,$A5&amp;"_"&amp;APR$11,[1]Opciones!$AQ:$AQ)</f>
        <v>#VALUE!</v>
      </c>
      <c r="APS5" t="e">
        <f>+SUMIF([1]Cartera!$R:$R,$A5&amp;"_"&amp;APS$11,[1]Cartera!$I:$I)+SUMIF([1]Futuros!$AD:$AD,$A5&amp;"_"&amp;APS$11,[1]Futuros!$AK:$AK)+SUMIF([1]Opciones!$AF:$AF,$A5&amp;"_"&amp;APS$11,[1]Opciones!$AQ:$AQ)</f>
        <v>#VALUE!</v>
      </c>
      <c r="APT5" t="e">
        <f>+SUMIF([1]Cartera!$R:$R,$A5&amp;"_"&amp;APT$11,[1]Cartera!$I:$I)+SUMIF([1]Futuros!$AD:$AD,$A5&amp;"_"&amp;APT$11,[1]Futuros!$AK:$AK)+SUMIF([1]Opciones!$AF:$AF,$A5&amp;"_"&amp;APT$11,[1]Opciones!$AQ:$AQ)</f>
        <v>#VALUE!</v>
      </c>
      <c r="APU5" t="e">
        <f>+SUMIF([1]Cartera!$R:$R,$A5&amp;"_"&amp;APU$11,[1]Cartera!$I:$I)+SUMIF([1]Futuros!$AD:$AD,$A5&amp;"_"&amp;APU$11,[1]Futuros!$AK:$AK)+SUMIF([1]Opciones!$AF:$AF,$A5&amp;"_"&amp;APU$11,[1]Opciones!$AQ:$AQ)</f>
        <v>#VALUE!</v>
      </c>
      <c r="APV5" t="e">
        <f>+SUMIF([1]Cartera!$R:$R,$A5&amp;"_"&amp;APV$11,[1]Cartera!$I:$I)+SUMIF([1]Futuros!$AD:$AD,$A5&amp;"_"&amp;APV$11,[1]Futuros!$AK:$AK)+SUMIF([1]Opciones!$AF:$AF,$A5&amp;"_"&amp;APV$11,[1]Opciones!$AQ:$AQ)</f>
        <v>#VALUE!</v>
      </c>
      <c r="APW5" t="e">
        <f>+SUMIF([1]Cartera!$R:$R,$A5&amp;"_"&amp;APW$11,[1]Cartera!$I:$I)+SUMIF([1]Futuros!$AD:$AD,$A5&amp;"_"&amp;APW$11,[1]Futuros!$AK:$AK)+SUMIF([1]Opciones!$AF:$AF,$A5&amp;"_"&amp;APW$11,[1]Opciones!$AQ:$AQ)</f>
        <v>#VALUE!</v>
      </c>
      <c r="APX5" t="e">
        <f>+SUMIF([1]Cartera!$R:$R,$A5&amp;"_"&amp;APX$11,[1]Cartera!$I:$I)+SUMIF([1]Futuros!$AD:$AD,$A5&amp;"_"&amp;APX$11,[1]Futuros!$AK:$AK)+SUMIF([1]Opciones!$AF:$AF,$A5&amp;"_"&amp;APX$11,[1]Opciones!$AQ:$AQ)</f>
        <v>#VALUE!</v>
      </c>
      <c r="APY5" t="e">
        <f>+SUMIF([1]Cartera!$R:$R,$A5&amp;"_"&amp;APY$11,[1]Cartera!$I:$I)+SUMIF([1]Futuros!$AD:$AD,$A5&amp;"_"&amp;APY$11,[1]Futuros!$AK:$AK)+SUMIF([1]Opciones!$AF:$AF,$A5&amp;"_"&amp;APY$11,[1]Opciones!$AQ:$AQ)</f>
        <v>#VALUE!</v>
      </c>
      <c r="APZ5" t="e">
        <f>+SUMIF([1]Cartera!$R:$R,$A5&amp;"_"&amp;APZ$11,[1]Cartera!$I:$I)+SUMIF([1]Futuros!$AD:$AD,$A5&amp;"_"&amp;APZ$11,[1]Futuros!$AK:$AK)+SUMIF([1]Opciones!$AF:$AF,$A5&amp;"_"&amp;APZ$11,[1]Opciones!$AQ:$AQ)</f>
        <v>#VALUE!</v>
      </c>
      <c r="AQA5" t="e">
        <f>+SUMIF([1]Cartera!$R:$R,$A5&amp;"_"&amp;AQA$11,[1]Cartera!$I:$I)+SUMIF([1]Futuros!$AD:$AD,$A5&amp;"_"&amp;AQA$11,[1]Futuros!$AK:$AK)+SUMIF([1]Opciones!$AF:$AF,$A5&amp;"_"&amp;AQA$11,[1]Opciones!$AQ:$AQ)</f>
        <v>#VALUE!</v>
      </c>
      <c r="AQB5" t="e">
        <f>+SUMIF([1]Cartera!$R:$R,$A5&amp;"_"&amp;AQB$11,[1]Cartera!$I:$I)+SUMIF([1]Futuros!$AD:$AD,$A5&amp;"_"&amp;AQB$11,[1]Futuros!$AK:$AK)+SUMIF([1]Opciones!$AF:$AF,$A5&amp;"_"&amp;AQB$11,[1]Opciones!$AQ:$AQ)</f>
        <v>#VALUE!</v>
      </c>
      <c r="AQC5" t="e">
        <f>+SUMIF([1]Cartera!$R:$R,$A5&amp;"_"&amp;AQC$11,[1]Cartera!$I:$I)+SUMIF([1]Futuros!$AD:$AD,$A5&amp;"_"&amp;AQC$11,[1]Futuros!$AK:$AK)+SUMIF([1]Opciones!$AF:$AF,$A5&amp;"_"&amp;AQC$11,[1]Opciones!$AQ:$AQ)</f>
        <v>#VALUE!</v>
      </c>
      <c r="AQD5" t="e">
        <f>+SUMIF([1]Cartera!$R:$R,$A5&amp;"_"&amp;AQD$11,[1]Cartera!$I:$I)+SUMIF([1]Futuros!$AD:$AD,$A5&amp;"_"&amp;AQD$11,[1]Futuros!$AK:$AK)+SUMIF([1]Opciones!$AF:$AF,$A5&amp;"_"&amp;AQD$11,[1]Opciones!$AQ:$AQ)</f>
        <v>#VALUE!</v>
      </c>
      <c r="AQE5" t="e">
        <f>+SUMIF([1]Cartera!$R:$R,$A5&amp;"_"&amp;AQE$11,[1]Cartera!$I:$I)+SUMIF([1]Futuros!$AD:$AD,$A5&amp;"_"&amp;AQE$11,[1]Futuros!$AK:$AK)+SUMIF([1]Opciones!$AF:$AF,$A5&amp;"_"&amp;AQE$11,[1]Opciones!$AQ:$AQ)</f>
        <v>#VALUE!</v>
      </c>
      <c r="AQF5" t="e">
        <f>+SUMIF([1]Cartera!$R:$R,$A5&amp;"_"&amp;AQF$11,[1]Cartera!$I:$I)+SUMIF([1]Futuros!$AD:$AD,$A5&amp;"_"&amp;AQF$11,[1]Futuros!$AK:$AK)+SUMIF([1]Opciones!$AF:$AF,$A5&amp;"_"&amp;AQF$11,[1]Opciones!$AQ:$AQ)</f>
        <v>#VALUE!</v>
      </c>
      <c r="AQG5" t="e">
        <f>+SUMIF([1]Cartera!$R:$R,$A5&amp;"_"&amp;AQG$11,[1]Cartera!$I:$I)+SUMIF([1]Futuros!$AD:$AD,$A5&amp;"_"&amp;AQG$11,[1]Futuros!$AK:$AK)+SUMIF([1]Opciones!$AF:$AF,$A5&amp;"_"&amp;AQG$11,[1]Opciones!$AQ:$AQ)</f>
        <v>#VALUE!</v>
      </c>
      <c r="AQH5" t="e">
        <f>+SUMIF([1]Cartera!$R:$R,$A5&amp;"_"&amp;AQH$11,[1]Cartera!$I:$I)+SUMIF([1]Futuros!$AD:$AD,$A5&amp;"_"&amp;AQH$11,[1]Futuros!$AK:$AK)+SUMIF([1]Opciones!$AF:$AF,$A5&amp;"_"&amp;AQH$11,[1]Opciones!$AQ:$AQ)</f>
        <v>#VALUE!</v>
      </c>
      <c r="AQI5" t="e">
        <f>+SUMIF([1]Cartera!$R:$R,$A5&amp;"_"&amp;AQI$11,[1]Cartera!$I:$I)+SUMIF([1]Futuros!$AD:$AD,$A5&amp;"_"&amp;AQI$11,[1]Futuros!$AK:$AK)+SUMIF([1]Opciones!$AF:$AF,$A5&amp;"_"&amp;AQI$11,[1]Opciones!$AQ:$AQ)</f>
        <v>#VALUE!</v>
      </c>
      <c r="AQJ5" t="e">
        <f>+SUMIF([1]Cartera!$R:$R,$A5&amp;"_"&amp;AQJ$11,[1]Cartera!$I:$I)+SUMIF([1]Futuros!$AD:$AD,$A5&amp;"_"&amp;AQJ$11,[1]Futuros!$AK:$AK)+SUMIF([1]Opciones!$AF:$AF,$A5&amp;"_"&amp;AQJ$11,[1]Opciones!$AQ:$AQ)</f>
        <v>#VALUE!</v>
      </c>
      <c r="AQK5" t="e">
        <f>+SUMIF([1]Cartera!$R:$R,$A5&amp;"_"&amp;AQK$11,[1]Cartera!$I:$I)+SUMIF([1]Futuros!$AD:$AD,$A5&amp;"_"&amp;AQK$11,[1]Futuros!$AK:$AK)+SUMIF([1]Opciones!$AF:$AF,$A5&amp;"_"&amp;AQK$11,[1]Opciones!$AQ:$AQ)</f>
        <v>#VALUE!</v>
      </c>
      <c r="AQL5" t="e">
        <f>+SUMIF([1]Cartera!$R:$R,$A5&amp;"_"&amp;AQL$11,[1]Cartera!$I:$I)+SUMIF([1]Futuros!$AD:$AD,$A5&amp;"_"&amp;AQL$11,[1]Futuros!$AK:$AK)+SUMIF([1]Opciones!$AF:$AF,$A5&amp;"_"&amp;AQL$11,[1]Opciones!$AQ:$AQ)</f>
        <v>#VALUE!</v>
      </c>
      <c r="AQM5" t="e">
        <f>+SUMIF([1]Cartera!$R:$R,$A5&amp;"_"&amp;AQM$11,[1]Cartera!$I:$I)+SUMIF([1]Futuros!$AD:$AD,$A5&amp;"_"&amp;AQM$11,[1]Futuros!$AK:$AK)+SUMIF([1]Opciones!$AF:$AF,$A5&amp;"_"&amp;AQM$11,[1]Opciones!$AQ:$AQ)</f>
        <v>#VALUE!</v>
      </c>
      <c r="AQN5" t="e">
        <f>+SUMIF([1]Cartera!$R:$R,$A5&amp;"_"&amp;AQN$11,[1]Cartera!$I:$I)+SUMIF([1]Futuros!$AD:$AD,$A5&amp;"_"&amp;AQN$11,[1]Futuros!$AK:$AK)+SUMIF([1]Opciones!$AF:$AF,$A5&amp;"_"&amp;AQN$11,[1]Opciones!$AQ:$AQ)</f>
        <v>#VALUE!</v>
      </c>
      <c r="AQO5" t="e">
        <f>+SUMIF([1]Cartera!$R:$R,$A5&amp;"_"&amp;AQO$11,[1]Cartera!$I:$I)+SUMIF([1]Futuros!$AD:$AD,$A5&amp;"_"&amp;AQO$11,[1]Futuros!$AK:$AK)+SUMIF([1]Opciones!$AF:$AF,$A5&amp;"_"&amp;AQO$11,[1]Opciones!$AQ:$AQ)</f>
        <v>#VALUE!</v>
      </c>
      <c r="AQP5" t="e">
        <f>+SUMIF([1]Cartera!$R:$R,$A5&amp;"_"&amp;AQP$11,[1]Cartera!$I:$I)+SUMIF([1]Futuros!$AD:$AD,$A5&amp;"_"&amp;AQP$11,[1]Futuros!$AK:$AK)+SUMIF([1]Opciones!$AF:$AF,$A5&amp;"_"&amp;AQP$11,[1]Opciones!$AQ:$AQ)</f>
        <v>#VALUE!</v>
      </c>
      <c r="AQQ5" t="e">
        <f>+SUMIF([1]Cartera!$R:$R,$A5&amp;"_"&amp;AQQ$11,[1]Cartera!$I:$I)+SUMIF([1]Futuros!$AD:$AD,$A5&amp;"_"&amp;AQQ$11,[1]Futuros!$AK:$AK)+SUMIF([1]Opciones!$AF:$AF,$A5&amp;"_"&amp;AQQ$11,[1]Opciones!$AQ:$AQ)</f>
        <v>#VALUE!</v>
      </c>
      <c r="AQR5" t="e">
        <f>+SUMIF([1]Cartera!$R:$R,$A5&amp;"_"&amp;AQR$11,[1]Cartera!$I:$I)+SUMIF([1]Futuros!$AD:$AD,$A5&amp;"_"&amp;AQR$11,[1]Futuros!$AK:$AK)+SUMIF([1]Opciones!$AF:$AF,$A5&amp;"_"&amp;AQR$11,[1]Opciones!$AQ:$AQ)</f>
        <v>#VALUE!</v>
      </c>
      <c r="AQS5" t="e">
        <f>+SUMIF([1]Cartera!$R:$R,$A5&amp;"_"&amp;AQS$11,[1]Cartera!$I:$I)+SUMIF([1]Futuros!$AD:$AD,$A5&amp;"_"&amp;AQS$11,[1]Futuros!$AK:$AK)+SUMIF([1]Opciones!$AF:$AF,$A5&amp;"_"&amp;AQS$11,[1]Opciones!$AQ:$AQ)</f>
        <v>#VALUE!</v>
      </c>
      <c r="AQT5" t="e">
        <f>+SUMIF([1]Cartera!$R:$R,$A5&amp;"_"&amp;AQT$11,[1]Cartera!$I:$I)+SUMIF([1]Futuros!$AD:$AD,$A5&amp;"_"&amp;AQT$11,[1]Futuros!$AK:$AK)+SUMIF([1]Opciones!$AF:$AF,$A5&amp;"_"&amp;AQT$11,[1]Opciones!$AQ:$AQ)</f>
        <v>#VALUE!</v>
      </c>
      <c r="AQU5" t="e">
        <f>+SUMIF([1]Cartera!$R:$R,$A5&amp;"_"&amp;AQU$11,[1]Cartera!$I:$I)+SUMIF([1]Futuros!$AD:$AD,$A5&amp;"_"&amp;AQU$11,[1]Futuros!$AK:$AK)+SUMIF([1]Opciones!$AF:$AF,$A5&amp;"_"&amp;AQU$11,[1]Opciones!$AQ:$AQ)</f>
        <v>#VALUE!</v>
      </c>
      <c r="AQV5" t="e">
        <f>+SUMIF([1]Cartera!$R:$R,$A5&amp;"_"&amp;AQV$11,[1]Cartera!$I:$I)+SUMIF([1]Futuros!$AD:$AD,$A5&amp;"_"&amp;AQV$11,[1]Futuros!$AK:$AK)+SUMIF([1]Opciones!$AF:$AF,$A5&amp;"_"&amp;AQV$11,[1]Opciones!$AQ:$AQ)</f>
        <v>#VALUE!</v>
      </c>
      <c r="AQW5" t="e">
        <f>+SUMIF([1]Cartera!$R:$R,$A5&amp;"_"&amp;AQW$11,[1]Cartera!$I:$I)+SUMIF([1]Futuros!$AD:$AD,$A5&amp;"_"&amp;AQW$11,[1]Futuros!$AK:$AK)+SUMIF([1]Opciones!$AF:$AF,$A5&amp;"_"&amp;AQW$11,[1]Opciones!$AQ:$AQ)</f>
        <v>#VALUE!</v>
      </c>
      <c r="AQX5" t="e">
        <f>+SUMIF([1]Cartera!$R:$R,$A5&amp;"_"&amp;AQX$11,[1]Cartera!$I:$I)+SUMIF([1]Futuros!$AD:$AD,$A5&amp;"_"&amp;AQX$11,[1]Futuros!$AK:$AK)+SUMIF([1]Opciones!$AF:$AF,$A5&amp;"_"&amp;AQX$11,[1]Opciones!$AQ:$AQ)</f>
        <v>#VALUE!</v>
      </c>
      <c r="AQY5" t="e">
        <f>+SUMIF([1]Cartera!$R:$R,$A5&amp;"_"&amp;AQY$11,[1]Cartera!$I:$I)+SUMIF([1]Futuros!$AD:$AD,$A5&amp;"_"&amp;AQY$11,[1]Futuros!$AK:$AK)+SUMIF([1]Opciones!$AF:$AF,$A5&amp;"_"&amp;AQY$11,[1]Opciones!$AQ:$AQ)</f>
        <v>#VALUE!</v>
      </c>
      <c r="AQZ5" t="e">
        <f>+SUMIF([1]Cartera!$R:$R,$A5&amp;"_"&amp;AQZ$11,[1]Cartera!$I:$I)+SUMIF([1]Futuros!$AD:$AD,$A5&amp;"_"&amp;AQZ$11,[1]Futuros!$AK:$AK)+SUMIF([1]Opciones!$AF:$AF,$A5&amp;"_"&amp;AQZ$11,[1]Opciones!$AQ:$AQ)</f>
        <v>#VALUE!</v>
      </c>
      <c r="ARA5" t="e">
        <f>+SUMIF([1]Cartera!$R:$R,$A5&amp;"_"&amp;ARA$11,[1]Cartera!$I:$I)+SUMIF([1]Futuros!$AD:$AD,$A5&amp;"_"&amp;ARA$11,[1]Futuros!$AK:$AK)+SUMIF([1]Opciones!$AF:$AF,$A5&amp;"_"&amp;ARA$11,[1]Opciones!$AQ:$AQ)</f>
        <v>#VALUE!</v>
      </c>
      <c r="ARB5" t="e">
        <f>+SUMIF([1]Cartera!$R:$R,$A5&amp;"_"&amp;ARB$11,[1]Cartera!$I:$I)+SUMIF([1]Futuros!$AD:$AD,$A5&amp;"_"&amp;ARB$11,[1]Futuros!$AK:$AK)+SUMIF([1]Opciones!$AF:$AF,$A5&amp;"_"&amp;ARB$11,[1]Opciones!$AQ:$AQ)</f>
        <v>#VALUE!</v>
      </c>
      <c r="ARC5" t="e">
        <f>+SUMIF([1]Cartera!$R:$R,$A5&amp;"_"&amp;ARC$11,[1]Cartera!$I:$I)+SUMIF([1]Futuros!$AD:$AD,$A5&amp;"_"&amp;ARC$11,[1]Futuros!$AK:$AK)+SUMIF([1]Opciones!$AF:$AF,$A5&amp;"_"&amp;ARC$11,[1]Opciones!$AQ:$AQ)</f>
        <v>#VALUE!</v>
      </c>
      <c r="ARD5" t="e">
        <f>+SUMIF([1]Cartera!$R:$R,$A5&amp;"_"&amp;ARD$11,[1]Cartera!$I:$I)+SUMIF([1]Futuros!$AD:$AD,$A5&amp;"_"&amp;ARD$11,[1]Futuros!$AK:$AK)+SUMIF([1]Opciones!$AF:$AF,$A5&amp;"_"&amp;ARD$11,[1]Opciones!$AQ:$AQ)</f>
        <v>#VALUE!</v>
      </c>
      <c r="ARE5" t="e">
        <f>+SUMIF([1]Cartera!$R:$R,$A5&amp;"_"&amp;ARE$11,[1]Cartera!$I:$I)+SUMIF([1]Futuros!$AD:$AD,$A5&amp;"_"&amp;ARE$11,[1]Futuros!$AK:$AK)+SUMIF([1]Opciones!$AF:$AF,$A5&amp;"_"&amp;ARE$11,[1]Opciones!$AQ:$AQ)</f>
        <v>#VALUE!</v>
      </c>
      <c r="ARF5" t="e">
        <f>+SUMIF([1]Cartera!$R:$R,$A5&amp;"_"&amp;ARF$11,[1]Cartera!$I:$I)+SUMIF([1]Futuros!$AD:$AD,$A5&amp;"_"&amp;ARF$11,[1]Futuros!$AK:$AK)+SUMIF([1]Opciones!$AF:$AF,$A5&amp;"_"&amp;ARF$11,[1]Opciones!$AQ:$AQ)</f>
        <v>#VALUE!</v>
      </c>
      <c r="ARG5" t="e">
        <f>+SUMIF([1]Cartera!$R:$R,$A5&amp;"_"&amp;ARG$11,[1]Cartera!$I:$I)+SUMIF([1]Futuros!$AD:$AD,$A5&amp;"_"&amp;ARG$11,[1]Futuros!$AK:$AK)+SUMIF([1]Opciones!$AF:$AF,$A5&amp;"_"&amp;ARG$11,[1]Opciones!$AQ:$AQ)</f>
        <v>#VALUE!</v>
      </c>
      <c r="ARH5" t="e">
        <f>+SUMIF([1]Cartera!$R:$R,$A5&amp;"_"&amp;ARH$11,[1]Cartera!$I:$I)+SUMIF([1]Futuros!$AD:$AD,$A5&amp;"_"&amp;ARH$11,[1]Futuros!$AK:$AK)+SUMIF([1]Opciones!$AF:$AF,$A5&amp;"_"&amp;ARH$11,[1]Opciones!$AQ:$AQ)</f>
        <v>#VALUE!</v>
      </c>
      <c r="ARI5" t="e">
        <f>+SUMIF([1]Cartera!$R:$R,$A5&amp;"_"&amp;ARI$11,[1]Cartera!$I:$I)+SUMIF([1]Futuros!$AD:$AD,$A5&amp;"_"&amp;ARI$11,[1]Futuros!$AK:$AK)+SUMIF([1]Opciones!$AF:$AF,$A5&amp;"_"&amp;ARI$11,[1]Opciones!$AQ:$AQ)</f>
        <v>#VALUE!</v>
      </c>
      <c r="ARJ5" t="e">
        <f>+SUMIF([1]Cartera!$R:$R,$A5&amp;"_"&amp;ARJ$11,[1]Cartera!$I:$I)+SUMIF([1]Futuros!$AD:$AD,$A5&amp;"_"&amp;ARJ$11,[1]Futuros!$AK:$AK)+SUMIF([1]Opciones!$AF:$AF,$A5&amp;"_"&amp;ARJ$11,[1]Opciones!$AQ:$AQ)</f>
        <v>#VALUE!</v>
      </c>
      <c r="ARK5" t="e">
        <f>+SUMIF([1]Cartera!$R:$R,$A5&amp;"_"&amp;ARK$11,[1]Cartera!$I:$I)+SUMIF([1]Futuros!$AD:$AD,$A5&amp;"_"&amp;ARK$11,[1]Futuros!$AK:$AK)+SUMIF([1]Opciones!$AF:$AF,$A5&amp;"_"&amp;ARK$11,[1]Opciones!$AQ:$AQ)</f>
        <v>#VALUE!</v>
      </c>
      <c r="ARL5" t="e">
        <f>+SUMIF([1]Cartera!$R:$R,$A5&amp;"_"&amp;ARL$11,[1]Cartera!$I:$I)+SUMIF([1]Futuros!$AD:$AD,$A5&amp;"_"&amp;ARL$11,[1]Futuros!$AK:$AK)+SUMIF([1]Opciones!$AF:$AF,$A5&amp;"_"&amp;ARL$11,[1]Opciones!$AQ:$AQ)</f>
        <v>#VALUE!</v>
      </c>
      <c r="ARM5" t="e">
        <f>+SUMIF([1]Cartera!$R:$R,$A5&amp;"_"&amp;ARM$11,[1]Cartera!$I:$I)+SUMIF([1]Futuros!$AD:$AD,$A5&amp;"_"&amp;ARM$11,[1]Futuros!$AK:$AK)+SUMIF([1]Opciones!$AF:$AF,$A5&amp;"_"&amp;ARM$11,[1]Opciones!$AQ:$AQ)</f>
        <v>#VALUE!</v>
      </c>
      <c r="ARN5" t="e">
        <f>+SUMIF([1]Cartera!$R:$R,$A5&amp;"_"&amp;ARN$11,[1]Cartera!$I:$I)+SUMIF([1]Futuros!$AD:$AD,$A5&amp;"_"&amp;ARN$11,[1]Futuros!$AK:$AK)+SUMIF([1]Opciones!$AF:$AF,$A5&amp;"_"&amp;ARN$11,[1]Opciones!$AQ:$AQ)</f>
        <v>#VALUE!</v>
      </c>
      <c r="ARO5" t="e">
        <f>+SUMIF([1]Cartera!$R:$R,$A5&amp;"_"&amp;ARO$11,[1]Cartera!$I:$I)+SUMIF([1]Futuros!$AD:$AD,$A5&amp;"_"&amp;ARO$11,[1]Futuros!$AK:$AK)+SUMIF([1]Opciones!$AF:$AF,$A5&amp;"_"&amp;ARO$11,[1]Opciones!$AQ:$AQ)</f>
        <v>#VALUE!</v>
      </c>
      <c r="ARP5" t="e">
        <f>+SUMIF([1]Cartera!$R:$R,$A5&amp;"_"&amp;ARP$11,[1]Cartera!$I:$I)+SUMIF([1]Futuros!$AD:$AD,$A5&amp;"_"&amp;ARP$11,[1]Futuros!$AK:$AK)+SUMIF([1]Opciones!$AF:$AF,$A5&amp;"_"&amp;ARP$11,[1]Opciones!$AQ:$AQ)</f>
        <v>#VALUE!</v>
      </c>
      <c r="ARQ5" t="e">
        <f>+SUMIF([1]Cartera!$R:$R,$A5&amp;"_"&amp;ARQ$11,[1]Cartera!$I:$I)+SUMIF([1]Futuros!$AD:$AD,$A5&amp;"_"&amp;ARQ$11,[1]Futuros!$AK:$AK)+SUMIF([1]Opciones!$AF:$AF,$A5&amp;"_"&amp;ARQ$11,[1]Opciones!$AQ:$AQ)</f>
        <v>#VALUE!</v>
      </c>
      <c r="ARR5" t="e">
        <f>+SUMIF([1]Cartera!$R:$R,$A5&amp;"_"&amp;ARR$11,[1]Cartera!$I:$I)+SUMIF([1]Futuros!$AD:$AD,$A5&amp;"_"&amp;ARR$11,[1]Futuros!$AK:$AK)+SUMIF([1]Opciones!$AF:$AF,$A5&amp;"_"&amp;ARR$11,[1]Opciones!$AQ:$AQ)</f>
        <v>#VALUE!</v>
      </c>
      <c r="ARS5" t="e">
        <f>+SUMIF([1]Cartera!$R:$R,$A5&amp;"_"&amp;ARS$11,[1]Cartera!$I:$I)+SUMIF([1]Futuros!$AD:$AD,$A5&amp;"_"&amp;ARS$11,[1]Futuros!$AK:$AK)+SUMIF([1]Opciones!$AF:$AF,$A5&amp;"_"&amp;ARS$11,[1]Opciones!$AQ:$AQ)</f>
        <v>#VALUE!</v>
      </c>
      <c r="ART5" t="e">
        <f>+SUMIF([1]Cartera!$R:$R,$A5&amp;"_"&amp;ART$11,[1]Cartera!$I:$I)+SUMIF([1]Futuros!$AD:$AD,$A5&amp;"_"&amp;ART$11,[1]Futuros!$AK:$AK)+SUMIF([1]Opciones!$AF:$AF,$A5&amp;"_"&amp;ART$11,[1]Opciones!$AQ:$AQ)</f>
        <v>#VALUE!</v>
      </c>
      <c r="ARU5" t="e">
        <f>+SUMIF([1]Cartera!$R:$R,$A5&amp;"_"&amp;ARU$11,[1]Cartera!$I:$I)+SUMIF([1]Futuros!$AD:$AD,$A5&amp;"_"&amp;ARU$11,[1]Futuros!$AK:$AK)+SUMIF([1]Opciones!$AF:$AF,$A5&amp;"_"&amp;ARU$11,[1]Opciones!$AQ:$AQ)</f>
        <v>#VALUE!</v>
      </c>
      <c r="ARV5" t="e">
        <f>+SUMIF([1]Cartera!$R:$R,$A5&amp;"_"&amp;ARV$11,[1]Cartera!$I:$I)+SUMIF([1]Futuros!$AD:$AD,$A5&amp;"_"&amp;ARV$11,[1]Futuros!$AK:$AK)+SUMIF([1]Opciones!$AF:$AF,$A5&amp;"_"&amp;ARV$11,[1]Opciones!$AQ:$AQ)</f>
        <v>#VALUE!</v>
      </c>
      <c r="ARW5" t="e">
        <f>+SUMIF([1]Cartera!$R:$R,$A5&amp;"_"&amp;ARW$11,[1]Cartera!$I:$I)+SUMIF([1]Futuros!$AD:$AD,$A5&amp;"_"&amp;ARW$11,[1]Futuros!$AK:$AK)+SUMIF([1]Opciones!$AF:$AF,$A5&amp;"_"&amp;ARW$11,[1]Opciones!$AQ:$AQ)</f>
        <v>#VALUE!</v>
      </c>
      <c r="ARX5" t="e">
        <f>+SUMIF([1]Cartera!$R:$R,$A5&amp;"_"&amp;ARX$11,[1]Cartera!$I:$I)+SUMIF([1]Futuros!$AD:$AD,$A5&amp;"_"&amp;ARX$11,[1]Futuros!$AK:$AK)+SUMIF([1]Opciones!$AF:$AF,$A5&amp;"_"&amp;ARX$11,[1]Opciones!$AQ:$AQ)</f>
        <v>#VALUE!</v>
      </c>
      <c r="ARY5" t="e">
        <f>+SUMIF([1]Cartera!$R:$R,$A5&amp;"_"&amp;ARY$11,[1]Cartera!$I:$I)+SUMIF([1]Futuros!$AD:$AD,$A5&amp;"_"&amp;ARY$11,[1]Futuros!$AK:$AK)+SUMIF([1]Opciones!$AF:$AF,$A5&amp;"_"&amp;ARY$11,[1]Opciones!$AQ:$AQ)</f>
        <v>#VALUE!</v>
      </c>
      <c r="ARZ5" t="e">
        <f>+SUMIF([1]Cartera!$R:$R,$A5&amp;"_"&amp;ARZ$11,[1]Cartera!$I:$I)+SUMIF([1]Futuros!$AD:$AD,$A5&amp;"_"&amp;ARZ$11,[1]Futuros!$AK:$AK)+SUMIF([1]Opciones!$AF:$AF,$A5&amp;"_"&amp;ARZ$11,[1]Opciones!$AQ:$AQ)</f>
        <v>#VALUE!</v>
      </c>
      <c r="ASA5" t="e">
        <f>+SUMIF([1]Cartera!$R:$R,$A5&amp;"_"&amp;ASA$11,[1]Cartera!$I:$I)+SUMIF([1]Futuros!$AD:$AD,$A5&amp;"_"&amp;ASA$11,[1]Futuros!$AK:$AK)+SUMIF([1]Opciones!$AF:$AF,$A5&amp;"_"&amp;ASA$11,[1]Opciones!$AQ:$AQ)</f>
        <v>#VALUE!</v>
      </c>
      <c r="ASB5" t="e">
        <f>+SUMIF([1]Cartera!$R:$R,$A5&amp;"_"&amp;ASB$11,[1]Cartera!$I:$I)+SUMIF([1]Futuros!$AD:$AD,$A5&amp;"_"&amp;ASB$11,[1]Futuros!$AK:$AK)+SUMIF([1]Opciones!$AF:$AF,$A5&amp;"_"&amp;ASB$11,[1]Opciones!$AQ:$AQ)</f>
        <v>#VALUE!</v>
      </c>
      <c r="ASC5" t="e">
        <f>+SUMIF([1]Cartera!$R:$R,$A5&amp;"_"&amp;ASC$11,[1]Cartera!$I:$I)+SUMIF([1]Futuros!$AD:$AD,$A5&amp;"_"&amp;ASC$11,[1]Futuros!$AK:$AK)+SUMIF([1]Opciones!$AF:$AF,$A5&amp;"_"&amp;ASC$11,[1]Opciones!$AQ:$AQ)</f>
        <v>#VALUE!</v>
      </c>
      <c r="ASD5" t="e">
        <f>+SUMIF([1]Cartera!$R:$R,$A5&amp;"_"&amp;ASD$11,[1]Cartera!$I:$I)+SUMIF([1]Futuros!$AD:$AD,$A5&amp;"_"&amp;ASD$11,[1]Futuros!$AK:$AK)+SUMIF([1]Opciones!$AF:$AF,$A5&amp;"_"&amp;ASD$11,[1]Opciones!$AQ:$AQ)</f>
        <v>#VALUE!</v>
      </c>
      <c r="ASE5" t="e">
        <f>+SUMIF([1]Cartera!$R:$R,$A5&amp;"_"&amp;ASE$11,[1]Cartera!$I:$I)+SUMIF([1]Futuros!$AD:$AD,$A5&amp;"_"&amp;ASE$11,[1]Futuros!$AK:$AK)+SUMIF([1]Opciones!$AF:$AF,$A5&amp;"_"&amp;ASE$11,[1]Opciones!$AQ:$AQ)</f>
        <v>#VALUE!</v>
      </c>
      <c r="ASF5" t="e">
        <f>+SUMIF([1]Cartera!$R:$R,$A5&amp;"_"&amp;ASF$11,[1]Cartera!$I:$I)+SUMIF([1]Futuros!$AD:$AD,$A5&amp;"_"&amp;ASF$11,[1]Futuros!$AK:$AK)+SUMIF([1]Opciones!$AF:$AF,$A5&amp;"_"&amp;ASF$11,[1]Opciones!$AQ:$AQ)</f>
        <v>#VALUE!</v>
      </c>
      <c r="ASG5" t="e">
        <f>+SUMIF([1]Cartera!$R:$R,$A5&amp;"_"&amp;ASG$11,[1]Cartera!$I:$I)+SUMIF([1]Futuros!$AD:$AD,$A5&amp;"_"&amp;ASG$11,[1]Futuros!$AK:$AK)+SUMIF([1]Opciones!$AF:$AF,$A5&amp;"_"&amp;ASG$11,[1]Opciones!$AQ:$AQ)</f>
        <v>#VALUE!</v>
      </c>
      <c r="ASH5" t="e">
        <f>+SUMIF([1]Cartera!$R:$R,$A5&amp;"_"&amp;ASH$11,[1]Cartera!$I:$I)+SUMIF([1]Futuros!$AD:$AD,$A5&amp;"_"&amp;ASH$11,[1]Futuros!$AK:$AK)+SUMIF([1]Opciones!$AF:$AF,$A5&amp;"_"&amp;ASH$11,[1]Opciones!$AQ:$AQ)</f>
        <v>#VALUE!</v>
      </c>
      <c r="ASI5" t="e">
        <f>+SUMIF([1]Cartera!$R:$R,$A5&amp;"_"&amp;ASI$11,[1]Cartera!$I:$I)+SUMIF([1]Futuros!$AD:$AD,$A5&amp;"_"&amp;ASI$11,[1]Futuros!$AK:$AK)+SUMIF([1]Opciones!$AF:$AF,$A5&amp;"_"&amp;ASI$11,[1]Opciones!$AQ:$AQ)</f>
        <v>#VALUE!</v>
      </c>
      <c r="ASJ5" t="e">
        <f>+SUMIF([1]Cartera!$R:$R,$A5&amp;"_"&amp;ASJ$11,[1]Cartera!$I:$I)+SUMIF([1]Futuros!$AD:$AD,$A5&amp;"_"&amp;ASJ$11,[1]Futuros!$AK:$AK)+SUMIF([1]Opciones!$AF:$AF,$A5&amp;"_"&amp;ASJ$11,[1]Opciones!$AQ:$AQ)</f>
        <v>#VALUE!</v>
      </c>
      <c r="ASK5" t="e">
        <f>+SUMIF([1]Cartera!$R:$R,$A5&amp;"_"&amp;ASK$11,[1]Cartera!$I:$I)+SUMIF([1]Futuros!$AD:$AD,$A5&amp;"_"&amp;ASK$11,[1]Futuros!$AK:$AK)+SUMIF([1]Opciones!$AF:$AF,$A5&amp;"_"&amp;ASK$11,[1]Opciones!$AQ:$AQ)</f>
        <v>#VALUE!</v>
      </c>
      <c r="ASL5" t="e">
        <f>+SUMIF([1]Cartera!$R:$R,$A5&amp;"_"&amp;ASL$11,[1]Cartera!$I:$I)+SUMIF([1]Futuros!$AD:$AD,$A5&amp;"_"&amp;ASL$11,[1]Futuros!$AK:$AK)+SUMIF([1]Opciones!$AF:$AF,$A5&amp;"_"&amp;ASL$11,[1]Opciones!$AQ:$AQ)</f>
        <v>#VALUE!</v>
      </c>
      <c r="ASM5" t="e">
        <f>+SUMIF([1]Cartera!$R:$R,$A5&amp;"_"&amp;ASM$11,[1]Cartera!$I:$I)+SUMIF([1]Futuros!$AD:$AD,$A5&amp;"_"&amp;ASM$11,[1]Futuros!$AK:$AK)+SUMIF([1]Opciones!$AF:$AF,$A5&amp;"_"&amp;ASM$11,[1]Opciones!$AQ:$AQ)</f>
        <v>#VALUE!</v>
      </c>
      <c r="ASN5" t="e">
        <f>+SUMIF([1]Cartera!$R:$R,$A5&amp;"_"&amp;ASN$11,[1]Cartera!$I:$I)+SUMIF([1]Futuros!$AD:$AD,$A5&amp;"_"&amp;ASN$11,[1]Futuros!$AK:$AK)+SUMIF([1]Opciones!$AF:$AF,$A5&amp;"_"&amp;ASN$11,[1]Opciones!$AQ:$AQ)</f>
        <v>#VALUE!</v>
      </c>
      <c r="ASO5" t="e">
        <f>+SUMIF([1]Cartera!$R:$R,$A5&amp;"_"&amp;ASO$11,[1]Cartera!$I:$I)+SUMIF([1]Futuros!$AD:$AD,$A5&amp;"_"&amp;ASO$11,[1]Futuros!$AK:$AK)+SUMIF([1]Opciones!$AF:$AF,$A5&amp;"_"&amp;ASO$11,[1]Opciones!$AQ:$AQ)</f>
        <v>#VALUE!</v>
      </c>
      <c r="ASP5" t="e">
        <f>+SUMIF([1]Cartera!$R:$R,$A5&amp;"_"&amp;ASP$11,[1]Cartera!$I:$I)+SUMIF([1]Futuros!$AD:$AD,$A5&amp;"_"&amp;ASP$11,[1]Futuros!$AK:$AK)+SUMIF([1]Opciones!$AF:$AF,$A5&amp;"_"&amp;ASP$11,[1]Opciones!$AQ:$AQ)</f>
        <v>#VALUE!</v>
      </c>
      <c r="ASQ5" t="e">
        <f>+SUMIF([1]Cartera!$R:$R,$A5&amp;"_"&amp;ASQ$11,[1]Cartera!$I:$I)+SUMIF([1]Futuros!$AD:$AD,$A5&amp;"_"&amp;ASQ$11,[1]Futuros!$AK:$AK)+SUMIF([1]Opciones!$AF:$AF,$A5&amp;"_"&amp;ASQ$11,[1]Opciones!$AQ:$AQ)</f>
        <v>#VALUE!</v>
      </c>
      <c r="ASR5" t="e">
        <f>+SUMIF([1]Cartera!$R:$R,$A5&amp;"_"&amp;ASR$11,[1]Cartera!$I:$I)+SUMIF([1]Futuros!$AD:$AD,$A5&amp;"_"&amp;ASR$11,[1]Futuros!$AK:$AK)+SUMIF([1]Opciones!$AF:$AF,$A5&amp;"_"&amp;ASR$11,[1]Opciones!$AQ:$AQ)</f>
        <v>#VALUE!</v>
      </c>
      <c r="ASS5" t="e">
        <f>+SUMIF([1]Cartera!$R:$R,$A5&amp;"_"&amp;ASS$11,[1]Cartera!$I:$I)+SUMIF([1]Futuros!$AD:$AD,$A5&amp;"_"&amp;ASS$11,[1]Futuros!$AK:$AK)+SUMIF([1]Opciones!$AF:$AF,$A5&amp;"_"&amp;ASS$11,[1]Opciones!$AQ:$AQ)</f>
        <v>#VALUE!</v>
      </c>
      <c r="AST5" t="e">
        <f>+SUMIF([1]Cartera!$R:$R,$A5&amp;"_"&amp;AST$11,[1]Cartera!$I:$I)+SUMIF([1]Futuros!$AD:$AD,$A5&amp;"_"&amp;AST$11,[1]Futuros!$AK:$AK)+SUMIF([1]Opciones!$AF:$AF,$A5&amp;"_"&amp;AST$11,[1]Opciones!$AQ:$AQ)</f>
        <v>#VALUE!</v>
      </c>
      <c r="ASU5" t="e">
        <f>+SUMIF([1]Cartera!$R:$R,$A5&amp;"_"&amp;ASU$11,[1]Cartera!$I:$I)+SUMIF([1]Futuros!$AD:$AD,$A5&amp;"_"&amp;ASU$11,[1]Futuros!$AK:$AK)+SUMIF([1]Opciones!$AF:$AF,$A5&amp;"_"&amp;ASU$11,[1]Opciones!$AQ:$AQ)</f>
        <v>#VALUE!</v>
      </c>
      <c r="ASV5" t="e">
        <f>+SUMIF([1]Cartera!$R:$R,$A5&amp;"_"&amp;ASV$11,[1]Cartera!$I:$I)+SUMIF([1]Futuros!$AD:$AD,$A5&amp;"_"&amp;ASV$11,[1]Futuros!$AK:$AK)+SUMIF([1]Opciones!$AF:$AF,$A5&amp;"_"&amp;ASV$11,[1]Opciones!$AQ:$AQ)</f>
        <v>#VALUE!</v>
      </c>
      <c r="ASW5" t="e">
        <f>+SUMIF([1]Cartera!$R:$R,$A5&amp;"_"&amp;ASW$11,[1]Cartera!$I:$I)+SUMIF([1]Futuros!$AD:$AD,$A5&amp;"_"&amp;ASW$11,[1]Futuros!$AK:$AK)+SUMIF([1]Opciones!$AF:$AF,$A5&amp;"_"&amp;ASW$11,[1]Opciones!$AQ:$AQ)</f>
        <v>#VALUE!</v>
      </c>
      <c r="ASX5" t="e">
        <f>+SUMIF([1]Cartera!$R:$R,$A5&amp;"_"&amp;ASX$11,[1]Cartera!$I:$I)+SUMIF([1]Futuros!$AD:$AD,$A5&amp;"_"&amp;ASX$11,[1]Futuros!$AK:$AK)+SUMIF([1]Opciones!$AF:$AF,$A5&amp;"_"&amp;ASX$11,[1]Opciones!$AQ:$AQ)</f>
        <v>#VALUE!</v>
      </c>
      <c r="ASY5" t="e">
        <f>+SUMIF([1]Cartera!$R:$R,$A5&amp;"_"&amp;ASY$11,[1]Cartera!$I:$I)+SUMIF([1]Futuros!$AD:$AD,$A5&amp;"_"&amp;ASY$11,[1]Futuros!$AK:$AK)+SUMIF([1]Opciones!$AF:$AF,$A5&amp;"_"&amp;ASY$11,[1]Opciones!$AQ:$AQ)</f>
        <v>#VALUE!</v>
      </c>
      <c r="ASZ5" t="e">
        <f>+SUMIF([1]Cartera!$R:$R,$A5&amp;"_"&amp;ASZ$11,[1]Cartera!$I:$I)+SUMIF([1]Futuros!$AD:$AD,$A5&amp;"_"&amp;ASZ$11,[1]Futuros!$AK:$AK)+SUMIF([1]Opciones!$AF:$AF,$A5&amp;"_"&amp;ASZ$11,[1]Opciones!$AQ:$AQ)</f>
        <v>#VALUE!</v>
      </c>
      <c r="ATA5" t="e">
        <f>+SUMIF([1]Cartera!$R:$R,$A5&amp;"_"&amp;ATA$11,[1]Cartera!$I:$I)+SUMIF([1]Futuros!$AD:$AD,$A5&amp;"_"&amp;ATA$11,[1]Futuros!$AK:$AK)+SUMIF([1]Opciones!$AF:$AF,$A5&amp;"_"&amp;ATA$11,[1]Opciones!$AQ:$AQ)</f>
        <v>#VALUE!</v>
      </c>
      <c r="ATB5" t="e">
        <f>+SUMIF([1]Cartera!$R:$R,$A5&amp;"_"&amp;ATB$11,[1]Cartera!$I:$I)+SUMIF([1]Futuros!$AD:$AD,$A5&amp;"_"&amp;ATB$11,[1]Futuros!$AK:$AK)+SUMIF([1]Opciones!$AF:$AF,$A5&amp;"_"&amp;ATB$11,[1]Opciones!$AQ:$AQ)</f>
        <v>#VALUE!</v>
      </c>
      <c r="ATC5" t="e">
        <f>+SUMIF([1]Cartera!$R:$R,$A5&amp;"_"&amp;ATC$11,[1]Cartera!$I:$I)+SUMIF([1]Futuros!$AD:$AD,$A5&amp;"_"&amp;ATC$11,[1]Futuros!$AK:$AK)+SUMIF([1]Opciones!$AF:$AF,$A5&amp;"_"&amp;ATC$11,[1]Opciones!$AQ:$AQ)</f>
        <v>#VALUE!</v>
      </c>
      <c r="ATD5" t="e">
        <f>+SUMIF([1]Cartera!$R:$R,$A5&amp;"_"&amp;ATD$11,[1]Cartera!$I:$I)+SUMIF([1]Futuros!$AD:$AD,$A5&amp;"_"&amp;ATD$11,[1]Futuros!$AK:$AK)+SUMIF([1]Opciones!$AF:$AF,$A5&amp;"_"&amp;ATD$11,[1]Opciones!$AQ:$AQ)</f>
        <v>#VALUE!</v>
      </c>
      <c r="ATE5" t="e">
        <f>+SUMIF([1]Cartera!$R:$R,$A5&amp;"_"&amp;ATE$11,[1]Cartera!$I:$I)+SUMIF([1]Futuros!$AD:$AD,$A5&amp;"_"&amp;ATE$11,[1]Futuros!$AK:$AK)+SUMIF([1]Opciones!$AF:$AF,$A5&amp;"_"&amp;ATE$11,[1]Opciones!$AQ:$AQ)</f>
        <v>#VALUE!</v>
      </c>
      <c r="ATF5" t="e">
        <f>+SUMIF([1]Cartera!$R:$R,$A5&amp;"_"&amp;ATF$11,[1]Cartera!$I:$I)+SUMIF([1]Futuros!$AD:$AD,$A5&amp;"_"&amp;ATF$11,[1]Futuros!$AK:$AK)+SUMIF([1]Opciones!$AF:$AF,$A5&amp;"_"&amp;ATF$11,[1]Opciones!$AQ:$AQ)</f>
        <v>#VALUE!</v>
      </c>
      <c r="ATG5" t="e">
        <f>+SUMIF([1]Cartera!$R:$R,$A5&amp;"_"&amp;ATG$11,[1]Cartera!$I:$I)+SUMIF([1]Futuros!$AD:$AD,$A5&amp;"_"&amp;ATG$11,[1]Futuros!$AK:$AK)+SUMIF([1]Opciones!$AF:$AF,$A5&amp;"_"&amp;ATG$11,[1]Opciones!$AQ:$AQ)</f>
        <v>#VALUE!</v>
      </c>
      <c r="ATH5" t="e">
        <f>+SUMIF([1]Cartera!$R:$R,$A5&amp;"_"&amp;ATH$11,[1]Cartera!$I:$I)+SUMIF([1]Futuros!$AD:$AD,$A5&amp;"_"&amp;ATH$11,[1]Futuros!$AK:$AK)+SUMIF([1]Opciones!$AF:$AF,$A5&amp;"_"&amp;ATH$11,[1]Opciones!$AQ:$AQ)</f>
        <v>#VALUE!</v>
      </c>
      <c r="ATI5" t="e">
        <f>+SUMIF([1]Cartera!$R:$R,$A5&amp;"_"&amp;ATI$11,[1]Cartera!$I:$I)+SUMIF([1]Futuros!$AD:$AD,$A5&amp;"_"&amp;ATI$11,[1]Futuros!$AK:$AK)+SUMIF([1]Opciones!$AF:$AF,$A5&amp;"_"&amp;ATI$11,[1]Opciones!$AQ:$AQ)</f>
        <v>#VALUE!</v>
      </c>
      <c r="ATJ5" t="e">
        <f>+SUMIF([1]Cartera!$R:$R,$A5&amp;"_"&amp;ATJ$11,[1]Cartera!$I:$I)+SUMIF([1]Futuros!$AD:$AD,$A5&amp;"_"&amp;ATJ$11,[1]Futuros!$AK:$AK)+SUMIF([1]Opciones!$AF:$AF,$A5&amp;"_"&amp;ATJ$11,[1]Opciones!$AQ:$AQ)</f>
        <v>#VALUE!</v>
      </c>
      <c r="ATK5" t="e">
        <f>+SUMIF([1]Cartera!$R:$R,$A5&amp;"_"&amp;ATK$11,[1]Cartera!$I:$I)+SUMIF([1]Futuros!$AD:$AD,$A5&amp;"_"&amp;ATK$11,[1]Futuros!$AK:$AK)+SUMIF([1]Opciones!$AF:$AF,$A5&amp;"_"&amp;ATK$11,[1]Opciones!$AQ:$AQ)</f>
        <v>#VALUE!</v>
      </c>
      <c r="ATL5" t="e">
        <f>+SUMIF([1]Cartera!$R:$R,$A5&amp;"_"&amp;ATL$11,[1]Cartera!$I:$I)+SUMIF([1]Futuros!$AD:$AD,$A5&amp;"_"&amp;ATL$11,[1]Futuros!$AK:$AK)+SUMIF([1]Opciones!$AF:$AF,$A5&amp;"_"&amp;ATL$11,[1]Opciones!$AQ:$AQ)</f>
        <v>#VALUE!</v>
      </c>
      <c r="ATM5" t="e">
        <f>+SUMIF([1]Cartera!$R:$R,$A5&amp;"_"&amp;ATM$11,[1]Cartera!$I:$I)+SUMIF([1]Futuros!$AD:$AD,$A5&amp;"_"&amp;ATM$11,[1]Futuros!$AK:$AK)+SUMIF([1]Opciones!$AF:$AF,$A5&amp;"_"&amp;ATM$11,[1]Opciones!$AQ:$AQ)</f>
        <v>#VALUE!</v>
      </c>
      <c r="ATN5" t="e">
        <f>+SUMIF([1]Cartera!$R:$R,$A5&amp;"_"&amp;ATN$11,[1]Cartera!$I:$I)+SUMIF([1]Futuros!$AD:$AD,$A5&amp;"_"&amp;ATN$11,[1]Futuros!$AK:$AK)+SUMIF([1]Opciones!$AF:$AF,$A5&amp;"_"&amp;ATN$11,[1]Opciones!$AQ:$AQ)</f>
        <v>#VALUE!</v>
      </c>
      <c r="ATO5" t="e">
        <f>+SUMIF([1]Cartera!$R:$R,$A5&amp;"_"&amp;ATO$11,[1]Cartera!$I:$I)+SUMIF([1]Futuros!$AD:$AD,$A5&amp;"_"&amp;ATO$11,[1]Futuros!$AK:$AK)+SUMIF([1]Opciones!$AF:$AF,$A5&amp;"_"&amp;ATO$11,[1]Opciones!$AQ:$AQ)</f>
        <v>#VALUE!</v>
      </c>
      <c r="ATP5" t="e">
        <f>+SUMIF([1]Cartera!$R:$R,$A5&amp;"_"&amp;ATP$11,[1]Cartera!$I:$I)+SUMIF([1]Futuros!$AD:$AD,$A5&amp;"_"&amp;ATP$11,[1]Futuros!$AK:$AK)+SUMIF([1]Opciones!$AF:$AF,$A5&amp;"_"&amp;ATP$11,[1]Opciones!$AQ:$AQ)</f>
        <v>#VALUE!</v>
      </c>
      <c r="ATQ5" t="e">
        <f>+SUMIF([1]Cartera!$R:$R,$A5&amp;"_"&amp;ATQ$11,[1]Cartera!$I:$I)+SUMIF([1]Futuros!$AD:$AD,$A5&amp;"_"&amp;ATQ$11,[1]Futuros!$AK:$AK)+SUMIF([1]Opciones!$AF:$AF,$A5&amp;"_"&amp;ATQ$11,[1]Opciones!$AQ:$AQ)</f>
        <v>#VALUE!</v>
      </c>
    </row>
    <row r="6" spans="1:1213" x14ac:dyDescent="0.25">
      <c r="A6" s="8" t="s">
        <v>5</v>
      </c>
      <c r="B6" s="25" t="s">
        <v>7</v>
      </c>
      <c r="C6" s="1">
        <f t="shared" si="1"/>
        <v>46241</v>
      </c>
      <c r="D6" s="8" t="str">
        <f t="shared" si="0"/>
        <v>IN-FONDO3_PxQ_07/08/2026</v>
      </c>
      <c r="E6">
        <f>+INDEX([1]Pat_Int!$G:$G,MATCH($A6,[1]Pat_Int!$B:$B,0))</f>
        <v>3478860982.2242041</v>
      </c>
      <c r="F6">
        <f>+INDEX([1]Pat_Int!$D:$D,MATCH($A6,[1]Pat_Int!$B:$B,0))</f>
        <v>16482357.837110801</v>
      </c>
      <c r="G6">
        <f>+INDEX([1]IN_Mon!$AT$7:$AV$52,MATCH(G$11,[1]IN_Mon!$AP$7:$AP$52,0),MATCH($A6,[1]IN_Mon!$AT$6:$AV$6,0))</f>
        <v>2422.4645</v>
      </c>
      <c r="H6">
        <f>+INDEX([1]IN_Mon!$AT$7:$AV$52,MATCH(H$11,[1]IN_Mon!$AP$7:$AP$52,0),MATCH($A6,[1]IN_Mon!$AT$6:$AV$6,0))</f>
        <v>0</v>
      </c>
      <c r="I6">
        <f>+INDEX([1]IN_Mon!$AT$7:$AV$52,MATCH(I$11,[1]IN_Mon!$AP$7:$AP$52,0),MATCH($A6,[1]IN_Mon!$AT$6:$AV$6,0))</f>
        <v>0</v>
      </c>
      <c r="J6">
        <f>+INDEX([1]IN_Mon!$AT$7:$AV$52,MATCH(J$11,[1]IN_Mon!$AP$7:$AP$52,0),MATCH($A6,[1]IN_Mon!$AT$6:$AV$6,0))</f>
        <v>0</v>
      </c>
      <c r="K6">
        <f>+INDEX([1]IN_Mon!$AT$7:$AV$52,MATCH(K$11,[1]IN_Mon!$AP$7:$AP$52,0),MATCH($A6,[1]IN_Mon!$AT$6:$AV$6,0))</f>
        <v>0</v>
      </c>
      <c r="L6">
        <f>+INDEX([1]IN_Mon!$AT$7:$AV$52,MATCH(L$11,[1]IN_Mon!$AP$7:$AP$52,0),MATCH($A6,[1]IN_Mon!$AT$6:$AV$6,0))</f>
        <v>13833485.128398001</v>
      </c>
      <c r="M6">
        <f>+INDEX([1]IN_Mon!$AT$7:$AV$52,MATCH(M$11,[1]IN_Mon!$AP$7:$AP$52,0),MATCH($A6,[1]IN_Mon!$AT$6:$AV$6,0))</f>
        <v>5790.685853</v>
      </c>
      <c r="N6">
        <f>+INDEX([1]IN_Mon!$AT$7:$AV$52,MATCH(N$11,[1]IN_Mon!$AP$7:$AP$52,0),MATCH($A6,[1]IN_Mon!$AT$6:$AV$6,0))</f>
        <v>16013.978788</v>
      </c>
      <c r="O6">
        <f>+INDEX([1]IN_Mon!$AT$7:$AV$52,MATCH(O$11,[1]IN_Mon!$AP$7:$AP$52,0),MATCH($A6,[1]IN_Mon!$AT$6:$AV$6,0))</f>
        <v>23.591149999999999</v>
      </c>
      <c r="P6">
        <f>+INDEX([1]IN_Mon!$AT$7:$AV$52,MATCH(P$11,[1]IN_Mon!$AP$7:$AP$52,0),MATCH($A6,[1]IN_Mon!$AT$6:$AV$6,0))</f>
        <v>477.767</v>
      </c>
      <c r="Q6">
        <f>+INDEX([1]IN_Mon!$AT$7:$AV$52,MATCH(Q$11,[1]IN_Mon!$AP$7:$AP$52,0),MATCH($A6,[1]IN_Mon!$AT$6:$AV$6,0))</f>
        <v>0</v>
      </c>
      <c r="R6">
        <f>+INDEX([1]IN_Mon!$AT$7:$AV$52,MATCH(R$11,[1]IN_Mon!$AP$7:$AP$52,0),MATCH($A6,[1]IN_Mon!$AT$6:$AV$6,0))</f>
        <v>71.123379999999997</v>
      </c>
      <c r="S6">
        <f>+INDEX([1]IN_Mon!$AT$7:$AV$52,MATCH(S$11,[1]IN_Mon!$AP$7:$AP$52,0),MATCH($A6,[1]IN_Mon!$AT$6:$AV$6,0))</f>
        <v>0</v>
      </c>
      <c r="T6">
        <f>+INDEX([1]IN_Mon!$AT$7:$AV$52,MATCH(T$11,[1]IN_Mon!$AP$7:$AP$52,0),MATCH($A6,[1]IN_Mon!$AT$6:$AV$6,0))</f>
        <v>62.773829999999997</v>
      </c>
      <c r="U6">
        <f>+INDEX([1]IN_Mon!$AT$7:$AV$52,MATCH(U$11,[1]IN_Mon!$AP$7:$AP$52,0),MATCH($A6,[1]IN_Mon!$AT$6:$AV$6,0))</f>
        <v>107.0808</v>
      </c>
      <c r="V6">
        <f>+INDEX([1]IN_Mon!$AT$7:$AV$52,MATCH(V$11,[1]IN_Mon!$AP$7:$AP$52,0),MATCH($A6,[1]IN_Mon!$AT$6:$AV$6,0))</f>
        <v>4.1846120000000004</v>
      </c>
      <c r="W6">
        <f>+INDEX([1]IN_Mon!$AT$7:$AV$52,MATCH(W$11,[1]IN_Mon!$AP$7:$AP$52,0),MATCH($A6,[1]IN_Mon!$AT$6:$AV$6,0))</f>
        <v>197.1088</v>
      </c>
      <c r="X6">
        <f>+INDEX([1]Pat_Int!$E:$E,MATCH($A6,[1]Pat_Int!$B:$B,0))</f>
        <v>588217796.67319405</v>
      </c>
      <c r="Y6">
        <f>+INDEX([1]Pat_Int!$F:$F,MATCH($A6,[1]Pat_Int!$B:$B,0))</f>
        <v>593675933.80177402</v>
      </c>
      <c r="Z6">
        <f>+F6-SUM(G6:W6)</f>
        <v>2623701.9499997962</v>
      </c>
      <c r="AA6" t="e">
        <f>+SUMIF([1]Cartera!$R:$R,$A6&amp;"_"&amp;AA$11,[1]Cartera!$I:$I)</f>
        <v>#VALUE!</v>
      </c>
      <c r="AB6" t="e">
        <f>+SUMIF([1]Cartera!$R:$R,$A6&amp;"_"&amp;AB$11,[1]Cartera!$I:$I)</f>
        <v>#VALUE!</v>
      </c>
      <c r="AC6" t="e">
        <f>+SUMIF([1]Cartera!$R:$R,$A6&amp;"_"&amp;AC$11,[1]Cartera!$I:$I)</f>
        <v>#VALUE!</v>
      </c>
      <c r="AD6" t="e">
        <f>+SUMIF([1]Cartera!$R:$R,$A6&amp;"_"&amp;AD$11,[1]Cartera!$I:$I)</f>
        <v>#VALUE!</v>
      </c>
      <c r="AE6" t="e">
        <f>+SUMIF([1]Cartera!$R:$R,$A6&amp;"_"&amp;AE$11,[1]Cartera!$I:$I)</f>
        <v>#VALUE!</v>
      </c>
      <c r="AF6" t="e">
        <f>+SUMIF([1]Cartera!$R:$R,$A6&amp;"_"&amp;AF$11,[1]Cartera!$I:$I)</f>
        <v>#VALUE!</v>
      </c>
      <c r="AG6" t="e">
        <f>+SUMIF([1]Cartera!$R:$R,$A6&amp;"_"&amp;AG$11,[1]Cartera!$I:$I)</f>
        <v>#VALUE!</v>
      </c>
      <c r="AH6" t="e">
        <f>+SUMIF([1]Cartera!$R:$R,$A6&amp;"_"&amp;AH$11,[1]Cartera!$I:$I)</f>
        <v>#VALUE!</v>
      </c>
      <c r="AI6" t="e">
        <f>+SUMIF([1]Cartera!$R:$R,$A6&amp;"_"&amp;AI$11,[1]Cartera!$I:$I)+SUMIF([1]Futuros!$AD:$AD,$A6&amp;"_"&amp;AI$11,[1]Futuros!$AK:$AK)+SUMIF([1]Opciones!$AF:$AF,$A6&amp;"_"&amp;AI$11,[1]Opciones!$AQ:$AQ)</f>
        <v>#VALUE!</v>
      </c>
      <c r="AJ6" t="e">
        <f>+SUMIF([1]Cartera!$R:$R,$A6&amp;"_"&amp;AJ$11,[1]Cartera!$I:$I)+SUMIF([1]Futuros!$AD:$AD,$A6&amp;"_"&amp;AJ$11,[1]Futuros!$AK:$AK)+SUMIF([1]Opciones!$AF:$AF,$A6&amp;"_"&amp;AJ$11,[1]Opciones!$AQ:$AQ)</f>
        <v>#VALUE!</v>
      </c>
      <c r="AK6" t="e">
        <f>+SUMIF([1]Cartera!$R:$R,$A6&amp;"_"&amp;AK$11,[1]Cartera!$I:$I)+SUMIF([1]Futuros!$AD:$AD,$A6&amp;"_"&amp;AK$11,[1]Futuros!$AK:$AK)+SUMIF([1]Opciones!$AF:$AF,$A6&amp;"_"&amp;AK$11,[1]Opciones!$AQ:$AQ)</f>
        <v>#VALUE!</v>
      </c>
      <c r="AL6" t="e">
        <f>+SUMIF([1]Cartera!$R:$R,$A6&amp;"_"&amp;AL$11,[1]Cartera!$I:$I)+SUMIF([1]Futuros!$AD:$AD,$A6&amp;"_"&amp;AL$11,[1]Futuros!$AK:$AK)+SUMIF([1]Opciones!$AF:$AF,$A6&amp;"_"&amp;AL$11,[1]Opciones!$AQ:$AQ)</f>
        <v>#VALUE!</v>
      </c>
      <c r="AM6" t="e">
        <f>+SUMIF([1]Cartera!$R:$R,$A6&amp;"_"&amp;AM$11,[1]Cartera!$I:$I)+SUMIF([1]Futuros!$AD:$AD,$A6&amp;"_"&amp;AM$11,[1]Futuros!$AK:$AK)+SUMIF([1]Opciones!$AF:$AF,$A6&amp;"_"&amp;AM$11,[1]Opciones!$AQ:$AQ)</f>
        <v>#VALUE!</v>
      </c>
      <c r="AN6" t="e">
        <f>+SUMIF([1]Cartera!$R:$R,$A6&amp;"_"&amp;AN$11,[1]Cartera!$I:$I)+SUMIF([1]Futuros!$AD:$AD,$A6&amp;"_"&amp;AN$11,[1]Futuros!$AK:$AK)+SUMIF([1]Opciones!$AF:$AF,$A6&amp;"_"&amp;AN$11,[1]Opciones!$AQ:$AQ)</f>
        <v>#VALUE!</v>
      </c>
      <c r="AO6" t="e">
        <f>+SUMIF([1]Cartera!$R:$R,$A6&amp;"_"&amp;AO$11,[1]Cartera!$I:$I)+SUMIF([1]Futuros!$AD:$AD,$A6&amp;"_"&amp;AO$11,[1]Futuros!$AK:$AK)+SUMIF([1]Opciones!$AF:$AF,$A6&amp;"_"&amp;AO$11,[1]Opciones!$AQ:$AQ)</f>
        <v>#VALUE!</v>
      </c>
      <c r="AP6" t="e">
        <f>+SUMIF([1]Cartera!$R:$R,$A6&amp;"_"&amp;AP$11,[1]Cartera!$I:$I)+SUMIF([1]Futuros!$AD:$AD,$A6&amp;"_"&amp;AP$11,[1]Futuros!$AK:$AK)+SUMIF([1]Opciones!$AF:$AF,$A6&amp;"_"&amp;AP$11,[1]Opciones!$AQ:$AQ)</f>
        <v>#VALUE!</v>
      </c>
      <c r="AQ6" t="e">
        <f>+SUMIF([1]Cartera!$R:$R,$A6&amp;"_"&amp;AQ$11,[1]Cartera!$I:$I)+SUMIF([1]Futuros!$AD:$AD,$A6&amp;"_"&amp;AQ$11,[1]Futuros!$AK:$AK)+SUMIF([1]Opciones!$AF:$AF,$A6&amp;"_"&amp;AQ$11,[1]Opciones!$AQ:$AQ)</f>
        <v>#VALUE!</v>
      </c>
      <c r="AR6" t="e">
        <f>+SUMIF([1]Cartera!$R:$R,$A6&amp;"_"&amp;AR$11,[1]Cartera!$I:$I)+SUMIF([1]Futuros!$AD:$AD,$A6&amp;"_"&amp;AR$11,[1]Futuros!$AK:$AK)+SUMIF([1]Opciones!$AF:$AF,$A6&amp;"_"&amp;AR$11,[1]Opciones!$AQ:$AQ)</f>
        <v>#VALUE!</v>
      </c>
      <c r="AS6" t="e">
        <f>+SUMIF([1]Cartera!$R:$R,$A6&amp;"_"&amp;AS$11,[1]Cartera!$I:$I)+SUMIF([1]Futuros!$AD:$AD,$A6&amp;"_"&amp;AS$11,[1]Futuros!$AK:$AK)+SUMIF([1]Opciones!$AF:$AF,$A6&amp;"_"&amp;AS$11,[1]Opciones!$AQ:$AQ)</f>
        <v>#VALUE!</v>
      </c>
      <c r="AT6" t="e">
        <f>+SUMIF([1]Cartera!$R:$R,$A6&amp;"_"&amp;AT$11,[1]Cartera!$I:$I)+SUMIF([1]Futuros!$AD:$AD,$A6&amp;"_"&amp;AT$11,[1]Futuros!$AK:$AK)+SUMIF([1]Opciones!$AF:$AF,$A6&amp;"_"&amp;AT$11,[1]Opciones!$AQ:$AQ)</f>
        <v>#VALUE!</v>
      </c>
      <c r="AU6" t="e">
        <f>+SUMIF([1]Cartera!$R:$R,$A6&amp;"_"&amp;AU$11,[1]Cartera!$I:$I)+SUMIF([1]Futuros!$AD:$AD,$A6&amp;"_"&amp;AU$11,[1]Futuros!$AK:$AK)+SUMIF([1]Opciones!$AF:$AF,$A6&amp;"_"&amp;AU$11,[1]Opciones!$AQ:$AQ)</f>
        <v>#VALUE!</v>
      </c>
      <c r="AV6" t="e">
        <f>+SUMIF([1]Cartera!$R:$R,$A6&amp;"_"&amp;AV$11,[1]Cartera!$I:$I)+SUMIF([1]Futuros!$AD:$AD,$A6&amp;"_"&amp;AV$11,[1]Futuros!$AK:$AK)+SUMIF([1]Opciones!$AF:$AF,$A6&amp;"_"&amp;AV$11,[1]Opciones!$AQ:$AQ)</f>
        <v>#VALUE!</v>
      </c>
      <c r="AW6" t="e">
        <f>+SUMIF([1]Cartera!$R:$R,$A6&amp;"_"&amp;AW$11,[1]Cartera!$I:$I)+SUMIF([1]Futuros!$AD:$AD,$A6&amp;"_"&amp;AW$11,[1]Futuros!$AK:$AK)+SUMIF([1]Opciones!$AF:$AF,$A6&amp;"_"&amp;AW$11,[1]Opciones!$AQ:$AQ)</f>
        <v>#VALUE!</v>
      </c>
      <c r="AX6" t="e">
        <f>+SUMIF([1]Cartera!$R:$R,$A6&amp;"_"&amp;AX$11,[1]Cartera!$I:$I)+SUMIF([1]Futuros!$AD:$AD,$A6&amp;"_"&amp;AX$11,[1]Futuros!$AK:$AK)+SUMIF([1]Opciones!$AF:$AF,$A6&amp;"_"&amp;AX$11,[1]Opciones!$AQ:$AQ)</f>
        <v>#VALUE!</v>
      </c>
      <c r="AY6" t="e">
        <f>+SUMIF([1]Cartera!$R:$R,$A6&amp;"_"&amp;AY$11,[1]Cartera!$I:$I)+SUMIF([1]Futuros!$AD:$AD,$A6&amp;"_"&amp;AY$11,[1]Futuros!$AK:$AK)+SUMIF([1]Opciones!$AF:$AF,$A6&amp;"_"&amp;AY$11,[1]Opciones!$AQ:$AQ)</f>
        <v>#VALUE!</v>
      </c>
      <c r="AZ6" t="e">
        <f>+SUMIF([1]Cartera!$R:$R,$A6&amp;"_"&amp;AZ$11,[1]Cartera!$I:$I)+SUMIF([1]Futuros!$AD:$AD,$A6&amp;"_"&amp;AZ$11,[1]Futuros!$AK:$AK)+SUMIF([1]Opciones!$AF:$AF,$A6&amp;"_"&amp;AZ$11,[1]Opciones!$AQ:$AQ)</f>
        <v>#VALUE!</v>
      </c>
      <c r="BA6" t="e">
        <f>+SUMIF([1]Cartera!$R:$R,$A6&amp;"_"&amp;BA$11,[1]Cartera!$I:$I)+SUMIF([1]Futuros!$AD:$AD,$A6&amp;"_"&amp;BA$11,[1]Futuros!$AK:$AK)+SUMIF([1]Opciones!$AF:$AF,$A6&amp;"_"&amp;BA$11,[1]Opciones!$AQ:$AQ)</f>
        <v>#VALUE!</v>
      </c>
      <c r="BB6" t="e">
        <f>+SUMIF([1]Cartera!$R:$R,$A6&amp;"_"&amp;BB$11,[1]Cartera!$I:$I)+SUMIF([1]Futuros!$AD:$AD,$A6&amp;"_"&amp;BB$11,[1]Futuros!$AK:$AK)+SUMIF([1]Opciones!$AF:$AF,$A6&amp;"_"&amp;BB$11,[1]Opciones!$AQ:$AQ)</f>
        <v>#VALUE!</v>
      </c>
      <c r="BC6" t="e">
        <f>+SUMIF([1]Cartera!$R:$R,$A6&amp;"_"&amp;BC$11,[1]Cartera!$I:$I)+SUMIF([1]Futuros!$AD:$AD,$A6&amp;"_"&amp;BC$11,[1]Futuros!$AK:$AK)+SUMIF([1]Opciones!$AF:$AF,$A6&amp;"_"&amp;BC$11,[1]Opciones!$AQ:$AQ)</f>
        <v>#VALUE!</v>
      </c>
      <c r="BD6" t="e">
        <f>+SUMIF([1]Cartera!$R:$R,$A6&amp;"_"&amp;BD$11,[1]Cartera!$I:$I)+SUMIF([1]Futuros!$AD:$AD,$A6&amp;"_"&amp;BD$11,[1]Futuros!$AK:$AK)+SUMIF([1]Opciones!$AF:$AF,$A6&amp;"_"&amp;BD$11,[1]Opciones!$AQ:$AQ)</f>
        <v>#VALUE!</v>
      </c>
      <c r="BE6" t="e">
        <f>+SUMIF([1]Cartera!$R:$R,$A6&amp;"_"&amp;BE$11,[1]Cartera!$I:$I)+SUMIF([1]Futuros!$AD:$AD,$A6&amp;"_"&amp;BE$11,[1]Futuros!$AK:$AK)+SUMIF([1]Opciones!$AF:$AF,$A6&amp;"_"&amp;BE$11,[1]Opciones!$AQ:$AQ)</f>
        <v>#VALUE!</v>
      </c>
      <c r="BF6" t="e">
        <f>+SUMIF([1]Cartera!$R:$R,$A6&amp;"_"&amp;BF$11,[1]Cartera!$I:$I)+SUMIF([1]Futuros!$AD:$AD,$A6&amp;"_"&amp;BF$11,[1]Futuros!$AK:$AK)+SUMIF([1]Opciones!$AF:$AF,$A6&amp;"_"&amp;BF$11,[1]Opciones!$AQ:$AQ)</f>
        <v>#VALUE!</v>
      </c>
      <c r="BG6" t="e">
        <f>+SUMIF([1]Cartera!$R:$R,$A6&amp;"_"&amp;BG$11,[1]Cartera!$I:$I)+SUMIF([1]Futuros!$AD:$AD,$A6&amp;"_"&amp;BG$11,[1]Futuros!$AK:$AK)+SUMIF([1]Opciones!$AF:$AF,$A6&amp;"_"&amp;BG$11,[1]Opciones!$AQ:$AQ)</f>
        <v>#VALUE!</v>
      </c>
      <c r="BH6" t="e">
        <f>+SUMIF([1]Cartera!$R:$R,$A6&amp;"_"&amp;BH$11,[1]Cartera!$I:$I)+SUMIF([1]Futuros!$AD:$AD,$A6&amp;"_"&amp;BH$11,[1]Futuros!$AK:$AK)+SUMIF([1]Opciones!$AF:$AF,$A6&amp;"_"&amp;BH$11,[1]Opciones!$AQ:$AQ)</f>
        <v>#VALUE!</v>
      </c>
      <c r="BI6" t="e">
        <f>+SUMIF([1]Cartera!$R:$R,$A6&amp;"_"&amp;BI$11,[1]Cartera!$I:$I)+SUMIF([1]Futuros!$AD:$AD,$A6&amp;"_"&amp;BI$11,[1]Futuros!$AK:$AK)+SUMIF([1]Opciones!$AF:$AF,$A6&amp;"_"&amp;BI$11,[1]Opciones!$AQ:$AQ)</f>
        <v>#VALUE!</v>
      </c>
      <c r="BJ6" t="e">
        <f>+SUMIF([1]Cartera!$R:$R,$A6&amp;"_"&amp;BJ$11,[1]Cartera!$I:$I)+SUMIF([1]Futuros!$AD:$AD,$A6&amp;"_"&amp;BJ$11,[1]Futuros!$AK:$AK)+SUMIF([1]Opciones!$AF:$AF,$A6&amp;"_"&amp;BJ$11,[1]Opciones!$AQ:$AQ)</f>
        <v>#VALUE!</v>
      </c>
      <c r="BK6" t="e">
        <f>+SUMIF([1]Cartera!$R:$R,$A6&amp;"_"&amp;BK$11,[1]Cartera!$I:$I)+SUMIF([1]Futuros!$AD:$AD,$A6&amp;"_"&amp;BK$11,[1]Futuros!$AK:$AK)+SUMIF([1]Opciones!$AF:$AF,$A6&amp;"_"&amp;BK$11,[1]Opciones!$AQ:$AQ)</f>
        <v>#VALUE!</v>
      </c>
      <c r="BL6" t="e">
        <f>+SUMIF([1]Cartera!$R:$R,$A6&amp;"_"&amp;BL$11,[1]Cartera!$I:$I)+SUMIF([1]Futuros!$AD:$AD,$A6&amp;"_"&amp;BL$11,[1]Futuros!$AK:$AK)+SUMIF([1]Opciones!$AF:$AF,$A6&amp;"_"&amp;BL$11,[1]Opciones!$AQ:$AQ)</f>
        <v>#VALUE!</v>
      </c>
      <c r="BM6" t="e">
        <f>+SUMIF([1]Cartera!$R:$R,$A6&amp;"_"&amp;BM$11,[1]Cartera!$I:$I)+SUMIF([1]Futuros!$AD:$AD,$A6&amp;"_"&amp;BM$11,[1]Futuros!$AK:$AK)+SUMIF([1]Opciones!$AF:$AF,$A6&amp;"_"&amp;BM$11,[1]Opciones!$AQ:$AQ)</f>
        <v>#VALUE!</v>
      </c>
      <c r="BN6" t="e">
        <f>+SUMIF([1]Cartera!$R:$R,$A6&amp;"_"&amp;BN$11,[1]Cartera!$I:$I)+SUMIF([1]Futuros!$AD:$AD,$A6&amp;"_"&amp;BN$11,[1]Futuros!$AK:$AK)+SUMIF([1]Opciones!$AF:$AF,$A6&amp;"_"&amp;BN$11,[1]Opciones!$AQ:$AQ)</f>
        <v>#VALUE!</v>
      </c>
      <c r="BO6" t="e">
        <f>+SUMIF([1]Cartera!$R:$R,$A6&amp;"_"&amp;BO$11,[1]Cartera!$I:$I)+SUMIF([1]Futuros!$AD:$AD,$A6&amp;"_"&amp;BO$11,[1]Futuros!$AK:$AK)+SUMIF([1]Opciones!$AF:$AF,$A6&amp;"_"&amp;BO$11,[1]Opciones!$AQ:$AQ)</f>
        <v>#VALUE!</v>
      </c>
      <c r="BP6" t="e">
        <f>+SUMIF([1]Cartera!$R:$R,$A6&amp;"_"&amp;BP$11,[1]Cartera!$I:$I)+SUMIF([1]Futuros!$AD:$AD,$A6&amp;"_"&amp;BP$11,[1]Futuros!$AK:$AK)+SUMIF([1]Opciones!$AF:$AF,$A6&amp;"_"&amp;BP$11,[1]Opciones!$AQ:$AQ)</f>
        <v>#VALUE!</v>
      </c>
      <c r="BQ6" t="e">
        <f>+SUMIF([1]Cartera!$R:$R,$A6&amp;"_"&amp;BQ$11,[1]Cartera!$I:$I)+SUMIF([1]Futuros!$AD:$AD,$A6&amp;"_"&amp;BQ$11,[1]Futuros!$AK:$AK)+SUMIF([1]Opciones!$AF:$AF,$A6&amp;"_"&amp;BQ$11,[1]Opciones!$AQ:$AQ)</f>
        <v>#VALUE!</v>
      </c>
      <c r="BR6" t="e">
        <f>+SUMIF([1]Cartera!$R:$R,$A6&amp;"_"&amp;BR$11,[1]Cartera!$I:$I)+SUMIF([1]Futuros!$AD:$AD,$A6&amp;"_"&amp;BR$11,[1]Futuros!$AK:$AK)+SUMIF([1]Opciones!$AF:$AF,$A6&amp;"_"&amp;BR$11,[1]Opciones!$AQ:$AQ)</f>
        <v>#VALUE!</v>
      </c>
      <c r="BS6" t="e">
        <f>+SUMIF([1]Cartera!$R:$R,$A6&amp;"_"&amp;BS$11,[1]Cartera!$I:$I)+SUMIF([1]Futuros!$AD:$AD,$A6&amp;"_"&amp;BS$11,[1]Futuros!$AK:$AK)+SUMIF([1]Opciones!$AF:$AF,$A6&amp;"_"&amp;BS$11,[1]Opciones!$AQ:$AQ)</f>
        <v>#VALUE!</v>
      </c>
      <c r="BT6" t="e">
        <f>+SUMIF([1]Cartera!$R:$R,$A6&amp;"_"&amp;BT$11,[1]Cartera!$I:$I)+SUMIF([1]Futuros!$AD:$AD,$A6&amp;"_"&amp;BT$11,[1]Futuros!$AK:$AK)+SUMIF([1]Opciones!$AF:$AF,$A6&amp;"_"&amp;BT$11,[1]Opciones!$AQ:$AQ)</f>
        <v>#VALUE!</v>
      </c>
      <c r="BU6" t="e">
        <f>+SUMIF([1]Cartera!$R:$R,$A6&amp;"_"&amp;BU$11,[1]Cartera!$I:$I)+SUMIF([1]Futuros!$AD:$AD,$A6&amp;"_"&amp;BU$11,[1]Futuros!$AK:$AK)+SUMIF([1]Opciones!$AF:$AF,$A6&amp;"_"&amp;BU$11,[1]Opciones!$AQ:$AQ)</f>
        <v>#VALUE!</v>
      </c>
      <c r="BV6" t="e">
        <f>+SUMIF([1]Cartera!$R:$R,$A6&amp;"_"&amp;BV$11,[1]Cartera!$I:$I)+SUMIF([1]Futuros!$AD:$AD,$A6&amp;"_"&amp;BV$11,[1]Futuros!$AK:$AK)+SUMIF([1]Opciones!$AF:$AF,$A6&amp;"_"&amp;BV$11,[1]Opciones!$AQ:$AQ)</f>
        <v>#VALUE!</v>
      </c>
      <c r="BW6" t="e">
        <f>+SUMIF([1]Cartera!$R:$R,$A6&amp;"_"&amp;BW$11,[1]Cartera!$I:$I)+SUMIF([1]Futuros!$AD:$AD,$A6&amp;"_"&amp;BW$11,[1]Futuros!$AK:$AK)+SUMIF([1]Opciones!$AF:$AF,$A6&amp;"_"&amp;BW$11,[1]Opciones!$AQ:$AQ)</f>
        <v>#VALUE!</v>
      </c>
      <c r="BX6" t="e">
        <f>+SUMIF([1]Cartera!$R:$R,$A6&amp;"_"&amp;BX$11,[1]Cartera!$I:$I)+SUMIF([1]Futuros!$AD:$AD,$A6&amp;"_"&amp;BX$11,[1]Futuros!$AK:$AK)+SUMIF([1]Opciones!$AF:$AF,$A6&amp;"_"&amp;BX$11,[1]Opciones!$AQ:$AQ)</f>
        <v>#VALUE!</v>
      </c>
      <c r="BY6" t="e">
        <f>+SUMIF([1]Cartera!$R:$R,$A6&amp;"_"&amp;BY$11,[1]Cartera!$I:$I)+SUMIF([1]Futuros!$AD:$AD,$A6&amp;"_"&amp;BY$11,[1]Futuros!$AK:$AK)+SUMIF([1]Opciones!$AF:$AF,$A6&amp;"_"&amp;BY$11,[1]Opciones!$AQ:$AQ)</f>
        <v>#VALUE!</v>
      </c>
      <c r="BZ6" t="e">
        <f>+SUMIF([1]Cartera!$R:$R,$A6&amp;"_"&amp;BZ$11,[1]Cartera!$I:$I)+SUMIF([1]Futuros!$AD:$AD,$A6&amp;"_"&amp;BZ$11,[1]Futuros!$AK:$AK)+SUMIF([1]Opciones!$AF:$AF,$A6&amp;"_"&amp;BZ$11,[1]Opciones!$AQ:$AQ)</f>
        <v>#VALUE!</v>
      </c>
      <c r="CA6" t="e">
        <f>+SUMIF([1]Cartera!$R:$R,$A6&amp;"_"&amp;CA$11,[1]Cartera!$I:$I)+SUMIF([1]Futuros!$AD:$AD,$A6&amp;"_"&amp;CA$11,[1]Futuros!$AK:$AK)+SUMIF([1]Opciones!$AF:$AF,$A6&amp;"_"&amp;CA$11,[1]Opciones!$AQ:$AQ)</f>
        <v>#VALUE!</v>
      </c>
      <c r="CB6" t="e">
        <f>+SUMIF([1]Cartera!$R:$R,$A6&amp;"_"&amp;CB$11,[1]Cartera!$I:$I)+SUMIF([1]Futuros!$AD:$AD,$A6&amp;"_"&amp;CB$11,[1]Futuros!$AK:$AK)+SUMIF([1]Opciones!$AF:$AF,$A6&amp;"_"&amp;CB$11,[1]Opciones!$AQ:$AQ)</f>
        <v>#VALUE!</v>
      </c>
      <c r="CC6" t="e">
        <f>+SUMIF([1]Cartera!$R:$R,$A6&amp;"_"&amp;CC$11,[1]Cartera!$I:$I)+SUMIF([1]Futuros!$AD:$AD,$A6&amp;"_"&amp;CC$11,[1]Futuros!$AK:$AK)+SUMIF([1]Opciones!$AF:$AF,$A6&amp;"_"&amp;CC$11,[1]Opciones!$AQ:$AQ)</f>
        <v>#VALUE!</v>
      </c>
      <c r="CD6" t="e">
        <f>+SUMIF([1]Cartera!$R:$R,$A6&amp;"_"&amp;CD$11,[1]Cartera!$I:$I)+SUMIF([1]Futuros!$AD:$AD,$A6&amp;"_"&amp;CD$11,[1]Futuros!$AK:$AK)+SUMIF([1]Opciones!$AF:$AF,$A6&amp;"_"&amp;CD$11,[1]Opciones!$AQ:$AQ)</f>
        <v>#VALUE!</v>
      </c>
      <c r="CE6" t="e">
        <f>+SUMIF([1]Cartera!$R:$R,$A6&amp;"_"&amp;CE$11,[1]Cartera!$I:$I)+SUMIF([1]Futuros!$AD:$AD,$A6&amp;"_"&amp;CE$11,[1]Futuros!$AK:$AK)+SUMIF([1]Opciones!$AF:$AF,$A6&amp;"_"&amp;CE$11,[1]Opciones!$AQ:$AQ)</f>
        <v>#VALUE!</v>
      </c>
      <c r="CF6" t="e">
        <f>+SUMIF([1]Cartera!$R:$R,$A6&amp;"_"&amp;CF$11,[1]Cartera!$I:$I)+SUMIF([1]Futuros!$AD:$AD,$A6&amp;"_"&amp;CF$11,[1]Futuros!$AK:$AK)+SUMIF([1]Opciones!$AF:$AF,$A6&amp;"_"&amp;CF$11,[1]Opciones!$AQ:$AQ)</f>
        <v>#VALUE!</v>
      </c>
      <c r="CG6" t="e">
        <f>+SUMIF([1]Cartera!$R:$R,$A6&amp;"_"&amp;CG$11,[1]Cartera!$I:$I)+SUMIF([1]Futuros!$AD:$AD,$A6&amp;"_"&amp;CG$11,[1]Futuros!$AK:$AK)+SUMIF([1]Opciones!$AF:$AF,$A6&amp;"_"&amp;CG$11,[1]Opciones!$AQ:$AQ)</f>
        <v>#VALUE!</v>
      </c>
      <c r="CH6" t="e">
        <f>+SUMIF([1]Cartera!$R:$R,$A6&amp;"_"&amp;CH$11,[1]Cartera!$I:$I)+SUMIF([1]Futuros!$AD:$AD,$A6&amp;"_"&amp;CH$11,[1]Futuros!$AK:$AK)+SUMIF([1]Opciones!$AF:$AF,$A6&amp;"_"&amp;CH$11,[1]Opciones!$AQ:$AQ)</f>
        <v>#VALUE!</v>
      </c>
      <c r="CI6" t="e">
        <f>+SUMIF([1]Cartera!$R:$R,$A6&amp;"_"&amp;CI$11,[1]Cartera!$I:$I)+SUMIF([1]Futuros!$AD:$AD,$A6&amp;"_"&amp;CI$11,[1]Futuros!$AK:$AK)+SUMIF([1]Opciones!$AF:$AF,$A6&amp;"_"&amp;CI$11,[1]Opciones!$AQ:$AQ)</f>
        <v>#VALUE!</v>
      </c>
      <c r="CJ6" t="e">
        <f>+SUMIF([1]Cartera!$R:$R,$A6&amp;"_"&amp;CJ$11,[1]Cartera!$I:$I)+SUMIF([1]Futuros!$AD:$AD,$A6&amp;"_"&amp;CJ$11,[1]Futuros!$AK:$AK)+SUMIF([1]Opciones!$AF:$AF,$A6&amp;"_"&amp;CJ$11,[1]Opciones!$AQ:$AQ)</f>
        <v>#VALUE!</v>
      </c>
      <c r="CK6" t="e">
        <f>+SUMIF([1]Cartera!$R:$R,$A6&amp;"_"&amp;CK$11,[1]Cartera!$I:$I)+SUMIF([1]Futuros!$AD:$AD,$A6&amp;"_"&amp;CK$11,[1]Futuros!$AK:$AK)+SUMIF([1]Opciones!$AF:$AF,$A6&amp;"_"&amp;CK$11,[1]Opciones!$AQ:$AQ)</f>
        <v>#VALUE!</v>
      </c>
      <c r="CL6" t="e">
        <f>+SUMIF([1]Cartera!$R:$R,$A6&amp;"_"&amp;CL$11,[1]Cartera!$I:$I)+SUMIF([1]Futuros!$AD:$AD,$A6&amp;"_"&amp;CL$11,[1]Futuros!$AK:$AK)+SUMIF([1]Opciones!$AF:$AF,$A6&amp;"_"&amp;CL$11,[1]Opciones!$AQ:$AQ)</f>
        <v>#VALUE!</v>
      </c>
      <c r="CM6" t="e">
        <f>+SUMIF([1]Cartera!$R:$R,$A6&amp;"_"&amp;CM$11,[1]Cartera!$I:$I)+SUMIF([1]Futuros!$AD:$AD,$A6&amp;"_"&amp;CM$11,[1]Futuros!$AK:$AK)+SUMIF([1]Opciones!$AF:$AF,$A6&amp;"_"&amp;CM$11,[1]Opciones!$AQ:$AQ)</f>
        <v>#VALUE!</v>
      </c>
      <c r="CN6" t="e">
        <f>+SUMIF([1]Cartera!$R:$R,$A6&amp;"_"&amp;CN$11,[1]Cartera!$I:$I)+SUMIF([1]Futuros!$AD:$AD,$A6&amp;"_"&amp;CN$11,[1]Futuros!$AK:$AK)+SUMIF([1]Opciones!$AF:$AF,$A6&amp;"_"&amp;CN$11,[1]Opciones!$AQ:$AQ)</f>
        <v>#VALUE!</v>
      </c>
      <c r="CO6" t="e">
        <f>+SUMIF([1]Cartera!$R:$R,$A6&amp;"_"&amp;CO$11,[1]Cartera!$I:$I)+SUMIF([1]Futuros!$AD:$AD,$A6&amp;"_"&amp;CO$11,[1]Futuros!$AK:$AK)+SUMIF([1]Opciones!$AF:$AF,$A6&amp;"_"&amp;CO$11,[1]Opciones!$AQ:$AQ)</f>
        <v>#VALUE!</v>
      </c>
      <c r="CP6" t="e">
        <f>+SUMIF([1]Cartera!$R:$R,$A6&amp;"_"&amp;CP$11,[1]Cartera!$I:$I)+SUMIF([1]Futuros!$AD:$AD,$A6&amp;"_"&amp;CP$11,[1]Futuros!$AK:$AK)+SUMIF([1]Opciones!$AF:$AF,$A6&amp;"_"&amp;CP$11,[1]Opciones!$AQ:$AQ)</f>
        <v>#VALUE!</v>
      </c>
      <c r="CQ6" t="e">
        <f>+SUMIF([1]Cartera!$R:$R,$A6&amp;"_"&amp;CQ$11,[1]Cartera!$I:$I)+SUMIF([1]Futuros!$AD:$AD,$A6&amp;"_"&amp;CQ$11,[1]Futuros!$AK:$AK)+SUMIF([1]Opciones!$AF:$AF,$A6&amp;"_"&amp;CQ$11,[1]Opciones!$AQ:$AQ)</f>
        <v>#VALUE!</v>
      </c>
      <c r="CR6" t="e">
        <f>+SUMIF([1]Cartera!$R:$R,$A6&amp;"_"&amp;CR$11,[1]Cartera!$I:$I)+SUMIF([1]Futuros!$AD:$AD,$A6&amp;"_"&amp;CR$11,[1]Futuros!$AK:$AK)+SUMIF([1]Opciones!$AF:$AF,$A6&amp;"_"&amp;CR$11,[1]Opciones!$AQ:$AQ)</f>
        <v>#VALUE!</v>
      </c>
      <c r="CS6" t="e">
        <f>+SUMIF([1]Cartera!$R:$R,$A6&amp;"_"&amp;CS$11,[1]Cartera!$I:$I)+SUMIF([1]Futuros!$AD:$AD,$A6&amp;"_"&amp;CS$11,[1]Futuros!$AK:$AK)+SUMIF([1]Opciones!$AF:$AF,$A6&amp;"_"&amp;CS$11,[1]Opciones!$AQ:$AQ)</f>
        <v>#VALUE!</v>
      </c>
      <c r="CT6" t="e">
        <f>+SUMIF([1]Cartera!$R:$R,$A6&amp;"_"&amp;CT$11,[1]Cartera!$I:$I)+SUMIF([1]Futuros!$AD:$AD,$A6&amp;"_"&amp;CT$11,[1]Futuros!$AK:$AK)+SUMIF([1]Opciones!$AF:$AF,$A6&amp;"_"&amp;CT$11,[1]Opciones!$AQ:$AQ)</f>
        <v>#VALUE!</v>
      </c>
      <c r="CU6" t="e">
        <f>+SUMIF([1]Cartera!$R:$R,$A6&amp;"_"&amp;CU$11,[1]Cartera!$I:$I)+SUMIF([1]Futuros!$AD:$AD,$A6&amp;"_"&amp;CU$11,[1]Futuros!$AK:$AK)+SUMIF([1]Opciones!$AF:$AF,$A6&amp;"_"&amp;CU$11,[1]Opciones!$AQ:$AQ)</f>
        <v>#VALUE!</v>
      </c>
      <c r="CV6" t="e">
        <f>+SUMIF([1]Cartera!$R:$R,$A6&amp;"_"&amp;CV$11,[1]Cartera!$I:$I)+SUMIF([1]Futuros!$AD:$AD,$A6&amp;"_"&amp;CV$11,[1]Futuros!$AK:$AK)+SUMIF([1]Opciones!$AF:$AF,$A6&amp;"_"&amp;CV$11,[1]Opciones!$AQ:$AQ)</f>
        <v>#VALUE!</v>
      </c>
      <c r="CW6" t="e">
        <f>+SUMIF([1]Cartera!$R:$R,$A6&amp;"_"&amp;CW$11,[1]Cartera!$I:$I)+SUMIF([1]Futuros!$AD:$AD,$A6&amp;"_"&amp;CW$11,[1]Futuros!$AK:$AK)+SUMIF([1]Opciones!$AF:$AF,$A6&amp;"_"&amp;CW$11,[1]Opciones!$AQ:$AQ)</f>
        <v>#VALUE!</v>
      </c>
      <c r="CX6" t="e">
        <f>+SUMIF([1]Cartera!$R:$R,$A6&amp;"_"&amp;CX$11,[1]Cartera!$I:$I)+SUMIF([1]Futuros!$AD:$AD,$A6&amp;"_"&amp;CX$11,[1]Futuros!$AK:$AK)+SUMIF([1]Opciones!$AF:$AF,$A6&amp;"_"&amp;CX$11,[1]Opciones!$AQ:$AQ)</f>
        <v>#VALUE!</v>
      </c>
      <c r="CY6" t="e">
        <f>+SUMIF([1]Cartera!$R:$R,$A6&amp;"_"&amp;CY$11,[1]Cartera!$I:$I)+SUMIF([1]Futuros!$AD:$AD,$A6&amp;"_"&amp;CY$11,[1]Futuros!$AK:$AK)+SUMIF([1]Opciones!$AF:$AF,$A6&amp;"_"&amp;CY$11,[1]Opciones!$AQ:$AQ)</f>
        <v>#VALUE!</v>
      </c>
      <c r="CZ6" t="e">
        <f>+SUMIF([1]Cartera!$R:$R,$A6&amp;"_"&amp;CZ$11,[1]Cartera!$I:$I)+SUMIF([1]Futuros!$AD:$AD,$A6&amp;"_"&amp;CZ$11,[1]Futuros!$AK:$AK)+SUMIF([1]Opciones!$AF:$AF,$A6&amp;"_"&amp;CZ$11,[1]Opciones!$AQ:$AQ)</f>
        <v>#VALUE!</v>
      </c>
      <c r="DA6" t="e">
        <f>+SUMIF([1]Cartera!$R:$R,$A6&amp;"_"&amp;DA$11,[1]Cartera!$I:$I)+SUMIF([1]Futuros!$AD:$AD,$A6&amp;"_"&amp;DA$11,[1]Futuros!$AK:$AK)+SUMIF([1]Opciones!$AF:$AF,$A6&amp;"_"&amp;DA$11,[1]Opciones!$AQ:$AQ)</f>
        <v>#VALUE!</v>
      </c>
      <c r="DB6" t="e">
        <f>+SUMIF([1]Cartera!$R:$R,$A6&amp;"_"&amp;DB$11,[1]Cartera!$I:$I)+SUMIF([1]Futuros!$AD:$AD,$A6&amp;"_"&amp;DB$11,[1]Futuros!$AK:$AK)+SUMIF([1]Opciones!$AF:$AF,$A6&amp;"_"&amp;DB$11,[1]Opciones!$AQ:$AQ)</f>
        <v>#VALUE!</v>
      </c>
      <c r="DC6" t="e">
        <f>+SUMIF([1]Cartera!$R:$R,$A6&amp;"_"&amp;DC$11,[1]Cartera!$I:$I)+SUMIF([1]Futuros!$AD:$AD,$A6&amp;"_"&amp;DC$11,[1]Futuros!$AK:$AK)+SUMIF([1]Opciones!$AF:$AF,$A6&amp;"_"&amp;DC$11,[1]Opciones!$AQ:$AQ)</f>
        <v>#VALUE!</v>
      </c>
      <c r="DD6" t="e">
        <f>+SUMIF([1]Cartera!$R:$R,$A6&amp;"_"&amp;DD$11,[1]Cartera!$I:$I)+SUMIF([1]Futuros!$AD:$AD,$A6&amp;"_"&amp;DD$11,[1]Futuros!$AK:$AK)+SUMIF([1]Opciones!$AF:$AF,$A6&amp;"_"&amp;DD$11,[1]Opciones!$AQ:$AQ)</f>
        <v>#VALUE!</v>
      </c>
      <c r="DE6" t="e">
        <f>+SUMIF([1]Cartera!$R:$R,$A6&amp;"_"&amp;DE$11,[1]Cartera!$I:$I)+SUMIF([1]Futuros!$AD:$AD,$A6&amp;"_"&amp;DE$11,[1]Futuros!$AK:$AK)+SUMIF([1]Opciones!$AF:$AF,$A6&amp;"_"&amp;DE$11,[1]Opciones!$AQ:$AQ)</f>
        <v>#VALUE!</v>
      </c>
      <c r="DF6" t="e">
        <f>+SUMIF([1]Cartera!$R:$R,$A6&amp;"_"&amp;DF$11,[1]Cartera!$I:$I)+SUMIF([1]Futuros!$AD:$AD,$A6&amp;"_"&amp;DF$11,[1]Futuros!$AK:$AK)+SUMIF([1]Opciones!$AF:$AF,$A6&amp;"_"&amp;DF$11,[1]Opciones!$AQ:$AQ)</f>
        <v>#VALUE!</v>
      </c>
      <c r="DG6" t="e">
        <f>+SUMIF([1]Cartera!$R:$R,$A6&amp;"_"&amp;DG$11,[1]Cartera!$I:$I)+SUMIF([1]Futuros!$AD:$AD,$A6&amp;"_"&amp;DG$11,[1]Futuros!$AK:$AK)+SUMIF([1]Opciones!$AF:$AF,$A6&amp;"_"&amp;DG$11,[1]Opciones!$AQ:$AQ)</f>
        <v>#VALUE!</v>
      </c>
      <c r="DH6" t="e">
        <f>+SUMIF([1]Cartera!$R:$R,$A6&amp;"_"&amp;DH$11,[1]Cartera!$I:$I)+SUMIF([1]Futuros!$AD:$AD,$A6&amp;"_"&amp;DH$11,[1]Futuros!$AK:$AK)+SUMIF([1]Opciones!$AF:$AF,$A6&amp;"_"&amp;DH$11,[1]Opciones!$AQ:$AQ)</f>
        <v>#VALUE!</v>
      </c>
      <c r="DI6" t="e">
        <f>+SUMIF([1]Cartera!$R:$R,$A6&amp;"_"&amp;DI$11,[1]Cartera!$I:$I)+SUMIF([1]Futuros!$AD:$AD,$A6&amp;"_"&amp;DI$11,[1]Futuros!$AK:$AK)+SUMIF([1]Opciones!$AF:$AF,$A6&amp;"_"&amp;DI$11,[1]Opciones!$AQ:$AQ)</f>
        <v>#VALUE!</v>
      </c>
      <c r="DJ6" t="e">
        <f>+SUMIF([1]Cartera!$R:$R,$A6&amp;"_"&amp;DJ$11,[1]Cartera!$I:$I)+SUMIF([1]Futuros!$AD:$AD,$A6&amp;"_"&amp;DJ$11,[1]Futuros!$AK:$AK)+SUMIF([1]Opciones!$AF:$AF,$A6&amp;"_"&amp;DJ$11,[1]Opciones!$AQ:$AQ)</f>
        <v>#VALUE!</v>
      </c>
      <c r="DK6" t="e">
        <f>+SUMIF([1]Cartera!$R:$R,$A6&amp;"_"&amp;DK$11,[1]Cartera!$I:$I)+SUMIF([1]Futuros!$AD:$AD,$A6&amp;"_"&amp;DK$11,[1]Futuros!$AK:$AK)+SUMIF([1]Opciones!$AF:$AF,$A6&amp;"_"&amp;DK$11,[1]Opciones!$AQ:$AQ)</f>
        <v>#VALUE!</v>
      </c>
      <c r="DL6" t="e">
        <f>+SUMIF([1]Cartera!$R:$R,$A6&amp;"_"&amp;DL$11,[1]Cartera!$I:$I)+SUMIF([1]Futuros!$AD:$AD,$A6&amp;"_"&amp;DL$11,[1]Futuros!$AK:$AK)+SUMIF([1]Opciones!$AF:$AF,$A6&amp;"_"&amp;DL$11,[1]Opciones!$AQ:$AQ)</f>
        <v>#VALUE!</v>
      </c>
      <c r="DM6" t="e">
        <f>+SUMIF([1]Cartera!$R:$R,$A6&amp;"_"&amp;DM$11,[1]Cartera!$I:$I)+SUMIF([1]Futuros!$AD:$AD,$A6&amp;"_"&amp;DM$11,[1]Futuros!$AK:$AK)+SUMIF([1]Opciones!$AF:$AF,$A6&amp;"_"&amp;DM$11,[1]Opciones!$AQ:$AQ)</f>
        <v>#VALUE!</v>
      </c>
      <c r="DN6" t="e">
        <f>+SUMIF([1]Cartera!$R:$R,$A6&amp;"_"&amp;DN$11,[1]Cartera!$I:$I)+SUMIF([1]Futuros!$AD:$AD,$A6&amp;"_"&amp;DN$11,[1]Futuros!$AK:$AK)+SUMIF([1]Opciones!$AF:$AF,$A6&amp;"_"&amp;DN$11,[1]Opciones!$AQ:$AQ)</f>
        <v>#VALUE!</v>
      </c>
      <c r="DO6" t="e">
        <f>+SUMIF([1]Cartera!$R:$R,$A6&amp;"_"&amp;DO$11,[1]Cartera!$I:$I)+SUMIF([1]Futuros!$AD:$AD,$A6&amp;"_"&amp;DO$11,[1]Futuros!$AK:$AK)+SUMIF([1]Opciones!$AF:$AF,$A6&amp;"_"&amp;DO$11,[1]Opciones!$AQ:$AQ)</f>
        <v>#VALUE!</v>
      </c>
      <c r="DP6" t="e">
        <f>+SUMIF([1]Cartera!$R:$R,$A6&amp;"_"&amp;DP$11,[1]Cartera!$I:$I)+SUMIF([1]Futuros!$AD:$AD,$A6&amp;"_"&amp;DP$11,[1]Futuros!$AK:$AK)+SUMIF([1]Opciones!$AF:$AF,$A6&amp;"_"&amp;DP$11,[1]Opciones!$AQ:$AQ)</f>
        <v>#VALUE!</v>
      </c>
      <c r="DQ6" t="e">
        <f>+SUMIF([1]Cartera!$R:$R,$A6&amp;"_"&amp;DQ$11,[1]Cartera!$I:$I)+SUMIF([1]Futuros!$AD:$AD,$A6&amp;"_"&amp;DQ$11,[1]Futuros!$AK:$AK)+SUMIF([1]Opciones!$AF:$AF,$A6&amp;"_"&amp;DQ$11,[1]Opciones!$AQ:$AQ)</f>
        <v>#VALUE!</v>
      </c>
      <c r="DR6" t="e">
        <f>+SUMIF([1]Cartera!$R:$R,$A6&amp;"_"&amp;DR$11,[1]Cartera!$I:$I)+SUMIF([1]Futuros!$AD:$AD,$A6&amp;"_"&amp;DR$11,[1]Futuros!$AK:$AK)+SUMIF([1]Opciones!$AF:$AF,$A6&amp;"_"&amp;DR$11,[1]Opciones!$AQ:$AQ)</f>
        <v>#VALUE!</v>
      </c>
      <c r="DS6" t="e">
        <f>+SUMIF([1]Cartera!$R:$R,$A6&amp;"_"&amp;DS$11,[1]Cartera!$I:$I)+SUMIF([1]Futuros!$AD:$AD,$A6&amp;"_"&amp;DS$11,[1]Futuros!$AK:$AK)+SUMIF([1]Opciones!$AF:$AF,$A6&amp;"_"&amp;DS$11,[1]Opciones!$AQ:$AQ)</f>
        <v>#VALUE!</v>
      </c>
      <c r="DT6" t="e">
        <f>+SUMIF([1]Cartera!$R:$R,$A6&amp;"_"&amp;DT$11,[1]Cartera!$I:$I)+SUMIF([1]Futuros!$AD:$AD,$A6&amp;"_"&amp;DT$11,[1]Futuros!$AK:$AK)+SUMIF([1]Opciones!$AF:$AF,$A6&amp;"_"&amp;DT$11,[1]Opciones!$AQ:$AQ)</f>
        <v>#VALUE!</v>
      </c>
      <c r="DU6" t="e">
        <f>+SUMIF([1]Cartera!$R:$R,$A6&amp;"_"&amp;DU$11,[1]Cartera!$I:$I)+SUMIF([1]Futuros!$AD:$AD,$A6&amp;"_"&amp;DU$11,[1]Futuros!$AK:$AK)+SUMIF([1]Opciones!$AF:$AF,$A6&amp;"_"&amp;DU$11,[1]Opciones!$AQ:$AQ)</f>
        <v>#VALUE!</v>
      </c>
      <c r="DV6" t="e">
        <f>+SUMIF([1]Cartera!$R:$R,$A6&amp;"_"&amp;DV$11,[1]Cartera!$I:$I)+SUMIF([1]Futuros!$AD:$AD,$A6&amp;"_"&amp;DV$11,[1]Futuros!$AK:$AK)+SUMIF([1]Opciones!$AF:$AF,$A6&amp;"_"&amp;DV$11,[1]Opciones!$AQ:$AQ)</f>
        <v>#VALUE!</v>
      </c>
      <c r="DW6" t="e">
        <f>+SUMIF([1]Cartera!$R:$R,$A6&amp;"_"&amp;DW$11,[1]Cartera!$I:$I)+SUMIF([1]Futuros!$AD:$AD,$A6&amp;"_"&amp;DW$11,[1]Futuros!$AK:$AK)+SUMIF([1]Opciones!$AF:$AF,$A6&amp;"_"&amp;DW$11,[1]Opciones!$AQ:$AQ)</f>
        <v>#VALUE!</v>
      </c>
      <c r="DX6" t="e">
        <f>+SUMIF([1]Cartera!$R:$R,$A6&amp;"_"&amp;DX$11,[1]Cartera!$I:$I)+SUMIF([1]Futuros!$AD:$AD,$A6&amp;"_"&amp;DX$11,[1]Futuros!$AK:$AK)+SUMIF([1]Opciones!$AF:$AF,$A6&amp;"_"&amp;DX$11,[1]Opciones!$AQ:$AQ)</f>
        <v>#VALUE!</v>
      </c>
      <c r="DY6" t="e">
        <f>+SUMIF([1]Cartera!$R:$R,$A6&amp;"_"&amp;DY$11,[1]Cartera!$I:$I)+SUMIF([1]Futuros!$AD:$AD,$A6&amp;"_"&amp;DY$11,[1]Futuros!$AK:$AK)+SUMIF([1]Opciones!$AF:$AF,$A6&amp;"_"&amp;DY$11,[1]Opciones!$AQ:$AQ)</f>
        <v>#VALUE!</v>
      </c>
      <c r="DZ6" t="e">
        <f>+SUMIF([1]Cartera!$R:$R,$A6&amp;"_"&amp;DZ$11,[1]Cartera!$I:$I)+SUMIF([1]Futuros!$AD:$AD,$A6&amp;"_"&amp;DZ$11,[1]Futuros!$AK:$AK)+SUMIF([1]Opciones!$AF:$AF,$A6&amp;"_"&amp;DZ$11,[1]Opciones!$AQ:$AQ)</f>
        <v>#VALUE!</v>
      </c>
      <c r="EA6" t="e">
        <f>+SUMIF([1]Cartera!$R:$R,$A6&amp;"_"&amp;EA$11,[1]Cartera!$I:$I)+SUMIF([1]Futuros!$AD:$AD,$A6&amp;"_"&amp;EA$11,[1]Futuros!$AK:$AK)+SUMIF([1]Opciones!$AF:$AF,$A6&amp;"_"&amp;EA$11,[1]Opciones!$AQ:$AQ)</f>
        <v>#VALUE!</v>
      </c>
      <c r="EB6" t="e">
        <f>+SUMIF([1]Cartera!$R:$R,$A6&amp;"_"&amp;EB$11,[1]Cartera!$I:$I)+SUMIF([1]Futuros!$AD:$AD,$A6&amp;"_"&amp;EB$11,[1]Futuros!$AK:$AK)+SUMIF([1]Opciones!$AF:$AF,$A6&amp;"_"&amp;EB$11,[1]Opciones!$AQ:$AQ)</f>
        <v>#VALUE!</v>
      </c>
      <c r="EC6" t="e">
        <f>+SUMIF([1]Cartera!$R:$R,$A6&amp;"_"&amp;EC$11,[1]Cartera!$I:$I)+SUMIF([1]Futuros!$AD:$AD,$A6&amp;"_"&amp;EC$11,[1]Futuros!$AK:$AK)+SUMIF([1]Opciones!$AF:$AF,$A6&amp;"_"&amp;EC$11,[1]Opciones!$AQ:$AQ)</f>
        <v>#VALUE!</v>
      </c>
      <c r="ED6" t="e">
        <f>+SUMIF([1]Cartera!$R:$R,$A6&amp;"_"&amp;ED$11,[1]Cartera!$I:$I)+SUMIF([1]Futuros!$AD:$AD,$A6&amp;"_"&amp;ED$11,[1]Futuros!$AK:$AK)+SUMIF([1]Opciones!$AF:$AF,$A6&amp;"_"&amp;ED$11,[1]Opciones!$AQ:$AQ)</f>
        <v>#VALUE!</v>
      </c>
      <c r="EE6" t="e">
        <f>+SUMIF([1]Cartera!$R:$R,$A6&amp;"_"&amp;EE$11,[1]Cartera!$I:$I)+SUMIF([1]Futuros!$AD:$AD,$A6&amp;"_"&amp;EE$11,[1]Futuros!$AK:$AK)+SUMIF([1]Opciones!$AF:$AF,$A6&amp;"_"&amp;EE$11,[1]Opciones!$AQ:$AQ)</f>
        <v>#VALUE!</v>
      </c>
      <c r="EF6" t="e">
        <f>+SUMIF([1]Cartera!$R:$R,$A6&amp;"_"&amp;EF$11,[1]Cartera!$I:$I)+SUMIF([1]Futuros!$AD:$AD,$A6&amp;"_"&amp;EF$11,[1]Futuros!$AK:$AK)+SUMIF([1]Opciones!$AF:$AF,$A6&amp;"_"&amp;EF$11,[1]Opciones!$AQ:$AQ)</f>
        <v>#VALUE!</v>
      </c>
      <c r="EG6" t="e">
        <f>+SUMIF([1]Cartera!$R:$R,$A6&amp;"_"&amp;EG$11,[1]Cartera!$I:$I)+SUMIF([1]Futuros!$AD:$AD,$A6&amp;"_"&amp;EG$11,[1]Futuros!$AK:$AK)+SUMIF([1]Opciones!$AF:$AF,$A6&amp;"_"&amp;EG$11,[1]Opciones!$AQ:$AQ)</f>
        <v>#VALUE!</v>
      </c>
      <c r="EH6" t="e">
        <f>+SUMIF([1]Cartera!$R:$R,$A6&amp;"_"&amp;EH$11,[1]Cartera!$I:$I)+SUMIF([1]Futuros!$AD:$AD,$A6&amp;"_"&amp;EH$11,[1]Futuros!$AK:$AK)+SUMIF([1]Opciones!$AF:$AF,$A6&amp;"_"&amp;EH$11,[1]Opciones!$AQ:$AQ)</f>
        <v>#VALUE!</v>
      </c>
      <c r="EI6" t="e">
        <f>+SUMIF([1]Cartera!$R:$R,$A6&amp;"_"&amp;EI$11,[1]Cartera!$I:$I)+SUMIF([1]Futuros!$AD:$AD,$A6&amp;"_"&amp;EI$11,[1]Futuros!$AK:$AK)+SUMIF([1]Opciones!$AF:$AF,$A6&amp;"_"&amp;EI$11,[1]Opciones!$AQ:$AQ)</f>
        <v>#VALUE!</v>
      </c>
      <c r="EJ6" t="e">
        <f>+SUMIF([1]Cartera!$R:$R,$A6&amp;"_"&amp;EJ$11,[1]Cartera!$I:$I)+SUMIF([1]Futuros!$AD:$AD,$A6&amp;"_"&amp;EJ$11,[1]Futuros!$AK:$AK)+SUMIF([1]Opciones!$AF:$AF,$A6&amp;"_"&amp;EJ$11,[1]Opciones!$AQ:$AQ)</f>
        <v>#VALUE!</v>
      </c>
      <c r="EK6" t="e">
        <f>+SUMIF([1]Cartera!$R:$R,$A6&amp;"_"&amp;EK$11,[1]Cartera!$I:$I)+SUMIF([1]Futuros!$AD:$AD,$A6&amp;"_"&amp;EK$11,[1]Futuros!$AK:$AK)+SUMIF([1]Opciones!$AF:$AF,$A6&amp;"_"&amp;EK$11,[1]Opciones!$AQ:$AQ)</f>
        <v>#VALUE!</v>
      </c>
      <c r="EL6" t="e">
        <f>+SUMIF([1]Cartera!$R:$R,$A6&amp;"_"&amp;EL$11,[1]Cartera!$I:$I)+SUMIF([1]Futuros!$AD:$AD,$A6&amp;"_"&amp;EL$11,[1]Futuros!$AK:$AK)+SUMIF([1]Opciones!$AF:$AF,$A6&amp;"_"&amp;EL$11,[1]Opciones!$AQ:$AQ)</f>
        <v>#VALUE!</v>
      </c>
      <c r="EM6" t="e">
        <f>+SUMIF([1]Cartera!$R:$R,$A6&amp;"_"&amp;EM$11,[1]Cartera!$I:$I)+SUMIF([1]Futuros!$AD:$AD,$A6&amp;"_"&amp;EM$11,[1]Futuros!$AK:$AK)+SUMIF([1]Opciones!$AF:$AF,$A6&amp;"_"&amp;EM$11,[1]Opciones!$AQ:$AQ)</f>
        <v>#VALUE!</v>
      </c>
      <c r="EN6" t="e">
        <f>+SUMIF([1]Cartera!$R:$R,$A6&amp;"_"&amp;EN$11,[1]Cartera!$I:$I)+SUMIF([1]Futuros!$AD:$AD,$A6&amp;"_"&amp;EN$11,[1]Futuros!$AK:$AK)+SUMIF([1]Opciones!$AF:$AF,$A6&amp;"_"&amp;EN$11,[1]Opciones!$AQ:$AQ)</f>
        <v>#VALUE!</v>
      </c>
      <c r="EO6" t="e">
        <f>+SUMIF([1]Cartera!$R:$R,$A6&amp;"_"&amp;EO$11,[1]Cartera!$I:$I)+SUMIF([1]Futuros!$AD:$AD,$A6&amp;"_"&amp;EO$11,[1]Futuros!$AK:$AK)+SUMIF([1]Opciones!$AF:$AF,$A6&amp;"_"&amp;EO$11,[1]Opciones!$AQ:$AQ)</f>
        <v>#VALUE!</v>
      </c>
      <c r="EP6" t="e">
        <f>+SUMIF([1]Cartera!$R:$R,$A6&amp;"_"&amp;EP$11,[1]Cartera!$I:$I)+SUMIF([1]Futuros!$AD:$AD,$A6&amp;"_"&amp;EP$11,[1]Futuros!$AK:$AK)+SUMIF([1]Opciones!$AF:$AF,$A6&amp;"_"&amp;EP$11,[1]Opciones!$AQ:$AQ)</f>
        <v>#VALUE!</v>
      </c>
      <c r="EQ6" t="e">
        <f>+SUMIF([1]Cartera!$R:$R,$A6&amp;"_"&amp;EQ$11,[1]Cartera!$I:$I)+SUMIF([1]Futuros!$AD:$AD,$A6&amp;"_"&amp;EQ$11,[1]Futuros!$AK:$AK)+SUMIF([1]Opciones!$AF:$AF,$A6&amp;"_"&amp;EQ$11,[1]Opciones!$AQ:$AQ)</f>
        <v>#VALUE!</v>
      </c>
      <c r="ER6" t="e">
        <f>+SUMIF([1]Cartera!$R:$R,$A6&amp;"_"&amp;ER$11,[1]Cartera!$I:$I)+SUMIF([1]Futuros!$AD:$AD,$A6&amp;"_"&amp;ER$11,[1]Futuros!$AK:$AK)+SUMIF([1]Opciones!$AF:$AF,$A6&amp;"_"&amp;ER$11,[1]Opciones!$AQ:$AQ)</f>
        <v>#VALUE!</v>
      </c>
      <c r="ES6" t="e">
        <f>+SUMIF([1]Cartera!$R:$R,$A6&amp;"_"&amp;ES$11,[1]Cartera!$I:$I)+SUMIF([1]Futuros!$AD:$AD,$A6&amp;"_"&amp;ES$11,[1]Futuros!$AK:$AK)+SUMIF([1]Opciones!$AF:$AF,$A6&amp;"_"&amp;ES$11,[1]Opciones!$AQ:$AQ)</f>
        <v>#VALUE!</v>
      </c>
      <c r="ET6" t="e">
        <f>+SUMIF([1]Cartera!$R:$R,$A6&amp;"_"&amp;ET$11,[1]Cartera!$I:$I)+SUMIF([1]Futuros!$AD:$AD,$A6&amp;"_"&amp;ET$11,[1]Futuros!$AK:$AK)+SUMIF([1]Opciones!$AF:$AF,$A6&amp;"_"&amp;ET$11,[1]Opciones!$AQ:$AQ)</f>
        <v>#VALUE!</v>
      </c>
      <c r="EU6" t="e">
        <f>+SUMIF([1]Cartera!$R:$R,$A6&amp;"_"&amp;EU$11,[1]Cartera!$I:$I)+SUMIF([1]Futuros!$AD:$AD,$A6&amp;"_"&amp;EU$11,[1]Futuros!$AK:$AK)+SUMIF([1]Opciones!$AF:$AF,$A6&amp;"_"&amp;EU$11,[1]Opciones!$AQ:$AQ)</f>
        <v>#VALUE!</v>
      </c>
      <c r="EV6" t="e">
        <f>+SUMIF([1]Cartera!$R:$R,$A6&amp;"_"&amp;EV$11,[1]Cartera!$I:$I)+SUMIF([1]Futuros!$AD:$AD,$A6&amp;"_"&amp;EV$11,[1]Futuros!$AK:$AK)+SUMIF([1]Opciones!$AF:$AF,$A6&amp;"_"&amp;EV$11,[1]Opciones!$AQ:$AQ)</f>
        <v>#VALUE!</v>
      </c>
      <c r="EW6" t="e">
        <f>+SUMIF([1]Cartera!$R:$R,$A6&amp;"_"&amp;EW$11,[1]Cartera!$I:$I)+SUMIF([1]Futuros!$AD:$AD,$A6&amp;"_"&amp;EW$11,[1]Futuros!$AK:$AK)+SUMIF([1]Opciones!$AF:$AF,$A6&amp;"_"&amp;EW$11,[1]Opciones!$AQ:$AQ)</f>
        <v>#VALUE!</v>
      </c>
      <c r="EX6" t="e">
        <f>+SUMIF([1]Cartera!$R:$R,$A6&amp;"_"&amp;EX$11,[1]Cartera!$I:$I)+SUMIF([1]Futuros!$AD:$AD,$A6&amp;"_"&amp;EX$11,[1]Futuros!$AK:$AK)+SUMIF([1]Opciones!$AF:$AF,$A6&amp;"_"&amp;EX$11,[1]Opciones!$AQ:$AQ)</f>
        <v>#VALUE!</v>
      </c>
      <c r="EY6" t="e">
        <f>+SUMIF([1]Cartera!$R:$R,$A6&amp;"_"&amp;EY$11,[1]Cartera!$I:$I)+SUMIF([1]Futuros!$AD:$AD,$A6&amp;"_"&amp;EY$11,[1]Futuros!$AK:$AK)+SUMIF([1]Opciones!$AF:$AF,$A6&amp;"_"&amp;EY$11,[1]Opciones!$AQ:$AQ)</f>
        <v>#VALUE!</v>
      </c>
      <c r="EZ6" t="e">
        <f>+SUMIF([1]Cartera!$R:$R,$A6&amp;"_"&amp;EZ$11,[1]Cartera!$I:$I)+SUMIF([1]Futuros!$AD:$AD,$A6&amp;"_"&amp;EZ$11,[1]Futuros!$AK:$AK)+SUMIF([1]Opciones!$AF:$AF,$A6&amp;"_"&amp;EZ$11,[1]Opciones!$AQ:$AQ)</f>
        <v>#VALUE!</v>
      </c>
      <c r="FA6" t="e">
        <f>+SUMIF([1]Cartera!$R:$R,$A6&amp;"_"&amp;FA$11,[1]Cartera!$I:$I)+SUMIF([1]Futuros!$AD:$AD,$A6&amp;"_"&amp;FA$11,[1]Futuros!$AK:$AK)+SUMIF([1]Opciones!$AF:$AF,$A6&amp;"_"&amp;FA$11,[1]Opciones!$AQ:$AQ)</f>
        <v>#VALUE!</v>
      </c>
      <c r="FB6" t="e">
        <f>+SUMIF([1]Cartera!$R:$R,$A6&amp;"_"&amp;FB$11,[1]Cartera!$I:$I)+SUMIF([1]Futuros!$AD:$AD,$A6&amp;"_"&amp;FB$11,[1]Futuros!$AK:$AK)+SUMIF([1]Opciones!$AF:$AF,$A6&amp;"_"&amp;FB$11,[1]Opciones!$AQ:$AQ)</f>
        <v>#VALUE!</v>
      </c>
      <c r="FC6" t="e">
        <f>+SUMIF([1]Cartera!$R:$R,$A6&amp;"_"&amp;FC$11,[1]Cartera!$I:$I)+SUMIF([1]Futuros!$AD:$AD,$A6&amp;"_"&amp;FC$11,[1]Futuros!$AK:$AK)+SUMIF([1]Opciones!$AF:$AF,$A6&amp;"_"&amp;FC$11,[1]Opciones!$AQ:$AQ)</f>
        <v>#VALUE!</v>
      </c>
      <c r="FD6" t="e">
        <f>+SUMIF([1]Cartera!$R:$R,$A6&amp;"_"&amp;FD$11,[1]Cartera!$I:$I)+SUMIF([1]Futuros!$AD:$AD,$A6&amp;"_"&amp;FD$11,[1]Futuros!$AK:$AK)+SUMIF([1]Opciones!$AF:$AF,$A6&amp;"_"&amp;FD$11,[1]Opciones!$AQ:$AQ)</f>
        <v>#VALUE!</v>
      </c>
      <c r="FE6" t="e">
        <f>+SUMIF([1]Cartera!$R:$R,$A6&amp;"_"&amp;FE$11,[1]Cartera!$I:$I)+SUMIF([1]Futuros!$AD:$AD,$A6&amp;"_"&amp;FE$11,[1]Futuros!$AK:$AK)+SUMIF([1]Opciones!$AF:$AF,$A6&amp;"_"&amp;FE$11,[1]Opciones!$AQ:$AQ)</f>
        <v>#VALUE!</v>
      </c>
      <c r="FF6" t="e">
        <f>+SUMIF([1]Cartera!$R:$R,$A6&amp;"_"&amp;FF$11,[1]Cartera!$I:$I)+SUMIF([1]Futuros!$AD:$AD,$A6&amp;"_"&amp;FF$11,[1]Futuros!$AK:$AK)+SUMIF([1]Opciones!$AF:$AF,$A6&amp;"_"&amp;FF$11,[1]Opciones!$AQ:$AQ)</f>
        <v>#VALUE!</v>
      </c>
      <c r="FG6" t="e">
        <f>+SUMIF([1]Cartera!$R:$R,$A6&amp;"_"&amp;FG$11,[1]Cartera!$I:$I)+SUMIF([1]Futuros!$AD:$AD,$A6&amp;"_"&amp;FG$11,[1]Futuros!$AK:$AK)+SUMIF([1]Opciones!$AF:$AF,$A6&amp;"_"&amp;FG$11,[1]Opciones!$AQ:$AQ)</f>
        <v>#VALUE!</v>
      </c>
      <c r="FH6" t="e">
        <f>+SUMIF([1]Cartera!$R:$R,$A6&amp;"_"&amp;FH$11,[1]Cartera!$I:$I)+SUMIF([1]Futuros!$AD:$AD,$A6&amp;"_"&amp;FH$11,[1]Futuros!$AK:$AK)+SUMIF([1]Opciones!$AF:$AF,$A6&amp;"_"&amp;FH$11,[1]Opciones!$AQ:$AQ)</f>
        <v>#VALUE!</v>
      </c>
      <c r="FI6" t="e">
        <f>+SUMIF([1]Cartera!$R:$R,$A6&amp;"_"&amp;FI$11,[1]Cartera!$I:$I)+SUMIF([1]Futuros!$AD:$AD,$A6&amp;"_"&amp;FI$11,[1]Futuros!$AK:$AK)+SUMIF([1]Opciones!$AF:$AF,$A6&amp;"_"&amp;FI$11,[1]Opciones!$AQ:$AQ)</f>
        <v>#VALUE!</v>
      </c>
      <c r="FJ6" t="e">
        <f>+SUMIF([1]Cartera!$R:$R,$A6&amp;"_"&amp;FJ$11,[1]Cartera!$I:$I)+SUMIF([1]Futuros!$AD:$AD,$A6&amp;"_"&amp;FJ$11,[1]Futuros!$AK:$AK)+SUMIF([1]Opciones!$AF:$AF,$A6&amp;"_"&amp;FJ$11,[1]Opciones!$AQ:$AQ)</f>
        <v>#VALUE!</v>
      </c>
      <c r="FK6" t="e">
        <f>+SUMIF([1]Cartera!$R:$R,$A6&amp;"_"&amp;FK$11,[1]Cartera!$I:$I)+SUMIF([1]Futuros!$AD:$AD,$A6&amp;"_"&amp;FK$11,[1]Futuros!$AK:$AK)+SUMIF([1]Opciones!$AF:$AF,$A6&amp;"_"&amp;FK$11,[1]Opciones!$AQ:$AQ)</f>
        <v>#VALUE!</v>
      </c>
      <c r="FL6" t="e">
        <f>+SUMIF([1]Cartera!$R:$R,$A6&amp;"_"&amp;FL$11,[1]Cartera!$I:$I)+SUMIF([1]Futuros!$AD:$AD,$A6&amp;"_"&amp;FL$11,[1]Futuros!$AK:$AK)+SUMIF([1]Opciones!$AF:$AF,$A6&amp;"_"&amp;FL$11,[1]Opciones!$AQ:$AQ)</f>
        <v>#VALUE!</v>
      </c>
      <c r="FM6" t="e">
        <f>+SUMIF([1]Cartera!$R:$R,$A6&amp;"_"&amp;FM$11,[1]Cartera!$I:$I)+SUMIF([1]Futuros!$AD:$AD,$A6&amp;"_"&amp;FM$11,[1]Futuros!$AK:$AK)+SUMIF([1]Opciones!$AF:$AF,$A6&amp;"_"&amp;FM$11,[1]Opciones!$AQ:$AQ)</f>
        <v>#VALUE!</v>
      </c>
      <c r="FN6" t="e">
        <f>+SUMIF([1]Cartera!$R:$R,$A6&amp;"_"&amp;FN$11,[1]Cartera!$I:$I)+SUMIF([1]Futuros!$AD:$AD,$A6&amp;"_"&amp;FN$11,[1]Futuros!$AK:$AK)+SUMIF([1]Opciones!$AF:$AF,$A6&amp;"_"&amp;FN$11,[1]Opciones!$AQ:$AQ)</f>
        <v>#VALUE!</v>
      </c>
      <c r="FO6" t="e">
        <f>+SUMIF([1]Cartera!$R:$R,$A6&amp;"_"&amp;FO$11,[1]Cartera!$I:$I)+SUMIF([1]Futuros!$AD:$AD,$A6&amp;"_"&amp;FO$11,[1]Futuros!$AK:$AK)+SUMIF([1]Opciones!$AF:$AF,$A6&amp;"_"&amp;FO$11,[1]Opciones!$AQ:$AQ)</f>
        <v>#VALUE!</v>
      </c>
      <c r="FP6" t="e">
        <f>+SUMIF([1]Cartera!$R:$R,$A6&amp;"_"&amp;FP$11,[1]Cartera!$I:$I)+SUMIF([1]Futuros!$AD:$AD,$A6&amp;"_"&amp;FP$11,[1]Futuros!$AK:$AK)+SUMIF([1]Opciones!$AF:$AF,$A6&amp;"_"&amp;FP$11,[1]Opciones!$AQ:$AQ)</f>
        <v>#VALUE!</v>
      </c>
      <c r="FQ6" t="e">
        <f>+SUMIF([1]Cartera!$R:$R,$A6&amp;"_"&amp;FQ$11,[1]Cartera!$I:$I)+SUMIF([1]Futuros!$AD:$AD,$A6&amp;"_"&amp;FQ$11,[1]Futuros!$AK:$AK)+SUMIF([1]Opciones!$AF:$AF,$A6&amp;"_"&amp;FQ$11,[1]Opciones!$AQ:$AQ)</f>
        <v>#VALUE!</v>
      </c>
      <c r="FR6" t="e">
        <f>+SUMIF([1]Cartera!$R:$R,$A6&amp;"_"&amp;FR$11,[1]Cartera!$I:$I)+SUMIF([1]Futuros!$AD:$AD,$A6&amp;"_"&amp;FR$11,[1]Futuros!$AK:$AK)+SUMIF([1]Opciones!$AF:$AF,$A6&amp;"_"&amp;FR$11,[1]Opciones!$AQ:$AQ)</f>
        <v>#VALUE!</v>
      </c>
      <c r="FS6" t="e">
        <f>+SUMIF([1]Cartera!$R:$R,$A6&amp;"_"&amp;FS$11,[1]Cartera!$I:$I)+SUMIF([1]Futuros!$AD:$AD,$A6&amp;"_"&amp;FS$11,[1]Futuros!$AK:$AK)+SUMIF([1]Opciones!$AF:$AF,$A6&amp;"_"&amp;FS$11,[1]Opciones!$AQ:$AQ)</f>
        <v>#VALUE!</v>
      </c>
      <c r="FT6" t="e">
        <f>+SUMIF([1]Cartera!$R:$R,$A6&amp;"_"&amp;FT$11,[1]Cartera!$I:$I)+SUMIF([1]Futuros!$AD:$AD,$A6&amp;"_"&amp;FT$11,[1]Futuros!$AK:$AK)+SUMIF([1]Opciones!$AF:$AF,$A6&amp;"_"&amp;FT$11,[1]Opciones!$AQ:$AQ)</f>
        <v>#VALUE!</v>
      </c>
      <c r="FU6" t="e">
        <f>+SUMIF([1]Cartera!$R:$R,$A6&amp;"_"&amp;FU$11,[1]Cartera!$I:$I)+SUMIF([1]Futuros!$AD:$AD,$A6&amp;"_"&amp;FU$11,[1]Futuros!$AK:$AK)+SUMIF([1]Opciones!$AF:$AF,$A6&amp;"_"&amp;FU$11,[1]Opciones!$AQ:$AQ)</f>
        <v>#VALUE!</v>
      </c>
      <c r="FV6" t="e">
        <f>+SUMIF([1]Cartera!$R:$R,$A6&amp;"_"&amp;FV$11,[1]Cartera!$I:$I)+SUMIF([1]Futuros!$AD:$AD,$A6&amp;"_"&amp;FV$11,[1]Futuros!$AK:$AK)+SUMIF([1]Opciones!$AF:$AF,$A6&amp;"_"&amp;FV$11,[1]Opciones!$AQ:$AQ)</f>
        <v>#VALUE!</v>
      </c>
      <c r="FW6" t="e">
        <f>+SUMIF([1]Cartera!$R:$R,$A6&amp;"_"&amp;FW$11,[1]Cartera!$I:$I)+SUMIF([1]Futuros!$AD:$AD,$A6&amp;"_"&amp;FW$11,[1]Futuros!$AK:$AK)+SUMIF([1]Opciones!$AF:$AF,$A6&amp;"_"&amp;FW$11,[1]Opciones!$AQ:$AQ)</f>
        <v>#VALUE!</v>
      </c>
      <c r="FX6" t="e">
        <f>+SUMIF([1]Cartera!$R:$R,$A6&amp;"_"&amp;FX$11,[1]Cartera!$I:$I)+SUMIF([1]Futuros!$AD:$AD,$A6&amp;"_"&amp;FX$11,[1]Futuros!$AK:$AK)+SUMIF([1]Opciones!$AF:$AF,$A6&amp;"_"&amp;FX$11,[1]Opciones!$AQ:$AQ)</f>
        <v>#VALUE!</v>
      </c>
      <c r="FY6" t="e">
        <f>+SUMIF([1]Cartera!$R:$R,$A6&amp;"_"&amp;FY$11,[1]Cartera!$I:$I)+SUMIF([1]Futuros!$AD:$AD,$A6&amp;"_"&amp;FY$11,[1]Futuros!$AK:$AK)+SUMIF([1]Opciones!$AF:$AF,$A6&amp;"_"&amp;FY$11,[1]Opciones!$AQ:$AQ)</f>
        <v>#VALUE!</v>
      </c>
      <c r="FZ6" t="e">
        <f>+SUMIF([1]Cartera!$R:$R,$A6&amp;"_"&amp;FZ$11,[1]Cartera!$I:$I)+SUMIF([1]Futuros!$AD:$AD,$A6&amp;"_"&amp;FZ$11,[1]Futuros!$AK:$AK)+SUMIF([1]Opciones!$AF:$AF,$A6&amp;"_"&amp;FZ$11,[1]Opciones!$AQ:$AQ)</f>
        <v>#VALUE!</v>
      </c>
      <c r="GA6" t="e">
        <f>+SUMIF([1]Cartera!$R:$R,$A6&amp;"_"&amp;GA$11,[1]Cartera!$I:$I)+SUMIF([1]Futuros!$AD:$AD,$A6&amp;"_"&amp;GA$11,[1]Futuros!$AK:$AK)+SUMIF([1]Opciones!$AF:$AF,$A6&amp;"_"&amp;GA$11,[1]Opciones!$AQ:$AQ)</f>
        <v>#VALUE!</v>
      </c>
      <c r="GB6" t="e">
        <f>+SUMIF([1]Cartera!$R:$R,$A6&amp;"_"&amp;GB$11,[1]Cartera!$I:$I)+SUMIF([1]Futuros!$AD:$AD,$A6&amp;"_"&amp;GB$11,[1]Futuros!$AK:$AK)+SUMIF([1]Opciones!$AF:$AF,$A6&amp;"_"&amp;GB$11,[1]Opciones!$AQ:$AQ)</f>
        <v>#VALUE!</v>
      </c>
      <c r="GC6" t="e">
        <f>+SUMIF([1]Cartera!$R:$R,$A6&amp;"_"&amp;GC$11,[1]Cartera!$I:$I)+SUMIF([1]Futuros!$AD:$AD,$A6&amp;"_"&amp;GC$11,[1]Futuros!$AK:$AK)+SUMIF([1]Opciones!$AF:$AF,$A6&amp;"_"&amp;GC$11,[1]Opciones!$AQ:$AQ)</f>
        <v>#VALUE!</v>
      </c>
      <c r="GD6" t="e">
        <f>+SUMIF([1]Cartera!$R:$R,$A6&amp;"_"&amp;GD$11,[1]Cartera!$I:$I)+SUMIF([1]Futuros!$AD:$AD,$A6&amp;"_"&amp;GD$11,[1]Futuros!$AK:$AK)+SUMIF([1]Opciones!$AF:$AF,$A6&amp;"_"&amp;GD$11,[1]Opciones!$AQ:$AQ)</f>
        <v>#VALUE!</v>
      </c>
      <c r="GE6" t="e">
        <f>+SUMIF([1]Cartera!$R:$R,$A6&amp;"_"&amp;GE$11,[1]Cartera!$I:$I)+SUMIF([1]Futuros!$AD:$AD,$A6&amp;"_"&amp;GE$11,[1]Futuros!$AK:$AK)+SUMIF([1]Opciones!$AF:$AF,$A6&amp;"_"&amp;GE$11,[1]Opciones!$AQ:$AQ)</f>
        <v>#VALUE!</v>
      </c>
      <c r="GF6" t="e">
        <f>+SUMIF([1]Cartera!$R:$R,$A6&amp;"_"&amp;GF$11,[1]Cartera!$I:$I)+SUMIF([1]Futuros!$AD:$AD,$A6&amp;"_"&amp;GF$11,[1]Futuros!$AK:$AK)+SUMIF([1]Opciones!$AF:$AF,$A6&amp;"_"&amp;GF$11,[1]Opciones!$AQ:$AQ)</f>
        <v>#VALUE!</v>
      </c>
      <c r="GG6" t="e">
        <f>+SUMIF([1]Cartera!$R:$R,$A6&amp;"_"&amp;GG$11,[1]Cartera!$I:$I)+SUMIF([1]Futuros!$AD:$AD,$A6&amp;"_"&amp;GG$11,[1]Futuros!$AK:$AK)+SUMIF([1]Opciones!$AF:$AF,$A6&amp;"_"&amp;GG$11,[1]Opciones!$AQ:$AQ)</f>
        <v>#VALUE!</v>
      </c>
      <c r="GH6" t="e">
        <f>+SUMIF([1]Cartera!$R:$R,$A6&amp;"_"&amp;GH$11,[1]Cartera!$I:$I)+SUMIF([1]Futuros!$AD:$AD,$A6&amp;"_"&amp;GH$11,[1]Futuros!$AK:$AK)+SUMIF([1]Opciones!$AF:$AF,$A6&amp;"_"&amp;GH$11,[1]Opciones!$AQ:$AQ)</f>
        <v>#VALUE!</v>
      </c>
      <c r="GI6" t="e">
        <f>+SUMIF([1]Cartera!$R:$R,$A6&amp;"_"&amp;GI$11,[1]Cartera!$I:$I)+SUMIF([1]Futuros!$AD:$AD,$A6&amp;"_"&amp;GI$11,[1]Futuros!$AK:$AK)+SUMIF([1]Opciones!$AF:$AF,$A6&amp;"_"&amp;GI$11,[1]Opciones!$AQ:$AQ)</f>
        <v>#VALUE!</v>
      </c>
      <c r="GJ6" t="e">
        <f>+SUMIF([1]Cartera!$R:$R,$A6&amp;"_"&amp;GJ$11,[1]Cartera!$I:$I)+SUMIF([1]Futuros!$AD:$AD,$A6&amp;"_"&amp;GJ$11,[1]Futuros!$AK:$AK)+SUMIF([1]Opciones!$AF:$AF,$A6&amp;"_"&amp;GJ$11,[1]Opciones!$AQ:$AQ)</f>
        <v>#VALUE!</v>
      </c>
      <c r="GK6" t="e">
        <f>+SUMIF([1]Cartera!$R:$R,$A6&amp;"_"&amp;GK$11,[1]Cartera!$I:$I)+SUMIF([1]Futuros!$AD:$AD,$A6&amp;"_"&amp;GK$11,[1]Futuros!$AK:$AK)+SUMIF([1]Opciones!$AF:$AF,$A6&amp;"_"&amp;GK$11,[1]Opciones!$AQ:$AQ)</f>
        <v>#VALUE!</v>
      </c>
      <c r="GL6" t="e">
        <f>+SUMIF([1]Cartera!$R:$R,$A6&amp;"_"&amp;GL$11,[1]Cartera!$I:$I)+SUMIF([1]Futuros!$AD:$AD,$A6&amp;"_"&amp;GL$11,[1]Futuros!$AK:$AK)+SUMIF([1]Opciones!$AF:$AF,$A6&amp;"_"&amp;GL$11,[1]Opciones!$AQ:$AQ)</f>
        <v>#VALUE!</v>
      </c>
      <c r="GM6" t="e">
        <f>+SUMIF([1]Cartera!$R:$R,$A6&amp;"_"&amp;GM$11,[1]Cartera!$I:$I)+SUMIF([1]Futuros!$AD:$AD,$A6&amp;"_"&amp;GM$11,[1]Futuros!$AK:$AK)+SUMIF([1]Opciones!$AF:$AF,$A6&amp;"_"&amp;GM$11,[1]Opciones!$AQ:$AQ)</f>
        <v>#VALUE!</v>
      </c>
      <c r="GN6" t="e">
        <f>+SUMIF([1]Cartera!$R:$R,$A6&amp;"_"&amp;GN$11,[1]Cartera!$I:$I)+SUMIF([1]Futuros!$AD:$AD,$A6&amp;"_"&amp;GN$11,[1]Futuros!$AK:$AK)+SUMIF([1]Opciones!$AF:$AF,$A6&amp;"_"&amp;GN$11,[1]Opciones!$AQ:$AQ)</f>
        <v>#VALUE!</v>
      </c>
      <c r="GO6" t="e">
        <f>+SUMIF([1]Cartera!$R:$R,$A6&amp;"_"&amp;GO$11,[1]Cartera!$I:$I)+SUMIF([1]Futuros!$AD:$AD,$A6&amp;"_"&amp;GO$11,[1]Futuros!$AK:$AK)+SUMIF([1]Opciones!$AF:$AF,$A6&amp;"_"&amp;GO$11,[1]Opciones!$AQ:$AQ)</f>
        <v>#VALUE!</v>
      </c>
      <c r="GP6" t="e">
        <f>+SUMIF([1]Cartera!$R:$R,$A6&amp;"_"&amp;GP$11,[1]Cartera!$I:$I)+SUMIF([1]Futuros!$AD:$AD,$A6&amp;"_"&amp;GP$11,[1]Futuros!$AK:$AK)+SUMIF([1]Opciones!$AF:$AF,$A6&amp;"_"&amp;GP$11,[1]Opciones!$AQ:$AQ)</f>
        <v>#VALUE!</v>
      </c>
      <c r="GQ6" t="e">
        <f>+SUMIF([1]Cartera!$R:$R,$A6&amp;"_"&amp;GQ$11,[1]Cartera!$I:$I)+SUMIF([1]Futuros!$AD:$AD,$A6&amp;"_"&amp;GQ$11,[1]Futuros!$AK:$AK)+SUMIF([1]Opciones!$AF:$AF,$A6&amp;"_"&amp;GQ$11,[1]Opciones!$AQ:$AQ)</f>
        <v>#VALUE!</v>
      </c>
      <c r="GR6" t="e">
        <f>+SUMIF([1]Cartera!$R:$R,$A6&amp;"_"&amp;GR$11,[1]Cartera!$I:$I)+SUMIF([1]Futuros!$AD:$AD,$A6&amp;"_"&amp;GR$11,[1]Futuros!$AK:$AK)+SUMIF([1]Opciones!$AF:$AF,$A6&amp;"_"&amp;GR$11,[1]Opciones!$AQ:$AQ)</f>
        <v>#VALUE!</v>
      </c>
      <c r="GS6" t="e">
        <f>+SUMIF([1]Cartera!$R:$R,$A6&amp;"_"&amp;GS$11,[1]Cartera!$I:$I)+SUMIF([1]Futuros!$AD:$AD,$A6&amp;"_"&amp;GS$11,[1]Futuros!$AK:$AK)+SUMIF([1]Opciones!$AF:$AF,$A6&amp;"_"&amp;GS$11,[1]Opciones!$AQ:$AQ)</f>
        <v>#VALUE!</v>
      </c>
      <c r="GT6" t="e">
        <f>+SUMIF([1]Cartera!$R:$R,$A6&amp;"_"&amp;GT$11,[1]Cartera!$I:$I)+SUMIF([1]Futuros!$AD:$AD,$A6&amp;"_"&amp;GT$11,[1]Futuros!$AK:$AK)+SUMIF([1]Opciones!$AF:$AF,$A6&amp;"_"&amp;GT$11,[1]Opciones!$AQ:$AQ)</f>
        <v>#VALUE!</v>
      </c>
      <c r="GU6" t="e">
        <f>+SUMIF([1]Cartera!$R:$R,$A6&amp;"_"&amp;GU$11,[1]Cartera!$I:$I)+SUMIF([1]Futuros!$AD:$AD,$A6&amp;"_"&amp;GU$11,[1]Futuros!$AK:$AK)+SUMIF([1]Opciones!$AF:$AF,$A6&amp;"_"&amp;GU$11,[1]Opciones!$AQ:$AQ)</f>
        <v>#VALUE!</v>
      </c>
      <c r="GV6" t="e">
        <f>+SUMIF([1]Cartera!$R:$R,$A6&amp;"_"&amp;GV$11,[1]Cartera!$I:$I)+SUMIF([1]Futuros!$AD:$AD,$A6&amp;"_"&amp;GV$11,[1]Futuros!$AK:$AK)+SUMIF([1]Opciones!$AF:$AF,$A6&amp;"_"&amp;GV$11,[1]Opciones!$AQ:$AQ)</f>
        <v>#VALUE!</v>
      </c>
      <c r="GW6" t="e">
        <f>+SUMIF([1]Cartera!$R:$R,$A6&amp;"_"&amp;GW$11,[1]Cartera!$I:$I)+SUMIF([1]Futuros!$AD:$AD,$A6&amp;"_"&amp;GW$11,[1]Futuros!$AK:$AK)+SUMIF([1]Opciones!$AF:$AF,$A6&amp;"_"&amp;GW$11,[1]Opciones!$AQ:$AQ)</f>
        <v>#VALUE!</v>
      </c>
      <c r="GX6" t="e">
        <f>+SUMIF([1]Cartera!$R:$R,$A6&amp;"_"&amp;GX$11,[1]Cartera!$I:$I)+SUMIF([1]Futuros!$AD:$AD,$A6&amp;"_"&amp;GX$11,[1]Futuros!$AK:$AK)+SUMIF([1]Opciones!$AF:$AF,$A6&amp;"_"&amp;GX$11,[1]Opciones!$AQ:$AQ)</f>
        <v>#VALUE!</v>
      </c>
      <c r="GY6" t="e">
        <f>+SUMIF([1]Cartera!$R:$R,$A6&amp;"_"&amp;GY$11,[1]Cartera!$I:$I)+SUMIF([1]Futuros!$AD:$AD,$A6&amp;"_"&amp;GY$11,[1]Futuros!$AK:$AK)+SUMIF([1]Opciones!$AF:$AF,$A6&amp;"_"&amp;GY$11,[1]Opciones!$AQ:$AQ)</f>
        <v>#VALUE!</v>
      </c>
      <c r="GZ6" t="e">
        <f>+SUMIF([1]Cartera!$R:$R,$A6&amp;"_"&amp;GZ$11,[1]Cartera!$I:$I)+SUMIF([1]Futuros!$AD:$AD,$A6&amp;"_"&amp;GZ$11,[1]Futuros!$AK:$AK)+SUMIF([1]Opciones!$AF:$AF,$A6&amp;"_"&amp;GZ$11,[1]Opciones!$AQ:$AQ)</f>
        <v>#VALUE!</v>
      </c>
      <c r="HA6" t="e">
        <f>+SUMIF([1]Cartera!$R:$R,$A6&amp;"_"&amp;HA$11,[1]Cartera!$I:$I)+SUMIF([1]Futuros!$AD:$AD,$A6&amp;"_"&amp;HA$11,[1]Futuros!$AK:$AK)+SUMIF([1]Opciones!$AF:$AF,$A6&amp;"_"&amp;HA$11,[1]Opciones!$AQ:$AQ)</f>
        <v>#VALUE!</v>
      </c>
      <c r="HB6" t="e">
        <f>+SUMIF([1]Cartera!$R:$R,$A6&amp;"_"&amp;HB$11,[1]Cartera!$I:$I)+SUMIF([1]Futuros!$AD:$AD,$A6&amp;"_"&amp;HB$11,[1]Futuros!$AK:$AK)+SUMIF([1]Opciones!$AF:$AF,$A6&amp;"_"&amp;HB$11,[1]Opciones!$AQ:$AQ)</f>
        <v>#VALUE!</v>
      </c>
      <c r="HC6" t="e">
        <f>+SUMIF([1]Cartera!$R:$R,$A6&amp;"_"&amp;HC$11,[1]Cartera!$I:$I)+SUMIF([1]Futuros!$AD:$AD,$A6&amp;"_"&amp;HC$11,[1]Futuros!$AK:$AK)+SUMIF([1]Opciones!$AF:$AF,$A6&amp;"_"&amp;HC$11,[1]Opciones!$AQ:$AQ)</f>
        <v>#VALUE!</v>
      </c>
      <c r="HD6" t="e">
        <f>+SUMIF([1]Cartera!$R:$R,$A6&amp;"_"&amp;HD$11,[1]Cartera!$I:$I)+SUMIF([1]Futuros!$AD:$AD,$A6&amp;"_"&amp;HD$11,[1]Futuros!$AK:$AK)+SUMIF([1]Opciones!$AF:$AF,$A6&amp;"_"&amp;HD$11,[1]Opciones!$AQ:$AQ)</f>
        <v>#VALUE!</v>
      </c>
      <c r="HE6" t="e">
        <f>+SUMIF([1]Cartera!$R:$R,$A6&amp;"_"&amp;HE$11,[1]Cartera!$I:$I)+SUMIF([1]Futuros!$AD:$AD,$A6&amp;"_"&amp;HE$11,[1]Futuros!$AK:$AK)+SUMIF([1]Opciones!$AF:$AF,$A6&amp;"_"&amp;HE$11,[1]Opciones!$AQ:$AQ)</f>
        <v>#VALUE!</v>
      </c>
      <c r="HF6" t="e">
        <f>+SUMIF([1]Cartera!$R:$R,$A6&amp;"_"&amp;HF$11,[1]Cartera!$I:$I)+SUMIF([1]Futuros!$AD:$AD,$A6&amp;"_"&amp;HF$11,[1]Futuros!$AK:$AK)+SUMIF([1]Opciones!$AF:$AF,$A6&amp;"_"&amp;HF$11,[1]Opciones!$AQ:$AQ)</f>
        <v>#VALUE!</v>
      </c>
      <c r="HG6" t="e">
        <f>+SUMIF([1]Cartera!$R:$R,$A6&amp;"_"&amp;HG$11,[1]Cartera!$I:$I)+SUMIF([1]Futuros!$AD:$AD,$A6&amp;"_"&amp;HG$11,[1]Futuros!$AK:$AK)+SUMIF([1]Opciones!$AF:$AF,$A6&amp;"_"&amp;HG$11,[1]Opciones!$AQ:$AQ)</f>
        <v>#VALUE!</v>
      </c>
      <c r="HH6" t="e">
        <f>+SUMIF([1]Cartera!$R:$R,$A6&amp;"_"&amp;HH$11,[1]Cartera!$I:$I)+SUMIF([1]Futuros!$AD:$AD,$A6&amp;"_"&amp;HH$11,[1]Futuros!$AK:$AK)+SUMIF([1]Opciones!$AF:$AF,$A6&amp;"_"&amp;HH$11,[1]Opciones!$AQ:$AQ)</f>
        <v>#VALUE!</v>
      </c>
      <c r="HI6" t="e">
        <f>+SUMIF([1]Cartera!$R:$R,$A6&amp;"_"&amp;HI$11,[1]Cartera!$I:$I)+SUMIF([1]Futuros!$AD:$AD,$A6&amp;"_"&amp;HI$11,[1]Futuros!$AK:$AK)+SUMIF([1]Opciones!$AF:$AF,$A6&amp;"_"&amp;HI$11,[1]Opciones!$AQ:$AQ)</f>
        <v>#VALUE!</v>
      </c>
      <c r="HJ6" t="e">
        <f>+SUMIF([1]Cartera!$R:$R,$A6&amp;"_"&amp;HJ$11,[1]Cartera!$I:$I)+SUMIF([1]Futuros!$AD:$AD,$A6&amp;"_"&amp;HJ$11,[1]Futuros!$AK:$AK)+SUMIF([1]Opciones!$AF:$AF,$A6&amp;"_"&amp;HJ$11,[1]Opciones!$AQ:$AQ)</f>
        <v>#VALUE!</v>
      </c>
      <c r="HK6" t="e">
        <f>+SUMIF([1]Cartera!$R:$R,$A6&amp;"_"&amp;HK$11,[1]Cartera!$I:$I)+SUMIF([1]Futuros!$AD:$AD,$A6&amp;"_"&amp;HK$11,[1]Futuros!$AK:$AK)+SUMIF([1]Opciones!$AF:$AF,$A6&amp;"_"&amp;HK$11,[1]Opciones!$AQ:$AQ)</f>
        <v>#VALUE!</v>
      </c>
      <c r="HL6" t="e">
        <f>+SUMIF([1]Cartera!$R:$R,$A6&amp;"_"&amp;HL$11,[1]Cartera!$I:$I)+SUMIF([1]Futuros!$AD:$AD,$A6&amp;"_"&amp;HL$11,[1]Futuros!$AK:$AK)+SUMIF([1]Opciones!$AF:$AF,$A6&amp;"_"&amp;HL$11,[1]Opciones!$AQ:$AQ)</f>
        <v>#VALUE!</v>
      </c>
      <c r="HM6" t="e">
        <f>+SUMIF([1]Cartera!$R:$R,$A6&amp;"_"&amp;HM$11,[1]Cartera!$I:$I)+SUMIF([1]Futuros!$AD:$AD,$A6&amp;"_"&amp;HM$11,[1]Futuros!$AK:$AK)+SUMIF([1]Opciones!$AF:$AF,$A6&amp;"_"&amp;HM$11,[1]Opciones!$AQ:$AQ)</f>
        <v>#VALUE!</v>
      </c>
      <c r="HN6" t="e">
        <f>+SUMIF([1]Cartera!$R:$R,$A6&amp;"_"&amp;HN$11,[1]Cartera!$I:$I)+SUMIF([1]Futuros!$AD:$AD,$A6&amp;"_"&amp;HN$11,[1]Futuros!$AK:$AK)+SUMIF([1]Opciones!$AF:$AF,$A6&amp;"_"&amp;HN$11,[1]Opciones!$AQ:$AQ)</f>
        <v>#VALUE!</v>
      </c>
      <c r="HO6" t="e">
        <f>+SUMIF([1]Cartera!$R:$R,$A6&amp;"_"&amp;HO$11,[1]Cartera!$I:$I)+SUMIF([1]Futuros!$AD:$AD,$A6&amp;"_"&amp;HO$11,[1]Futuros!$AK:$AK)+SUMIF([1]Opciones!$AF:$AF,$A6&amp;"_"&amp;HO$11,[1]Opciones!$AQ:$AQ)</f>
        <v>#VALUE!</v>
      </c>
      <c r="HP6" t="e">
        <f>+SUMIF([1]Cartera!$R:$R,$A6&amp;"_"&amp;HP$11,[1]Cartera!$I:$I)+SUMIF([1]Futuros!$AD:$AD,$A6&amp;"_"&amp;HP$11,[1]Futuros!$AK:$AK)+SUMIF([1]Opciones!$AF:$AF,$A6&amp;"_"&amp;HP$11,[1]Opciones!$AQ:$AQ)</f>
        <v>#VALUE!</v>
      </c>
      <c r="HQ6" t="e">
        <f>+SUMIF([1]Cartera!$R:$R,$A6&amp;"_"&amp;HQ$11,[1]Cartera!$I:$I)+SUMIF([1]Futuros!$AD:$AD,$A6&amp;"_"&amp;HQ$11,[1]Futuros!$AK:$AK)+SUMIF([1]Opciones!$AF:$AF,$A6&amp;"_"&amp;HQ$11,[1]Opciones!$AQ:$AQ)</f>
        <v>#VALUE!</v>
      </c>
      <c r="HR6" t="e">
        <f>+SUMIF([1]Cartera!$R:$R,$A6&amp;"_"&amp;HR$11,[1]Cartera!$I:$I)+SUMIF([1]Futuros!$AD:$AD,$A6&amp;"_"&amp;HR$11,[1]Futuros!$AK:$AK)+SUMIF([1]Opciones!$AF:$AF,$A6&amp;"_"&amp;HR$11,[1]Opciones!$AQ:$AQ)</f>
        <v>#VALUE!</v>
      </c>
      <c r="HS6" t="e">
        <f>+SUMIF([1]Cartera!$R:$R,$A6&amp;"_"&amp;HS$11,[1]Cartera!$I:$I)+SUMIF([1]Futuros!$AD:$AD,$A6&amp;"_"&amp;HS$11,[1]Futuros!$AK:$AK)+SUMIF([1]Opciones!$AF:$AF,$A6&amp;"_"&amp;HS$11,[1]Opciones!$AQ:$AQ)</f>
        <v>#VALUE!</v>
      </c>
      <c r="HT6" t="e">
        <f>+SUMIF([1]Cartera!$R:$R,$A6&amp;"_"&amp;HT$11,[1]Cartera!$I:$I)+SUMIF([1]Futuros!$AD:$AD,$A6&amp;"_"&amp;HT$11,[1]Futuros!$AK:$AK)+SUMIF([1]Opciones!$AF:$AF,$A6&amp;"_"&amp;HT$11,[1]Opciones!$AQ:$AQ)</f>
        <v>#VALUE!</v>
      </c>
      <c r="HU6" t="e">
        <f>+SUMIF([1]Cartera!$R:$R,$A6&amp;"_"&amp;HU$11,[1]Cartera!$I:$I)+SUMIF([1]Futuros!$AD:$AD,$A6&amp;"_"&amp;HU$11,[1]Futuros!$AK:$AK)+SUMIF([1]Opciones!$AF:$AF,$A6&amp;"_"&amp;HU$11,[1]Opciones!$AQ:$AQ)</f>
        <v>#VALUE!</v>
      </c>
      <c r="HV6" t="e">
        <f>+SUMIF([1]Cartera!$R:$R,$A6&amp;"_"&amp;HV$11,[1]Cartera!$I:$I)+SUMIF([1]Futuros!$AD:$AD,$A6&amp;"_"&amp;HV$11,[1]Futuros!$AK:$AK)+SUMIF([1]Opciones!$AF:$AF,$A6&amp;"_"&amp;HV$11,[1]Opciones!$AQ:$AQ)</f>
        <v>#VALUE!</v>
      </c>
      <c r="HW6" t="e">
        <f>+SUMIF([1]Cartera!$R:$R,$A6&amp;"_"&amp;HW$11,[1]Cartera!$I:$I)+SUMIF([1]Futuros!$AD:$AD,$A6&amp;"_"&amp;HW$11,[1]Futuros!$AK:$AK)+SUMIF([1]Opciones!$AF:$AF,$A6&amp;"_"&amp;HW$11,[1]Opciones!$AQ:$AQ)</f>
        <v>#VALUE!</v>
      </c>
      <c r="HX6" t="e">
        <f>+SUMIF([1]Cartera!$R:$R,$A6&amp;"_"&amp;HX$11,[1]Cartera!$I:$I)+SUMIF([1]Futuros!$AD:$AD,$A6&amp;"_"&amp;HX$11,[1]Futuros!$AK:$AK)+SUMIF([1]Opciones!$AF:$AF,$A6&amp;"_"&amp;HX$11,[1]Opciones!$AQ:$AQ)</f>
        <v>#VALUE!</v>
      </c>
      <c r="HY6" t="e">
        <f>+SUMIF([1]Cartera!$R:$R,$A6&amp;"_"&amp;HY$11,[1]Cartera!$I:$I)+SUMIF([1]Futuros!$AD:$AD,$A6&amp;"_"&amp;HY$11,[1]Futuros!$AK:$AK)+SUMIF([1]Opciones!$AF:$AF,$A6&amp;"_"&amp;HY$11,[1]Opciones!$AQ:$AQ)</f>
        <v>#VALUE!</v>
      </c>
      <c r="HZ6" t="e">
        <f>+SUMIF([1]Cartera!$R:$R,$A6&amp;"_"&amp;HZ$11,[1]Cartera!$I:$I)+SUMIF([1]Futuros!$AD:$AD,$A6&amp;"_"&amp;HZ$11,[1]Futuros!$AK:$AK)+SUMIF([1]Opciones!$AF:$AF,$A6&amp;"_"&amp;HZ$11,[1]Opciones!$AQ:$AQ)</f>
        <v>#VALUE!</v>
      </c>
      <c r="IA6" t="e">
        <f>+SUMIF([1]Cartera!$R:$R,$A6&amp;"_"&amp;IA$11,[1]Cartera!$I:$I)+SUMIF([1]Futuros!$AD:$AD,$A6&amp;"_"&amp;IA$11,[1]Futuros!$AK:$AK)+SUMIF([1]Opciones!$AF:$AF,$A6&amp;"_"&amp;IA$11,[1]Opciones!$AQ:$AQ)</f>
        <v>#VALUE!</v>
      </c>
      <c r="IB6" t="e">
        <f>+SUMIF([1]Cartera!$R:$R,$A6&amp;"_"&amp;IB$11,[1]Cartera!$I:$I)+SUMIF([1]Futuros!$AD:$AD,$A6&amp;"_"&amp;IB$11,[1]Futuros!$AK:$AK)+SUMIF([1]Opciones!$AF:$AF,$A6&amp;"_"&amp;IB$11,[1]Opciones!$AQ:$AQ)</f>
        <v>#VALUE!</v>
      </c>
      <c r="IC6" t="e">
        <f>+SUMIF([1]Cartera!$R:$R,$A6&amp;"_"&amp;IC$11,[1]Cartera!$I:$I)+SUMIF([1]Futuros!$AD:$AD,$A6&amp;"_"&amp;IC$11,[1]Futuros!$AK:$AK)+SUMIF([1]Opciones!$AF:$AF,$A6&amp;"_"&amp;IC$11,[1]Opciones!$AQ:$AQ)</f>
        <v>#VALUE!</v>
      </c>
      <c r="ID6" t="e">
        <f>+SUMIF([1]Cartera!$R:$R,$A6&amp;"_"&amp;ID$11,[1]Cartera!$I:$I)+SUMIF([1]Futuros!$AD:$AD,$A6&amp;"_"&amp;ID$11,[1]Futuros!$AK:$AK)+SUMIF([1]Opciones!$AF:$AF,$A6&amp;"_"&amp;ID$11,[1]Opciones!$AQ:$AQ)</f>
        <v>#VALUE!</v>
      </c>
      <c r="IE6" t="e">
        <f>+SUMIF([1]Cartera!$R:$R,$A6&amp;"_"&amp;IE$11,[1]Cartera!$I:$I)+SUMIF([1]Futuros!$AD:$AD,$A6&amp;"_"&amp;IE$11,[1]Futuros!$AK:$AK)+SUMIF([1]Opciones!$AF:$AF,$A6&amp;"_"&amp;IE$11,[1]Opciones!$AQ:$AQ)</f>
        <v>#VALUE!</v>
      </c>
      <c r="IF6" t="e">
        <f>+SUMIF([1]Cartera!$R:$R,$A6&amp;"_"&amp;IF$11,[1]Cartera!$I:$I)+SUMIF([1]Futuros!$AD:$AD,$A6&amp;"_"&amp;IF$11,[1]Futuros!$AK:$AK)+SUMIF([1]Opciones!$AF:$AF,$A6&amp;"_"&amp;IF$11,[1]Opciones!$AQ:$AQ)</f>
        <v>#VALUE!</v>
      </c>
      <c r="IG6" t="e">
        <f>+SUMIF([1]Cartera!$R:$R,$A6&amp;"_"&amp;IG$11,[1]Cartera!$I:$I)+SUMIF([1]Futuros!$AD:$AD,$A6&amp;"_"&amp;IG$11,[1]Futuros!$AK:$AK)+SUMIF([1]Opciones!$AF:$AF,$A6&amp;"_"&amp;IG$11,[1]Opciones!$AQ:$AQ)</f>
        <v>#VALUE!</v>
      </c>
      <c r="IH6" t="e">
        <f>+SUMIF([1]Cartera!$R:$R,$A6&amp;"_"&amp;IH$11,[1]Cartera!$I:$I)+SUMIF([1]Futuros!$AD:$AD,$A6&amp;"_"&amp;IH$11,[1]Futuros!$AK:$AK)+SUMIF([1]Opciones!$AF:$AF,$A6&amp;"_"&amp;IH$11,[1]Opciones!$AQ:$AQ)</f>
        <v>#VALUE!</v>
      </c>
      <c r="II6" t="e">
        <f>+SUMIF([1]Cartera!$R:$R,$A6&amp;"_"&amp;II$11,[1]Cartera!$I:$I)+SUMIF([1]Futuros!$AD:$AD,$A6&amp;"_"&amp;II$11,[1]Futuros!$AK:$AK)+SUMIF([1]Opciones!$AF:$AF,$A6&amp;"_"&amp;II$11,[1]Opciones!$AQ:$AQ)</f>
        <v>#VALUE!</v>
      </c>
      <c r="IJ6" t="e">
        <f>+SUMIF([1]Cartera!$R:$R,$A6&amp;"_"&amp;IJ$11,[1]Cartera!$I:$I)+SUMIF([1]Futuros!$AD:$AD,$A6&amp;"_"&amp;IJ$11,[1]Futuros!$AK:$AK)+SUMIF([1]Opciones!$AF:$AF,$A6&amp;"_"&amp;IJ$11,[1]Opciones!$AQ:$AQ)</f>
        <v>#VALUE!</v>
      </c>
      <c r="IK6" t="e">
        <f>+SUMIF([1]Cartera!$R:$R,$A6&amp;"_"&amp;IK$11,[1]Cartera!$I:$I)+SUMIF([1]Futuros!$AD:$AD,$A6&amp;"_"&amp;IK$11,[1]Futuros!$AK:$AK)+SUMIF([1]Opciones!$AF:$AF,$A6&amp;"_"&amp;IK$11,[1]Opciones!$AQ:$AQ)</f>
        <v>#VALUE!</v>
      </c>
      <c r="IL6" t="e">
        <f>+SUMIF([1]Cartera!$R:$R,$A6&amp;"_"&amp;IL$11,[1]Cartera!$I:$I)+SUMIF([1]Futuros!$AD:$AD,$A6&amp;"_"&amp;IL$11,[1]Futuros!$AK:$AK)+SUMIF([1]Opciones!$AF:$AF,$A6&amp;"_"&amp;IL$11,[1]Opciones!$AQ:$AQ)</f>
        <v>#VALUE!</v>
      </c>
      <c r="IM6" t="e">
        <f>+SUMIF([1]Cartera!$R:$R,$A6&amp;"_"&amp;IM$11,[1]Cartera!$I:$I)+SUMIF([1]Futuros!$AD:$AD,$A6&amp;"_"&amp;IM$11,[1]Futuros!$AK:$AK)+SUMIF([1]Opciones!$AF:$AF,$A6&amp;"_"&amp;IM$11,[1]Opciones!$AQ:$AQ)</f>
        <v>#VALUE!</v>
      </c>
      <c r="IN6" t="e">
        <f>+SUMIF([1]Cartera!$R:$R,$A6&amp;"_"&amp;IN$11,[1]Cartera!$I:$I)+SUMIF([1]Futuros!$AD:$AD,$A6&amp;"_"&amp;IN$11,[1]Futuros!$AK:$AK)+SUMIF([1]Opciones!$AF:$AF,$A6&amp;"_"&amp;IN$11,[1]Opciones!$AQ:$AQ)</f>
        <v>#VALUE!</v>
      </c>
      <c r="IO6" t="e">
        <f>+SUMIF([1]Cartera!$R:$R,$A6&amp;"_"&amp;IO$11,[1]Cartera!$I:$I)+SUMIF([1]Futuros!$AD:$AD,$A6&amp;"_"&amp;IO$11,[1]Futuros!$AK:$AK)+SUMIF([1]Opciones!$AF:$AF,$A6&amp;"_"&amp;IO$11,[1]Opciones!$AQ:$AQ)</f>
        <v>#VALUE!</v>
      </c>
      <c r="IP6" t="e">
        <f>+SUMIF([1]Cartera!$R:$R,$A6&amp;"_"&amp;IP$11,[1]Cartera!$I:$I)+SUMIF([1]Futuros!$AD:$AD,$A6&amp;"_"&amp;IP$11,[1]Futuros!$AK:$AK)+SUMIF([1]Opciones!$AF:$AF,$A6&amp;"_"&amp;IP$11,[1]Opciones!$AQ:$AQ)</f>
        <v>#VALUE!</v>
      </c>
      <c r="IQ6" t="e">
        <f>+SUMIF([1]Cartera!$R:$R,$A6&amp;"_"&amp;IQ$11,[1]Cartera!$I:$I)+SUMIF([1]Futuros!$AD:$AD,$A6&amp;"_"&amp;IQ$11,[1]Futuros!$AK:$AK)+SUMIF([1]Opciones!$AF:$AF,$A6&amp;"_"&amp;IQ$11,[1]Opciones!$AQ:$AQ)</f>
        <v>#VALUE!</v>
      </c>
      <c r="IR6" t="e">
        <f>+SUMIF([1]Cartera!$R:$R,$A6&amp;"_"&amp;IR$11,[1]Cartera!$I:$I)+SUMIF([1]Futuros!$AD:$AD,$A6&amp;"_"&amp;IR$11,[1]Futuros!$AK:$AK)+SUMIF([1]Opciones!$AF:$AF,$A6&amp;"_"&amp;IR$11,[1]Opciones!$AQ:$AQ)</f>
        <v>#VALUE!</v>
      </c>
      <c r="IS6" t="e">
        <f>+SUMIF([1]Cartera!$R:$R,$A6&amp;"_"&amp;IS$11,[1]Cartera!$I:$I)+SUMIF([1]Futuros!$AD:$AD,$A6&amp;"_"&amp;IS$11,[1]Futuros!$AK:$AK)+SUMIF([1]Opciones!$AF:$AF,$A6&amp;"_"&amp;IS$11,[1]Opciones!$AQ:$AQ)</f>
        <v>#VALUE!</v>
      </c>
      <c r="IT6" t="e">
        <f>+SUMIF([1]Cartera!$R:$R,$A6&amp;"_"&amp;IT$11,[1]Cartera!$I:$I)+SUMIF([1]Futuros!$AD:$AD,$A6&amp;"_"&amp;IT$11,[1]Futuros!$AK:$AK)+SUMIF([1]Opciones!$AF:$AF,$A6&amp;"_"&amp;IT$11,[1]Opciones!$AQ:$AQ)</f>
        <v>#VALUE!</v>
      </c>
      <c r="IU6" t="e">
        <f>+SUMIF([1]Cartera!$R:$R,$A6&amp;"_"&amp;IU$11,[1]Cartera!$I:$I)+SUMIF([1]Futuros!$AD:$AD,$A6&amp;"_"&amp;IU$11,[1]Futuros!$AK:$AK)+SUMIF([1]Opciones!$AF:$AF,$A6&amp;"_"&amp;IU$11,[1]Opciones!$AQ:$AQ)</f>
        <v>#VALUE!</v>
      </c>
      <c r="IV6" t="e">
        <f>+SUMIF([1]Cartera!$R:$R,$A6&amp;"_"&amp;IV$11,[1]Cartera!$I:$I)+SUMIF([1]Futuros!$AD:$AD,$A6&amp;"_"&amp;IV$11,[1]Futuros!$AK:$AK)+SUMIF([1]Opciones!$AF:$AF,$A6&amp;"_"&amp;IV$11,[1]Opciones!$AQ:$AQ)</f>
        <v>#VALUE!</v>
      </c>
      <c r="IW6" t="e">
        <f>+SUMIF([1]Cartera!$R:$R,$A6&amp;"_"&amp;IW$11,[1]Cartera!$I:$I)+SUMIF([1]Futuros!$AD:$AD,$A6&amp;"_"&amp;IW$11,[1]Futuros!$AK:$AK)+SUMIF([1]Opciones!$AF:$AF,$A6&amp;"_"&amp;IW$11,[1]Opciones!$AQ:$AQ)</f>
        <v>#VALUE!</v>
      </c>
      <c r="IX6" t="e">
        <f>+SUMIF([1]Cartera!$R:$R,$A6&amp;"_"&amp;IX$11,[1]Cartera!$I:$I)+SUMIF([1]Futuros!$AD:$AD,$A6&amp;"_"&amp;IX$11,[1]Futuros!$AK:$AK)+SUMIF([1]Opciones!$AF:$AF,$A6&amp;"_"&amp;IX$11,[1]Opciones!$AQ:$AQ)</f>
        <v>#VALUE!</v>
      </c>
      <c r="IY6" t="e">
        <f>+SUMIF([1]Cartera!$R:$R,$A6&amp;"_"&amp;IY$11,[1]Cartera!$I:$I)+SUMIF([1]Futuros!$AD:$AD,$A6&amp;"_"&amp;IY$11,[1]Futuros!$AK:$AK)+SUMIF([1]Opciones!$AF:$AF,$A6&amp;"_"&amp;IY$11,[1]Opciones!$AQ:$AQ)</f>
        <v>#VALUE!</v>
      </c>
      <c r="IZ6" t="e">
        <f>+SUMIF([1]Cartera!$R:$R,$A6&amp;"_"&amp;IZ$11,[1]Cartera!$I:$I)+SUMIF([1]Futuros!$AD:$AD,$A6&amp;"_"&amp;IZ$11,[1]Futuros!$AK:$AK)+SUMIF([1]Opciones!$AF:$AF,$A6&amp;"_"&amp;IZ$11,[1]Opciones!$AQ:$AQ)</f>
        <v>#VALUE!</v>
      </c>
      <c r="JA6" t="e">
        <f>+SUMIF([1]Cartera!$R:$R,$A6&amp;"_"&amp;JA$11,[1]Cartera!$I:$I)+SUMIF([1]Futuros!$AD:$AD,$A6&amp;"_"&amp;JA$11,[1]Futuros!$AK:$AK)+SUMIF([1]Opciones!$AF:$AF,$A6&amp;"_"&amp;JA$11,[1]Opciones!$AQ:$AQ)</f>
        <v>#VALUE!</v>
      </c>
      <c r="JB6" t="e">
        <f>+SUMIF([1]Cartera!$R:$R,$A6&amp;"_"&amp;JB$11,[1]Cartera!$I:$I)+SUMIF([1]Futuros!$AD:$AD,$A6&amp;"_"&amp;JB$11,[1]Futuros!$AK:$AK)+SUMIF([1]Opciones!$AF:$AF,$A6&amp;"_"&amp;JB$11,[1]Opciones!$AQ:$AQ)</f>
        <v>#VALUE!</v>
      </c>
      <c r="JC6" t="e">
        <f>+SUMIF([1]Cartera!$R:$R,$A6&amp;"_"&amp;JC$11,[1]Cartera!$I:$I)+SUMIF([1]Futuros!$AD:$AD,$A6&amp;"_"&amp;JC$11,[1]Futuros!$AK:$AK)+SUMIF([1]Opciones!$AF:$AF,$A6&amp;"_"&amp;JC$11,[1]Opciones!$AQ:$AQ)</f>
        <v>#VALUE!</v>
      </c>
      <c r="JD6" t="e">
        <f>+SUMIF([1]Cartera!$R:$R,$A6&amp;"_"&amp;JD$11,[1]Cartera!$I:$I)+SUMIF([1]Futuros!$AD:$AD,$A6&amp;"_"&amp;JD$11,[1]Futuros!$AK:$AK)+SUMIF([1]Opciones!$AF:$AF,$A6&amp;"_"&amp;JD$11,[1]Opciones!$AQ:$AQ)</f>
        <v>#VALUE!</v>
      </c>
      <c r="JE6" t="e">
        <f>+SUMIF([1]Cartera!$R:$R,$A6&amp;"_"&amp;JE$11,[1]Cartera!$I:$I)+SUMIF([1]Futuros!$AD:$AD,$A6&amp;"_"&amp;JE$11,[1]Futuros!$AK:$AK)+SUMIF([1]Opciones!$AF:$AF,$A6&amp;"_"&amp;JE$11,[1]Opciones!$AQ:$AQ)</f>
        <v>#VALUE!</v>
      </c>
      <c r="JF6" t="e">
        <f>+SUMIF([1]Cartera!$R:$R,$A6&amp;"_"&amp;JF$11,[1]Cartera!$I:$I)+SUMIF([1]Futuros!$AD:$AD,$A6&amp;"_"&amp;JF$11,[1]Futuros!$AK:$AK)+SUMIF([1]Opciones!$AF:$AF,$A6&amp;"_"&amp;JF$11,[1]Opciones!$AQ:$AQ)</f>
        <v>#VALUE!</v>
      </c>
      <c r="JG6" t="e">
        <f>+SUMIF([1]Cartera!$R:$R,$A6&amp;"_"&amp;JG$11,[1]Cartera!$I:$I)+SUMIF([1]Futuros!$AD:$AD,$A6&amp;"_"&amp;JG$11,[1]Futuros!$AK:$AK)+SUMIF([1]Opciones!$AF:$AF,$A6&amp;"_"&amp;JG$11,[1]Opciones!$AQ:$AQ)</f>
        <v>#VALUE!</v>
      </c>
      <c r="JH6" t="e">
        <f>+SUMIF([1]Cartera!$R:$R,$A6&amp;"_"&amp;JH$11,[1]Cartera!$I:$I)+SUMIF([1]Futuros!$AD:$AD,$A6&amp;"_"&amp;JH$11,[1]Futuros!$AK:$AK)+SUMIF([1]Opciones!$AF:$AF,$A6&amp;"_"&amp;JH$11,[1]Opciones!$AQ:$AQ)</f>
        <v>#VALUE!</v>
      </c>
      <c r="JI6" t="e">
        <f>+SUMIF([1]Cartera!$R:$R,$A6&amp;"_"&amp;JI$11,[1]Cartera!$I:$I)+SUMIF([1]Futuros!$AD:$AD,$A6&amp;"_"&amp;JI$11,[1]Futuros!$AK:$AK)+SUMIF([1]Opciones!$AF:$AF,$A6&amp;"_"&amp;JI$11,[1]Opciones!$AQ:$AQ)</f>
        <v>#VALUE!</v>
      </c>
      <c r="JJ6" t="e">
        <f>+SUMIF([1]Cartera!$R:$R,$A6&amp;"_"&amp;JJ$11,[1]Cartera!$I:$I)+SUMIF([1]Futuros!$AD:$AD,$A6&amp;"_"&amp;JJ$11,[1]Futuros!$AK:$AK)+SUMIF([1]Opciones!$AF:$AF,$A6&amp;"_"&amp;JJ$11,[1]Opciones!$AQ:$AQ)</f>
        <v>#VALUE!</v>
      </c>
      <c r="JK6" t="e">
        <f>+SUMIF([1]Cartera!$R:$R,$A6&amp;"_"&amp;JK$11,[1]Cartera!$I:$I)+SUMIF([1]Futuros!$AD:$AD,$A6&amp;"_"&amp;JK$11,[1]Futuros!$AK:$AK)+SUMIF([1]Opciones!$AF:$AF,$A6&amp;"_"&amp;JK$11,[1]Opciones!$AQ:$AQ)</f>
        <v>#VALUE!</v>
      </c>
      <c r="JL6" t="e">
        <f>+SUMIF([1]Cartera!$R:$R,$A6&amp;"_"&amp;JL$11,[1]Cartera!$I:$I)+SUMIF([1]Futuros!$AD:$AD,$A6&amp;"_"&amp;JL$11,[1]Futuros!$AK:$AK)+SUMIF([1]Opciones!$AF:$AF,$A6&amp;"_"&amp;JL$11,[1]Opciones!$AQ:$AQ)</f>
        <v>#VALUE!</v>
      </c>
      <c r="JM6" t="e">
        <f>+SUMIF([1]Cartera!$R:$R,$A6&amp;"_"&amp;JM$11,[1]Cartera!$I:$I)+SUMIF([1]Futuros!$AD:$AD,$A6&amp;"_"&amp;JM$11,[1]Futuros!$AK:$AK)+SUMIF([1]Opciones!$AF:$AF,$A6&amp;"_"&amp;JM$11,[1]Opciones!$AQ:$AQ)</f>
        <v>#VALUE!</v>
      </c>
      <c r="JN6" t="e">
        <f>+SUMIF([1]Cartera!$R:$R,$A6&amp;"_"&amp;JN$11,[1]Cartera!$I:$I)+SUMIF([1]Futuros!$AD:$AD,$A6&amp;"_"&amp;JN$11,[1]Futuros!$AK:$AK)+SUMIF([1]Opciones!$AF:$AF,$A6&amp;"_"&amp;JN$11,[1]Opciones!$AQ:$AQ)</f>
        <v>#VALUE!</v>
      </c>
      <c r="JO6" t="e">
        <f>+SUMIF([1]Cartera!$R:$R,$A6&amp;"_"&amp;JO$11,[1]Cartera!$I:$I)+SUMIF([1]Futuros!$AD:$AD,$A6&amp;"_"&amp;JO$11,[1]Futuros!$AK:$AK)+SUMIF([1]Opciones!$AF:$AF,$A6&amp;"_"&amp;JO$11,[1]Opciones!$AQ:$AQ)</f>
        <v>#VALUE!</v>
      </c>
      <c r="JP6" t="e">
        <f>+SUMIF([1]Cartera!$R:$R,$A6&amp;"_"&amp;JP$11,[1]Cartera!$I:$I)+SUMIF([1]Futuros!$AD:$AD,$A6&amp;"_"&amp;JP$11,[1]Futuros!$AK:$AK)+SUMIF([1]Opciones!$AF:$AF,$A6&amp;"_"&amp;JP$11,[1]Opciones!$AQ:$AQ)</f>
        <v>#VALUE!</v>
      </c>
      <c r="JQ6" t="e">
        <f>+SUMIF([1]Cartera!$R:$R,$A6&amp;"_"&amp;JQ$11,[1]Cartera!$I:$I)+SUMIF([1]Futuros!$AD:$AD,$A6&amp;"_"&amp;JQ$11,[1]Futuros!$AK:$AK)+SUMIF([1]Opciones!$AF:$AF,$A6&amp;"_"&amp;JQ$11,[1]Opciones!$AQ:$AQ)</f>
        <v>#VALUE!</v>
      </c>
      <c r="JR6" t="e">
        <f>+SUMIF([1]Cartera!$R:$R,$A6&amp;"_"&amp;JR$11,[1]Cartera!$I:$I)+SUMIF([1]Futuros!$AD:$AD,$A6&amp;"_"&amp;JR$11,[1]Futuros!$AK:$AK)+SUMIF([1]Opciones!$AF:$AF,$A6&amp;"_"&amp;JR$11,[1]Opciones!$AQ:$AQ)</f>
        <v>#VALUE!</v>
      </c>
      <c r="JS6" t="e">
        <f>+SUMIF([1]Cartera!$R:$R,$A6&amp;"_"&amp;JS$11,[1]Cartera!$I:$I)+SUMIF([1]Futuros!$AD:$AD,$A6&amp;"_"&amp;JS$11,[1]Futuros!$AK:$AK)+SUMIF([1]Opciones!$AF:$AF,$A6&amp;"_"&amp;JS$11,[1]Opciones!$AQ:$AQ)</f>
        <v>#VALUE!</v>
      </c>
      <c r="JT6" t="e">
        <f>+SUMIF([1]Cartera!$R:$R,$A6&amp;"_"&amp;JT$11,[1]Cartera!$I:$I)+SUMIF([1]Futuros!$AD:$AD,$A6&amp;"_"&amp;JT$11,[1]Futuros!$AK:$AK)+SUMIF([1]Opciones!$AF:$AF,$A6&amp;"_"&amp;JT$11,[1]Opciones!$AQ:$AQ)</f>
        <v>#VALUE!</v>
      </c>
      <c r="JU6" t="e">
        <f>+SUMIF([1]Cartera!$R:$R,$A6&amp;"_"&amp;JU$11,[1]Cartera!$I:$I)+SUMIF([1]Futuros!$AD:$AD,$A6&amp;"_"&amp;JU$11,[1]Futuros!$AK:$AK)+SUMIF([1]Opciones!$AF:$AF,$A6&amp;"_"&amp;JU$11,[1]Opciones!$AQ:$AQ)</f>
        <v>#VALUE!</v>
      </c>
      <c r="JV6" t="e">
        <f>+SUMIF([1]Cartera!$R:$R,$A6&amp;"_"&amp;JV$11,[1]Cartera!$I:$I)+SUMIF([1]Futuros!$AD:$AD,$A6&amp;"_"&amp;JV$11,[1]Futuros!$AK:$AK)+SUMIF([1]Opciones!$AF:$AF,$A6&amp;"_"&amp;JV$11,[1]Opciones!$AQ:$AQ)</f>
        <v>#VALUE!</v>
      </c>
      <c r="JW6" t="e">
        <f>+SUMIF([1]Cartera!$R:$R,$A6&amp;"_"&amp;JW$11,[1]Cartera!$I:$I)+SUMIF([1]Futuros!$AD:$AD,$A6&amp;"_"&amp;JW$11,[1]Futuros!$AK:$AK)+SUMIF([1]Opciones!$AF:$AF,$A6&amp;"_"&amp;JW$11,[1]Opciones!$AQ:$AQ)</f>
        <v>#VALUE!</v>
      </c>
      <c r="JX6" t="e">
        <f>+SUMIF([1]Cartera!$R:$R,$A6&amp;"_"&amp;JX$11,[1]Cartera!$I:$I)+SUMIF([1]Futuros!$AD:$AD,$A6&amp;"_"&amp;JX$11,[1]Futuros!$AK:$AK)+SUMIF([1]Opciones!$AF:$AF,$A6&amp;"_"&amp;JX$11,[1]Opciones!$AQ:$AQ)</f>
        <v>#VALUE!</v>
      </c>
      <c r="JY6" t="e">
        <f>+SUMIF([1]Cartera!$R:$R,$A6&amp;"_"&amp;JY$11,[1]Cartera!$I:$I)+SUMIF([1]Futuros!$AD:$AD,$A6&amp;"_"&amp;JY$11,[1]Futuros!$AK:$AK)+SUMIF([1]Opciones!$AF:$AF,$A6&amp;"_"&amp;JY$11,[1]Opciones!$AQ:$AQ)</f>
        <v>#VALUE!</v>
      </c>
      <c r="JZ6" t="e">
        <f>+SUMIF([1]Cartera!$R:$R,$A6&amp;"_"&amp;JZ$11,[1]Cartera!$I:$I)+SUMIF([1]Futuros!$AD:$AD,$A6&amp;"_"&amp;JZ$11,[1]Futuros!$AK:$AK)+SUMIF([1]Opciones!$AF:$AF,$A6&amp;"_"&amp;JZ$11,[1]Opciones!$AQ:$AQ)</f>
        <v>#VALUE!</v>
      </c>
      <c r="KA6" t="e">
        <f>+SUMIF([1]Cartera!$R:$R,$A6&amp;"_"&amp;KA$11,[1]Cartera!$I:$I)+SUMIF([1]Futuros!$AD:$AD,$A6&amp;"_"&amp;KA$11,[1]Futuros!$AK:$AK)+SUMIF([1]Opciones!$AF:$AF,$A6&amp;"_"&amp;KA$11,[1]Opciones!$AQ:$AQ)</f>
        <v>#VALUE!</v>
      </c>
      <c r="KB6" t="e">
        <f>+SUMIF([1]Cartera!$R:$R,$A6&amp;"_"&amp;KB$11,[1]Cartera!$I:$I)+SUMIF([1]Futuros!$AD:$AD,$A6&amp;"_"&amp;KB$11,[1]Futuros!$AK:$AK)+SUMIF([1]Opciones!$AF:$AF,$A6&amp;"_"&amp;KB$11,[1]Opciones!$AQ:$AQ)</f>
        <v>#VALUE!</v>
      </c>
      <c r="KC6" t="e">
        <f>+SUMIF([1]Cartera!$R:$R,$A6&amp;"_"&amp;KC$11,[1]Cartera!$I:$I)+SUMIF([1]Futuros!$AD:$AD,$A6&amp;"_"&amp;KC$11,[1]Futuros!$AK:$AK)+SUMIF([1]Opciones!$AF:$AF,$A6&amp;"_"&amp;KC$11,[1]Opciones!$AQ:$AQ)</f>
        <v>#VALUE!</v>
      </c>
      <c r="KD6" t="e">
        <f>+SUMIF([1]Cartera!$R:$R,$A6&amp;"_"&amp;KD$11,[1]Cartera!$I:$I)+SUMIF([1]Futuros!$AD:$AD,$A6&amp;"_"&amp;KD$11,[1]Futuros!$AK:$AK)+SUMIF([1]Opciones!$AF:$AF,$A6&amp;"_"&amp;KD$11,[1]Opciones!$AQ:$AQ)</f>
        <v>#VALUE!</v>
      </c>
      <c r="KE6" t="e">
        <f>+SUMIF([1]Cartera!$R:$R,$A6&amp;"_"&amp;KE$11,[1]Cartera!$I:$I)+SUMIF([1]Futuros!$AD:$AD,$A6&amp;"_"&amp;KE$11,[1]Futuros!$AK:$AK)+SUMIF([1]Opciones!$AF:$AF,$A6&amp;"_"&amp;KE$11,[1]Opciones!$AQ:$AQ)</f>
        <v>#VALUE!</v>
      </c>
      <c r="KF6" t="e">
        <f>+SUMIF([1]Cartera!$R:$R,$A6&amp;"_"&amp;KF$11,[1]Cartera!$I:$I)+SUMIF([1]Futuros!$AD:$AD,$A6&amp;"_"&amp;KF$11,[1]Futuros!$AK:$AK)+SUMIF([1]Opciones!$AF:$AF,$A6&amp;"_"&amp;KF$11,[1]Opciones!$AQ:$AQ)</f>
        <v>#VALUE!</v>
      </c>
      <c r="KG6" t="e">
        <f>+SUMIF([1]Cartera!$R:$R,$A6&amp;"_"&amp;KG$11,[1]Cartera!$I:$I)+SUMIF([1]Futuros!$AD:$AD,$A6&amp;"_"&amp;KG$11,[1]Futuros!$AK:$AK)+SUMIF([1]Opciones!$AF:$AF,$A6&amp;"_"&amp;KG$11,[1]Opciones!$AQ:$AQ)</f>
        <v>#VALUE!</v>
      </c>
      <c r="KH6" t="e">
        <f>+SUMIF([1]Cartera!$R:$R,$A6&amp;"_"&amp;KH$11,[1]Cartera!$I:$I)+SUMIF([1]Futuros!$AD:$AD,$A6&amp;"_"&amp;KH$11,[1]Futuros!$AK:$AK)+SUMIF([1]Opciones!$AF:$AF,$A6&amp;"_"&amp;KH$11,[1]Opciones!$AQ:$AQ)</f>
        <v>#VALUE!</v>
      </c>
      <c r="KI6" t="e">
        <f>+SUMIF([1]Cartera!$R:$R,$A6&amp;"_"&amp;KI$11,[1]Cartera!$I:$I)+SUMIF([1]Futuros!$AD:$AD,$A6&amp;"_"&amp;KI$11,[1]Futuros!$AK:$AK)+SUMIF([1]Opciones!$AF:$AF,$A6&amp;"_"&amp;KI$11,[1]Opciones!$AQ:$AQ)</f>
        <v>#VALUE!</v>
      </c>
      <c r="KJ6" t="e">
        <f>+SUMIF([1]Cartera!$R:$R,$A6&amp;"_"&amp;KJ$11,[1]Cartera!$I:$I)+SUMIF([1]Futuros!$AD:$AD,$A6&amp;"_"&amp;KJ$11,[1]Futuros!$AK:$AK)+SUMIF([1]Opciones!$AF:$AF,$A6&amp;"_"&amp;KJ$11,[1]Opciones!$AQ:$AQ)</f>
        <v>#VALUE!</v>
      </c>
      <c r="KK6" t="e">
        <f>+SUMIF([1]Cartera!$R:$R,$A6&amp;"_"&amp;KK$11,[1]Cartera!$I:$I)+SUMIF([1]Futuros!$AD:$AD,$A6&amp;"_"&amp;KK$11,[1]Futuros!$AK:$AK)+SUMIF([1]Opciones!$AF:$AF,$A6&amp;"_"&amp;KK$11,[1]Opciones!$AQ:$AQ)</f>
        <v>#VALUE!</v>
      </c>
      <c r="KL6" t="e">
        <f>+SUMIF([1]Cartera!$R:$R,$A6&amp;"_"&amp;KL$11,[1]Cartera!$I:$I)+SUMIF([1]Futuros!$AD:$AD,$A6&amp;"_"&amp;KL$11,[1]Futuros!$AK:$AK)+SUMIF([1]Opciones!$AF:$AF,$A6&amp;"_"&amp;KL$11,[1]Opciones!$AQ:$AQ)</f>
        <v>#VALUE!</v>
      </c>
      <c r="KM6" t="e">
        <f>+SUMIF([1]Cartera!$R:$R,$A6&amp;"_"&amp;KM$11,[1]Cartera!$I:$I)+SUMIF([1]Futuros!$AD:$AD,$A6&amp;"_"&amp;KM$11,[1]Futuros!$AK:$AK)+SUMIF([1]Opciones!$AF:$AF,$A6&amp;"_"&amp;KM$11,[1]Opciones!$AQ:$AQ)</f>
        <v>#VALUE!</v>
      </c>
      <c r="KN6" t="e">
        <f>+SUMIF([1]Cartera!$R:$R,$A6&amp;"_"&amp;KN$11,[1]Cartera!$I:$I)+SUMIF([1]Futuros!$AD:$AD,$A6&amp;"_"&amp;KN$11,[1]Futuros!$AK:$AK)+SUMIF([1]Opciones!$AF:$AF,$A6&amp;"_"&amp;KN$11,[1]Opciones!$AQ:$AQ)</f>
        <v>#VALUE!</v>
      </c>
      <c r="KO6" t="e">
        <f>+SUMIF([1]Cartera!$R:$R,$A6&amp;"_"&amp;KO$11,[1]Cartera!$I:$I)+SUMIF([1]Futuros!$AD:$AD,$A6&amp;"_"&amp;KO$11,[1]Futuros!$AK:$AK)+SUMIF([1]Opciones!$AF:$AF,$A6&amp;"_"&amp;KO$11,[1]Opciones!$AQ:$AQ)</f>
        <v>#VALUE!</v>
      </c>
      <c r="KP6" t="e">
        <f>+SUMIF([1]Cartera!$R:$R,$A6&amp;"_"&amp;KP$11,[1]Cartera!$I:$I)+SUMIF([1]Futuros!$AD:$AD,$A6&amp;"_"&amp;KP$11,[1]Futuros!$AK:$AK)+SUMIF([1]Opciones!$AF:$AF,$A6&amp;"_"&amp;KP$11,[1]Opciones!$AQ:$AQ)</f>
        <v>#VALUE!</v>
      </c>
      <c r="KQ6" t="e">
        <f>+SUMIF([1]Cartera!$R:$R,$A6&amp;"_"&amp;KQ$11,[1]Cartera!$I:$I)+SUMIF([1]Futuros!$AD:$AD,$A6&amp;"_"&amp;KQ$11,[1]Futuros!$AK:$AK)+SUMIF([1]Opciones!$AF:$AF,$A6&amp;"_"&amp;KQ$11,[1]Opciones!$AQ:$AQ)</f>
        <v>#VALUE!</v>
      </c>
      <c r="KR6" t="e">
        <f>+SUMIF([1]Cartera!$R:$R,$A6&amp;"_"&amp;KR$11,[1]Cartera!$I:$I)+SUMIF([1]Futuros!$AD:$AD,$A6&amp;"_"&amp;KR$11,[1]Futuros!$AK:$AK)+SUMIF([1]Opciones!$AF:$AF,$A6&amp;"_"&amp;KR$11,[1]Opciones!$AQ:$AQ)</f>
        <v>#VALUE!</v>
      </c>
      <c r="KS6" t="e">
        <f>+SUMIF([1]Cartera!$R:$R,$A6&amp;"_"&amp;KS$11,[1]Cartera!$I:$I)+SUMIF([1]Futuros!$AD:$AD,$A6&amp;"_"&amp;KS$11,[1]Futuros!$AK:$AK)+SUMIF([1]Opciones!$AF:$AF,$A6&amp;"_"&amp;KS$11,[1]Opciones!$AQ:$AQ)</f>
        <v>#VALUE!</v>
      </c>
      <c r="KT6" t="e">
        <f>+SUMIF([1]Cartera!$R:$R,$A6&amp;"_"&amp;KT$11,[1]Cartera!$I:$I)+SUMIF([1]Futuros!$AD:$AD,$A6&amp;"_"&amp;KT$11,[1]Futuros!$AK:$AK)+SUMIF([1]Opciones!$AF:$AF,$A6&amp;"_"&amp;KT$11,[1]Opciones!$AQ:$AQ)</f>
        <v>#VALUE!</v>
      </c>
      <c r="KU6" t="e">
        <f>+SUMIF([1]Cartera!$R:$R,$A6&amp;"_"&amp;KU$11,[1]Cartera!$I:$I)+SUMIF([1]Futuros!$AD:$AD,$A6&amp;"_"&amp;KU$11,[1]Futuros!$AK:$AK)+SUMIF([1]Opciones!$AF:$AF,$A6&amp;"_"&amp;KU$11,[1]Opciones!$AQ:$AQ)</f>
        <v>#VALUE!</v>
      </c>
      <c r="KV6" t="e">
        <f>+SUMIF([1]Cartera!$R:$R,$A6&amp;"_"&amp;KV$11,[1]Cartera!$I:$I)+SUMIF([1]Futuros!$AD:$AD,$A6&amp;"_"&amp;KV$11,[1]Futuros!$AK:$AK)+SUMIF([1]Opciones!$AF:$AF,$A6&amp;"_"&amp;KV$11,[1]Opciones!$AQ:$AQ)</f>
        <v>#VALUE!</v>
      </c>
      <c r="KW6" t="e">
        <f>+SUMIF([1]Cartera!$R:$R,$A6&amp;"_"&amp;KW$11,[1]Cartera!$I:$I)+SUMIF([1]Futuros!$AD:$AD,$A6&amp;"_"&amp;KW$11,[1]Futuros!$AK:$AK)+SUMIF([1]Opciones!$AF:$AF,$A6&amp;"_"&amp;KW$11,[1]Opciones!$AQ:$AQ)</f>
        <v>#VALUE!</v>
      </c>
      <c r="KX6" t="e">
        <f>+SUMIF([1]Cartera!$R:$R,$A6&amp;"_"&amp;KX$11,[1]Cartera!$I:$I)+SUMIF([1]Futuros!$AD:$AD,$A6&amp;"_"&amp;KX$11,[1]Futuros!$AK:$AK)+SUMIF([1]Opciones!$AF:$AF,$A6&amp;"_"&amp;KX$11,[1]Opciones!$AQ:$AQ)</f>
        <v>#VALUE!</v>
      </c>
      <c r="KY6" t="e">
        <f>+SUMIF([1]Cartera!$R:$R,$A6&amp;"_"&amp;KY$11,[1]Cartera!$I:$I)+SUMIF([1]Futuros!$AD:$AD,$A6&amp;"_"&amp;KY$11,[1]Futuros!$AK:$AK)+SUMIF([1]Opciones!$AF:$AF,$A6&amp;"_"&amp;KY$11,[1]Opciones!$AQ:$AQ)</f>
        <v>#VALUE!</v>
      </c>
      <c r="KZ6" t="e">
        <f>+SUMIF([1]Cartera!$R:$R,$A6&amp;"_"&amp;KZ$11,[1]Cartera!$I:$I)+SUMIF([1]Futuros!$AD:$AD,$A6&amp;"_"&amp;KZ$11,[1]Futuros!$AK:$AK)+SUMIF([1]Opciones!$AF:$AF,$A6&amp;"_"&amp;KZ$11,[1]Opciones!$AQ:$AQ)</f>
        <v>#VALUE!</v>
      </c>
      <c r="LA6" t="e">
        <f>+SUMIF([1]Cartera!$R:$R,$A6&amp;"_"&amp;LA$11,[1]Cartera!$I:$I)+SUMIF([1]Futuros!$AD:$AD,$A6&amp;"_"&amp;LA$11,[1]Futuros!$AK:$AK)+SUMIF([1]Opciones!$AF:$AF,$A6&amp;"_"&amp;LA$11,[1]Opciones!$AQ:$AQ)</f>
        <v>#VALUE!</v>
      </c>
      <c r="LB6" t="e">
        <f>+SUMIF([1]Cartera!$R:$R,$A6&amp;"_"&amp;LB$11,[1]Cartera!$I:$I)+SUMIF([1]Futuros!$AD:$AD,$A6&amp;"_"&amp;LB$11,[1]Futuros!$AK:$AK)+SUMIF([1]Opciones!$AF:$AF,$A6&amp;"_"&amp;LB$11,[1]Opciones!$AQ:$AQ)</f>
        <v>#VALUE!</v>
      </c>
      <c r="LC6" t="e">
        <f>+SUMIF([1]Cartera!$R:$R,$A6&amp;"_"&amp;LC$11,[1]Cartera!$I:$I)+SUMIF([1]Futuros!$AD:$AD,$A6&amp;"_"&amp;LC$11,[1]Futuros!$AK:$AK)+SUMIF([1]Opciones!$AF:$AF,$A6&amp;"_"&amp;LC$11,[1]Opciones!$AQ:$AQ)</f>
        <v>#VALUE!</v>
      </c>
      <c r="LD6" t="e">
        <f>+SUMIF([1]Cartera!$R:$R,$A6&amp;"_"&amp;LD$11,[1]Cartera!$I:$I)+SUMIF([1]Futuros!$AD:$AD,$A6&amp;"_"&amp;LD$11,[1]Futuros!$AK:$AK)+SUMIF([1]Opciones!$AF:$AF,$A6&amp;"_"&amp;LD$11,[1]Opciones!$AQ:$AQ)</f>
        <v>#VALUE!</v>
      </c>
      <c r="LE6" t="e">
        <f>+SUMIF([1]Cartera!$R:$R,$A6&amp;"_"&amp;LE$11,[1]Cartera!$I:$I)+SUMIF([1]Futuros!$AD:$AD,$A6&amp;"_"&amp;LE$11,[1]Futuros!$AK:$AK)+SUMIF([1]Opciones!$AF:$AF,$A6&amp;"_"&amp;LE$11,[1]Opciones!$AQ:$AQ)</f>
        <v>#VALUE!</v>
      </c>
      <c r="LF6" t="e">
        <f>+SUMIF([1]Cartera!$R:$R,$A6&amp;"_"&amp;LF$11,[1]Cartera!$I:$I)+SUMIF([1]Futuros!$AD:$AD,$A6&amp;"_"&amp;LF$11,[1]Futuros!$AK:$AK)+SUMIF([1]Opciones!$AF:$AF,$A6&amp;"_"&amp;LF$11,[1]Opciones!$AQ:$AQ)</f>
        <v>#VALUE!</v>
      </c>
      <c r="LG6" t="e">
        <f>+SUMIF([1]Cartera!$R:$R,$A6&amp;"_"&amp;LG$11,[1]Cartera!$I:$I)+SUMIF([1]Futuros!$AD:$AD,$A6&amp;"_"&amp;LG$11,[1]Futuros!$AK:$AK)+SUMIF([1]Opciones!$AF:$AF,$A6&amp;"_"&amp;LG$11,[1]Opciones!$AQ:$AQ)</f>
        <v>#VALUE!</v>
      </c>
      <c r="LH6" t="e">
        <f>+SUMIF([1]Cartera!$R:$R,$A6&amp;"_"&amp;LH$11,[1]Cartera!$I:$I)+SUMIF([1]Futuros!$AD:$AD,$A6&amp;"_"&amp;LH$11,[1]Futuros!$AK:$AK)+SUMIF([1]Opciones!$AF:$AF,$A6&amp;"_"&amp;LH$11,[1]Opciones!$AQ:$AQ)</f>
        <v>#VALUE!</v>
      </c>
      <c r="LI6" t="e">
        <f>+SUMIF([1]Cartera!$R:$R,$A6&amp;"_"&amp;LI$11,[1]Cartera!$I:$I)+SUMIF([1]Futuros!$AD:$AD,$A6&amp;"_"&amp;LI$11,[1]Futuros!$AK:$AK)+SUMIF([1]Opciones!$AF:$AF,$A6&amp;"_"&amp;LI$11,[1]Opciones!$AQ:$AQ)</f>
        <v>#VALUE!</v>
      </c>
      <c r="LJ6" t="e">
        <f>+SUMIF([1]Cartera!$R:$R,$A6&amp;"_"&amp;LJ$11,[1]Cartera!$I:$I)+SUMIF([1]Futuros!$AD:$AD,$A6&amp;"_"&amp;LJ$11,[1]Futuros!$AK:$AK)+SUMIF([1]Opciones!$AF:$AF,$A6&amp;"_"&amp;LJ$11,[1]Opciones!$AQ:$AQ)</f>
        <v>#VALUE!</v>
      </c>
      <c r="LK6" t="e">
        <f>+SUMIF([1]Cartera!$R:$R,$A6&amp;"_"&amp;LK$11,[1]Cartera!$I:$I)+SUMIF([1]Futuros!$AD:$AD,$A6&amp;"_"&amp;LK$11,[1]Futuros!$AK:$AK)+SUMIF([1]Opciones!$AF:$AF,$A6&amp;"_"&amp;LK$11,[1]Opciones!$AQ:$AQ)</f>
        <v>#VALUE!</v>
      </c>
      <c r="LL6" t="e">
        <f>+SUMIF([1]Cartera!$R:$R,$A6&amp;"_"&amp;LL$11,[1]Cartera!$I:$I)+SUMIF([1]Futuros!$AD:$AD,$A6&amp;"_"&amp;LL$11,[1]Futuros!$AK:$AK)+SUMIF([1]Opciones!$AF:$AF,$A6&amp;"_"&amp;LL$11,[1]Opciones!$AQ:$AQ)</f>
        <v>#VALUE!</v>
      </c>
      <c r="LM6" t="e">
        <f>+SUMIF([1]Cartera!$R:$R,$A6&amp;"_"&amp;LM$11,[1]Cartera!$I:$I)+SUMIF([1]Futuros!$AD:$AD,$A6&amp;"_"&amp;LM$11,[1]Futuros!$AK:$AK)+SUMIF([1]Opciones!$AF:$AF,$A6&amp;"_"&amp;LM$11,[1]Opciones!$AQ:$AQ)</f>
        <v>#VALUE!</v>
      </c>
      <c r="LN6" t="e">
        <f>+SUMIF([1]Cartera!$R:$R,$A6&amp;"_"&amp;LN$11,[1]Cartera!$I:$I)+SUMIF([1]Futuros!$AD:$AD,$A6&amp;"_"&amp;LN$11,[1]Futuros!$AK:$AK)+SUMIF([1]Opciones!$AF:$AF,$A6&amp;"_"&amp;LN$11,[1]Opciones!$AQ:$AQ)</f>
        <v>#VALUE!</v>
      </c>
      <c r="LO6" t="e">
        <f>+SUMIF([1]Cartera!$R:$R,$A6&amp;"_"&amp;LO$11,[1]Cartera!$I:$I)+SUMIF([1]Futuros!$AD:$AD,$A6&amp;"_"&amp;LO$11,[1]Futuros!$AK:$AK)+SUMIF([1]Opciones!$AF:$AF,$A6&amp;"_"&amp;LO$11,[1]Opciones!$AQ:$AQ)</f>
        <v>#VALUE!</v>
      </c>
      <c r="LP6" t="e">
        <f>+SUMIF([1]Cartera!$R:$R,$A6&amp;"_"&amp;LP$11,[1]Cartera!$I:$I)+SUMIF([1]Futuros!$AD:$AD,$A6&amp;"_"&amp;LP$11,[1]Futuros!$AK:$AK)+SUMIF([1]Opciones!$AF:$AF,$A6&amp;"_"&amp;LP$11,[1]Opciones!$AQ:$AQ)</f>
        <v>#VALUE!</v>
      </c>
      <c r="LQ6" t="e">
        <f>+SUMIF([1]Cartera!$R:$R,$A6&amp;"_"&amp;LQ$11,[1]Cartera!$I:$I)+SUMIF([1]Futuros!$AD:$AD,$A6&amp;"_"&amp;LQ$11,[1]Futuros!$AK:$AK)+SUMIF([1]Opciones!$AF:$AF,$A6&amp;"_"&amp;LQ$11,[1]Opciones!$AQ:$AQ)</f>
        <v>#VALUE!</v>
      </c>
      <c r="LR6" t="e">
        <f>+SUMIF([1]Cartera!$R:$R,$A6&amp;"_"&amp;LR$11,[1]Cartera!$I:$I)+SUMIF([1]Futuros!$AD:$AD,$A6&amp;"_"&amp;LR$11,[1]Futuros!$AK:$AK)+SUMIF([1]Opciones!$AF:$AF,$A6&amp;"_"&amp;LR$11,[1]Opciones!$AQ:$AQ)</f>
        <v>#VALUE!</v>
      </c>
      <c r="LS6" t="e">
        <f>+SUMIF([1]Cartera!$R:$R,$A6&amp;"_"&amp;LS$11,[1]Cartera!$I:$I)+SUMIF([1]Futuros!$AD:$AD,$A6&amp;"_"&amp;LS$11,[1]Futuros!$AK:$AK)+SUMIF([1]Opciones!$AF:$AF,$A6&amp;"_"&amp;LS$11,[1]Opciones!$AQ:$AQ)</f>
        <v>#VALUE!</v>
      </c>
      <c r="LT6" t="e">
        <f>+SUMIF([1]Cartera!$R:$R,$A6&amp;"_"&amp;LT$11,[1]Cartera!$I:$I)+SUMIF([1]Futuros!$AD:$AD,$A6&amp;"_"&amp;LT$11,[1]Futuros!$AK:$AK)+SUMIF([1]Opciones!$AF:$AF,$A6&amp;"_"&amp;LT$11,[1]Opciones!$AQ:$AQ)</f>
        <v>#VALUE!</v>
      </c>
      <c r="LU6" t="e">
        <f>+SUMIF([1]Cartera!$R:$R,$A6&amp;"_"&amp;LU$11,[1]Cartera!$I:$I)+SUMIF([1]Futuros!$AD:$AD,$A6&amp;"_"&amp;LU$11,[1]Futuros!$AK:$AK)+SUMIF([1]Opciones!$AF:$AF,$A6&amp;"_"&amp;LU$11,[1]Opciones!$AQ:$AQ)</f>
        <v>#VALUE!</v>
      </c>
      <c r="LV6" t="e">
        <f>+SUMIF([1]Cartera!$R:$R,$A6&amp;"_"&amp;LV$11,[1]Cartera!$I:$I)+SUMIF([1]Futuros!$AD:$AD,$A6&amp;"_"&amp;LV$11,[1]Futuros!$AK:$AK)+SUMIF([1]Opciones!$AF:$AF,$A6&amp;"_"&amp;LV$11,[1]Opciones!$AQ:$AQ)</f>
        <v>#VALUE!</v>
      </c>
      <c r="LW6" t="e">
        <f>+SUMIF([1]Cartera!$R:$R,$A6&amp;"_"&amp;LW$11,[1]Cartera!$I:$I)+SUMIF([1]Futuros!$AD:$AD,$A6&amp;"_"&amp;LW$11,[1]Futuros!$AK:$AK)+SUMIF([1]Opciones!$AF:$AF,$A6&amp;"_"&amp;LW$11,[1]Opciones!$AQ:$AQ)</f>
        <v>#VALUE!</v>
      </c>
      <c r="LX6" t="e">
        <f>+SUMIF([1]Cartera!$R:$R,$A6&amp;"_"&amp;LX$11,[1]Cartera!$I:$I)+SUMIF([1]Futuros!$AD:$AD,$A6&amp;"_"&amp;LX$11,[1]Futuros!$AK:$AK)+SUMIF([1]Opciones!$AF:$AF,$A6&amp;"_"&amp;LX$11,[1]Opciones!$AQ:$AQ)</f>
        <v>#VALUE!</v>
      </c>
      <c r="LY6" t="e">
        <f>+SUMIF([1]Cartera!$R:$R,$A6&amp;"_"&amp;LY$11,[1]Cartera!$I:$I)+SUMIF([1]Futuros!$AD:$AD,$A6&amp;"_"&amp;LY$11,[1]Futuros!$AK:$AK)+SUMIF([1]Opciones!$AF:$AF,$A6&amp;"_"&amp;LY$11,[1]Opciones!$AQ:$AQ)</f>
        <v>#VALUE!</v>
      </c>
      <c r="LZ6" t="e">
        <f>+SUMIF([1]Cartera!$R:$R,$A6&amp;"_"&amp;LZ$11,[1]Cartera!$I:$I)+SUMIF([1]Futuros!$AD:$AD,$A6&amp;"_"&amp;LZ$11,[1]Futuros!$AK:$AK)+SUMIF([1]Opciones!$AF:$AF,$A6&amp;"_"&amp;LZ$11,[1]Opciones!$AQ:$AQ)</f>
        <v>#VALUE!</v>
      </c>
      <c r="MA6" t="e">
        <f>+SUMIF([1]Cartera!$R:$R,$A6&amp;"_"&amp;MA$11,[1]Cartera!$I:$I)+SUMIF([1]Futuros!$AD:$AD,$A6&amp;"_"&amp;MA$11,[1]Futuros!$AK:$AK)+SUMIF([1]Opciones!$AF:$AF,$A6&amp;"_"&amp;MA$11,[1]Opciones!$AQ:$AQ)</f>
        <v>#VALUE!</v>
      </c>
      <c r="MB6" t="e">
        <f>+SUMIF([1]Cartera!$R:$R,$A6&amp;"_"&amp;MB$11,[1]Cartera!$I:$I)+SUMIF([1]Futuros!$AD:$AD,$A6&amp;"_"&amp;MB$11,[1]Futuros!$AK:$AK)+SUMIF([1]Opciones!$AF:$AF,$A6&amp;"_"&amp;MB$11,[1]Opciones!$AQ:$AQ)</f>
        <v>#VALUE!</v>
      </c>
      <c r="MC6" t="e">
        <f>+SUMIF([1]Cartera!$R:$R,$A6&amp;"_"&amp;MC$11,[1]Cartera!$I:$I)+SUMIF([1]Futuros!$AD:$AD,$A6&amp;"_"&amp;MC$11,[1]Futuros!$AK:$AK)+SUMIF([1]Opciones!$AF:$AF,$A6&amp;"_"&amp;MC$11,[1]Opciones!$AQ:$AQ)</f>
        <v>#VALUE!</v>
      </c>
      <c r="MD6" t="e">
        <f>+SUMIF([1]Cartera!$R:$R,$A6&amp;"_"&amp;MD$11,[1]Cartera!$I:$I)+SUMIF([1]Futuros!$AD:$AD,$A6&amp;"_"&amp;MD$11,[1]Futuros!$AK:$AK)+SUMIF([1]Opciones!$AF:$AF,$A6&amp;"_"&amp;MD$11,[1]Opciones!$AQ:$AQ)</f>
        <v>#VALUE!</v>
      </c>
      <c r="ME6" t="e">
        <f>+SUMIF([1]Cartera!$R:$R,$A6&amp;"_"&amp;ME$11,[1]Cartera!$I:$I)+SUMIF([1]Futuros!$AD:$AD,$A6&amp;"_"&amp;ME$11,[1]Futuros!$AK:$AK)+SUMIF([1]Opciones!$AF:$AF,$A6&amp;"_"&amp;ME$11,[1]Opciones!$AQ:$AQ)</f>
        <v>#VALUE!</v>
      </c>
      <c r="MF6" t="e">
        <f>+SUMIF([1]Cartera!$R:$R,$A6&amp;"_"&amp;MF$11,[1]Cartera!$I:$I)+SUMIF([1]Futuros!$AD:$AD,$A6&amp;"_"&amp;MF$11,[1]Futuros!$AK:$AK)+SUMIF([1]Opciones!$AF:$AF,$A6&amp;"_"&amp;MF$11,[1]Opciones!$AQ:$AQ)</f>
        <v>#VALUE!</v>
      </c>
      <c r="MG6" t="e">
        <f>+SUMIF([1]Cartera!$R:$R,$A6&amp;"_"&amp;MG$11,[1]Cartera!$I:$I)+SUMIF([1]Futuros!$AD:$AD,$A6&amp;"_"&amp;MG$11,[1]Futuros!$AK:$AK)+SUMIF([1]Opciones!$AF:$AF,$A6&amp;"_"&amp;MG$11,[1]Opciones!$AQ:$AQ)</f>
        <v>#VALUE!</v>
      </c>
      <c r="MH6" t="e">
        <f>+SUMIF([1]Cartera!$R:$R,$A6&amp;"_"&amp;MH$11,[1]Cartera!$I:$I)+SUMIF([1]Futuros!$AD:$AD,$A6&amp;"_"&amp;MH$11,[1]Futuros!$AK:$AK)+SUMIF([1]Opciones!$AF:$AF,$A6&amp;"_"&amp;MH$11,[1]Opciones!$AQ:$AQ)</f>
        <v>#VALUE!</v>
      </c>
      <c r="MI6" t="e">
        <f>+SUMIF([1]Cartera!$R:$R,$A6&amp;"_"&amp;MI$11,[1]Cartera!$I:$I)+SUMIF([1]Futuros!$AD:$AD,$A6&amp;"_"&amp;MI$11,[1]Futuros!$AK:$AK)+SUMIF([1]Opciones!$AF:$AF,$A6&amp;"_"&amp;MI$11,[1]Opciones!$AQ:$AQ)</f>
        <v>#VALUE!</v>
      </c>
      <c r="MJ6" t="e">
        <f>+SUMIF([1]Cartera!$R:$R,$A6&amp;"_"&amp;MJ$11,[1]Cartera!$I:$I)+SUMIF([1]Futuros!$AD:$AD,$A6&amp;"_"&amp;MJ$11,[1]Futuros!$AK:$AK)+SUMIF([1]Opciones!$AF:$AF,$A6&amp;"_"&amp;MJ$11,[1]Opciones!$AQ:$AQ)</f>
        <v>#VALUE!</v>
      </c>
      <c r="MK6" t="e">
        <f>+SUMIF([1]Cartera!$R:$R,$A6&amp;"_"&amp;MK$11,[1]Cartera!$I:$I)+SUMIF([1]Futuros!$AD:$AD,$A6&amp;"_"&amp;MK$11,[1]Futuros!$AK:$AK)+SUMIF([1]Opciones!$AF:$AF,$A6&amp;"_"&amp;MK$11,[1]Opciones!$AQ:$AQ)</f>
        <v>#VALUE!</v>
      </c>
      <c r="ML6" t="e">
        <f>+SUMIF([1]Cartera!$R:$R,$A6&amp;"_"&amp;ML$11,[1]Cartera!$I:$I)+SUMIF([1]Futuros!$AD:$AD,$A6&amp;"_"&amp;ML$11,[1]Futuros!$AK:$AK)+SUMIF([1]Opciones!$AF:$AF,$A6&amp;"_"&amp;ML$11,[1]Opciones!$AQ:$AQ)</f>
        <v>#VALUE!</v>
      </c>
      <c r="MM6" t="e">
        <f>+SUMIF([1]Cartera!$R:$R,$A6&amp;"_"&amp;MM$11,[1]Cartera!$I:$I)+SUMIF([1]Futuros!$AD:$AD,$A6&amp;"_"&amp;MM$11,[1]Futuros!$AK:$AK)+SUMIF([1]Opciones!$AF:$AF,$A6&amp;"_"&amp;MM$11,[1]Opciones!$AQ:$AQ)</f>
        <v>#VALUE!</v>
      </c>
      <c r="MN6" t="e">
        <f>+SUMIF([1]Cartera!$R:$R,$A6&amp;"_"&amp;MN$11,[1]Cartera!$I:$I)+SUMIF([1]Futuros!$AD:$AD,$A6&amp;"_"&amp;MN$11,[1]Futuros!$AK:$AK)+SUMIF([1]Opciones!$AF:$AF,$A6&amp;"_"&amp;MN$11,[1]Opciones!$AQ:$AQ)</f>
        <v>#VALUE!</v>
      </c>
      <c r="MO6" t="e">
        <f>+SUMIF([1]Cartera!$R:$R,$A6&amp;"_"&amp;MO$11,[1]Cartera!$I:$I)+SUMIF([1]Futuros!$AD:$AD,$A6&amp;"_"&amp;MO$11,[1]Futuros!$AK:$AK)+SUMIF([1]Opciones!$AF:$AF,$A6&amp;"_"&amp;MO$11,[1]Opciones!$AQ:$AQ)</f>
        <v>#VALUE!</v>
      </c>
      <c r="MP6" t="e">
        <f>+SUMIF([1]Cartera!$R:$R,$A6&amp;"_"&amp;MP$11,[1]Cartera!$I:$I)+SUMIF([1]Futuros!$AD:$AD,$A6&amp;"_"&amp;MP$11,[1]Futuros!$AK:$AK)+SUMIF([1]Opciones!$AF:$AF,$A6&amp;"_"&amp;MP$11,[1]Opciones!$AQ:$AQ)</f>
        <v>#VALUE!</v>
      </c>
      <c r="MQ6" t="e">
        <f>+SUMIF([1]Cartera!$R:$R,$A6&amp;"_"&amp;MQ$11,[1]Cartera!$I:$I)+SUMIF([1]Futuros!$AD:$AD,$A6&amp;"_"&amp;MQ$11,[1]Futuros!$AK:$AK)+SUMIF([1]Opciones!$AF:$AF,$A6&amp;"_"&amp;MQ$11,[1]Opciones!$AQ:$AQ)</f>
        <v>#VALUE!</v>
      </c>
      <c r="MR6" t="e">
        <f>+SUMIF([1]Cartera!$R:$R,$A6&amp;"_"&amp;MR$11,[1]Cartera!$I:$I)+SUMIF([1]Futuros!$AD:$AD,$A6&amp;"_"&amp;MR$11,[1]Futuros!$AK:$AK)+SUMIF([1]Opciones!$AF:$AF,$A6&amp;"_"&amp;MR$11,[1]Opciones!$AQ:$AQ)</f>
        <v>#VALUE!</v>
      </c>
      <c r="MS6" t="e">
        <f>+SUMIF([1]Cartera!$R:$R,$A6&amp;"_"&amp;MS$11,[1]Cartera!$I:$I)+SUMIF([1]Futuros!$AD:$AD,$A6&amp;"_"&amp;MS$11,[1]Futuros!$AK:$AK)+SUMIF([1]Opciones!$AF:$AF,$A6&amp;"_"&amp;MS$11,[1]Opciones!$AQ:$AQ)</f>
        <v>#VALUE!</v>
      </c>
      <c r="MT6" t="e">
        <f>+SUMIF([1]Cartera!$R:$R,$A6&amp;"_"&amp;MT$11,[1]Cartera!$I:$I)+SUMIF([1]Futuros!$AD:$AD,$A6&amp;"_"&amp;MT$11,[1]Futuros!$AK:$AK)+SUMIF([1]Opciones!$AF:$AF,$A6&amp;"_"&amp;MT$11,[1]Opciones!$AQ:$AQ)</f>
        <v>#VALUE!</v>
      </c>
      <c r="MU6" t="e">
        <f>+SUMIF([1]Cartera!$R:$R,$A6&amp;"_"&amp;MU$11,[1]Cartera!$I:$I)+SUMIF([1]Futuros!$AD:$AD,$A6&amp;"_"&amp;MU$11,[1]Futuros!$AK:$AK)+SUMIF([1]Opciones!$AF:$AF,$A6&amp;"_"&amp;MU$11,[1]Opciones!$AQ:$AQ)</f>
        <v>#VALUE!</v>
      </c>
      <c r="MV6" t="e">
        <f>+SUMIF([1]Cartera!$R:$R,$A6&amp;"_"&amp;MV$11,[1]Cartera!$I:$I)+SUMIF([1]Futuros!$AD:$AD,$A6&amp;"_"&amp;MV$11,[1]Futuros!$AK:$AK)+SUMIF([1]Opciones!$AF:$AF,$A6&amp;"_"&amp;MV$11,[1]Opciones!$AQ:$AQ)</f>
        <v>#VALUE!</v>
      </c>
      <c r="MW6" t="e">
        <f>+SUMIF([1]Cartera!$R:$R,$A6&amp;"_"&amp;MW$11,[1]Cartera!$I:$I)+SUMIF([1]Futuros!$AD:$AD,$A6&amp;"_"&amp;MW$11,[1]Futuros!$AK:$AK)+SUMIF([1]Opciones!$AF:$AF,$A6&amp;"_"&amp;MW$11,[1]Opciones!$AQ:$AQ)</f>
        <v>#VALUE!</v>
      </c>
      <c r="MX6" t="e">
        <f>+SUMIF([1]Cartera!$R:$R,$A6&amp;"_"&amp;MX$11,[1]Cartera!$I:$I)+SUMIF([1]Futuros!$AD:$AD,$A6&amp;"_"&amp;MX$11,[1]Futuros!$AK:$AK)+SUMIF([1]Opciones!$AF:$AF,$A6&amp;"_"&amp;MX$11,[1]Opciones!$AQ:$AQ)</f>
        <v>#VALUE!</v>
      </c>
      <c r="MY6" t="e">
        <f>+SUMIF([1]Cartera!$R:$R,$A6&amp;"_"&amp;MY$11,[1]Cartera!$I:$I)+SUMIF([1]Futuros!$AD:$AD,$A6&amp;"_"&amp;MY$11,[1]Futuros!$AK:$AK)+SUMIF([1]Opciones!$AF:$AF,$A6&amp;"_"&amp;MY$11,[1]Opciones!$AQ:$AQ)</f>
        <v>#VALUE!</v>
      </c>
      <c r="MZ6" t="e">
        <f>+SUMIF([1]Cartera!$R:$R,$A6&amp;"_"&amp;MZ$11,[1]Cartera!$I:$I)+SUMIF([1]Futuros!$AD:$AD,$A6&amp;"_"&amp;MZ$11,[1]Futuros!$AK:$AK)+SUMIF([1]Opciones!$AF:$AF,$A6&amp;"_"&amp;MZ$11,[1]Opciones!$AQ:$AQ)</f>
        <v>#VALUE!</v>
      </c>
      <c r="NA6" t="e">
        <f>+SUMIF([1]Cartera!$R:$R,$A6&amp;"_"&amp;NA$11,[1]Cartera!$I:$I)+SUMIF([1]Futuros!$AD:$AD,$A6&amp;"_"&amp;NA$11,[1]Futuros!$AK:$AK)+SUMIF([1]Opciones!$AF:$AF,$A6&amp;"_"&amp;NA$11,[1]Opciones!$AQ:$AQ)</f>
        <v>#VALUE!</v>
      </c>
      <c r="NB6" t="e">
        <f>+SUMIF([1]Cartera!$R:$R,$A6&amp;"_"&amp;NB$11,[1]Cartera!$I:$I)+SUMIF([1]Futuros!$AD:$AD,$A6&amp;"_"&amp;NB$11,[1]Futuros!$AK:$AK)+SUMIF([1]Opciones!$AF:$AF,$A6&amp;"_"&amp;NB$11,[1]Opciones!$AQ:$AQ)</f>
        <v>#VALUE!</v>
      </c>
      <c r="NC6" t="e">
        <f>+SUMIF([1]Cartera!$R:$R,$A6&amp;"_"&amp;NC$11,[1]Cartera!$I:$I)+SUMIF([1]Futuros!$AD:$AD,$A6&amp;"_"&amp;NC$11,[1]Futuros!$AK:$AK)+SUMIF([1]Opciones!$AF:$AF,$A6&amp;"_"&amp;NC$11,[1]Opciones!$AQ:$AQ)</f>
        <v>#VALUE!</v>
      </c>
      <c r="ND6" t="e">
        <f>+SUMIF([1]Cartera!$R:$R,$A6&amp;"_"&amp;ND$11,[1]Cartera!$I:$I)+SUMIF([1]Futuros!$AD:$AD,$A6&amp;"_"&amp;ND$11,[1]Futuros!$AK:$AK)+SUMIF([1]Opciones!$AF:$AF,$A6&amp;"_"&amp;ND$11,[1]Opciones!$AQ:$AQ)</f>
        <v>#VALUE!</v>
      </c>
      <c r="NE6" t="e">
        <f>+SUMIF([1]Cartera!$R:$R,$A6&amp;"_"&amp;NE$11,[1]Cartera!$I:$I)+SUMIF([1]Futuros!$AD:$AD,$A6&amp;"_"&amp;NE$11,[1]Futuros!$AK:$AK)+SUMIF([1]Opciones!$AF:$AF,$A6&amp;"_"&amp;NE$11,[1]Opciones!$AQ:$AQ)</f>
        <v>#VALUE!</v>
      </c>
      <c r="NF6" t="e">
        <f>+SUMIF([1]Cartera!$R:$R,$A6&amp;"_"&amp;NF$11,[1]Cartera!$I:$I)+SUMIF([1]Futuros!$AD:$AD,$A6&amp;"_"&amp;NF$11,[1]Futuros!$AK:$AK)+SUMIF([1]Opciones!$AF:$AF,$A6&amp;"_"&amp;NF$11,[1]Opciones!$AQ:$AQ)</f>
        <v>#VALUE!</v>
      </c>
      <c r="NG6" t="e">
        <f>+SUMIF([1]Cartera!$R:$R,$A6&amp;"_"&amp;NG$11,[1]Cartera!$I:$I)+SUMIF([1]Futuros!$AD:$AD,$A6&amp;"_"&amp;NG$11,[1]Futuros!$AK:$AK)+SUMIF([1]Opciones!$AF:$AF,$A6&amp;"_"&amp;NG$11,[1]Opciones!$AQ:$AQ)</f>
        <v>#VALUE!</v>
      </c>
      <c r="NH6" t="e">
        <f>+SUMIF([1]Cartera!$R:$R,$A6&amp;"_"&amp;NH$11,[1]Cartera!$I:$I)+SUMIF([1]Futuros!$AD:$AD,$A6&amp;"_"&amp;NH$11,[1]Futuros!$AK:$AK)+SUMIF([1]Opciones!$AF:$AF,$A6&amp;"_"&amp;NH$11,[1]Opciones!$AQ:$AQ)</f>
        <v>#VALUE!</v>
      </c>
      <c r="NI6" t="e">
        <f>+SUMIF([1]Cartera!$R:$R,$A6&amp;"_"&amp;NI$11,[1]Cartera!$I:$I)+SUMIF([1]Futuros!$AD:$AD,$A6&amp;"_"&amp;NI$11,[1]Futuros!$AK:$AK)+SUMIF([1]Opciones!$AF:$AF,$A6&amp;"_"&amp;NI$11,[1]Opciones!$AQ:$AQ)</f>
        <v>#VALUE!</v>
      </c>
      <c r="NJ6" t="e">
        <f>+SUMIF([1]Cartera!$R:$R,$A6&amp;"_"&amp;NJ$11,[1]Cartera!$I:$I)+SUMIF([1]Futuros!$AD:$AD,$A6&amp;"_"&amp;NJ$11,[1]Futuros!$AK:$AK)+SUMIF([1]Opciones!$AF:$AF,$A6&amp;"_"&amp;NJ$11,[1]Opciones!$AQ:$AQ)</f>
        <v>#VALUE!</v>
      </c>
      <c r="NK6" t="e">
        <f>+SUMIF([1]Cartera!$R:$R,$A6&amp;"_"&amp;NK$11,[1]Cartera!$I:$I)+SUMIF([1]Futuros!$AD:$AD,$A6&amp;"_"&amp;NK$11,[1]Futuros!$AK:$AK)+SUMIF([1]Opciones!$AF:$AF,$A6&amp;"_"&amp;NK$11,[1]Opciones!$AQ:$AQ)</f>
        <v>#VALUE!</v>
      </c>
      <c r="NL6" t="e">
        <f>+SUMIF([1]Cartera!$R:$R,$A6&amp;"_"&amp;NL$11,[1]Cartera!$I:$I)+SUMIF([1]Futuros!$AD:$AD,$A6&amp;"_"&amp;NL$11,[1]Futuros!$AK:$AK)+SUMIF([1]Opciones!$AF:$AF,$A6&amp;"_"&amp;NL$11,[1]Opciones!$AQ:$AQ)</f>
        <v>#VALUE!</v>
      </c>
      <c r="NM6" t="e">
        <f>+SUMIF([1]Cartera!$R:$R,$A6&amp;"_"&amp;NM$11,[1]Cartera!$I:$I)+SUMIF([1]Futuros!$AD:$AD,$A6&amp;"_"&amp;NM$11,[1]Futuros!$AK:$AK)+SUMIF([1]Opciones!$AF:$AF,$A6&amp;"_"&amp;NM$11,[1]Opciones!$AQ:$AQ)</f>
        <v>#VALUE!</v>
      </c>
      <c r="NN6" t="e">
        <f>+SUMIF([1]Cartera!$R:$R,$A6&amp;"_"&amp;NN$11,[1]Cartera!$I:$I)+SUMIF([1]Futuros!$AD:$AD,$A6&amp;"_"&amp;NN$11,[1]Futuros!$AK:$AK)+SUMIF([1]Opciones!$AF:$AF,$A6&amp;"_"&amp;NN$11,[1]Opciones!$AQ:$AQ)</f>
        <v>#VALUE!</v>
      </c>
      <c r="NO6" t="e">
        <f>+SUMIF([1]Cartera!$R:$R,$A6&amp;"_"&amp;NO$11,[1]Cartera!$I:$I)+SUMIF([1]Futuros!$AD:$AD,$A6&amp;"_"&amp;NO$11,[1]Futuros!$AK:$AK)+SUMIF([1]Opciones!$AF:$AF,$A6&amp;"_"&amp;NO$11,[1]Opciones!$AQ:$AQ)</f>
        <v>#VALUE!</v>
      </c>
      <c r="NP6" t="e">
        <f>+SUMIF([1]Cartera!$R:$R,$A6&amp;"_"&amp;NP$11,[1]Cartera!$I:$I)+SUMIF([1]Futuros!$AD:$AD,$A6&amp;"_"&amp;NP$11,[1]Futuros!$AK:$AK)+SUMIF([1]Opciones!$AF:$AF,$A6&amp;"_"&amp;NP$11,[1]Opciones!$AQ:$AQ)</f>
        <v>#VALUE!</v>
      </c>
      <c r="NQ6" t="e">
        <f>+SUMIF([1]Cartera!$R:$R,$A6&amp;"_"&amp;NQ$11,[1]Cartera!$I:$I)+SUMIF([1]Futuros!$AD:$AD,$A6&amp;"_"&amp;NQ$11,[1]Futuros!$AK:$AK)+SUMIF([1]Opciones!$AF:$AF,$A6&amp;"_"&amp;NQ$11,[1]Opciones!$AQ:$AQ)</f>
        <v>#VALUE!</v>
      </c>
      <c r="NR6" t="e">
        <f>+SUMIF([1]Cartera!$R:$R,$A6&amp;"_"&amp;NR$11,[1]Cartera!$I:$I)+SUMIF([1]Futuros!$AD:$AD,$A6&amp;"_"&amp;NR$11,[1]Futuros!$AK:$AK)+SUMIF([1]Opciones!$AF:$AF,$A6&amp;"_"&amp;NR$11,[1]Opciones!$AQ:$AQ)</f>
        <v>#VALUE!</v>
      </c>
      <c r="NS6" t="e">
        <f>+SUMIF([1]Cartera!$R:$R,$A6&amp;"_"&amp;NS$11,[1]Cartera!$I:$I)+SUMIF([1]Futuros!$AD:$AD,$A6&amp;"_"&amp;NS$11,[1]Futuros!$AK:$AK)+SUMIF([1]Opciones!$AF:$AF,$A6&amp;"_"&amp;NS$11,[1]Opciones!$AQ:$AQ)</f>
        <v>#VALUE!</v>
      </c>
      <c r="NT6" t="e">
        <f>+SUMIF([1]Cartera!$R:$R,$A6&amp;"_"&amp;NT$11,[1]Cartera!$I:$I)+SUMIF([1]Futuros!$AD:$AD,$A6&amp;"_"&amp;NT$11,[1]Futuros!$AK:$AK)+SUMIF([1]Opciones!$AF:$AF,$A6&amp;"_"&amp;NT$11,[1]Opciones!$AQ:$AQ)</f>
        <v>#VALUE!</v>
      </c>
      <c r="NU6" t="e">
        <f>+SUMIF([1]Cartera!$R:$R,$A6&amp;"_"&amp;NU$11,[1]Cartera!$I:$I)+SUMIF([1]Futuros!$AD:$AD,$A6&amp;"_"&amp;NU$11,[1]Futuros!$AK:$AK)+SUMIF([1]Opciones!$AF:$AF,$A6&amp;"_"&amp;NU$11,[1]Opciones!$AQ:$AQ)</f>
        <v>#VALUE!</v>
      </c>
      <c r="NV6" t="e">
        <f>+SUMIF([1]Cartera!$R:$R,$A6&amp;"_"&amp;NV$11,[1]Cartera!$I:$I)+SUMIF([1]Futuros!$AD:$AD,$A6&amp;"_"&amp;NV$11,[1]Futuros!$AK:$AK)+SUMIF([1]Opciones!$AF:$AF,$A6&amp;"_"&amp;NV$11,[1]Opciones!$AQ:$AQ)</f>
        <v>#VALUE!</v>
      </c>
      <c r="NW6" t="e">
        <f>+SUMIF([1]Cartera!$R:$R,$A6&amp;"_"&amp;NW$11,[1]Cartera!$I:$I)+SUMIF([1]Futuros!$AD:$AD,$A6&amp;"_"&amp;NW$11,[1]Futuros!$AK:$AK)+SUMIF([1]Opciones!$AF:$AF,$A6&amp;"_"&amp;NW$11,[1]Opciones!$AQ:$AQ)</f>
        <v>#VALUE!</v>
      </c>
      <c r="NX6" t="e">
        <f>+SUMIF([1]Cartera!$R:$R,$A6&amp;"_"&amp;NX$11,[1]Cartera!$I:$I)+SUMIF([1]Futuros!$AD:$AD,$A6&amp;"_"&amp;NX$11,[1]Futuros!$AK:$AK)+SUMIF([1]Opciones!$AF:$AF,$A6&amp;"_"&amp;NX$11,[1]Opciones!$AQ:$AQ)</f>
        <v>#VALUE!</v>
      </c>
      <c r="NY6" t="e">
        <f>+SUMIF([1]Cartera!$R:$R,$A6&amp;"_"&amp;NY$11,[1]Cartera!$I:$I)+SUMIF([1]Futuros!$AD:$AD,$A6&amp;"_"&amp;NY$11,[1]Futuros!$AK:$AK)+SUMIF([1]Opciones!$AF:$AF,$A6&amp;"_"&amp;NY$11,[1]Opciones!$AQ:$AQ)</f>
        <v>#VALUE!</v>
      </c>
      <c r="NZ6" t="e">
        <f>+SUMIF([1]Cartera!$R:$R,$A6&amp;"_"&amp;NZ$11,[1]Cartera!$I:$I)+SUMIF([1]Futuros!$AD:$AD,$A6&amp;"_"&amp;NZ$11,[1]Futuros!$AK:$AK)+SUMIF([1]Opciones!$AF:$AF,$A6&amp;"_"&amp;NZ$11,[1]Opciones!$AQ:$AQ)</f>
        <v>#VALUE!</v>
      </c>
      <c r="OA6" t="e">
        <f>+SUMIF([1]Cartera!$R:$R,$A6&amp;"_"&amp;OA$11,[1]Cartera!$I:$I)+SUMIF([1]Futuros!$AD:$AD,$A6&amp;"_"&amp;OA$11,[1]Futuros!$AK:$AK)+SUMIF([1]Opciones!$AF:$AF,$A6&amp;"_"&amp;OA$11,[1]Opciones!$AQ:$AQ)</f>
        <v>#VALUE!</v>
      </c>
      <c r="OB6" t="e">
        <f>+SUMIF([1]Cartera!$R:$R,$A6&amp;"_"&amp;OB$11,[1]Cartera!$I:$I)+SUMIF([1]Futuros!$AD:$AD,$A6&amp;"_"&amp;OB$11,[1]Futuros!$AK:$AK)+SUMIF([1]Opciones!$AF:$AF,$A6&amp;"_"&amp;OB$11,[1]Opciones!$AQ:$AQ)</f>
        <v>#VALUE!</v>
      </c>
      <c r="OC6" t="e">
        <f>+SUMIF([1]Cartera!$R:$R,$A6&amp;"_"&amp;OC$11,[1]Cartera!$I:$I)+SUMIF([1]Futuros!$AD:$AD,$A6&amp;"_"&amp;OC$11,[1]Futuros!$AK:$AK)+SUMIF([1]Opciones!$AF:$AF,$A6&amp;"_"&amp;OC$11,[1]Opciones!$AQ:$AQ)</f>
        <v>#VALUE!</v>
      </c>
      <c r="OD6" t="e">
        <f>+SUMIF([1]Cartera!$R:$R,$A6&amp;"_"&amp;OD$11,[1]Cartera!$I:$I)+SUMIF([1]Futuros!$AD:$AD,$A6&amp;"_"&amp;OD$11,[1]Futuros!$AK:$AK)+SUMIF([1]Opciones!$AF:$AF,$A6&amp;"_"&amp;OD$11,[1]Opciones!$AQ:$AQ)</f>
        <v>#VALUE!</v>
      </c>
      <c r="OE6" t="e">
        <f>+SUMIF([1]Cartera!$R:$R,$A6&amp;"_"&amp;OE$11,[1]Cartera!$I:$I)+SUMIF([1]Futuros!$AD:$AD,$A6&amp;"_"&amp;OE$11,[1]Futuros!$AK:$AK)+SUMIF([1]Opciones!$AF:$AF,$A6&amp;"_"&amp;OE$11,[1]Opciones!$AQ:$AQ)</f>
        <v>#VALUE!</v>
      </c>
      <c r="OF6" t="e">
        <f>+SUMIF([1]Cartera!$R:$R,$A6&amp;"_"&amp;OF$11,[1]Cartera!$I:$I)+SUMIF([1]Futuros!$AD:$AD,$A6&amp;"_"&amp;OF$11,[1]Futuros!$AK:$AK)+SUMIF([1]Opciones!$AF:$AF,$A6&amp;"_"&amp;OF$11,[1]Opciones!$AQ:$AQ)</f>
        <v>#VALUE!</v>
      </c>
      <c r="OG6" t="e">
        <f>+SUMIF([1]Cartera!$R:$R,$A6&amp;"_"&amp;OG$11,[1]Cartera!$I:$I)+SUMIF([1]Futuros!$AD:$AD,$A6&amp;"_"&amp;OG$11,[1]Futuros!$AK:$AK)+SUMIF([1]Opciones!$AF:$AF,$A6&amp;"_"&amp;OG$11,[1]Opciones!$AQ:$AQ)</f>
        <v>#VALUE!</v>
      </c>
      <c r="OH6" t="e">
        <f>+SUMIF([1]Cartera!$R:$R,$A6&amp;"_"&amp;OH$11,[1]Cartera!$I:$I)+SUMIF([1]Futuros!$AD:$AD,$A6&amp;"_"&amp;OH$11,[1]Futuros!$AK:$AK)+SUMIF([1]Opciones!$AF:$AF,$A6&amp;"_"&amp;OH$11,[1]Opciones!$AQ:$AQ)</f>
        <v>#VALUE!</v>
      </c>
      <c r="OI6" t="e">
        <f>+SUMIF([1]Cartera!$R:$R,$A6&amp;"_"&amp;OI$11,[1]Cartera!$I:$I)+SUMIF([1]Futuros!$AD:$AD,$A6&amp;"_"&amp;OI$11,[1]Futuros!$AK:$AK)+SUMIF([1]Opciones!$AF:$AF,$A6&amp;"_"&amp;OI$11,[1]Opciones!$AQ:$AQ)</f>
        <v>#VALUE!</v>
      </c>
      <c r="OJ6" t="e">
        <f>+SUMIF([1]Cartera!$R:$R,$A6&amp;"_"&amp;OJ$11,[1]Cartera!$I:$I)+SUMIF([1]Futuros!$AD:$AD,$A6&amp;"_"&amp;OJ$11,[1]Futuros!$AK:$AK)+SUMIF([1]Opciones!$AF:$AF,$A6&amp;"_"&amp;OJ$11,[1]Opciones!$AQ:$AQ)</f>
        <v>#VALUE!</v>
      </c>
      <c r="OK6" t="e">
        <f>+SUMIF([1]Cartera!$R:$R,$A6&amp;"_"&amp;OK$11,[1]Cartera!$I:$I)+SUMIF([1]Futuros!$AD:$AD,$A6&amp;"_"&amp;OK$11,[1]Futuros!$AK:$AK)+SUMIF([1]Opciones!$AF:$AF,$A6&amp;"_"&amp;OK$11,[1]Opciones!$AQ:$AQ)</f>
        <v>#VALUE!</v>
      </c>
      <c r="OL6" t="e">
        <f>+SUMIF([1]Cartera!$R:$R,$A6&amp;"_"&amp;OL$11,[1]Cartera!$I:$I)+SUMIF([1]Futuros!$AD:$AD,$A6&amp;"_"&amp;OL$11,[1]Futuros!$AK:$AK)+SUMIF([1]Opciones!$AF:$AF,$A6&amp;"_"&amp;OL$11,[1]Opciones!$AQ:$AQ)</f>
        <v>#VALUE!</v>
      </c>
      <c r="OM6" t="e">
        <f>+SUMIF([1]Cartera!$R:$R,$A6&amp;"_"&amp;OM$11,[1]Cartera!$I:$I)+SUMIF([1]Futuros!$AD:$AD,$A6&amp;"_"&amp;OM$11,[1]Futuros!$AK:$AK)+SUMIF([1]Opciones!$AF:$AF,$A6&amp;"_"&amp;OM$11,[1]Opciones!$AQ:$AQ)</f>
        <v>#VALUE!</v>
      </c>
      <c r="ON6" t="e">
        <f>+SUMIF([1]Cartera!$R:$R,$A6&amp;"_"&amp;ON$11,[1]Cartera!$I:$I)+SUMIF([1]Futuros!$AD:$AD,$A6&amp;"_"&amp;ON$11,[1]Futuros!$AK:$AK)+SUMIF([1]Opciones!$AF:$AF,$A6&amp;"_"&amp;ON$11,[1]Opciones!$AQ:$AQ)</f>
        <v>#VALUE!</v>
      </c>
      <c r="OO6" t="e">
        <f>+SUMIF([1]Cartera!$R:$R,$A6&amp;"_"&amp;OO$11,[1]Cartera!$I:$I)+SUMIF([1]Futuros!$AD:$AD,$A6&amp;"_"&amp;OO$11,[1]Futuros!$AK:$AK)+SUMIF([1]Opciones!$AF:$AF,$A6&amp;"_"&amp;OO$11,[1]Opciones!$AQ:$AQ)</f>
        <v>#VALUE!</v>
      </c>
      <c r="OP6" t="e">
        <f>+SUMIF([1]Cartera!$R:$R,$A6&amp;"_"&amp;OP$11,[1]Cartera!$I:$I)+SUMIF([1]Futuros!$AD:$AD,$A6&amp;"_"&amp;OP$11,[1]Futuros!$AK:$AK)+SUMIF([1]Opciones!$AF:$AF,$A6&amp;"_"&amp;OP$11,[1]Opciones!$AQ:$AQ)</f>
        <v>#VALUE!</v>
      </c>
      <c r="OQ6" t="e">
        <f>+SUMIF([1]Cartera!$R:$R,$A6&amp;"_"&amp;OQ$11,[1]Cartera!$I:$I)+SUMIF([1]Futuros!$AD:$AD,$A6&amp;"_"&amp;OQ$11,[1]Futuros!$AK:$AK)+SUMIF([1]Opciones!$AF:$AF,$A6&amp;"_"&amp;OQ$11,[1]Opciones!$AQ:$AQ)</f>
        <v>#VALUE!</v>
      </c>
      <c r="OR6" t="e">
        <f>+SUMIF([1]Cartera!$R:$R,$A6&amp;"_"&amp;OR$11,[1]Cartera!$I:$I)+SUMIF([1]Futuros!$AD:$AD,$A6&amp;"_"&amp;OR$11,[1]Futuros!$AK:$AK)+SUMIF([1]Opciones!$AF:$AF,$A6&amp;"_"&amp;OR$11,[1]Opciones!$AQ:$AQ)</f>
        <v>#VALUE!</v>
      </c>
      <c r="OS6" t="e">
        <f>+SUMIF([1]Cartera!$R:$R,$A6&amp;"_"&amp;OS$11,[1]Cartera!$I:$I)+SUMIF([1]Futuros!$AD:$AD,$A6&amp;"_"&amp;OS$11,[1]Futuros!$AK:$AK)+SUMIF([1]Opciones!$AF:$AF,$A6&amp;"_"&amp;OS$11,[1]Opciones!$AQ:$AQ)</f>
        <v>#VALUE!</v>
      </c>
      <c r="OT6" t="e">
        <f>+SUMIF([1]Cartera!$R:$R,$A6&amp;"_"&amp;OT$11,[1]Cartera!$I:$I)+SUMIF([1]Futuros!$AD:$AD,$A6&amp;"_"&amp;OT$11,[1]Futuros!$AK:$AK)+SUMIF([1]Opciones!$AF:$AF,$A6&amp;"_"&amp;OT$11,[1]Opciones!$AQ:$AQ)</f>
        <v>#VALUE!</v>
      </c>
      <c r="OU6" t="e">
        <f>+SUMIF([1]Cartera!$R:$R,$A6&amp;"_"&amp;OU$11,[1]Cartera!$I:$I)+SUMIF([1]Futuros!$AD:$AD,$A6&amp;"_"&amp;OU$11,[1]Futuros!$AK:$AK)+SUMIF([1]Opciones!$AF:$AF,$A6&amp;"_"&amp;OU$11,[1]Opciones!$AQ:$AQ)</f>
        <v>#VALUE!</v>
      </c>
      <c r="OV6" t="e">
        <f>+SUMIF([1]Cartera!$R:$R,$A6&amp;"_"&amp;OV$11,[1]Cartera!$I:$I)+SUMIF([1]Futuros!$AD:$AD,$A6&amp;"_"&amp;OV$11,[1]Futuros!$AK:$AK)+SUMIF([1]Opciones!$AF:$AF,$A6&amp;"_"&amp;OV$11,[1]Opciones!$AQ:$AQ)</f>
        <v>#VALUE!</v>
      </c>
      <c r="OW6" t="e">
        <f>+SUMIF([1]Cartera!$R:$R,$A6&amp;"_"&amp;OW$11,[1]Cartera!$I:$I)+SUMIF([1]Futuros!$AD:$AD,$A6&amp;"_"&amp;OW$11,[1]Futuros!$AK:$AK)+SUMIF([1]Opciones!$AF:$AF,$A6&amp;"_"&amp;OW$11,[1]Opciones!$AQ:$AQ)</f>
        <v>#VALUE!</v>
      </c>
      <c r="OX6" t="e">
        <f>+SUMIF([1]Cartera!$R:$R,$A6&amp;"_"&amp;OX$11,[1]Cartera!$I:$I)+SUMIF([1]Futuros!$AD:$AD,$A6&amp;"_"&amp;OX$11,[1]Futuros!$AK:$AK)+SUMIF([1]Opciones!$AF:$AF,$A6&amp;"_"&amp;OX$11,[1]Opciones!$AQ:$AQ)</f>
        <v>#VALUE!</v>
      </c>
      <c r="OY6" t="e">
        <f>+SUMIF([1]Cartera!$R:$R,$A6&amp;"_"&amp;OY$11,[1]Cartera!$I:$I)+SUMIF([1]Futuros!$AD:$AD,$A6&amp;"_"&amp;OY$11,[1]Futuros!$AK:$AK)+SUMIF([1]Opciones!$AF:$AF,$A6&amp;"_"&amp;OY$11,[1]Opciones!$AQ:$AQ)</f>
        <v>#VALUE!</v>
      </c>
      <c r="OZ6" t="e">
        <f>+SUMIF([1]Cartera!$R:$R,$A6&amp;"_"&amp;OZ$11,[1]Cartera!$I:$I)+SUMIF([1]Futuros!$AD:$AD,$A6&amp;"_"&amp;OZ$11,[1]Futuros!$AK:$AK)+SUMIF([1]Opciones!$AF:$AF,$A6&amp;"_"&amp;OZ$11,[1]Opciones!$AQ:$AQ)</f>
        <v>#VALUE!</v>
      </c>
      <c r="PA6" t="e">
        <f>+SUMIF([1]Cartera!$R:$R,$A6&amp;"_"&amp;PA$11,[1]Cartera!$I:$I)+SUMIF([1]Futuros!$AD:$AD,$A6&amp;"_"&amp;PA$11,[1]Futuros!$AK:$AK)+SUMIF([1]Opciones!$AF:$AF,$A6&amp;"_"&amp;PA$11,[1]Opciones!$AQ:$AQ)</f>
        <v>#VALUE!</v>
      </c>
      <c r="PB6" t="e">
        <f>+SUMIF([1]Cartera!$R:$R,$A6&amp;"_"&amp;PB$11,[1]Cartera!$I:$I)+SUMIF([1]Futuros!$AD:$AD,$A6&amp;"_"&amp;PB$11,[1]Futuros!$AK:$AK)+SUMIF([1]Opciones!$AF:$AF,$A6&amp;"_"&amp;PB$11,[1]Opciones!$AQ:$AQ)</f>
        <v>#VALUE!</v>
      </c>
      <c r="PC6" t="e">
        <f>+SUMIF([1]Cartera!$R:$R,$A6&amp;"_"&amp;PC$11,[1]Cartera!$I:$I)+SUMIF([1]Futuros!$AD:$AD,$A6&amp;"_"&amp;PC$11,[1]Futuros!$AK:$AK)+SUMIF([1]Opciones!$AF:$AF,$A6&amp;"_"&amp;PC$11,[1]Opciones!$AQ:$AQ)</f>
        <v>#VALUE!</v>
      </c>
      <c r="PD6" t="e">
        <f>+SUMIF([1]Cartera!$R:$R,$A6&amp;"_"&amp;PD$11,[1]Cartera!$I:$I)+SUMIF([1]Futuros!$AD:$AD,$A6&amp;"_"&amp;PD$11,[1]Futuros!$AK:$AK)+SUMIF([1]Opciones!$AF:$AF,$A6&amp;"_"&amp;PD$11,[1]Opciones!$AQ:$AQ)</f>
        <v>#VALUE!</v>
      </c>
      <c r="PE6" t="e">
        <f>+SUMIF([1]Cartera!$R:$R,$A6&amp;"_"&amp;PE$11,[1]Cartera!$I:$I)+SUMIF([1]Futuros!$AD:$AD,$A6&amp;"_"&amp;PE$11,[1]Futuros!$AK:$AK)+SUMIF([1]Opciones!$AF:$AF,$A6&amp;"_"&amp;PE$11,[1]Opciones!$AQ:$AQ)</f>
        <v>#VALUE!</v>
      </c>
      <c r="PF6" t="e">
        <f>+SUMIF([1]Cartera!$R:$R,$A6&amp;"_"&amp;PF$11,[1]Cartera!$I:$I)+SUMIF([1]Futuros!$AD:$AD,$A6&amp;"_"&amp;PF$11,[1]Futuros!$AK:$AK)+SUMIF([1]Opciones!$AF:$AF,$A6&amp;"_"&amp;PF$11,[1]Opciones!$AQ:$AQ)</f>
        <v>#VALUE!</v>
      </c>
      <c r="PG6" t="e">
        <f>+SUMIF([1]Cartera!$R:$R,$A6&amp;"_"&amp;PG$11,[1]Cartera!$I:$I)+SUMIF([1]Futuros!$AD:$AD,$A6&amp;"_"&amp;PG$11,[1]Futuros!$AK:$AK)+SUMIF([1]Opciones!$AF:$AF,$A6&amp;"_"&amp;PG$11,[1]Opciones!$AQ:$AQ)</f>
        <v>#VALUE!</v>
      </c>
      <c r="PH6" t="e">
        <f>+SUMIF([1]Cartera!$R:$R,$A6&amp;"_"&amp;PH$11,[1]Cartera!$I:$I)+SUMIF([1]Futuros!$AD:$AD,$A6&amp;"_"&amp;PH$11,[1]Futuros!$AK:$AK)+SUMIF([1]Opciones!$AF:$AF,$A6&amp;"_"&amp;PH$11,[1]Opciones!$AQ:$AQ)</f>
        <v>#VALUE!</v>
      </c>
      <c r="PI6" t="e">
        <f>+SUMIF([1]Cartera!$R:$R,$A6&amp;"_"&amp;PI$11,[1]Cartera!$I:$I)+SUMIF([1]Futuros!$AD:$AD,$A6&amp;"_"&amp;PI$11,[1]Futuros!$AK:$AK)+SUMIF([1]Opciones!$AF:$AF,$A6&amp;"_"&amp;PI$11,[1]Opciones!$AQ:$AQ)</f>
        <v>#VALUE!</v>
      </c>
      <c r="PJ6" t="e">
        <f>+SUMIF([1]Cartera!$R:$R,$A6&amp;"_"&amp;PJ$11,[1]Cartera!$I:$I)+SUMIF([1]Futuros!$AD:$AD,$A6&amp;"_"&amp;PJ$11,[1]Futuros!$AK:$AK)+SUMIF([1]Opciones!$AF:$AF,$A6&amp;"_"&amp;PJ$11,[1]Opciones!$AQ:$AQ)</f>
        <v>#VALUE!</v>
      </c>
      <c r="PK6" t="e">
        <f>+SUMIF([1]Cartera!$R:$R,$A6&amp;"_"&amp;PK$11,[1]Cartera!$I:$I)+SUMIF([1]Futuros!$AD:$AD,$A6&amp;"_"&amp;PK$11,[1]Futuros!$AK:$AK)+SUMIF([1]Opciones!$AF:$AF,$A6&amp;"_"&amp;PK$11,[1]Opciones!$AQ:$AQ)</f>
        <v>#VALUE!</v>
      </c>
      <c r="PL6" t="e">
        <f>+SUMIF([1]Cartera!$R:$R,$A6&amp;"_"&amp;PL$11,[1]Cartera!$I:$I)+SUMIF([1]Futuros!$AD:$AD,$A6&amp;"_"&amp;PL$11,[1]Futuros!$AK:$AK)+SUMIF([1]Opciones!$AF:$AF,$A6&amp;"_"&amp;PL$11,[1]Opciones!$AQ:$AQ)</f>
        <v>#VALUE!</v>
      </c>
      <c r="PM6" t="e">
        <f>+SUMIF([1]Cartera!$R:$R,$A6&amp;"_"&amp;PM$11,[1]Cartera!$I:$I)+SUMIF([1]Futuros!$AD:$AD,$A6&amp;"_"&amp;PM$11,[1]Futuros!$AK:$AK)+SUMIF([1]Opciones!$AF:$AF,$A6&amp;"_"&amp;PM$11,[1]Opciones!$AQ:$AQ)</f>
        <v>#VALUE!</v>
      </c>
      <c r="PN6" t="e">
        <f>+SUMIF([1]Cartera!$R:$R,$A6&amp;"_"&amp;PN$11,[1]Cartera!$I:$I)+SUMIF([1]Futuros!$AD:$AD,$A6&amp;"_"&amp;PN$11,[1]Futuros!$AK:$AK)+SUMIF([1]Opciones!$AF:$AF,$A6&amp;"_"&amp;PN$11,[1]Opciones!$AQ:$AQ)</f>
        <v>#VALUE!</v>
      </c>
      <c r="PO6" t="e">
        <f>+SUMIF([1]Cartera!$R:$R,$A6&amp;"_"&amp;PO$11,[1]Cartera!$I:$I)+SUMIF([1]Futuros!$AD:$AD,$A6&amp;"_"&amp;PO$11,[1]Futuros!$AK:$AK)+SUMIF([1]Opciones!$AF:$AF,$A6&amp;"_"&amp;PO$11,[1]Opciones!$AQ:$AQ)</f>
        <v>#VALUE!</v>
      </c>
      <c r="PP6" t="e">
        <f>+SUMIF([1]Cartera!$R:$R,$A6&amp;"_"&amp;PP$11,[1]Cartera!$I:$I)+SUMIF([1]Futuros!$AD:$AD,$A6&amp;"_"&amp;PP$11,[1]Futuros!$AK:$AK)+SUMIF([1]Opciones!$AF:$AF,$A6&amp;"_"&amp;PP$11,[1]Opciones!$AQ:$AQ)</f>
        <v>#VALUE!</v>
      </c>
      <c r="PQ6" t="e">
        <f>+SUMIF([1]Cartera!$R:$R,$A6&amp;"_"&amp;PQ$11,[1]Cartera!$I:$I)+SUMIF([1]Futuros!$AD:$AD,$A6&amp;"_"&amp;PQ$11,[1]Futuros!$AK:$AK)+SUMIF([1]Opciones!$AF:$AF,$A6&amp;"_"&amp;PQ$11,[1]Opciones!$AQ:$AQ)</f>
        <v>#VALUE!</v>
      </c>
      <c r="PR6" t="e">
        <f>+SUMIF([1]Cartera!$R:$R,$A6&amp;"_"&amp;PR$11,[1]Cartera!$I:$I)+SUMIF([1]Futuros!$AD:$AD,$A6&amp;"_"&amp;PR$11,[1]Futuros!$AK:$AK)+SUMIF([1]Opciones!$AF:$AF,$A6&amp;"_"&amp;PR$11,[1]Opciones!$AQ:$AQ)</f>
        <v>#VALUE!</v>
      </c>
      <c r="PS6" t="e">
        <f>+SUMIF([1]Cartera!$R:$R,$A6&amp;"_"&amp;PS$11,[1]Cartera!$I:$I)+SUMIF([1]Futuros!$AD:$AD,$A6&amp;"_"&amp;PS$11,[1]Futuros!$AK:$AK)+SUMIF([1]Opciones!$AF:$AF,$A6&amp;"_"&amp;PS$11,[1]Opciones!$AQ:$AQ)</f>
        <v>#VALUE!</v>
      </c>
      <c r="PT6" t="e">
        <f>+SUMIF([1]Cartera!$R:$R,$A6&amp;"_"&amp;PT$11,[1]Cartera!$I:$I)+SUMIF([1]Futuros!$AD:$AD,$A6&amp;"_"&amp;PT$11,[1]Futuros!$AK:$AK)+SUMIF([1]Opciones!$AF:$AF,$A6&amp;"_"&amp;PT$11,[1]Opciones!$AQ:$AQ)</f>
        <v>#VALUE!</v>
      </c>
      <c r="PU6" t="e">
        <f>+SUMIF([1]Cartera!$R:$R,$A6&amp;"_"&amp;PU$11,[1]Cartera!$I:$I)+SUMIF([1]Futuros!$AD:$AD,$A6&amp;"_"&amp;PU$11,[1]Futuros!$AK:$AK)+SUMIF([1]Opciones!$AF:$AF,$A6&amp;"_"&amp;PU$11,[1]Opciones!$AQ:$AQ)</f>
        <v>#VALUE!</v>
      </c>
      <c r="PV6" t="e">
        <f>+SUMIF([1]Cartera!$R:$R,$A6&amp;"_"&amp;PV$11,[1]Cartera!$I:$I)+SUMIF([1]Futuros!$AD:$AD,$A6&amp;"_"&amp;PV$11,[1]Futuros!$AK:$AK)+SUMIF([1]Opciones!$AF:$AF,$A6&amp;"_"&amp;PV$11,[1]Opciones!$AQ:$AQ)</f>
        <v>#VALUE!</v>
      </c>
      <c r="PW6" t="e">
        <f>+SUMIF([1]Cartera!$R:$R,$A6&amp;"_"&amp;PW$11,[1]Cartera!$I:$I)+SUMIF([1]Futuros!$AD:$AD,$A6&amp;"_"&amp;PW$11,[1]Futuros!$AK:$AK)+SUMIF([1]Opciones!$AF:$AF,$A6&amp;"_"&amp;PW$11,[1]Opciones!$AQ:$AQ)</f>
        <v>#VALUE!</v>
      </c>
      <c r="PX6" t="e">
        <f>+SUMIF([1]Cartera!$R:$R,$A6&amp;"_"&amp;PX$11,[1]Cartera!$I:$I)+SUMIF([1]Futuros!$AD:$AD,$A6&amp;"_"&amp;PX$11,[1]Futuros!$AK:$AK)+SUMIF([1]Opciones!$AF:$AF,$A6&amp;"_"&amp;PX$11,[1]Opciones!$AQ:$AQ)</f>
        <v>#VALUE!</v>
      </c>
      <c r="PY6" t="e">
        <f>+SUMIF([1]Cartera!$R:$R,$A6&amp;"_"&amp;PY$11,[1]Cartera!$I:$I)+SUMIF([1]Futuros!$AD:$AD,$A6&amp;"_"&amp;PY$11,[1]Futuros!$AK:$AK)+SUMIF([1]Opciones!$AF:$AF,$A6&amp;"_"&amp;PY$11,[1]Opciones!$AQ:$AQ)</f>
        <v>#VALUE!</v>
      </c>
      <c r="PZ6" t="e">
        <f>+SUMIF([1]Cartera!$R:$R,$A6&amp;"_"&amp;PZ$11,[1]Cartera!$I:$I)+SUMIF([1]Futuros!$AD:$AD,$A6&amp;"_"&amp;PZ$11,[1]Futuros!$AK:$AK)+SUMIF([1]Opciones!$AF:$AF,$A6&amp;"_"&amp;PZ$11,[1]Opciones!$AQ:$AQ)</f>
        <v>#VALUE!</v>
      </c>
      <c r="QA6" t="e">
        <f>+SUMIF([1]Cartera!$R:$R,$A6&amp;"_"&amp;QA$11,[1]Cartera!$I:$I)+SUMIF([1]Futuros!$AD:$AD,$A6&amp;"_"&amp;QA$11,[1]Futuros!$AK:$AK)+SUMIF([1]Opciones!$AF:$AF,$A6&amp;"_"&amp;QA$11,[1]Opciones!$AQ:$AQ)</f>
        <v>#VALUE!</v>
      </c>
      <c r="QB6" t="e">
        <f>+SUMIF([1]Cartera!$R:$R,$A6&amp;"_"&amp;QB$11,[1]Cartera!$I:$I)+SUMIF([1]Futuros!$AD:$AD,$A6&amp;"_"&amp;QB$11,[1]Futuros!$AK:$AK)+SUMIF([1]Opciones!$AF:$AF,$A6&amp;"_"&amp;QB$11,[1]Opciones!$AQ:$AQ)</f>
        <v>#VALUE!</v>
      </c>
      <c r="QC6" t="e">
        <f>+SUMIF([1]Cartera!$R:$R,$A6&amp;"_"&amp;QC$11,[1]Cartera!$I:$I)+SUMIF([1]Futuros!$AD:$AD,$A6&amp;"_"&amp;QC$11,[1]Futuros!$AK:$AK)+SUMIF([1]Opciones!$AF:$AF,$A6&amp;"_"&amp;QC$11,[1]Opciones!$AQ:$AQ)</f>
        <v>#VALUE!</v>
      </c>
      <c r="QD6" t="e">
        <f>+SUMIF([1]Cartera!$R:$R,$A6&amp;"_"&amp;QD$11,[1]Cartera!$I:$I)+SUMIF([1]Futuros!$AD:$AD,$A6&amp;"_"&amp;QD$11,[1]Futuros!$AK:$AK)+SUMIF([1]Opciones!$AF:$AF,$A6&amp;"_"&amp;QD$11,[1]Opciones!$AQ:$AQ)</f>
        <v>#VALUE!</v>
      </c>
      <c r="QE6" t="e">
        <f>+SUMIF([1]Cartera!$R:$R,$A6&amp;"_"&amp;QE$11,[1]Cartera!$I:$I)+SUMIF([1]Futuros!$AD:$AD,$A6&amp;"_"&amp;QE$11,[1]Futuros!$AK:$AK)+SUMIF([1]Opciones!$AF:$AF,$A6&amp;"_"&amp;QE$11,[1]Opciones!$AQ:$AQ)</f>
        <v>#VALUE!</v>
      </c>
      <c r="QF6" t="e">
        <f>+SUMIF([1]Cartera!$R:$R,$A6&amp;"_"&amp;QF$11,[1]Cartera!$I:$I)+SUMIF([1]Futuros!$AD:$AD,$A6&amp;"_"&amp;QF$11,[1]Futuros!$AK:$AK)+SUMIF([1]Opciones!$AF:$AF,$A6&amp;"_"&amp;QF$11,[1]Opciones!$AQ:$AQ)</f>
        <v>#VALUE!</v>
      </c>
      <c r="QG6" t="e">
        <f>+SUMIF([1]Cartera!$R:$R,$A6&amp;"_"&amp;QG$11,[1]Cartera!$I:$I)+SUMIF([1]Futuros!$AD:$AD,$A6&amp;"_"&amp;QG$11,[1]Futuros!$AK:$AK)+SUMIF([1]Opciones!$AF:$AF,$A6&amp;"_"&amp;QG$11,[1]Opciones!$AQ:$AQ)</f>
        <v>#VALUE!</v>
      </c>
      <c r="QH6" t="e">
        <f>+SUMIF([1]Cartera!$R:$R,$A6&amp;"_"&amp;QH$11,[1]Cartera!$I:$I)+SUMIF([1]Futuros!$AD:$AD,$A6&amp;"_"&amp;QH$11,[1]Futuros!$AK:$AK)+SUMIF([1]Opciones!$AF:$AF,$A6&amp;"_"&amp;QH$11,[1]Opciones!$AQ:$AQ)</f>
        <v>#VALUE!</v>
      </c>
      <c r="QI6" t="e">
        <f>+SUMIF([1]Cartera!$R:$R,$A6&amp;"_"&amp;QI$11,[1]Cartera!$I:$I)+SUMIF([1]Futuros!$AD:$AD,$A6&amp;"_"&amp;QI$11,[1]Futuros!$AK:$AK)+SUMIF([1]Opciones!$AF:$AF,$A6&amp;"_"&amp;QI$11,[1]Opciones!$AQ:$AQ)</f>
        <v>#VALUE!</v>
      </c>
      <c r="QJ6" t="e">
        <f>+SUMIF([1]Cartera!$R:$R,$A6&amp;"_"&amp;QJ$11,[1]Cartera!$I:$I)+SUMIF([1]Futuros!$AD:$AD,$A6&amp;"_"&amp;QJ$11,[1]Futuros!$AK:$AK)+SUMIF([1]Opciones!$AF:$AF,$A6&amp;"_"&amp;QJ$11,[1]Opciones!$AQ:$AQ)</f>
        <v>#VALUE!</v>
      </c>
      <c r="QK6" t="e">
        <f>+SUMIF([1]Cartera!$R:$R,$A6&amp;"_"&amp;QK$11,[1]Cartera!$I:$I)+SUMIF([1]Futuros!$AD:$AD,$A6&amp;"_"&amp;QK$11,[1]Futuros!$AK:$AK)+SUMIF([1]Opciones!$AF:$AF,$A6&amp;"_"&amp;QK$11,[1]Opciones!$AQ:$AQ)</f>
        <v>#VALUE!</v>
      </c>
      <c r="QL6" t="e">
        <f>+SUMIF([1]Cartera!$R:$R,$A6&amp;"_"&amp;QL$11,[1]Cartera!$I:$I)+SUMIF([1]Futuros!$AD:$AD,$A6&amp;"_"&amp;QL$11,[1]Futuros!$AK:$AK)+SUMIF([1]Opciones!$AF:$AF,$A6&amp;"_"&amp;QL$11,[1]Opciones!$AQ:$AQ)</f>
        <v>#VALUE!</v>
      </c>
      <c r="QM6" t="e">
        <f>+SUMIF([1]Cartera!$R:$R,$A6&amp;"_"&amp;QM$11,[1]Cartera!$I:$I)+SUMIF([1]Futuros!$AD:$AD,$A6&amp;"_"&amp;QM$11,[1]Futuros!$AK:$AK)+SUMIF([1]Opciones!$AF:$AF,$A6&amp;"_"&amp;QM$11,[1]Opciones!$AQ:$AQ)</f>
        <v>#VALUE!</v>
      </c>
      <c r="QN6" t="e">
        <f>+SUMIF([1]Cartera!$R:$R,$A6&amp;"_"&amp;QN$11,[1]Cartera!$I:$I)+SUMIF([1]Futuros!$AD:$AD,$A6&amp;"_"&amp;QN$11,[1]Futuros!$AK:$AK)+SUMIF([1]Opciones!$AF:$AF,$A6&amp;"_"&amp;QN$11,[1]Opciones!$AQ:$AQ)</f>
        <v>#VALUE!</v>
      </c>
      <c r="QO6" t="e">
        <f>+SUMIF([1]Cartera!$R:$R,$A6&amp;"_"&amp;QO$11,[1]Cartera!$I:$I)+SUMIF([1]Futuros!$AD:$AD,$A6&amp;"_"&amp;QO$11,[1]Futuros!$AK:$AK)+SUMIF([1]Opciones!$AF:$AF,$A6&amp;"_"&amp;QO$11,[1]Opciones!$AQ:$AQ)</f>
        <v>#VALUE!</v>
      </c>
      <c r="QP6" t="e">
        <f>+SUMIF([1]Cartera!$R:$R,$A6&amp;"_"&amp;QP$11,[1]Cartera!$I:$I)+SUMIF([1]Futuros!$AD:$AD,$A6&amp;"_"&amp;QP$11,[1]Futuros!$AK:$AK)+SUMIF([1]Opciones!$AF:$AF,$A6&amp;"_"&amp;QP$11,[1]Opciones!$AQ:$AQ)</f>
        <v>#VALUE!</v>
      </c>
      <c r="QQ6" t="e">
        <f>+SUMIF([1]Cartera!$R:$R,$A6&amp;"_"&amp;QQ$11,[1]Cartera!$I:$I)+SUMIF([1]Futuros!$AD:$AD,$A6&amp;"_"&amp;QQ$11,[1]Futuros!$AK:$AK)+SUMIF([1]Opciones!$AF:$AF,$A6&amp;"_"&amp;QQ$11,[1]Opciones!$AQ:$AQ)</f>
        <v>#VALUE!</v>
      </c>
      <c r="QR6" t="e">
        <f>+SUMIF([1]Cartera!$R:$R,$A6&amp;"_"&amp;QR$11,[1]Cartera!$I:$I)+SUMIF([1]Futuros!$AD:$AD,$A6&amp;"_"&amp;QR$11,[1]Futuros!$AK:$AK)+SUMIF([1]Opciones!$AF:$AF,$A6&amp;"_"&amp;QR$11,[1]Opciones!$AQ:$AQ)</f>
        <v>#VALUE!</v>
      </c>
      <c r="QS6" t="e">
        <f>+SUMIF([1]Cartera!$R:$R,$A6&amp;"_"&amp;QS$11,[1]Cartera!$I:$I)+SUMIF([1]Futuros!$AD:$AD,$A6&amp;"_"&amp;QS$11,[1]Futuros!$AK:$AK)+SUMIF([1]Opciones!$AF:$AF,$A6&amp;"_"&amp;QS$11,[1]Opciones!$AQ:$AQ)</f>
        <v>#VALUE!</v>
      </c>
      <c r="QT6" t="e">
        <f>+SUMIF([1]Cartera!$R:$R,$A6&amp;"_"&amp;QT$11,[1]Cartera!$I:$I)+SUMIF([1]Futuros!$AD:$AD,$A6&amp;"_"&amp;QT$11,[1]Futuros!$AK:$AK)+SUMIF([1]Opciones!$AF:$AF,$A6&amp;"_"&amp;QT$11,[1]Opciones!$AQ:$AQ)</f>
        <v>#VALUE!</v>
      </c>
      <c r="QU6" t="e">
        <f>+SUMIF([1]Cartera!$R:$R,$A6&amp;"_"&amp;QU$11,[1]Cartera!$I:$I)+SUMIF([1]Futuros!$AD:$AD,$A6&amp;"_"&amp;QU$11,[1]Futuros!$AK:$AK)+SUMIF([1]Opciones!$AF:$AF,$A6&amp;"_"&amp;QU$11,[1]Opciones!$AQ:$AQ)</f>
        <v>#VALUE!</v>
      </c>
      <c r="QV6" t="e">
        <f>+SUMIF([1]Cartera!$R:$R,$A6&amp;"_"&amp;QV$11,[1]Cartera!$I:$I)+SUMIF([1]Futuros!$AD:$AD,$A6&amp;"_"&amp;QV$11,[1]Futuros!$AK:$AK)+SUMIF([1]Opciones!$AF:$AF,$A6&amp;"_"&amp;QV$11,[1]Opciones!$AQ:$AQ)</f>
        <v>#VALUE!</v>
      </c>
      <c r="QW6" t="e">
        <f>+SUMIF([1]Cartera!$R:$R,$A6&amp;"_"&amp;QW$11,[1]Cartera!$I:$I)+SUMIF([1]Futuros!$AD:$AD,$A6&amp;"_"&amp;QW$11,[1]Futuros!$AK:$AK)+SUMIF([1]Opciones!$AF:$AF,$A6&amp;"_"&amp;QW$11,[1]Opciones!$AQ:$AQ)</f>
        <v>#VALUE!</v>
      </c>
      <c r="QX6" t="e">
        <f>+SUMIF([1]Cartera!$R:$R,$A6&amp;"_"&amp;QX$11,[1]Cartera!$I:$I)+SUMIF([1]Futuros!$AD:$AD,$A6&amp;"_"&amp;QX$11,[1]Futuros!$AK:$AK)+SUMIF([1]Opciones!$AF:$AF,$A6&amp;"_"&amp;QX$11,[1]Opciones!$AQ:$AQ)</f>
        <v>#VALUE!</v>
      </c>
      <c r="QY6" t="e">
        <f>+SUMIF([1]Cartera!$R:$R,$A6&amp;"_"&amp;QY$11,[1]Cartera!$I:$I)+SUMIF([1]Futuros!$AD:$AD,$A6&amp;"_"&amp;QY$11,[1]Futuros!$AK:$AK)+SUMIF([1]Opciones!$AF:$AF,$A6&amp;"_"&amp;QY$11,[1]Opciones!$AQ:$AQ)</f>
        <v>#VALUE!</v>
      </c>
      <c r="QZ6" t="e">
        <f>+SUMIF([1]Cartera!$R:$R,$A6&amp;"_"&amp;QZ$11,[1]Cartera!$I:$I)+SUMIF([1]Futuros!$AD:$AD,$A6&amp;"_"&amp;QZ$11,[1]Futuros!$AK:$AK)+SUMIF([1]Opciones!$AF:$AF,$A6&amp;"_"&amp;QZ$11,[1]Opciones!$AQ:$AQ)</f>
        <v>#VALUE!</v>
      </c>
      <c r="RA6" t="e">
        <f>+SUMIF([1]Cartera!$R:$R,$A6&amp;"_"&amp;RA$11,[1]Cartera!$I:$I)+SUMIF([1]Futuros!$AD:$AD,$A6&amp;"_"&amp;RA$11,[1]Futuros!$AK:$AK)+SUMIF([1]Opciones!$AF:$AF,$A6&amp;"_"&amp;RA$11,[1]Opciones!$AQ:$AQ)</f>
        <v>#VALUE!</v>
      </c>
      <c r="RB6" t="e">
        <f>+SUMIF([1]Cartera!$R:$R,$A6&amp;"_"&amp;RB$11,[1]Cartera!$I:$I)+SUMIF([1]Futuros!$AD:$AD,$A6&amp;"_"&amp;RB$11,[1]Futuros!$AK:$AK)+SUMIF([1]Opciones!$AF:$AF,$A6&amp;"_"&amp;RB$11,[1]Opciones!$AQ:$AQ)</f>
        <v>#VALUE!</v>
      </c>
      <c r="RC6" t="e">
        <f>+SUMIF([1]Cartera!$R:$R,$A6&amp;"_"&amp;RC$11,[1]Cartera!$I:$I)+SUMIF([1]Futuros!$AD:$AD,$A6&amp;"_"&amp;RC$11,[1]Futuros!$AK:$AK)+SUMIF([1]Opciones!$AF:$AF,$A6&amp;"_"&amp;RC$11,[1]Opciones!$AQ:$AQ)</f>
        <v>#VALUE!</v>
      </c>
      <c r="RD6" t="e">
        <f>+SUMIF([1]Cartera!$R:$R,$A6&amp;"_"&amp;RD$11,[1]Cartera!$I:$I)+SUMIF([1]Futuros!$AD:$AD,$A6&amp;"_"&amp;RD$11,[1]Futuros!$AK:$AK)+SUMIF([1]Opciones!$AF:$AF,$A6&amp;"_"&amp;RD$11,[1]Opciones!$AQ:$AQ)</f>
        <v>#VALUE!</v>
      </c>
      <c r="RE6" t="e">
        <f>+SUMIF([1]Cartera!$R:$R,$A6&amp;"_"&amp;RE$11,[1]Cartera!$I:$I)+SUMIF([1]Futuros!$AD:$AD,$A6&amp;"_"&amp;RE$11,[1]Futuros!$AK:$AK)+SUMIF([1]Opciones!$AF:$AF,$A6&amp;"_"&amp;RE$11,[1]Opciones!$AQ:$AQ)</f>
        <v>#VALUE!</v>
      </c>
      <c r="RF6" t="e">
        <f>+SUMIF([1]Cartera!$R:$R,$A6&amp;"_"&amp;RF$11,[1]Cartera!$I:$I)+SUMIF([1]Futuros!$AD:$AD,$A6&amp;"_"&amp;RF$11,[1]Futuros!$AK:$AK)+SUMIF([1]Opciones!$AF:$AF,$A6&amp;"_"&amp;RF$11,[1]Opciones!$AQ:$AQ)</f>
        <v>#VALUE!</v>
      </c>
      <c r="RG6" t="e">
        <f>+SUMIF([1]Cartera!$R:$R,$A6&amp;"_"&amp;RG$11,[1]Cartera!$I:$I)+SUMIF([1]Futuros!$AD:$AD,$A6&amp;"_"&amp;RG$11,[1]Futuros!$AK:$AK)+SUMIF([1]Opciones!$AF:$AF,$A6&amp;"_"&amp;RG$11,[1]Opciones!$AQ:$AQ)</f>
        <v>#VALUE!</v>
      </c>
      <c r="RH6" t="e">
        <f>+SUMIF([1]Cartera!$R:$R,$A6&amp;"_"&amp;RH$11,[1]Cartera!$I:$I)+SUMIF([1]Futuros!$AD:$AD,$A6&amp;"_"&amp;RH$11,[1]Futuros!$AK:$AK)+SUMIF([1]Opciones!$AF:$AF,$A6&amp;"_"&amp;RH$11,[1]Opciones!$AQ:$AQ)</f>
        <v>#VALUE!</v>
      </c>
      <c r="RI6" t="e">
        <f>+SUMIF([1]Cartera!$R:$R,$A6&amp;"_"&amp;RI$11,[1]Cartera!$I:$I)+SUMIF([1]Futuros!$AD:$AD,$A6&amp;"_"&amp;RI$11,[1]Futuros!$AK:$AK)+SUMIF([1]Opciones!$AF:$AF,$A6&amp;"_"&amp;RI$11,[1]Opciones!$AQ:$AQ)</f>
        <v>#VALUE!</v>
      </c>
      <c r="RJ6" t="e">
        <f>+SUMIF([1]Cartera!$R:$R,$A6&amp;"_"&amp;RJ$11,[1]Cartera!$I:$I)+SUMIF([1]Futuros!$AD:$AD,$A6&amp;"_"&amp;RJ$11,[1]Futuros!$AK:$AK)+SUMIF([1]Opciones!$AF:$AF,$A6&amp;"_"&amp;RJ$11,[1]Opciones!$AQ:$AQ)</f>
        <v>#VALUE!</v>
      </c>
      <c r="RK6" t="e">
        <f>+SUMIF([1]Cartera!$R:$R,$A6&amp;"_"&amp;RK$11,[1]Cartera!$I:$I)+SUMIF([1]Futuros!$AD:$AD,$A6&amp;"_"&amp;RK$11,[1]Futuros!$AK:$AK)+SUMIF([1]Opciones!$AF:$AF,$A6&amp;"_"&amp;RK$11,[1]Opciones!$AQ:$AQ)</f>
        <v>#VALUE!</v>
      </c>
      <c r="RL6" t="e">
        <f>+SUMIF([1]Cartera!$R:$R,$A6&amp;"_"&amp;RL$11,[1]Cartera!$I:$I)+SUMIF([1]Futuros!$AD:$AD,$A6&amp;"_"&amp;RL$11,[1]Futuros!$AK:$AK)+SUMIF([1]Opciones!$AF:$AF,$A6&amp;"_"&amp;RL$11,[1]Opciones!$AQ:$AQ)</f>
        <v>#VALUE!</v>
      </c>
      <c r="RM6" t="e">
        <f>+SUMIF([1]Cartera!$R:$R,$A6&amp;"_"&amp;RM$11,[1]Cartera!$I:$I)+SUMIF([1]Futuros!$AD:$AD,$A6&amp;"_"&amp;RM$11,[1]Futuros!$AK:$AK)+SUMIF([1]Opciones!$AF:$AF,$A6&amp;"_"&amp;RM$11,[1]Opciones!$AQ:$AQ)</f>
        <v>#VALUE!</v>
      </c>
      <c r="RN6" t="e">
        <f>+SUMIF([1]Cartera!$R:$R,$A6&amp;"_"&amp;RN$11,[1]Cartera!$I:$I)+SUMIF([1]Futuros!$AD:$AD,$A6&amp;"_"&amp;RN$11,[1]Futuros!$AK:$AK)+SUMIF([1]Opciones!$AF:$AF,$A6&amp;"_"&amp;RN$11,[1]Opciones!$AQ:$AQ)</f>
        <v>#VALUE!</v>
      </c>
      <c r="RO6" t="e">
        <f>+SUMIF([1]Cartera!$R:$R,$A6&amp;"_"&amp;RO$11,[1]Cartera!$I:$I)+SUMIF([1]Futuros!$AD:$AD,$A6&amp;"_"&amp;RO$11,[1]Futuros!$AK:$AK)+SUMIF([1]Opciones!$AF:$AF,$A6&amp;"_"&amp;RO$11,[1]Opciones!$AQ:$AQ)</f>
        <v>#VALUE!</v>
      </c>
      <c r="RP6" t="e">
        <f>+SUMIF([1]Cartera!$R:$R,$A6&amp;"_"&amp;RP$11,[1]Cartera!$I:$I)+SUMIF([1]Futuros!$AD:$AD,$A6&amp;"_"&amp;RP$11,[1]Futuros!$AK:$AK)+SUMIF([1]Opciones!$AF:$AF,$A6&amp;"_"&amp;RP$11,[1]Opciones!$AQ:$AQ)</f>
        <v>#VALUE!</v>
      </c>
      <c r="RQ6" t="e">
        <f>+SUMIF([1]Cartera!$R:$R,$A6&amp;"_"&amp;RQ$11,[1]Cartera!$I:$I)+SUMIF([1]Futuros!$AD:$AD,$A6&amp;"_"&amp;RQ$11,[1]Futuros!$AK:$AK)+SUMIF([1]Opciones!$AF:$AF,$A6&amp;"_"&amp;RQ$11,[1]Opciones!$AQ:$AQ)</f>
        <v>#VALUE!</v>
      </c>
      <c r="RR6" t="e">
        <f>+SUMIF([1]Cartera!$R:$R,$A6&amp;"_"&amp;RR$11,[1]Cartera!$I:$I)+SUMIF([1]Futuros!$AD:$AD,$A6&amp;"_"&amp;RR$11,[1]Futuros!$AK:$AK)+SUMIF([1]Opciones!$AF:$AF,$A6&amp;"_"&amp;RR$11,[1]Opciones!$AQ:$AQ)</f>
        <v>#VALUE!</v>
      </c>
      <c r="RS6" t="e">
        <f>+SUMIF([1]Cartera!$R:$R,$A6&amp;"_"&amp;RS$11,[1]Cartera!$I:$I)+SUMIF([1]Futuros!$AD:$AD,$A6&amp;"_"&amp;RS$11,[1]Futuros!$AK:$AK)+SUMIF([1]Opciones!$AF:$AF,$A6&amp;"_"&amp;RS$11,[1]Opciones!$AQ:$AQ)</f>
        <v>#VALUE!</v>
      </c>
      <c r="RT6" t="e">
        <f>+SUMIF([1]Cartera!$R:$R,$A6&amp;"_"&amp;RT$11,[1]Cartera!$I:$I)+SUMIF([1]Futuros!$AD:$AD,$A6&amp;"_"&amp;RT$11,[1]Futuros!$AK:$AK)+SUMIF([1]Opciones!$AF:$AF,$A6&amp;"_"&amp;RT$11,[1]Opciones!$AQ:$AQ)</f>
        <v>#VALUE!</v>
      </c>
      <c r="RU6" t="e">
        <f>+SUMIF([1]Cartera!$R:$R,$A6&amp;"_"&amp;RU$11,[1]Cartera!$I:$I)+SUMIF([1]Futuros!$AD:$AD,$A6&amp;"_"&amp;RU$11,[1]Futuros!$AK:$AK)+SUMIF([1]Opciones!$AF:$AF,$A6&amp;"_"&amp;RU$11,[1]Opciones!$AQ:$AQ)</f>
        <v>#VALUE!</v>
      </c>
      <c r="RV6" t="e">
        <f>+SUMIF([1]Cartera!$R:$R,$A6&amp;"_"&amp;RV$11,[1]Cartera!$I:$I)+SUMIF([1]Futuros!$AD:$AD,$A6&amp;"_"&amp;RV$11,[1]Futuros!$AK:$AK)+SUMIF([1]Opciones!$AF:$AF,$A6&amp;"_"&amp;RV$11,[1]Opciones!$AQ:$AQ)</f>
        <v>#VALUE!</v>
      </c>
      <c r="RW6" t="e">
        <f>+SUMIF([1]Cartera!$R:$R,$A6&amp;"_"&amp;RW$11,[1]Cartera!$I:$I)+SUMIF([1]Futuros!$AD:$AD,$A6&amp;"_"&amp;RW$11,[1]Futuros!$AK:$AK)+SUMIF([1]Opciones!$AF:$AF,$A6&amp;"_"&amp;RW$11,[1]Opciones!$AQ:$AQ)</f>
        <v>#VALUE!</v>
      </c>
      <c r="RX6" t="e">
        <f>+SUMIF([1]Cartera!$R:$R,$A6&amp;"_"&amp;RX$11,[1]Cartera!$I:$I)+SUMIF([1]Futuros!$AD:$AD,$A6&amp;"_"&amp;RX$11,[1]Futuros!$AK:$AK)+SUMIF([1]Opciones!$AF:$AF,$A6&amp;"_"&amp;RX$11,[1]Opciones!$AQ:$AQ)</f>
        <v>#VALUE!</v>
      </c>
      <c r="RY6" t="e">
        <f>+SUMIF([1]Cartera!$R:$R,$A6&amp;"_"&amp;RY$11,[1]Cartera!$I:$I)+SUMIF([1]Futuros!$AD:$AD,$A6&amp;"_"&amp;RY$11,[1]Futuros!$AK:$AK)+SUMIF([1]Opciones!$AF:$AF,$A6&amp;"_"&amp;RY$11,[1]Opciones!$AQ:$AQ)</f>
        <v>#VALUE!</v>
      </c>
      <c r="RZ6" t="e">
        <f>+SUMIF([1]Cartera!$R:$R,$A6&amp;"_"&amp;RZ$11,[1]Cartera!$I:$I)+SUMIF([1]Futuros!$AD:$AD,$A6&amp;"_"&amp;RZ$11,[1]Futuros!$AK:$AK)+SUMIF([1]Opciones!$AF:$AF,$A6&amp;"_"&amp;RZ$11,[1]Opciones!$AQ:$AQ)</f>
        <v>#VALUE!</v>
      </c>
      <c r="SA6" t="e">
        <f>+SUMIF([1]Cartera!$R:$R,$A6&amp;"_"&amp;SA$11,[1]Cartera!$I:$I)+SUMIF([1]Futuros!$AD:$AD,$A6&amp;"_"&amp;SA$11,[1]Futuros!$AK:$AK)+SUMIF([1]Opciones!$AF:$AF,$A6&amp;"_"&amp;SA$11,[1]Opciones!$AQ:$AQ)</f>
        <v>#VALUE!</v>
      </c>
      <c r="SB6" t="e">
        <f>+SUMIF([1]Cartera!$R:$R,$A6&amp;"_"&amp;SB$11,[1]Cartera!$I:$I)+SUMIF([1]Futuros!$AD:$AD,$A6&amp;"_"&amp;SB$11,[1]Futuros!$AK:$AK)+SUMIF([1]Opciones!$AF:$AF,$A6&amp;"_"&amp;SB$11,[1]Opciones!$AQ:$AQ)</f>
        <v>#VALUE!</v>
      </c>
      <c r="SC6" t="e">
        <f>+SUMIF([1]Cartera!$R:$R,$A6&amp;"_"&amp;SC$11,[1]Cartera!$I:$I)+SUMIF([1]Futuros!$AD:$AD,$A6&amp;"_"&amp;SC$11,[1]Futuros!$AK:$AK)+SUMIF([1]Opciones!$AF:$AF,$A6&amp;"_"&amp;SC$11,[1]Opciones!$AQ:$AQ)</f>
        <v>#VALUE!</v>
      </c>
      <c r="SD6" t="e">
        <f>+SUMIF([1]Cartera!$R:$R,$A6&amp;"_"&amp;SD$11,[1]Cartera!$I:$I)+SUMIF([1]Futuros!$AD:$AD,$A6&amp;"_"&amp;SD$11,[1]Futuros!$AK:$AK)+SUMIF([1]Opciones!$AF:$AF,$A6&amp;"_"&amp;SD$11,[1]Opciones!$AQ:$AQ)</f>
        <v>#VALUE!</v>
      </c>
      <c r="SE6" t="e">
        <f>+SUMIF([1]Cartera!$R:$R,$A6&amp;"_"&amp;SE$11,[1]Cartera!$I:$I)+SUMIF([1]Futuros!$AD:$AD,$A6&amp;"_"&amp;SE$11,[1]Futuros!$AK:$AK)+SUMIF([1]Opciones!$AF:$AF,$A6&amp;"_"&amp;SE$11,[1]Opciones!$AQ:$AQ)</f>
        <v>#VALUE!</v>
      </c>
      <c r="SF6" t="e">
        <f>+SUMIF([1]Cartera!$R:$R,$A6&amp;"_"&amp;SF$11,[1]Cartera!$I:$I)+SUMIF([1]Futuros!$AD:$AD,$A6&amp;"_"&amp;SF$11,[1]Futuros!$AK:$AK)+SUMIF([1]Opciones!$AF:$AF,$A6&amp;"_"&amp;SF$11,[1]Opciones!$AQ:$AQ)</f>
        <v>#VALUE!</v>
      </c>
      <c r="SG6" t="e">
        <f>+SUMIF([1]Cartera!$R:$R,$A6&amp;"_"&amp;SG$11,[1]Cartera!$I:$I)+SUMIF([1]Futuros!$AD:$AD,$A6&amp;"_"&amp;SG$11,[1]Futuros!$AK:$AK)+SUMIF([1]Opciones!$AF:$AF,$A6&amp;"_"&amp;SG$11,[1]Opciones!$AQ:$AQ)</f>
        <v>#VALUE!</v>
      </c>
      <c r="SH6" t="e">
        <f>+SUMIF([1]Cartera!$R:$R,$A6&amp;"_"&amp;SH$11,[1]Cartera!$I:$I)+SUMIF([1]Futuros!$AD:$AD,$A6&amp;"_"&amp;SH$11,[1]Futuros!$AK:$AK)+SUMIF([1]Opciones!$AF:$AF,$A6&amp;"_"&amp;SH$11,[1]Opciones!$AQ:$AQ)</f>
        <v>#VALUE!</v>
      </c>
      <c r="SI6" t="e">
        <f>+SUMIF([1]Cartera!$R:$R,$A6&amp;"_"&amp;SI$11,[1]Cartera!$I:$I)+SUMIF([1]Futuros!$AD:$AD,$A6&amp;"_"&amp;SI$11,[1]Futuros!$AK:$AK)+SUMIF([1]Opciones!$AF:$AF,$A6&amp;"_"&amp;SI$11,[1]Opciones!$AQ:$AQ)</f>
        <v>#VALUE!</v>
      </c>
      <c r="SJ6" t="e">
        <f>+SUMIF([1]Cartera!$R:$R,$A6&amp;"_"&amp;SJ$11,[1]Cartera!$I:$I)+SUMIF([1]Futuros!$AD:$AD,$A6&amp;"_"&amp;SJ$11,[1]Futuros!$AK:$AK)+SUMIF([1]Opciones!$AF:$AF,$A6&amp;"_"&amp;SJ$11,[1]Opciones!$AQ:$AQ)</f>
        <v>#VALUE!</v>
      </c>
      <c r="SK6" t="e">
        <f>+SUMIF([1]Cartera!$R:$R,$A6&amp;"_"&amp;SK$11,[1]Cartera!$I:$I)+SUMIF([1]Futuros!$AD:$AD,$A6&amp;"_"&amp;SK$11,[1]Futuros!$AK:$AK)+SUMIF([1]Opciones!$AF:$AF,$A6&amp;"_"&amp;SK$11,[1]Opciones!$AQ:$AQ)</f>
        <v>#VALUE!</v>
      </c>
      <c r="SL6" t="e">
        <f>+SUMIF([1]Cartera!$R:$R,$A6&amp;"_"&amp;SL$11,[1]Cartera!$I:$I)+SUMIF([1]Futuros!$AD:$AD,$A6&amp;"_"&amp;SL$11,[1]Futuros!$AK:$AK)+SUMIF([1]Opciones!$AF:$AF,$A6&amp;"_"&amp;SL$11,[1]Opciones!$AQ:$AQ)</f>
        <v>#VALUE!</v>
      </c>
      <c r="SM6" t="e">
        <f>+SUMIF([1]Cartera!$R:$R,$A6&amp;"_"&amp;SM$11,[1]Cartera!$I:$I)+SUMIF([1]Futuros!$AD:$AD,$A6&amp;"_"&amp;SM$11,[1]Futuros!$AK:$AK)+SUMIF([1]Opciones!$AF:$AF,$A6&amp;"_"&amp;SM$11,[1]Opciones!$AQ:$AQ)</f>
        <v>#VALUE!</v>
      </c>
      <c r="SN6" t="e">
        <f>+SUMIF([1]Cartera!$R:$R,$A6&amp;"_"&amp;SN$11,[1]Cartera!$I:$I)+SUMIF([1]Futuros!$AD:$AD,$A6&amp;"_"&amp;SN$11,[1]Futuros!$AK:$AK)+SUMIF([1]Opciones!$AF:$AF,$A6&amp;"_"&amp;SN$11,[1]Opciones!$AQ:$AQ)</f>
        <v>#VALUE!</v>
      </c>
      <c r="SO6" t="e">
        <f>+SUMIF([1]Cartera!$R:$R,$A6&amp;"_"&amp;SO$11,[1]Cartera!$I:$I)+SUMIF([1]Futuros!$AD:$AD,$A6&amp;"_"&amp;SO$11,[1]Futuros!$AK:$AK)+SUMIF([1]Opciones!$AF:$AF,$A6&amp;"_"&amp;SO$11,[1]Opciones!$AQ:$AQ)</f>
        <v>#VALUE!</v>
      </c>
      <c r="SP6" t="e">
        <f>+SUMIF([1]Cartera!$R:$R,$A6&amp;"_"&amp;SP$11,[1]Cartera!$I:$I)+SUMIF([1]Futuros!$AD:$AD,$A6&amp;"_"&amp;SP$11,[1]Futuros!$AK:$AK)+SUMIF([1]Opciones!$AF:$AF,$A6&amp;"_"&amp;SP$11,[1]Opciones!$AQ:$AQ)</f>
        <v>#VALUE!</v>
      </c>
      <c r="SQ6" t="e">
        <f>+SUMIF([1]Cartera!$R:$R,$A6&amp;"_"&amp;SQ$11,[1]Cartera!$I:$I)+SUMIF([1]Futuros!$AD:$AD,$A6&amp;"_"&amp;SQ$11,[1]Futuros!$AK:$AK)+SUMIF([1]Opciones!$AF:$AF,$A6&amp;"_"&amp;SQ$11,[1]Opciones!$AQ:$AQ)</f>
        <v>#VALUE!</v>
      </c>
      <c r="SR6" t="e">
        <f>+SUMIF([1]Cartera!$R:$R,$A6&amp;"_"&amp;SR$11,[1]Cartera!$I:$I)+SUMIF([1]Futuros!$AD:$AD,$A6&amp;"_"&amp;SR$11,[1]Futuros!$AK:$AK)+SUMIF([1]Opciones!$AF:$AF,$A6&amp;"_"&amp;SR$11,[1]Opciones!$AQ:$AQ)</f>
        <v>#VALUE!</v>
      </c>
      <c r="SS6" t="e">
        <f>+SUMIF([1]Cartera!$R:$R,$A6&amp;"_"&amp;SS$11,[1]Cartera!$I:$I)+SUMIF([1]Futuros!$AD:$AD,$A6&amp;"_"&amp;SS$11,[1]Futuros!$AK:$AK)+SUMIF([1]Opciones!$AF:$AF,$A6&amp;"_"&amp;SS$11,[1]Opciones!$AQ:$AQ)</f>
        <v>#VALUE!</v>
      </c>
      <c r="ST6" t="e">
        <f>+SUMIF([1]Cartera!$R:$R,$A6&amp;"_"&amp;ST$11,[1]Cartera!$I:$I)+SUMIF([1]Futuros!$AD:$AD,$A6&amp;"_"&amp;ST$11,[1]Futuros!$AK:$AK)+SUMIF([1]Opciones!$AF:$AF,$A6&amp;"_"&amp;ST$11,[1]Opciones!$AQ:$AQ)</f>
        <v>#VALUE!</v>
      </c>
      <c r="SU6" t="e">
        <f>+SUMIF([1]Cartera!$R:$R,$A6&amp;"_"&amp;SU$11,[1]Cartera!$I:$I)+SUMIF([1]Futuros!$AD:$AD,$A6&amp;"_"&amp;SU$11,[1]Futuros!$AK:$AK)+SUMIF([1]Opciones!$AF:$AF,$A6&amp;"_"&amp;SU$11,[1]Opciones!$AQ:$AQ)</f>
        <v>#VALUE!</v>
      </c>
      <c r="SV6" t="e">
        <f>+SUMIF([1]Cartera!$R:$R,$A6&amp;"_"&amp;SV$11,[1]Cartera!$I:$I)+SUMIF([1]Futuros!$AD:$AD,$A6&amp;"_"&amp;SV$11,[1]Futuros!$AK:$AK)+SUMIF([1]Opciones!$AF:$AF,$A6&amp;"_"&amp;SV$11,[1]Opciones!$AQ:$AQ)</f>
        <v>#VALUE!</v>
      </c>
      <c r="SW6" t="e">
        <f>+SUMIF([1]Cartera!$R:$R,$A6&amp;"_"&amp;SW$11,[1]Cartera!$I:$I)+SUMIF([1]Futuros!$AD:$AD,$A6&amp;"_"&amp;SW$11,[1]Futuros!$AK:$AK)+SUMIF([1]Opciones!$AF:$AF,$A6&amp;"_"&amp;SW$11,[1]Opciones!$AQ:$AQ)</f>
        <v>#VALUE!</v>
      </c>
      <c r="SX6" t="e">
        <f>+SUMIF([1]Cartera!$R:$R,$A6&amp;"_"&amp;SX$11,[1]Cartera!$I:$I)+SUMIF([1]Futuros!$AD:$AD,$A6&amp;"_"&amp;SX$11,[1]Futuros!$AK:$AK)+SUMIF([1]Opciones!$AF:$AF,$A6&amp;"_"&amp;SX$11,[1]Opciones!$AQ:$AQ)</f>
        <v>#VALUE!</v>
      </c>
      <c r="SY6" t="e">
        <f>+SUMIF([1]Cartera!$R:$R,$A6&amp;"_"&amp;SY$11,[1]Cartera!$I:$I)+SUMIF([1]Futuros!$AD:$AD,$A6&amp;"_"&amp;SY$11,[1]Futuros!$AK:$AK)+SUMIF([1]Opciones!$AF:$AF,$A6&amp;"_"&amp;SY$11,[1]Opciones!$AQ:$AQ)</f>
        <v>#VALUE!</v>
      </c>
      <c r="SZ6" t="e">
        <f>+SUMIF([1]Cartera!$R:$R,$A6&amp;"_"&amp;SZ$11,[1]Cartera!$I:$I)+SUMIF([1]Futuros!$AD:$AD,$A6&amp;"_"&amp;SZ$11,[1]Futuros!$AK:$AK)+SUMIF([1]Opciones!$AF:$AF,$A6&amp;"_"&amp;SZ$11,[1]Opciones!$AQ:$AQ)</f>
        <v>#VALUE!</v>
      </c>
      <c r="TA6" t="e">
        <f>+SUMIF([1]Cartera!$R:$R,$A6&amp;"_"&amp;TA$11,[1]Cartera!$I:$I)+SUMIF([1]Futuros!$AD:$AD,$A6&amp;"_"&amp;TA$11,[1]Futuros!$AK:$AK)+SUMIF([1]Opciones!$AF:$AF,$A6&amp;"_"&amp;TA$11,[1]Opciones!$AQ:$AQ)</f>
        <v>#VALUE!</v>
      </c>
      <c r="TB6" t="e">
        <f>+SUMIF([1]Cartera!$R:$R,$A6&amp;"_"&amp;TB$11,[1]Cartera!$I:$I)+SUMIF([1]Futuros!$AD:$AD,$A6&amp;"_"&amp;TB$11,[1]Futuros!$AK:$AK)+SUMIF([1]Opciones!$AF:$AF,$A6&amp;"_"&amp;TB$11,[1]Opciones!$AQ:$AQ)</f>
        <v>#VALUE!</v>
      </c>
      <c r="TC6" t="e">
        <f>+SUMIF([1]Cartera!$R:$R,$A6&amp;"_"&amp;TC$11,[1]Cartera!$I:$I)+SUMIF([1]Futuros!$AD:$AD,$A6&amp;"_"&amp;TC$11,[1]Futuros!$AK:$AK)+SUMIF([1]Opciones!$AF:$AF,$A6&amp;"_"&amp;TC$11,[1]Opciones!$AQ:$AQ)</f>
        <v>#VALUE!</v>
      </c>
      <c r="TD6" t="e">
        <f>+SUMIF([1]Cartera!$R:$R,$A6&amp;"_"&amp;TD$11,[1]Cartera!$I:$I)+SUMIF([1]Futuros!$AD:$AD,$A6&amp;"_"&amp;TD$11,[1]Futuros!$AK:$AK)+SUMIF([1]Opciones!$AF:$AF,$A6&amp;"_"&amp;TD$11,[1]Opciones!$AQ:$AQ)</f>
        <v>#VALUE!</v>
      </c>
      <c r="TE6" t="e">
        <f>+SUMIF([1]Cartera!$R:$R,$A6&amp;"_"&amp;TE$11,[1]Cartera!$I:$I)+SUMIF([1]Futuros!$AD:$AD,$A6&amp;"_"&amp;TE$11,[1]Futuros!$AK:$AK)+SUMIF([1]Opciones!$AF:$AF,$A6&amp;"_"&amp;TE$11,[1]Opciones!$AQ:$AQ)</f>
        <v>#VALUE!</v>
      </c>
      <c r="TF6" t="e">
        <f>+SUMIF([1]Cartera!$R:$R,$A6&amp;"_"&amp;TF$11,[1]Cartera!$I:$I)+SUMIF([1]Futuros!$AD:$AD,$A6&amp;"_"&amp;TF$11,[1]Futuros!$AK:$AK)+SUMIF([1]Opciones!$AF:$AF,$A6&amp;"_"&amp;TF$11,[1]Opciones!$AQ:$AQ)</f>
        <v>#VALUE!</v>
      </c>
      <c r="TG6" t="e">
        <f>+SUMIF([1]Cartera!$R:$R,$A6&amp;"_"&amp;TG$11,[1]Cartera!$I:$I)+SUMIF([1]Futuros!$AD:$AD,$A6&amp;"_"&amp;TG$11,[1]Futuros!$AK:$AK)+SUMIF([1]Opciones!$AF:$AF,$A6&amp;"_"&amp;TG$11,[1]Opciones!$AQ:$AQ)</f>
        <v>#VALUE!</v>
      </c>
      <c r="TH6" t="e">
        <f>+SUMIF([1]Cartera!$R:$R,$A6&amp;"_"&amp;TH$11,[1]Cartera!$I:$I)+SUMIF([1]Futuros!$AD:$AD,$A6&amp;"_"&amp;TH$11,[1]Futuros!$AK:$AK)+SUMIF([1]Opciones!$AF:$AF,$A6&amp;"_"&amp;TH$11,[1]Opciones!$AQ:$AQ)</f>
        <v>#VALUE!</v>
      </c>
      <c r="TI6" t="e">
        <f>+SUMIF([1]Cartera!$R:$R,$A6&amp;"_"&amp;TI$11,[1]Cartera!$I:$I)+SUMIF([1]Futuros!$AD:$AD,$A6&amp;"_"&amp;TI$11,[1]Futuros!$AK:$AK)+SUMIF([1]Opciones!$AF:$AF,$A6&amp;"_"&amp;TI$11,[1]Opciones!$AQ:$AQ)</f>
        <v>#VALUE!</v>
      </c>
      <c r="TJ6" t="e">
        <f>+SUMIF([1]Cartera!$R:$R,$A6&amp;"_"&amp;TJ$11,[1]Cartera!$I:$I)+SUMIF([1]Futuros!$AD:$AD,$A6&amp;"_"&amp;TJ$11,[1]Futuros!$AK:$AK)+SUMIF([1]Opciones!$AF:$AF,$A6&amp;"_"&amp;TJ$11,[1]Opciones!$AQ:$AQ)</f>
        <v>#VALUE!</v>
      </c>
      <c r="TK6" t="e">
        <f>+SUMIF([1]Cartera!$R:$R,$A6&amp;"_"&amp;TK$11,[1]Cartera!$I:$I)+SUMIF([1]Futuros!$AD:$AD,$A6&amp;"_"&amp;TK$11,[1]Futuros!$AK:$AK)+SUMIF([1]Opciones!$AF:$AF,$A6&amp;"_"&amp;TK$11,[1]Opciones!$AQ:$AQ)</f>
        <v>#VALUE!</v>
      </c>
      <c r="TL6" t="e">
        <f>+SUMIF([1]Cartera!$R:$R,$A6&amp;"_"&amp;TL$11,[1]Cartera!$I:$I)+SUMIF([1]Futuros!$AD:$AD,$A6&amp;"_"&amp;TL$11,[1]Futuros!$AK:$AK)+SUMIF([1]Opciones!$AF:$AF,$A6&amp;"_"&amp;TL$11,[1]Opciones!$AQ:$AQ)</f>
        <v>#VALUE!</v>
      </c>
      <c r="TM6" t="e">
        <f>+SUMIF([1]Cartera!$R:$R,$A6&amp;"_"&amp;TM$11,[1]Cartera!$I:$I)+SUMIF([1]Futuros!$AD:$AD,$A6&amp;"_"&amp;TM$11,[1]Futuros!$AK:$AK)+SUMIF([1]Opciones!$AF:$AF,$A6&amp;"_"&amp;TM$11,[1]Opciones!$AQ:$AQ)</f>
        <v>#VALUE!</v>
      </c>
      <c r="TN6" t="e">
        <f>+SUMIF([1]Cartera!$R:$R,$A6&amp;"_"&amp;TN$11,[1]Cartera!$I:$I)+SUMIF([1]Futuros!$AD:$AD,$A6&amp;"_"&amp;TN$11,[1]Futuros!$AK:$AK)+SUMIF([1]Opciones!$AF:$AF,$A6&amp;"_"&amp;TN$11,[1]Opciones!$AQ:$AQ)</f>
        <v>#VALUE!</v>
      </c>
      <c r="TO6" t="e">
        <f>+SUMIF([1]Cartera!$R:$R,$A6&amp;"_"&amp;TO$11,[1]Cartera!$I:$I)+SUMIF([1]Futuros!$AD:$AD,$A6&amp;"_"&amp;TO$11,[1]Futuros!$AK:$AK)+SUMIF([1]Opciones!$AF:$AF,$A6&amp;"_"&amp;TO$11,[1]Opciones!$AQ:$AQ)</f>
        <v>#VALUE!</v>
      </c>
      <c r="TP6" t="e">
        <f>+SUMIF([1]Cartera!$R:$R,$A6&amp;"_"&amp;TP$11,[1]Cartera!$I:$I)+SUMIF([1]Futuros!$AD:$AD,$A6&amp;"_"&amp;TP$11,[1]Futuros!$AK:$AK)+SUMIF([1]Opciones!$AF:$AF,$A6&amp;"_"&amp;TP$11,[1]Opciones!$AQ:$AQ)</f>
        <v>#VALUE!</v>
      </c>
      <c r="TQ6" t="e">
        <f>+SUMIF([1]Cartera!$R:$R,$A6&amp;"_"&amp;TQ$11,[1]Cartera!$I:$I)+SUMIF([1]Futuros!$AD:$AD,$A6&amp;"_"&amp;TQ$11,[1]Futuros!$AK:$AK)+SUMIF([1]Opciones!$AF:$AF,$A6&amp;"_"&amp;TQ$11,[1]Opciones!$AQ:$AQ)</f>
        <v>#VALUE!</v>
      </c>
      <c r="TR6" t="e">
        <f>+SUMIF([1]Cartera!$R:$R,$A6&amp;"_"&amp;TR$11,[1]Cartera!$I:$I)+SUMIF([1]Futuros!$AD:$AD,$A6&amp;"_"&amp;TR$11,[1]Futuros!$AK:$AK)+SUMIF([1]Opciones!$AF:$AF,$A6&amp;"_"&amp;TR$11,[1]Opciones!$AQ:$AQ)</f>
        <v>#VALUE!</v>
      </c>
      <c r="TS6" t="e">
        <f>+SUMIF([1]Cartera!$R:$R,$A6&amp;"_"&amp;TS$11,[1]Cartera!$I:$I)+SUMIF([1]Futuros!$AD:$AD,$A6&amp;"_"&amp;TS$11,[1]Futuros!$AK:$AK)+SUMIF([1]Opciones!$AF:$AF,$A6&amp;"_"&amp;TS$11,[1]Opciones!$AQ:$AQ)</f>
        <v>#VALUE!</v>
      </c>
      <c r="TT6" t="e">
        <f>+SUMIF([1]Cartera!$R:$R,$A6&amp;"_"&amp;TT$11,[1]Cartera!$I:$I)+SUMIF([1]Futuros!$AD:$AD,$A6&amp;"_"&amp;TT$11,[1]Futuros!$AK:$AK)+SUMIF([1]Opciones!$AF:$AF,$A6&amp;"_"&amp;TT$11,[1]Opciones!$AQ:$AQ)</f>
        <v>#VALUE!</v>
      </c>
      <c r="TU6" t="e">
        <f>+SUMIF([1]Cartera!$R:$R,$A6&amp;"_"&amp;TU$11,[1]Cartera!$I:$I)+SUMIF([1]Futuros!$AD:$AD,$A6&amp;"_"&amp;TU$11,[1]Futuros!$AK:$AK)+SUMIF([1]Opciones!$AF:$AF,$A6&amp;"_"&amp;TU$11,[1]Opciones!$AQ:$AQ)</f>
        <v>#VALUE!</v>
      </c>
      <c r="TV6" t="e">
        <f>+SUMIF([1]Cartera!$R:$R,$A6&amp;"_"&amp;TV$11,[1]Cartera!$I:$I)+SUMIF([1]Futuros!$AD:$AD,$A6&amp;"_"&amp;TV$11,[1]Futuros!$AK:$AK)+SUMIF([1]Opciones!$AF:$AF,$A6&amp;"_"&amp;TV$11,[1]Opciones!$AQ:$AQ)</f>
        <v>#VALUE!</v>
      </c>
      <c r="TW6" t="e">
        <f>+SUMIF([1]Cartera!$R:$R,$A6&amp;"_"&amp;TW$11,[1]Cartera!$I:$I)+SUMIF([1]Futuros!$AD:$AD,$A6&amp;"_"&amp;TW$11,[1]Futuros!$AK:$AK)+SUMIF([1]Opciones!$AF:$AF,$A6&amp;"_"&amp;TW$11,[1]Opciones!$AQ:$AQ)</f>
        <v>#VALUE!</v>
      </c>
      <c r="TX6" t="e">
        <f>+SUMIF([1]Cartera!$R:$R,$A6&amp;"_"&amp;TX$11,[1]Cartera!$I:$I)+SUMIF([1]Futuros!$AD:$AD,$A6&amp;"_"&amp;TX$11,[1]Futuros!$AK:$AK)+SUMIF([1]Opciones!$AF:$AF,$A6&amp;"_"&amp;TX$11,[1]Opciones!$AQ:$AQ)</f>
        <v>#VALUE!</v>
      </c>
      <c r="TY6" t="e">
        <f>+SUMIF([1]Cartera!$R:$R,$A6&amp;"_"&amp;TY$11,[1]Cartera!$I:$I)+SUMIF([1]Futuros!$AD:$AD,$A6&amp;"_"&amp;TY$11,[1]Futuros!$AK:$AK)+SUMIF([1]Opciones!$AF:$AF,$A6&amp;"_"&amp;TY$11,[1]Opciones!$AQ:$AQ)</f>
        <v>#VALUE!</v>
      </c>
      <c r="TZ6" t="e">
        <f>+SUMIF([1]Cartera!$R:$R,$A6&amp;"_"&amp;TZ$11,[1]Cartera!$I:$I)+SUMIF([1]Futuros!$AD:$AD,$A6&amp;"_"&amp;TZ$11,[1]Futuros!$AK:$AK)+SUMIF([1]Opciones!$AF:$AF,$A6&amp;"_"&amp;TZ$11,[1]Opciones!$AQ:$AQ)</f>
        <v>#VALUE!</v>
      </c>
      <c r="UA6" t="e">
        <f>+SUMIF([1]Cartera!$R:$R,$A6&amp;"_"&amp;UA$11,[1]Cartera!$I:$I)+SUMIF([1]Futuros!$AD:$AD,$A6&amp;"_"&amp;UA$11,[1]Futuros!$AK:$AK)+SUMIF([1]Opciones!$AF:$AF,$A6&amp;"_"&amp;UA$11,[1]Opciones!$AQ:$AQ)</f>
        <v>#VALUE!</v>
      </c>
      <c r="UB6" t="e">
        <f>+SUMIF([1]Cartera!$R:$R,$A6&amp;"_"&amp;UB$11,[1]Cartera!$I:$I)+SUMIF([1]Futuros!$AD:$AD,$A6&amp;"_"&amp;UB$11,[1]Futuros!$AK:$AK)+SUMIF([1]Opciones!$AF:$AF,$A6&amp;"_"&amp;UB$11,[1]Opciones!$AQ:$AQ)</f>
        <v>#VALUE!</v>
      </c>
      <c r="UC6" t="e">
        <f>+SUMIF([1]Cartera!$R:$R,$A6&amp;"_"&amp;UC$11,[1]Cartera!$I:$I)+SUMIF([1]Futuros!$AD:$AD,$A6&amp;"_"&amp;UC$11,[1]Futuros!$AK:$AK)+SUMIF([1]Opciones!$AF:$AF,$A6&amp;"_"&amp;UC$11,[1]Opciones!$AQ:$AQ)</f>
        <v>#VALUE!</v>
      </c>
      <c r="UD6" t="e">
        <f>+SUMIF([1]Cartera!$R:$R,$A6&amp;"_"&amp;UD$11,[1]Cartera!$I:$I)+SUMIF([1]Futuros!$AD:$AD,$A6&amp;"_"&amp;UD$11,[1]Futuros!$AK:$AK)+SUMIF([1]Opciones!$AF:$AF,$A6&amp;"_"&amp;UD$11,[1]Opciones!$AQ:$AQ)</f>
        <v>#VALUE!</v>
      </c>
      <c r="UE6" t="e">
        <f>+SUMIF([1]Cartera!$R:$R,$A6&amp;"_"&amp;UE$11,[1]Cartera!$I:$I)+SUMIF([1]Futuros!$AD:$AD,$A6&amp;"_"&amp;UE$11,[1]Futuros!$AK:$AK)+SUMIF([1]Opciones!$AF:$AF,$A6&amp;"_"&amp;UE$11,[1]Opciones!$AQ:$AQ)</f>
        <v>#VALUE!</v>
      </c>
      <c r="UF6" t="e">
        <f>+SUMIF([1]Cartera!$R:$R,$A6&amp;"_"&amp;UF$11,[1]Cartera!$I:$I)+SUMIF([1]Futuros!$AD:$AD,$A6&amp;"_"&amp;UF$11,[1]Futuros!$AK:$AK)+SUMIF([1]Opciones!$AF:$AF,$A6&amp;"_"&amp;UF$11,[1]Opciones!$AQ:$AQ)</f>
        <v>#VALUE!</v>
      </c>
      <c r="UG6" t="e">
        <f>+SUMIF([1]Cartera!$R:$R,$A6&amp;"_"&amp;UG$11,[1]Cartera!$I:$I)+SUMIF([1]Futuros!$AD:$AD,$A6&amp;"_"&amp;UG$11,[1]Futuros!$AK:$AK)+SUMIF([1]Opciones!$AF:$AF,$A6&amp;"_"&amp;UG$11,[1]Opciones!$AQ:$AQ)</f>
        <v>#VALUE!</v>
      </c>
      <c r="UH6" t="e">
        <f>+SUMIF([1]Cartera!$R:$R,$A6&amp;"_"&amp;UH$11,[1]Cartera!$I:$I)+SUMIF([1]Futuros!$AD:$AD,$A6&amp;"_"&amp;UH$11,[1]Futuros!$AK:$AK)+SUMIF([1]Opciones!$AF:$AF,$A6&amp;"_"&amp;UH$11,[1]Opciones!$AQ:$AQ)</f>
        <v>#VALUE!</v>
      </c>
      <c r="UI6" t="e">
        <f>+SUMIF([1]Cartera!$R:$R,$A6&amp;"_"&amp;UI$11,[1]Cartera!$I:$I)+SUMIF([1]Futuros!$AD:$AD,$A6&amp;"_"&amp;UI$11,[1]Futuros!$AK:$AK)+SUMIF([1]Opciones!$AF:$AF,$A6&amp;"_"&amp;UI$11,[1]Opciones!$AQ:$AQ)</f>
        <v>#VALUE!</v>
      </c>
      <c r="UJ6" t="e">
        <f>+SUMIF([1]Cartera!$R:$R,$A6&amp;"_"&amp;UJ$11,[1]Cartera!$I:$I)+SUMIF([1]Futuros!$AD:$AD,$A6&amp;"_"&amp;UJ$11,[1]Futuros!$AK:$AK)+SUMIF([1]Opciones!$AF:$AF,$A6&amp;"_"&amp;UJ$11,[1]Opciones!$AQ:$AQ)</f>
        <v>#VALUE!</v>
      </c>
      <c r="UK6" t="e">
        <f>+SUMIF([1]Cartera!$R:$R,$A6&amp;"_"&amp;UK$11,[1]Cartera!$I:$I)+SUMIF([1]Futuros!$AD:$AD,$A6&amp;"_"&amp;UK$11,[1]Futuros!$AK:$AK)+SUMIF([1]Opciones!$AF:$AF,$A6&amp;"_"&amp;UK$11,[1]Opciones!$AQ:$AQ)</f>
        <v>#VALUE!</v>
      </c>
      <c r="UL6" t="e">
        <f>+SUMIF([1]Cartera!$R:$R,$A6&amp;"_"&amp;UL$11,[1]Cartera!$I:$I)+SUMIF([1]Futuros!$AD:$AD,$A6&amp;"_"&amp;UL$11,[1]Futuros!$AK:$AK)+SUMIF([1]Opciones!$AF:$AF,$A6&amp;"_"&amp;UL$11,[1]Opciones!$AQ:$AQ)</f>
        <v>#VALUE!</v>
      </c>
      <c r="UM6" t="e">
        <f>+SUMIF([1]Cartera!$R:$R,$A6&amp;"_"&amp;UM$11,[1]Cartera!$I:$I)+SUMIF([1]Futuros!$AD:$AD,$A6&amp;"_"&amp;UM$11,[1]Futuros!$AK:$AK)+SUMIF([1]Opciones!$AF:$AF,$A6&amp;"_"&amp;UM$11,[1]Opciones!$AQ:$AQ)</f>
        <v>#VALUE!</v>
      </c>
      <c r="UN6" t="e">
        <f>+SUMIF([1]Cartera!$R:$R,$A6&amp;"_"&amp;UN$11,[1]Cartera!$I:$I)+SUMIF([1]Futuros!$AD:$AD,$A6&amp;"_"&amp;UN$11,[1]Futuros!$AK:$AK)+SUMIF([1]Opciones!$AF:$AF,$A6&amp;"_"&amp;UN$11,[1]Opciones!$AQ:$AQ)</f>
        <v>#VALUE!</v>
      </c>
      <c r="UO6" t="e">
        <f>+SUMIF([1]Cartera!$R:$R,$A6&amp;"_"&amp;UO$11,[1]Cartera!$I:$I)+SUMIF([1]Futuros!$AD:$AD,$A6&amp;"_"&amp;UO$11,[1]Futuros!$AK:$AK)+SUMIF([1]Opciones!$AF:$AF,$A6&amp;"_"&amp;UO$11,[1]Opciones!$AQ:$AQ)</f>
        <v>#VALUE!</v>
      </c>
      <c r="UP6" t="e">
        <f>+SUMIF([1]Cartera!$R:$R,$A6&amp;"_"&amp;UP$11,[1]Cartera!$I:$I)+SUMIF([1]Futuros!$AD:$AD,$A6&amp;"_"&amp;UP$11,[1]Futuros!$AK:$AK)+SUMIF([1]Opciones!$AF:$AF,$A6&amp;"_"&amp;UP$11,[1]Opciones!$AQ:$AQ)</f>
        <v>#VALUE!</v>
      </c>
      <c r="UQ6" t="e">
        <f>+SUMIF([1]Cartera!$R:$R,$A6&amp;"_"&amp;UQ$11,[1]Cartera!$I:$I)+SUMIF([1]Futuros!$AD:$AD,$A6&amp;"_"&amp;UQ$11,[1]Futuros!$AK:$AK)+SUMIF([1]Opciones!$AF:$AF,$A6&amp;"_"&amp;UQ$11,[1]Opciones!$AQ:$AQ)</f>
        <v>#VALUE!</v>
      </c>
      <c r="UR6" t="e">
        <f>+SUMIF([1]Cartera!$R:$R,$A6&amp;"_"&amp;UR$11,[1]Cartera!$I:$I)+SUMIF([1]Futuros!$AD:$AD,$A6&amp;"_"&amp;UR$11,[1]Futuros!$AK:$AK)+SUMIF([1]Opciones!$AF:$AF,$A6&amp;"_"&amp;UR$11,[1]Opciones!$AQ:$AQ)</f>
        <v>#VALUE!</v>
      </c>
      <c r="US6" t="e">
        <f>+SUMIF([1]Cartera!$R:$R,$A6&amp;"_"&amp;US$11,[1]Cartera!$I:$I)+SUMIF([1]Futuros!$AD:$AD,$A6&amp;"_"&amp;US$11,[1]Futuros!$AK:$AK)+SUMIF([1]Opciones!$AF:$AF,$A6&amp;"_"&amp;US$11,[1]Opciones!$AQ:$AQ)</f>
        <v>#VALUE!</v>
      </c>
      <c r="UT6" t="e">
        <f>+SUMIF([1]Cartera!$R:$R,$A6&amp;"_"&amp;UT$11,[1]Cartera!$I:$I)+SUMIF([1]Futuros!$AD:$AD,$A6&amp;"_"&amp;UT$11,[1]Futuros!$AK:$AK)+SUMIF([1]Opciones!$AF:$AF,$A6&amp;"_"&amp;UT$11,[1]Opciones!$AQ:$AQ)</f>
        <v>#VALUE!</v>
      </c>
      <c r="UU6" t="e">
        <f>+SUMIF([1]Cartera!$R:$R,$A6&amp;"_"&amp;UU$11,[1]Cartera!$I:$I)+SUMIF([1]Futuros!$AD:$AD,$A6&amp;"_"&amp;UU$11,[1]Futuros!$AK:$AK)+SUMIF([1]Opciones!$AF:$AF,$A6&amp;"_"&amp;UU$11,[1]Opciones!$AQ:$AQ)</f>
        <v>#VALUE!</v>
      </c>
      <c r="UV6" t="e">
        <f>+SUMIF([1]Cartera!$R:$R,$A6&amp;"_"&amp;UV$11,[1]Cartera!$I:$I)+SUMIF([1]Futuros!$AD:$AD,$A6&amp;"_"&amp;UV$11,[1]Futuros!$AK:$AK)+SUMIF([1]Opciones!$AF:$AF,$A6&amp;"_"&amp;UV$11,[1]Opciones!$AQ:$AQ)</f>
        <v>#VALUE!</v>
      </c>
      <c r="UW6" t="e">
        <f>+SUMIF([1]Cartera!$R:$R,$A6&amp;"_"&amp;UW$11,[1]Cartera!$I:$I)+SUMIF([1]Futuros!$AD:$AD,$A6&amp;"_"&amp;UW$11,[1]Futuros!$AK:$AK)+SUMIF([1]Opciones!$AF:$AF,$A6&amp;"_"&amp;UW$11,[1]Opciones!$AQ:$AQ)</f>
        <v>#VALUE!</v>
      </c>
      <c r="UX6" t="e">
        <f>+SUMIF([1]Cartera!$R:$R,$A6&amp;"_"&amp;UX$11,[1]Cartera!$I:$I)+SUMIF([1]Futuros!$AD:$AD,$A6&amp;"_"&amp;UX$11,[1]Futuros!$AK:$AK)+SUMIF([1]Opciones!$AF:$AF,$A6&amp;"_"&amp;UX$11,[1]Opciones!$AQ:$AQ)</f>
        <v>#VALUE!</v>
      </c>
      <c r="UY6" t="e">
        <f>+SUMIF([1]Cartera!$R:$R,$A6&amp;"_"&amp;UY$11,[1]Cartera!$I:$I)+SUMIF([1]Futuros!$AD:$AD,$A6&amp;"_"&amp;UY$11,[1]Futuros!$AK:$AK)+SUMIF([1]Opciones!$AF:$AF,$A6&amp;"_"&amp;UY$11,[1]Opciones!$AQ:$AQ)</f>
        <v>#VALUE!</v>
      </c>
      <c r="UZ6" t="e">
        <f>+SUMIF([1]Cartera!$R:$R,$A6&amp;"_"&amp;UZ$11,[1]Cartera!$I:$I)+SUMIF([1]Futuros!$AD:$AD,$A6&amp;"_"&amp;UZ$11,[1]Futuros!$AK:$AK)+SUMIF([1]Opciones!$AF:$AF,$A6&amp;"_"&amp;UZ$11,[1]Opciones!$AQ:$AQ)</f>
        <v>#VALUE!</v>
      </c>
      <c r="VA6" t="e">
        <f>+SUMIF([1]Cartera!$R:$R,$A6&amp;"_"&amp;VA$11,[1]Cartera!$I:$I)+SUMIF([1]Futuros!$AD:$AD,$A6&amp;"_"&amp;VA$11,[1]Futuros!$AK:$AK)+SUMIF([1]Opciones!$AF:$AF,$A6&amp;"_"&amp;VA$11,[1]Opciones!$AQ:$AQ)</f>
        <v>#VALUE!</v>
      </c>
      <c r="VB6" t="e">
        <f>+SUMIF([1]Cartera!$R:$R,$A6&amp;"_"&amp;VB$11,[1]Cartera!$I:$I)+SUMIF([1]Futuros!$AD:$AD,$A6&amp;"_"&amp;VB$11,[1]Futuros!$AK:$AK)+SUMIF([1]Opciones!$AF:$AF,$A6&amp;"_"&amp;VB$11,[1]Opciones!$AQ:$AQ)</f>
        <v>#VALUE!</v>
      </c>
      <c r="VC6" t="e">
        <f>+SUMIF([1]Cartera!$R:$R,$A6&amp;"_"&amp;VC$11,[1]Cartera!$I:$I)+SUMIF([1]Futuros!$AD:$AD,$A6&amp;"_"&amp;VC$11,[1]Futuros!$AK:$AK)+SUMIF([1]Opciones!$AF:$AF,$A6&amp;"_"&amp;VC$11,[1]Opciones!$AQ:$AQ)</f>
        <v>#VALUE!</v>
      </c>
      <c r="VD6" t="e">
        <f>+SUMIF([1]Cartera!$R:$R,$A6&amp;"_"&amp;VD$11,[1]Cartera!$I:$I)+SUMIF([1]Futuros!$AD:$AD,$A6&amp;"_"&amp;VD$11,[1]Futuros!$AK:$AK)+SUMIF([1]Opciones!$AF:$AF,$A6&amp;"_"&amp;VD$11,[1]Opciones!$AQ:$AQ)</f>
        <v>#VALUE!</v>
      </c>
      <c r="VE6" t="e">
        <f>+SUMIF([1]Cartera!$R:$R,$A6&amp;"_"&amp;VE$11,[1]Cartera!$I:$I)+SUMIF([1]Futuros!$AD:$AD,$A6&amp;"_"&amp;VE$11,[1]Futuros!$AK:$AK)+SUMIF([1]Opciones!$AF:$AF,$A6&amp;"_"&amp;VE$11,[1]Opciones!$AQ:$AQ)</f>
        <v>#VALUE!</v>
      </c>
      <c r="VF6" t="e">
        <f>+SUMIF([1]Cartera!$R:$R,$A6&amp;"_"&amp;VF$11,[1]Cartera!$I:$I)+SUMIF([1]Futuros!$AD:$AD,$A6&amp;"_"&amp;VF$11,[1]Futuros!$AK:$AK)+SUMIF([1]Opciones!$AF:$AF,$A6&amp;"_"&amp;VF$11,[1]Opciones!$AQ:$AQ)</f>
        <v>#VALUE!</v>
      </c>
      <c r="VG6" t="e">
        <f>+SUMIF([1]Cartera!$R:$R,$A6&amp;"_"&amp;VG$11,[1]Cartera!$I:$I)+SUMIF([1]Futuros!$AD:$AD,$A6&amp;"_"&amp;VG$11,[1]Futuros!$AK:$AK)+SUMIF([1]Opciones!$AF:$AF,$A6&amp;"_"&amp;VG$11,[1]Opciones!$AQ:$AQ)</f>
        <v>#VALUE!</v>
      </c>
      <c r="VH6" t="e">
        <f>+SUMIF([1]Cartera!$R:$R,$A6&amp;"_"&amp;VH$11,[1]Cartera!$I:$I)+SUMIF([1]Futuros!$AD:$AD,$A6&amp;"_"&amp;VH$11,[1]Futuros!$AK:$AK)+SUMIF([1]Opciones!$AF:$AF,$A6&amp;"_"&amp;VH$11,[1]Opciones!$AQ:$AQ)</f>
        <v>#VALUE!</v>
      </c>
      <c r="VI6" t="e">
        <f>+SUMIF([1]Cartera!$R:$R,$A6&amp;"_"&amp;VI$11,[1]Cartera!$I:$I)+SUMIF([1]Futuros!$AD:$AD,$A6&amp;"_"&amp;VI$11,[1]Futuros!$AK:$AK)+SUMIF([1]Opciones!$AF:$AF,$A6&amp;"_"&amp;VI$11,[1]Opciones!$AQ:$AQ)</f>
        <v>#VALUE!</v>
      </c>
      <c r="VJ6" t="e">
        <f>+SUMIF([1]Cartera!$R:$R,$A6&amp;"_"&amp;VJ$11,[1]Cartera!$I:$I)+SUMIF([1]Futuros!$AD:$AD,$A6&amp;"_"&amp;VJ$11,[1]Futuros!$AK:$AK)+SUMIF([1]Opciones!$AF:$AF,$A6&amp;"_"&amp;VJ$11,[1]Opciones!$AQ:$AQ)</f>
        <v>#VALUE!</v>
      </c>
      <c r="VK6" t="e">
        <f>+SUMIF([1]Cartera!$R:$R,$A6&amp;"_"&amp;VK$11,[1]Cartera!$I:$I)+SUMIF([1]Futuros!$AD:$AD,$A6&amp;"_"&amp;VK$11,[1]Futuros!$AK:$AK)+SUMIF([1]Opciones!$AF:$AF,$A6&amp;"_"&amp;VK$11,[1]Opciones!$AQ:$AQ)</f>
        <v>#VALUE!</v>
      </c>
      <c r="VL6" t="e">
        <f>+SUMIF([1]Cartera!$R:$R,$A6&amp;"_"&amp;VL$11,[1]Cartera!$I:$I)+SUMIF([1]Futuros!$AD:$AD,$A6&amp;"_"&amp;VL$11,[1]Futuros!$AK:$AK)+SUMIF([1]Opciones!$AF:$AF,$A6&amp;"_"&amp;VL$11,[1]Opciones!$AQ:$AQ)</f>
        <v>#VALUE!</v>
      </c>
      <c r="VM6" t="e">
        <f>+SUMIF([1]Cartera!$R:$R,$A6&amp;"_"&amp;VM$11,[1]Cartera!$I:$I)+SUMIF([1]Futuros!$AD:$AD,$A6&amp;"_"&amp;VM$11,[1]Futuros!$AK:$AK)+SUMIF([1]Opciones!$AF:$AF,$A6&amp;"_"&amp;VM$11,[1]Opciones!$AQ:$AQ)</f>
        <v>#VALUE!</v>
      </c>
      <c r="VN6" t="e">
        <f>+SUMIF([1]Cartera!$R:$R,$A6&amp;"_"&amp;VN$11,[1]Cartera!$I:$I)+SUMIF([1]Futuros!$AD:$AD,$A6&amp;"_"&amp;VN$11,[1]Futuros!$AK:$AK)+SUMIF([1]Opciones!$AF:$AF,$A6&amp;"_"&amp;VN$11,[1]Opciones!$AQ:$AQ)</f>
        <v>#VALUE!</v>
      </c>
      <c r="VO6" t="e">
        <f>+SUMIF([1]Cartera!$R:$R,$A6&amp;"_"&amp;VO$11,[1]Cartera!$I:$I)+SUMIF([1]Futuros!$AD:$AD,$A6&amp;"_"&amp;VO$11,[1]Futuros!$AK:$AK)+SUMIF([1]Opciones!$AF:$AF,$A6&amp;"_"&amp;VO$11,[1]Opciones!$AQ:$AQ)</f>
        <v>#VALUE!</v>
      </c>
      <c r="VP6" t="e">
        <f>+SUMIF([1]Cartera!$R:$R,$A6&amp;"_"&amp;VP$11,[1]Cartera!$I:$I)+SUMIF([1]Futuros!$AD:$AD,$A6&amp;"_"&amp;VP$11,[1]Futuros!$AK:$AK)+SUMIF([1]Opciones!$AF:$AF,$A6&amp;"_"&amp;VP$11,[1]Opciones!$AQ:$AQ)</f>
        <v>#VALUE!</v>
      </c>
      <c r="VQ6" t="e">
        <f>+SUMIF([1]Cartera!$R:$R,$A6&amp;"_"&amp;VQ$11,[1]Cartera!$I:$I)+SUMIF([1]Futuros!$AD:$AD,$A6&amp;"_"&amp;VQ$11,[1]Futuros!$AK:$AK)+SUMIF([1]Opciones!$AF:$AF,$A6&amp;"_"&amp;VQ$11,[1]Opciones!$AQ:$AQ)</f>
        <v>#VALUE!</v>
      </c>
      <c r="VR6" t="e">
        <f>+SUMIF([1]Cartera!$R:$R,$A6&amp;"_"&amp;VR$11,[1]Cartera!$I:$I)+SUMIF([1]Futuros!$AD:$AD,$A6&amp;"_"&amp;VR$11,[1]Futuros!$AK:$AK)+SUMIF([1]Opciones!$AF:$AF,$A6&amp;"_"&amp;VR$11,[1]Opciones!$AQ:$AQ)</f>
        <v>#VALUE!</v>
      </c>
      <c r="VS6" t="e">
        <f>+SUMIF([1]Cartera!$R:$R,$A6&amp;"_"&amp;VS$11,[1]Cartera!$I:$I)+SUMIF([1]Futuros!$AD:$AD,$A6&amp;"_"&amp;VS$11,[1]Futuros!$AK:$AK)+SUMIF([1]Opciones!$AF:$AF,$A6&amp;"_"&amp;VS$11,[1]Opciones!$AQ:$AQ)</f>
        <v>#VALUE!</v>
      </c>
      <c r="VT6" t="e">
        <f>+SUMIF([1]Cartera!$R:$R,$A6&amp;"_"&amp;VT$11,[1]Cartera!$I:$I)+SUMIF([1]Futuros!$AD:$AD,$A6&amp;"_"&amp;VT$11,[1]Futuros!$AK:$AK)+SUMIF([1]Opciones!$AF:$AF,$A6&amp;"_"&amp;VT$11,[1]Opciones!$AQ:$AQ)</f>
        <v>#VALUE!</v>
      </c>
      <c r="VU6" t="e">
        <f>+SUMIF([1]Cartera!$R:$R,$A6&amp;"_"&amp;VU$11,[1]Cartera!$I:$I)+SUMIF([1]Futuros!$AD:$AD,$A6&amp;"_"&amp;VU$11,[1]Futuros!$AK:$AK)+SUMIF([1]Opciones!$AF:$AF,$A6&amp;"_"&amp;VU$11,[1]Opciones!$AQ:$AQ)</f>
        <v>#VALUE!</v>
      </c>
      <c r="VV6" t="e">
        <f>+SUMIF([1]Cartera!$R:$R,$A6&amp;"_"&amp;VV$11,[1]Cartera!$I:$I)+SUMIF([1]Futuros!$AD:$AD,$A6&amp;"_"&amp;VV$11,[1]Futuros!$AK:$AK)+SUMIF([1]Opciones!$AF:$AF,$A6&amp;"_"&amp;VV$11,[1]Opciones!$AQ:$AQ)</f>
        <v>#VALUE!</v>
      </c>
      <c r="VW6" t="e">
        <f>+SUMIF([1]Cartera!$R:$R,$A6&amp;"_"&amp;VW$11,[1]Cartera!$I:$I)+SUMIF([1]Futuros!$AD:$AD,$A6&amp;"_"&amp;VW$11,[1]Futuros!$AK:$AK)+SUMIF([1]Opciones!$AF:$AF,$A6&amp;"_"&amp;VW$11,[1]Opciones!$AQ:$AQ)</f>
        <v>#VALUE!</v>
      </c>
      <c r="VX6" t="e">
        <f>+SUMIF([1]Cartera!$R:$R,$A6&amp;"_"&amp;VX$11,[1]Cartera!$I:$I)+SUMIF([1]Futuros!$AD:$AD,$A6&amp;"_"&amp;VX$11,[1]Futuros!$AK:$AK)+SUMIF([1]Opciones!$AF:$AF,$A6&amp;"_"&amp;VX$11,[1]Opciones!$AQ:$AQ)</f>
        <v>#VALUE!</v>
      </c>
      <c r="VY6" t="e">
        <f>+SUMIF([1]Cartera!$R:$R,$A6&amp;"_"&amp;VY$11,[1]Cartera!$I:$I)+SUMIF([1]Futuros!$AD:$AD,$A6&amp;"_"&amp;VY$11,[1]Futuros!$AK:$AK)+SUMIF([1]Opciones!$AF:$AF,$A6&amp;"_"&amp;VY$11,[1]Opciones!$AQ:$AQ)</f>
        <v>#VALUE!</v>
      </c>
      <c r="VZ6" t="e">
        <f>+SUMIF([1]Cartera!$R:$R,$A6&amp;"_"&amp;VZ$11,[1]Cartera!$I:$I)+SUMIF([1]Futuros!$AD:$AD,$A6&amp;"_"&amp;VZ$11,[1]Futuros!$AK:$AK)+SUMIF([1]Opciones!$AF:$AF,$A6&amp;"_"&amp;VZ$11,[1]Opciones!$AQ:$AQ)</f>
        <v>#VALUE!</v>
      </c>
      <c r="WA6" t="e">
        <f>+SUMIF([1]Cartera!$R:$R,$A6&amp;"_"&amp;WA$11,[1]Cartera!$I:$I)+SUMIF([1]Futuros!$AD:$AD,$A6&amp;"_"&amp;WA$11,[1]Futuros!$AK:$AK)+SUMIF([1]Opciones!$AF:$AF,$A6&amp;"_"&amp;WA$11,[1]Opciones!$AQ:$AQ)</f>
        <v>#VALUE!</v>
      </c>
      <c r="WB6" t="e">
        <f>+SUMIF([1]Cartera!$R:$R,$A6&amp;"_"&amp;WB$11,[1]Cartera!$I:$I)+SUMIF([1]Futuros!$AD:$AD,$A6&amp;"_"&amp;WB$11,[1]Futuros!$AK:$AK)+SUMIF([1]Opciones!$AF:$AF,$A6&amp;"_"&amp;WB$11,[1]Opciones!$AQ:$AQ)</f>
        <v>#VALUE!</v>
      </c>
      <c r="WC6" t="e">
        <f>+SUMIF([1]Cartera!$R:$R,$A6&amp;"_"&amp;WC$11,[1]Cartera!$I:$I)+SUMIF([1]Futuros!$AD:$AD,$A6&amp;"_"&amp;WC$11,[1]Futuros!$AK:$AK)+SUMIF([1]Opciones!$AF:$AF,$A6&amp;"_"&amp;WC$11,[1]Opciones!$AQ:$AQ)</f>
        <v>#VALUE!</v>
      </c>
      <c r="WD6" t="e">
        <f>+SUMIF([1]Cartera!$R:$R,$A6&amp;"_"&amp;WD$11,[1]Cartera!$I:$I)+SUMIF([1]Futuros!$AD:$AD,$A6&amp;"_"&amp;WD$11,[1]Futuros!$AK:$AK)+SUMIF([1]Opciones!$AF:$AF,$A6&amp;"_"&amp;WD$11,[1]Opciones!$AQ:$AQ)</f>
        <v>#VALUE!</v>
      </c>
      <c r="WE6" t="e">
        <f>+SUMIF([1]Cartera!$R:$R,$A6&amp;"_"&amp;WE$11,[1]Cartera!$I:$I)+SUMIF([1]Futuros!$AD:$AD,$A6&amp;"_"&amp;WE$11,[1]Futuros!$AK:$AK)+SUMIF([1]Opciones!$AF:$AF,$A6&amp;"_"&amp;WE$11,[1]Opciones!$AQ:$AQ)</f>
        <v>#VALUE!</v>
      </c>
      <c r="WF6" t="e">
        <f>+SUMIF([1]Cartera!$R:$R,$A6&amp;"_"&amp;WF$11,[1]Cartera!$I:$I)+SUMIF([1]Futuros!$AD:$AD,$A6&amp;"_"&amp;WF$11,[1]Futuros!$AK:$AK)+SUMIF([1]Opciones!$AF:$AF,$A6&amp;"_"&amp;WF$11,[1]Opciones!$AQ:$AQ)</f>
        <v>#VALUE!</v>
      </c>
      <c r="WG6" t="e">
        <f>+SUMIF([1]Cartera!$R:$R,$A6&amp;"_"&amp;WG$11,[1]Cartera!$I:$I)+SUMIF([1]Futuros!$AD:$AD,$A6&amp;"_"&amp;WG$11,[1]Futuros!$AK:$AK)+SUMIF([1]Opciones!$AF:$AF,$A6&amp;"_"&amp;WG$11,[1]Opciones!$AQ:$AQ)</f>
        <v>#VALUE!</v>
      </c>
      <c r="WH6" t="e">
        <f>+SUMIF([1]Cartera!$R:$R,$A6&amp;"_"&amp;WH$11,[1]Cartera!$I:$I)+SUMIF([1]Futuros!$AD:$AD,$A6&amp;"_"&amp;WH$11,[1]Futuros!$AK:$AK)+SUMIF([1]Opciones!$AF:$AF,$A6&amp;"_"&amp;WH$11,[1]Opciones!$AQ:$AQ)</f>
        <v>#VALUE!</v>
      </c>
      <c r="WI6" t="e">
        <f>+SUMIF([1]Cartera!$R:$R,$A6&amp;"_"&amp;WI$11,[1]Cartera!$I:$I)+SUMIF([1]Futuros!$AD:$AD,$A6&amp;"_"&amp;WI$11,[1]Futuros!$AK:$AK)+SUMIF([1]Opciones!$AF:$AF,$A6&amp;"_"&amp;WI$11,[1]Opciones!$AQ:$AQ)</f>
        <v>#VALUE!</v>
      </c>
      <c r="WJ6" t="e">
        <f>+SUMIF([1]Cartera!$R:$R,$A6&amp;"_"&amp;WJ$11,[1]Cartera!$I:$I)+SUMIF([1]Futuros!$AD:$AD,$A6&amp;"_"&amp;WJ$11,[1]Futuros!$AK:$AK)+SUMIF([1]Opciones!$AF:$AF,$A6&amp;"_"&amp;WJ$11,[1]Opciones!$AQ:$AQ)</f>
        <v>#VALUE!</v>
      </c>
      <c r="WK6" t="e">
        <f>+SUMIF([1]Cartera!$R:$R,$A6&amp;"_"&amp;WK$11,[1]Cartera!$I:$I)+SUMIF([1]Futuros!$AD:$AD,$A6&amp;"_"&amp;WK$11,[1]Futuros!$AK:$AK)+SUMIF([1]Opciones!$AF:$AF,$A6&amp;"_"&amp;WK$11,[1]Opciones!$AQ:$AQ)</f>
        <v>#VALUE!</v>
      </c>
      <c r="WL6" t="e">
        <f>+SUMIF([1]Cartera!$R:$R,$A6&amp;"_"&amp;WL$11,[1]Cartera!$I:$I)+SUMIF([1]Futuros!$AD:$AD,$A6&amp;"_"&amp;WL$11,[1]Futuros!$AK:$AK)+SUMIF([1]Opciones!$AF:$AF,$A6&amp;"_"&amp;WL$11,[1]Opciones!$AQ:$AQ)</f>
        <v>#VALUE!</v>
      </c>
      <c r="WM6" t="e">
        <f>+SUMIF([1]Cartera!$R:$R,$A6&amp;"_"&amp;WM$11,[1]Cartera!$I:$I)+SUMIF([1]Futuros!$AD:$AD,$A6&amp;"_"&amp;WM$11,[1]Futuros!$AK:$AK)+SUMIF([1]Opciones!$AF:$AF,$A6&amp;"_"&amp;WM$11,[1]Opciones!$AQ:$AQ)</f>
        <v>#VALUE!</v>
      </c>
      <c r="WN6" t="e">
        <f>+SUMIF([1]Cartera!$R:$R,$A6&amp;"_"&amp;WN$11,[1]Cartera!$I:$I)+SUMIF([1]Futuros!$AD:$AD,$A6&amp;"_"&amp;WN$11,[1]Futuros!$AK:$AK)+SUMIF([1]Opciones!$AF:$AF,$A6&amp;"_"&amp;WN$11,[1]Opciones!$AQ:$AQ)</f>
        <v>#VALUE!</v>
      </c>
      <c r="WO6" t="e">
        <f>+SUMIF([1]Cartera!$R:$R,$A6&amp;"_"&amp;WO$11,[1]Cartera!$I:$I)+SUMIF([1]Futuros!$AD:$AD,$A6&amp;"_"&amp;WO$11,[1]Futuros!$AK:$AK)+SUMIF([1]Opciones!$AF:$AF,$A6&amp;"_"&amp;WO$11,[1]Opciones!$AQ:$AQ)</f>
        <v>#VALUE!</v>
      </c>
      <c r="WP6" t="e">
        <f>+SUMIF([1]Cartera!$R:$R,$A6&amp;"_"&amp;WP$11,[1]Cartera!$I:$I)+SUMIF([1]Futuros!$AD:$AD,$A6&amp;"_"&amp;WP$11,[1]Futuros!$AK:$AK)+SUMIF([1]Opciones!$AF:$AF,$A6&amp;"_"&amp;WP$11,[1]Opciones!$AQ:$AQ)</f>
        <v>#VALUE!</v>
      </c>
      <c r="WQ6" t="e">
        <f>+SUMIF([1]Cartera!$R:$R,$A6&amp;"_"&amp;WQ$11,[1]Cartera!$I:$I)+SUMIF([1]Futuros!$AD:$AD,$A6&amp;"_"&amp;WQ$11,[1]Futuros!$AK:$AK)+SUMIF([1]Opciones!$AF:$AF,$A6&amp;"_"&amp;WQ$11,[1]Opciones!$AQ:$AQ)</f>
        <v>#VALUE!</v>
      </c>
      <c r="WR6" t="e">
        <f>+SUMIF([1]Cartera!$R:$R,$A6&amp;"_"&amp;WR$11,[1]Cartera!$I:$I)+SUMIF([1]Futuros!$AD:$AD,$A6&amp;"_"&amp;WR$11,[1]Futuros!$AK:$AK)+SUMIF([1]Opciones!$AF:$AF,$A6&amp;"_"&amp;WR$11,[1]Opciones!$AQ:$AQ)</f>
        <v>#VALUE!</v>
      </c>
      <c r="WS6" t="e">
        <f>+SUMIF([1]Cartera!$R:$R,$A6&amp;"_"&amp;WS$11,[1]Cartera!$I:$I)+SUMIF([1]Futuros!$AD:$AD,$A6&amp;"_"&amp;WS$11,[1]Futuros!$AK:$AK)+SUMIF([1]Opciones!$AF:$AF,$A6&amp;"_"&amp;WS$11,[1]Opciones!$AQ:$AQ)</f>
        <v>#VALUE!</v>
      </c>
      <c r="WT6" t="e">
        <f>+SUMIF([1]Cartera!$R:$R,$A6&amp;"_"&amp;WT$11,[1]Cartera!$I:$I)+SUMIF([1]Futuros!$AD:$AD,$A6&amp;"_"&amp;WT$11,[1]Futuros!$AK:$AK)+SUMIF([1]Opciones!$AF:$AF,$A6&amp;"_"&amp;WT$11,[1]Opciones!$AQ:$AQ)</f>
        <v>#VALUE!</v>
      </c>
      <c r="WU6" t="e">
        <f>+SUMIF([1]Cartera!$R:$R,$A6&amp;"_"&amp;WU$11,[1]Cartera!$I:$I)+SUMIF([1]Futuros!$AD:$AD,$A6&amp;"_"&amp;WU$11,[1]Futuros!$AK:$AK)+SUMIF([1]Opciones!$AF:$AF,$A6&amp;"_"&amp;WU$11,[1]Opciones!$AQ:$AQ)</f>
        <v>#VALUE!</v>
      </c>
      <c r="WV6" t="e">
        <f>+SUMIF([1]Cartera!$R:$R,$A6&amp;"_"&amp;WV$11,[1]Cartera!$I:$I)+SUMIF([1]Futuros!$AD:$AD,$A6&amp;"_"&amp;WV$11,[1]Futuros!$AK:$AK)+SUMIF([1]Opciones!$AF:$AF,$A6&amp;"_"&amp;WV$11,[1]Opciones!$AQ:$AQ)</f>
        <v>#VALUE!</v>
      </c>
      <c r="WW6" t="e">
        <f>+SUMIF([1]Cartera!$R:$R,$A6&amp;"_"&amp;WW$11,[1]Cartera!$I:$I)+SUMIF([1]Futuros!$AD:$AD,$A6&amp;"_"&amp;WW$11,[1]Futuros!$AK:$AK)+SUMIF([1]Opciones!$AF:$AF,$A6&amp;"_"&amp;WW$11,[1]Opciones!$AQ:$AQ)</f>
        <v>#VALUE!</v>
      </c>
      <c r="WX6" t="e">
        <f>+SUMIF([1]Cartera!$R:$R,$A6&amp;"_"&amp;WX$11,[1]Cartera!$I:$I)+SUMIF([1]Futuros!$AD:$AD,$A6&amp;"_"&amp;WX$11,[1]Futuros!$AK:$AK)+SUMIF([1]Opciones!$AF:$AF,$A6&amp;"_"&amp;WX$11,[1]Opciones!$AQ:$AQ)</f>
        <v>#VALUE!</v>
      </c>
      <c r="WY6" t="e">
        <f>+SUMIF([1]Cartera!$R:$R,$A6&amp;"_"&amp;WY$11,[1]Cartera!$I:$I)+SUMIF([1]Futuros!$AD:$AD,$A6&amp;"_"&amp;WY$11,[1]Futuros!$AK:$AK)+SUMIF([1]Opciones!$AF:$AF,$A6&amp;"_"&amp;WY$11,[1]Opciones!$AQ:$AQ)</f>
        <v>#VALUE!</v>
      </c>
      <c r="WZ6" t="e">
        <f>+SUMIF([1]Cartera!$R:$R,$A6&amp;"_"&amp;WZ$11,[1]Cartera!$I:$I)+SUMIF([1]Futuros!$AD:$AD,$A6&amp;"_"&amp;WZ$11,[1]Futuros!$AK:$AK)+SUMIF([1]Opciones!$AF:$AF,$A6&amp;"_"&amp;WZ$11,[1]Opciones!$AQ:$AQ)</f>
        <v>#VALUE!</v>
      </c>
      <c r="XA6" t="e">
        <f>+SUMIF([1]Cartera!$R:$R,$A6&amp;"_"&amp;XA$11,[1]Cartera!$I:$I)+SUMIF([1]Futuros!$AD:$AD,$A6&amp;"_"&amp;XA$11,[1]Futuros!$AK:$AK)+SUMIF([1]Opciones!$AF:$AF,$A6&amp;"_"&amp;XA$11,[1]Opciones!$AQ:$AQ)</f>
        <v>#VALUE!</v>
      </c>
      <c r="XB6" t="e">
        <f>+SUMIF([1]Cartera!$R:$R,$A6&amp;"_"&amp;XB$11,[1]Cartera!$I:$I)+SUMIF([1]Futuros!$AD:$AD,$A6&amp;"_"&amp;XB$11,[1]Futuros!$AK:$AK)+SUMIF([1]Opciones!$AF:$AF,$A6&amp;"_"&amp;XB$11,[1]Opciones!$AQ:$AQ)</f>
        <v>#VALUE!</v>
      </c>
      <c r="XC6" t="e">
        <f>+SUMIF([1]Cartera!$R:$R,$A6&amp;"_"&amp;XC$11,[1]Cartera!$I:$I)+SUMIF([1]Futuros!$AD:$AD,$A6&amp;"_"&amp;XC$11,[1]Futuros!$AK:$AK)+SUMIF([1]Opciones!$AF:$AF,$A6&amp;"_"&amp;XC$11,[1]Opciones!$AQ:$AQ)</f>
        <v>#VALUE!</v>
      </c>
      <c r="XD6" t="e">
        <f>+SUMIF([1]Cartera!$R:$R,$A6&amp;"_"&amp;XD$11,[1]Cartera!$I:$I)+SUMIF([1]Futuros!$AD:$AD,$A6&amp;"_"&amp;XD$11,[1]Futuros!$AK:$AK)+SUMIF([1]Opciones!$AF:$AF,$A6&amp;"_"&amp;XD$11,[1]Opciones!$AQ:$AQ)</f>
        <v>#VALUE!</v>
      </c>
      <c r="XE6" t="e">
        <f>+SUMIF([1]Cartera!$R:$R,$A6&amp;"_"&amp;XE$11,[1]Cartera!$I:$I)+SUMIF([1]Futuros!$AD:$AD,$A6&amp;"_"&amp;XE$11,[1]Futuros!$AK:$AK)+SUMIF([1]Opciones!$AF:$AF,$A6&amp;"_"&amp;XE$11,[1]Opciones!$AQ:$AQ)</f>
        <v>#VALUE!</v>
      </c>
      <c r="XF6" t="e">
        <f>+SUMIF([1]Cartera!$R:$R,$A6&amp;"_"&amp;XF$11,[1]Cartera!$I:$I)+SUMIF([1]Futuros!$AD:$AD,$A6&amp;"_"&amp;XF$11,[1]Futuros!$AK:$AK)+SUMIF([1]Opciones!$AF:$AF,$A6&amp;"_"&amp;XF$11,[1]Opciones!$AQ:$AQ)</f>
        <v>#VALUE!</v>
      </c>
      <c r="XG6" t="e">
        <f>+SUMIF([1]Cartera!$R:$R,$A6&amp;"_"&amp;XG$11,[1]Cartera!$I:$I)+SUMIF([1]Futuros!$AD:$AD,$A6&amp;"_"&amp;XG$11,[1]Futuros!$AK:$AK)+SUMIF([1]Opciones!$AF:$AF,$A6&amp;"_"&amp;XG$11,[1]Opciones!$AQ:$AQ)</f>
        <v>#VALUE!</v>
      </c>
      <c r="XH6" t="e">
        <f>+SUMIF([1]Cartera!$R:$R,$A6&amp;"_"&amp;XH$11,[1]Cartera!$I:$I)+SUMIF([1]Futuros!$AD:$AD,$A6&amp;"_"&amp;XH$11,[1]Futuros!$AK:$AK)+SUMIF([1]Opciones!$AF:$AF,$A6&amp;"_"&amp;XH$11,[1]Opciones!$AQ:$AQ)</f>
        <v>#VALUE!</v>
      </c>
      <c r="XI6" t="e">
        <f>+SUMIF([1]Cartera!$R:$R,$A6&amp;"_"&amp;XI$11,[1]Cartera!$I:$I)+SUMIF([1]Futuros!$AD:$AD,$A6&amp;"_"&amp;XI$11,[1]Futuros!$AK:$AK)+SUMIF([1]Opciones!$AF:$AF,$A6&amp;"_"&amp;XI$11,[1]Opciones!$AQ:$AQ)</f>
        <v>#VALUE!</v>
      </c>
      <c r="XJ6" t="e">
        <f>+SUMIF([1]Cartera!$R:$R,$A6&amp;"_"&amp;XJ$11,[1]Cartera!$I:$I)+SUMIF([1]Futuros!$AD:$AD,$A6&amp;"_"&amp;XJ$11,[1]Futuros!$AK:$AK)+SUMIF([1]Opciones!$AF:$AF,$A6&amp;"_"&amp;XJ$11,[1]Opciones!$AQ:$AQ)</f>
        <v>#VALUE!</v>
      </c>
      <c r="XK6" t="e">
        <f>+SUMIF([1]Cartera!$R:$R,$A6&amp;"_"&amp;XK$11,[1]Cartera!$I:$I)+SUMIF([1]Futuros!$AD:$AD,$A6&amp;"_"&amp;XK$11,[1]Futuros!$AK:$AK)+SUMIF([1]Opciones!$AF:$AF,$A6&amp;"_"&amp;XK$11,[1]Opciones!$AQ:$AQ)</f>
        <v>#VALUE!</v>
      </c>
      <c r="XL6" t="e">
        <f>+SUMIF([1]Cartera!$R:$R,$A6&amp;"_"&amp;XL$11,[1]Cartera!$I:$I)+SUMIF([1]Futuros!$AD:$AD,$A6&amp;"_"&amp;XL$11,[1]Futuros!$AK:$AK)+SUMIF([1]Opciones!$AF:$AF,$A6&amp;"_"&amp;XL$11,[1]Opciones!$AQ:$AQ)</f>
        <v>#VALUE!</v>
      </c>
      <c r="XM6" t="e">
        <f>+SUMIF([1]Cartera!$R:$R,$A6&amp;"_"&amp;XM$11,[1]Cartera!$I:$I)+SUMIF([1]Futuros!$AD:$AD,$A6&amp;"_"&amp;XM$11,[1]Futuros!$AK:$AK)+SUMIF([1]Opciones!$AF:$AF,$A6&amp;"_"&amp;XM$11,[1]Opciones!$AQ:$AQ)</f>
        <v>#VALUE!</v>
      </c>
      <c r="XN6" t="e">
        <f>+SUMIF([1]Cartera!$R:$R,$A6&amp;"_"&amp;XN$11,[1]Cartera!$I:$I)+SUMIF([1]Futuros!$AD:$AD,$A6&amp;"_"&amp;XN$11,[1]Futuros!$AK:$AK)+SUMIF([1]Opciones!$AF:$AF,$A6&amp;"_"&amp;XN$11,[1]Opciones!$AQ:$AQ)</f>
        <v>#VALUE!</v>
      </c>
      <c r="XO6" t="e">
        <f>+SUMIF([1]Cartera!$R:$R,$A6&amp;"_"&amp;XO$11,[1]Cartera!$I:$I)+SUMIF([1]Futuros!$AD:$AD,$A6&amp;"_"&amp;XO$11,[1]Futuros!$AK:$AK)+SUMIF([1]Opciones!$AF:$AF,$A6&amp;"_"&amp;XO$11,[1]Opciones!$AQ:$AQ)</f>
        <v>#VALUE!</v>
      </c>
      <c r="XP6" t="e">
        <f>+SUMIF([1]Cartera!$R:$R,$A6&amp;"_"&amp;XP$11,[1]Cartera!$I:$I)+SUMIF([1]Futuros!$AD:$AD,$A6&amp;"_"&amp;XP$11,[1]Futuros!$AK:$AK)+SUMIF([1]Opciones!$AF:$AF,$A6&amp;"_"&amp;XP$11,[1]Opciones!$AQ:$AQ)</f>
        <v>#VALUE!</v>
      </c>
      <c r="XQ6" t="e">
        <f>+SUMIF([1]Cartera!$R:$R,$A6&amp;"_"&amp;XQ$11,[1]Cartera!$I:$I)+SUMIF([1]Futuros!$AD:$AD,$A6&amp;"_"&amp;XQ$11,[1]Futuros!$AK:$AK)+SUMIF([1]Opciones!$AF:$AF,$A6&amp;"_"&amp;XQ$11,[1]Opciones!$AQ:$AQ)</f>
        <v>#VALUE!</v>
      </c>
      <c r="XR6" t="e">
        <f>+SUMIF([1]Cartera!$R:$R,$A6&amp;"_"&amp;XR$11,[1]Cartera!$I:$I)+SUMIF([1]Futuros!$AD:$AD,$A6&amp;"_"&amp;XR$11,[1]Futuros!$AK:$AK)+SUMIF([1]Opciones!$AF:$AF,$A6&amp;"_"&amp;XR$11,[1]Opciones!$AQ:$AQ)</f>
        <v>#VALUE!</v>
      </c>
      <c r="XS6" t="e">
        <f>+SUMIF([1]Cartera!$R:$R,$A6&amp;"_"&amp;XS$11,[1]Cartera!$I:$I)+SUMIF([1]Futuros!$AD:$AD,$A6&amp;"_"&amp;XS$11,[1]Futuros!$AK:$AK)+SUMIF([1]Opciones!$AF:$AF,$A6&amp;"_"&amp;XS$11,[1]Opciones!$AQ:$AQ)</f>
        <v>#VALUE!</v>
      </c>
      <c r="XT6" t="e">
        <f>+SUMIF([1]Cartera!$R:$R,$A6&amp;"_"&amp;XT$11,[1]Cartera!$I:$I)+SUMIF([1]Futuros!$AD:$AD,$A6&amp;"_"&amp;XT$11,[1]Futuros!$AK:$AK)+SUMIF([1]Opciones!$AF:$AF,$A6&amp;"_"&amp;XT$11,[1]Opciones!$AQ:$AQ)</f>
        <v>#VALUE!</v>
      </c>
      <c r="XU6" t="e">
        <f>+SUMIF([1]Cartera!$R:$R,$A6&amp;"_"&amp;XU$11,[1]Cartera!$I:$I)+SUMIF([1]Futuros!$AD:$AD,$A6&amp;"_"&amp;XU$11,[1]Futuros!$AK:$AK)+SUMIF([1]Opciones!$AF:$AF,$A6&amp;"_"&amp;XU$11,[1]Opciones!$AQ:$AQ)</f>
        <v>#VALUE!</v>
      </c>
      <c r="XV6" t="e">
        <f>+SUMIF([1]Cartera!$R:$R,$A6&amp;"_"&amp;XV$11,[1]Cartera!$I:$I)+SUMIF([1]Futuros!$AD:$AD,$A6&amp;"_"&amp;XV$11,[1]Futuros!$AK:$AK)+SUMIF([1]Opciones!$AF:$AF,$A6&amp;"_"&amp;XV$11,[1]Opciones!$AQ:$AQ)</f>
        <v>#VALUE!</v>
      </c>
      <c r="XW6" t="e">
        <f>+SUMIF([1]Cartera!$R:$R,$A6&amp;"_"&amp;XW$11,[1]Cartera!$I:$I)+SUMIF([1]Futuros!$AD:$AD,$A6&amp;"_"&amp;XW$11,[1]Futuros!$AK:$AK)+SUMIF([1]Opciones!$AF:$AF,$A6&amp;"_"&amp;XW$11,[1]Opciones!$AQ:$AQ)</f>
        <v>#VALUE!</v>
      </c>
      <c r="XX6" t="e">
        <f>+SUMIF([1]Cartera!$R:$R,$A6&amp;"_"&amp;XX$11,[1]Cartera!$I:$I)+SUMIF([1]Futuros!$AD:$AD,$A6&amp;"_"&amp;XX$11,[1]Futuros!$AK:$AK)+SUMIF([1]Opciones!$AF:$AF,$A6&amp;"_"&amp;XX$11,[1]Opciones!$AQ:$AQ)</f>
        <v>#VALUE!</v>
      </c>
      <c r="XY6" t="e">
        <f>+SUMIF([1]Cartera!$R:$R,$A6&amp;"_"&amp;XY$11,[1]Cartera!$I:$I)+SUMIF([1]Futuros!$AD:$AD,$A6&amp;"_"&amp;XY$11,[1]Futuros!$AK:$AK)+SUMIF([1]Opciones!$AF:$AF,$A6&amp;"_"&amp;XY$11,[1]Opciones!$AQ:$AQ)</f>
        <v>#VALUE!</v>
      </c>
      <c r="XZ6" t="e">
        <f>+SUMIF([1]Cartera!$R:$R,$A6&amp;"_"&amp;XZ$11,[1]Cartera!$I:$I)+SUMIF([1]Futuros!$AD:$AD,$A6&amp;"_"&amp;XZ$11,[1]Futuros!$AK:$AK)+SUMIF([1]Opciones!$AF:$AF,$A6&amp;"_"&amp;XZ$11,[1]Opciones!$AQ:$AQ)</f>
        <v>#VALUE!</v>
      </c>
      <c r="YA6" t="e">
        <f>+SUMIF([1]Cartera!$R:$R,$A6&amp;"_"&amp;YA$11,[1]Cartera!$I:$I)+SUMIF([1]Futuros!$AD:$AD,$A6&amp;"_"&amp;YA$11,[1]Futuros!$AK:$AK)+SUMIF([1]Opciones!$AF:$AF,$A6&amp;"_"&amp;YA$11,[1]Opciones!$AQ:$AQ)</f>
        <v>#VALUE!</v>
      </c>
      <c r="YB6" t="e">
        <f>+SUMIF([1]Cartera!$R:$R,$A6&amp;"_"&amp;YB$11,[1]Cartera!$I:$I)+SUMIF([1]Futuros!$AD:$AD,$A6&amp;"_"&amp;YB$11,[1]Futuros!$AK:$AK)+SUMIF([1]Opciones!$AF:$AF,$A6&amp;"_"&amp;YB$11,[1]Opciones!$AQ:$AQ)</f>
        <v>#VALUE!</v>
      </c>
      <c r="YC6" t="e">
        <f>+SUMIF([1]Cartera!$R:$R,$A6&amp;"_"&amp;YC$11,[1]Cartera!$I:$I)+SUMIF([1]Futuros!$AD:$AD,$A6&amp;"_"&amp;YC$11,[1]Futuros!$AK:$AK)+SUMIF([1]Opciones!$AF:$AF,$A6&amp;"_"&amp;YC$11,[1]Opciones!$AQ:$AQ)</f>
        <v>#VALUE!</v>
      </c>
      <c r="YD6" t="e">
        <f>+SUMIF([1]Cartera!$R:$R,$A6&amp;"_"&amp;YD$11,[1]Cartera!$I:$I)+SUMIF([1]Futuros!$AD:$AD,$A6&amp;"_"&amp;YD$11,[1]Futuros!$AK:$AK)+SUMIF([1]Opciones!$AF:$AF,$A6&amp;"_"&amp;YD$11,[1]Opciones!$AQ:$AQ)</f>
        <v>#VALUE!</v>
      </c>
      <c r="YE6" t="e">
        <f>+SUMIF([1]Cartera!$R:$R,$A6&amp;"_"&amp;YE$11,[1]Cartera!$I:$I)+SUMIF([1]Futuros!$AD:$AD,$A6&amp;"_"&amp;YE$11,[1]Futuros!$AK:$AK)+SUMIF([1]Opciones!$AF:$AF,$A6&amp;"_"&amp;YE$11,[1]Opciones!$AQ:$AQ)</f>
        <v>#VALUE!</v>
      </c>
      <c r="YF6" t="e">
        <f>+SUMIF([1]Cartera!$R:$R,$A6&amp;"_"&amp;YF$11,[1]Cartera!$I:$I)+SUMIF([1]Futuros!$AD:$AD,$A6&amp;"_"&amp;YF$11,[1]Futuros!$AK:$AK)+SUMIF([1]Opciones!$AF:$AF,$A6&amp;"_"&amp;YF$11,[1]Opciones!$AQ:$AQ)</f>
        <v>#VALUE!</v>
      </c>
      <c r="YG6" t="e">
        <f>+SUMIF([1]Cartera!$R:$R,$A6&amp;"_"&amp;YG$11,[1]Cartera!$I:$I)+SUMIF([1]Futuros!$AD:$AD,$A6&amp;"_"&amp;YG$11,[1]Futuros!$AK:$AK)+SUMIF([1]Opciones!$AF:$AF,$A6&amp;"_"&amp;YG$11,[1]Opciones!$AQ:$AQ)</f>
        <v>#VALUE!</v>
      </c>
      <c r="YH6" t="e">
        <f>+SUMIF([1]Cartera!$R:$R,$A6&amp;"_"&amp;YH$11,[1]Cartera!$I:$I)+SUMIF([1]Futuros!$AD:$AD,$A6&amp;"_"&amp;YH$11,[1]Futuros!$AK:$AK)+SUMIF([1]Opciones!$AF:$AF,$A6&amp;"_"&amp;YH$11,[1]Opciones!$AQ:$AQ)</f>
        <v>#VALUE!</v>
      </c>
      <c r="YI6" t="e">
        <f>+SUMIF([1]Cartera!$R:$R,$A6&amp;"_"&amp;YI$11,[1]Cartera!$I:$I)+SUMIF([1]Futuros!$AD:$AD,$A6&amp;"_"&amp;YI$11,[1]Futuros!$AK:$AK)+SUMIF([1]Opciones!$AF:$AF,$A6&amp;"_"&amp;YI$11,[1]Opciones!$AQ:$AQ)</f>
        <v>#VALUE!</v>
      </c>
      <c r="YJ6" t="e">
        <f>+SUMIF([1]Cartera!$R:$R,$A6&amp;"_"&amp;YJ$11,[1]Cartera!$I:$I)+SUMIF([1]Futuros!$AD:$AD,$A6&amp;"_"&amp;YJ$11,[1]Futuros!$AK:$AK)+SUMIF([1]Opciones!$AF:$AF,$A6&amp;"_"&amp;YJ$11,[1]Opciones!$AQ:$AQ)</f>
        <v>#VALUE!</v>
      </c>
      <c r="YK6" t="e">
        <f>+SUMIF([1]Cartera!$R:$R,$A6&amp;"_"&amp;YK$11,[1]Cartera!$I:$I)+SUMIF([1]Futuros!$AD:$AD,$A6&amp;"_"&amp;YK$11,[1]Futuros!$AK:$AK)+SUMIF([1]Opciones!$AF:$AF,$A6&amp;"_"&amp;YK$11,[1]Opciones!$AQ:$AQ)</f>
        <v>#VALUE!</v>
      </c>
      <c r="YL6" t="e">
        <f>+SUMIF([1]Cartera!$R:$R,$A6&amp;"_"&amp;YL$11,[1]Cartera!$I:$I)+SUMIF([1]Futuros!$AD:$AD,$A6&amp;"_"&amp;YL$11,[1]Futuros!$AK:$AK)+SUMIF([1]Opciones!$AF:$AF,$A6&amp;"_"&amp;YL$11,[1]Opciones!$AQ:$AQ)</f>
        <v>#VALUE!</v>
      </c>
      <c r="YM6" t="e">
        <f>+SUMIF([1]Cartera!$R:$R,$A6&amp;"_"&amp;YM$11,[1]Cartera!$I:$I)+SUMIF([1]Futuros!$AD:$AD,$A6&amp;"_"&amp;YM$11,[1]Futuros!$AK:$AK)+SUMIF([1]Opciones!$AF:$AF,$A6&amp;"_"&amp;YM$11,[1]Opciones!$AQ:$AQ)</f>
        <v>#VALUE!</v>
      </c>
      <c r="YN6" t="e">
        <f>+SUMIF([1]Cartera!$R:$R,$A6&amp;"_"&amp;YN$11,[1]Cartera!$I:$I)+SUMIF([1]Futuros!$AD:$AD,$A6&amp;"_"&amp;YN$11,[1]Futuros!$AK:$AK)+SUMIF([1]Opciones!$AF:$AF,$A6&amp;"_"&amp;YN$11,[1]Opciones!$AQ:$AQ)</f>
        <v>#VALUE!</v>
      </c>
      <c r="YO6" t="e">
        <f>+SUMIF([1]Cartera!$R:$R,$A6&amp;"_"&amp;YO$11,[1]Cartera!$I:$I)+SUMIF([1]Futuros!$AD:$AD,$A6&amp;"_"&amp;YO$11,[1]Futuros!$AK:$AK)+SUMIF([1]Opciones!$AF:$AF,$A6&amp;"_"&amp;YO$11,[1]Opciones!$AQ:$AQ)</f>
        <v>#VALUE!</v>
      </c>
      <c r="YP6" t="e">
        <f>+SUMIF([1]Cartera!$R:$R,$A6&amp;"_"&amp;YP$11,[1]Cartera!$I:$I)+SUMIF([1]Futuros!$AD:$AD,$A6&amp;"_"&amp;YP$11,[1]Futuros!$AK:$AK)+SUMIF([1]Opciones!$AF:$AF,$A6&amp;"_"&amp;YP$11,[1]Opciones!$AQ:$AQ)</f>
        <v>#VALUE!</v>
      </c>
      <c r="YQ6" t="e">
        <f>+SUMIF([1]Cartera!$R:$R,$A6&amp;"_"&amp;YQ$11,[1]Cartera!$I:$I)+SUMIF([1]Futuros!$AD:$AD,$A6&amp;"_"&amp;YQ$11,[1]Futuros!$AK:$AK)+SUMIF([1]Opciones!$AF:$AF,$A6&amp;"_"&amp;YQ$11,[1]Opciones!$AQ:$AQ)</f>
        <v>#VALUE!</v>
      </c>
      <c r="YR6" t="e">
        <f>+SUMIF([1]Cartera!$R:$R,$A6&amp;"_"&amp;YR$11,[1]Cartera!$I:$I)+SUMIF([1]Futuros!$AD:$AD,$A6&amp;"_"&amp;YR$11,[1]Futuros!$AK:$AK)+SUMIF([1]Opciones!$AF:$AF,$A6&amp;"_"&amp;YR$11,[1]Opciones!$AQ:$AQ)</f>
        <v>#VALUE!</v>
      </c>
      <c r="YS6" t="e">
        <f>+SUMIF([1]Cartera!$R:$R,$A6&amp;"_"&amp;YS$11,[1]Cartera!$I:$I)+SUMIF([1]Futuros!$AD:$AD,$A6&amp;"_"&amp;YS$11,[1]Futuros!$AK:$AK)+SUMIF([1]Opciones!$AF:$AF,$A6&amp;"_"&amp;YS$11,[1]Opciones!$AQ:$AQ)</f>
        <v>#VALUE!</v>
      </c>
      <c r="YT6" t="e">
        <f>+SUMIF([1]Cartera!$R:$R,$A6&amp;"_"&amp;YT$11,[1]Cartera!$I:$I)+SUMIF([1]Futuros!$AD:$AD,$A6&amp;"_"&amp;YT$11,[1]Futuros!$AK:$AK)+SUMIF([1]Opciones!$AF:$AF,$A6&amp;"_"&amp;YT$11,[1]Opciones!$AQ:$AQ)</f>
        <v>#VALUE!</v>
      </c>
      <c r="YU6" t="e">
        <f>+SUMIF([1]Cartera!$R:$R,$A6&amp;"_"&amp;YU$11,[1]Cartera!$I:$I)+SUMIF([1]Futuros!$AD:$AD,$A6&amp;"_"&amp;YU$11,[1]Futuros!$AK:$AK)+SUMIF([1]Opciones!$AF:$AF,$A6&amp;"_"&amp;YU$11,[1]Opciones!$AQ:$AQ)</f>
        <v>#VALUE!</v>
      </c>
      <c r="YV6" t="e">
        <f>+SUMIF([1]Cartera!$R:$R,$A6&amp;"_"&amp;YV$11,[1]Cartera!$I:$I)+SUMIF([1]Futuros!$AD:$AD,$A6&amp;"_"&amp;YV$11,[1]Futuros!$AK:$AK)+SUMIF([1]Opciones!$AF:$AF,$A6&amp;"_"&amp;YV$11,[1]Opciones!$AQ:$AQ)</f>
        <v>#VALUE!</v>
      </c>
      <c r="YW6" t="e">
        <f>+SUMIF([1]Cartera!$R:$R,$A6&amp;"_"&amp;YW$11,[1]Cartera!$I:$I)+SUMIF([1]Futuros!$AD:$AD,$A6&amp;"_"&amp;YW$11,[1]Futuros!$AK:$AK)+SUMIF([1]Opciones!$AF:$AF,$A6&amp;"_"&amp;YW$11,[1]Opciones!$AQ:$AQ)</f>
        <v>#VALUE!</v>
      </c>
      <c r="YX6" t="e">
        <f>+SUMIF([1]Cartera!$R:$R,$A6&amp;"_"&amp;YX$11,[1]Cartera!$I:$I)+SUMIF([1]Futuros!$AD:$AD,$A6&amp;"_"&amp;YX$11,[1]Futuros!$AK:$AK)+SUMIF([1]Opciones!$AF:$AF,$A6&amp;"_"&amp;YX$11,[1]Opciones!$AQ:$AQ)</f>
        <v>#VALUE!</v>
      </c>
      <c r="YY6" t="e">
        <f>+SUMIF([1]Cartera!$R:$R,$A6&amp;"_"&amp;YY$11,[1]Cartera!$I:$I)+SUMIF([1]Futuros!$AD:$AD,$A6&amp;"_"&amp;YY$11,[1]Futuros!$AK:$AK)+SUMIF([1]Opciones!$AF:$AF,$A6&amp;"_"&amp;YY$11,[1]Opciones!$AQ:$AQ)</f>
        <v>#VALUE!</v>
      </c>
      <c r="YZ6" t="e">
        <f>+SUMIF([1]Cartera!$R:$R,$A6&amp;"_"&amp;YZ$11,[1]Cartera!$I:$I)+SUMIF([1]Futuros!$AD:$AD,$A6&amp;"_"&amp;YZ$11,[1]Futuros!$AK:$AK)+SUMIF([1]Opciones!$AF:$AF,$A6&amp;"_"&amp;YZ$11,[1]Opciones!$AQ:$AQ)</f>
        <v>#VALUE!</v>
      </c>
      <c r="ZA6" t="e">
        <f>+SUMIF([1]Cartera!$R:$R,$A6&amp;"_"&amp;ZA$11,[1]Cartera!$I:$I)+SUMIF([1]Futuros!$AD:$AD,$A6&amp;"_"&amp;ZA$11,[1]Futuros!$AK:$AK)+SUMIF([1]Opciones!$AF:$AF,$A6&amp;"_"&amp;ZA$11,[1]Opciones!$AQ:$AQ)</f>
        <v>#VALUE!</v>
      </c>
      <c r="ZB6" t="e">
        <f>+SUMIF([1]Cartera!$R:$R,$A6&amp;"_"&amp;ZB$11,[1]Cartera!$I:$I)+SUMIF([1]Futuros!$AD:$AD,$A6&amp;"_"&amp;ZB$11,[1]Futuros!$AK:$AK)+SUMIF([1]Opciones!$AF:$AF,$A6&amp;"_"&amp;ZB$11,[1]Opciones!$AQ:$AQ)</f>
        <v>#VALUE!</v>
      </c>
      <c r="ZC6" t="e">
        <f>+SUMIF([1]Cartera!$R:$R,$A6&amp;"_"&amp;ZC$11,[1]Cartera!$I:$I)+SUMIF([1]Futuros!$AD:$AD,$A6&amp;"_"&amp;ZC$11,[1]Futuros!$AK:$AK)+SUMIF([1]Opciones!$AF:$AF,$A6&amp;"_"&amp;ZC$11,[1]Opciones!$AQ:$AQ)</f>
        <v>#VALUE!</v>
      </c>
      <c r="ZD6" t="e">
        <f>+SUMIF([1]Cartera!$R:$R,$A6&amp;"_"&amp;ZD$11,[1]Cartera!$I:$I)+SUMIF([1]Futuros!$AD:$AD,$A6&amp;"_"&amp;ZD$11,[1]Futuros!$AK:$AK)+SUMIF([1]Opciones!$AF:$AF,$A6&amp;"_"&amp;ZD$11,[1]Opciones!$AQ:$AQ)</f>
        <v>#VALUE!</v>
      </c>
      <c r="ZE6" t="e">
        <f>+SUMIF([1]Cartera!$R:$R,$A6&amp;"_"&amp;ZE$11,[1]Cartera!$I:$I)+SUMIF([1]Futuros!$AD:$AD,$A6&amp;"_"&amp;ZE$11,[1]Futuros!$AK:$AK)+SUMIF([1]Opciones!$AF:$AF,$A6&amp;"_"&amp;ZE$11,[1]Opciones!$AQ:$AQ)</f>
        <v>#VALUE!</v>
      </c>
      <c r="ZF6" t="e">
        <f>+SUMIF([1]Cartera!$R:$R,$A6&amp;"_"&amp;ZF$11,[1]Cartera!$I:$I)+SUMIF([1]Futuros!$AD:$AD,$A6&amp;"_"&amp;ZF$11,[1]Futuros!$AK:$AK)+SUMIF([1]Opciones!$AF:$AF,$A6&amp;"_"&amp;ZF$11,[1]Opciones!$AQ:$AQ)</f>
        <v>#VALUE!</v>
      </c>
      <c r="ZG6" t="e">
        <f>+SUMIF([1]Cartera!$R:$R,$A6&amp;"_"&amp;ZG$11,[1]Cartera!$I:$I)+SUMIF([1]Futuros!$AD:$AD,$A6&amp;"_"&amp;ZG$11,[1]Futuros!$AK:$AK)+SUMIF([1]Opciones!$AF:$AF,$A6&amp;"_"&amp;ZG$11,[1]Opciones!$AQ:$AQ)</f>
        <v>#VALUE!</v>
      </c>
      <c r="ZH6" t="e">
        <f>+SUMIF([1]Cartera!$R:$R,$A6&amp;"_"&amp;ZH$11,[1]Cartera!$I:$I)+SUMIF([1]Futuros!$AD:$AD,$A6&amp;"_"&amp;ZH$11,[1]Futuros!$AK:$AK)+SUMIF([1]Opciones!$AF:$AF,$A6&amp;"_"&amp;ZH$11,[1]Opciones!$AQ:$AQ)</f>
        <v>#VALUE!</v>
      </c>
      <c r="ZI6" t="e">
        <f>+SUMIF([1]Cartera!$R:$R,$A6&amp;"_"&amp;ZI$11,[1]Cartera!$I:$I)+SUMIF([1]Futuros!$AD:$AD,$A6&amp;"_"&amp;ZI$11,[1]Futuros!$AK:$AK)+SUMIF([1]Opciones!$AF:$AF,$A6&amp;"_"&amp;ZI$11,[1]Opciones!$AQ:$AQ)</f>
        <v>#VALUE!</v>
      </c>
      <c r="ZJ6" t="e">
        <f>+SUMIF([1]Cartera!$R:$R,$A6&amp;"_"&amp;ZJ$11,[1]Cartera!$I:$I)+SUMIF([1]Futuros!$AD:$AD,$A6&amp;"_"&amp;ZJ$11,[1]Futuros!$AK:$AK)+SUMIF([1]Opciones!$AF:$AF,$A6&amp;"_"&amp;ZJ$11,[1]Opciones!$AQ:$AQ)</f>
        <v>#VALUE!</v>
      </c>
      <c r="ZK6" t="e">
        <f>+SUMIF([1]Cartera!$R:$R,$A6&amp;"_"&amp;ZK$11,[1]Cartera!$I:$I)+SUMIF([1]Futuros!$AD:$AD,$A6&amp;"_"&amp;ZK$11,[1]Futuros!$AK:$AK)+SUMIF([1]Opciones!$AF:$AF,$A6&amp;"_"&amp;ZK$11,[1]Opciones!$AQ:$AQ)</f>
        <v>#VALUE!</v>
      </c>
      <c r="ZL6" t="e">
        <f>+SUMIF([1]Cartera!$R:$R,$A6&amp;"_"&amp;ZL$11,[1]Cartera!$I:$I)+SUMIF([1]Futuros!$AD:$AD,$A6&amp;"_"&amp;ZL$11,[1]Futuros!$AK:$AK)+SUMIF([1]Opciones!$AF:$AF,$A6&amp;"_"&amp;ZL$11,[1]Opciones!$AQ:$AQ)</f>
        <v>#VALUE!</v>
      </c>
      <c r="ZM6" t="e">
        <f>+SUMIF([1]Cartera!$R:$R,$A6&amp;"_"&amp;ZM$11,[1]Cartera!$I:$I)+SUMIF([1]Futuros!$AD:$AD,$A6&amp;"_"&amp;ZM$11,[1]Futuros!$AK:$AK)+SUMIF([1]Opciones!$AF:$AF,$A6&amp;"_"&amp;ZM$11,[1]Opciones!$AQ:$AQ)</f>
        <v>#VALUE!</v>
      </c>
      <c r="ZN6" t="e">
        <f>+SUMIF([1]Cartera!$R:$R,$A6&amp;"_"&amp;ZN$11,[1]Cartera!$I:$I)+SUMIF([1]Futuros!$AD:$AD,$A6&amp;"_"&amp;ZN$11,[1]Futuros!$AK:$AK)+SUMIF([1]Opciones!$AF:$AF,$A6&amp;"_"&amp;ZN$11,[1]Opciones!$AQ:$AQ)</f>
        <v>#VALUE!</v>
      </c>
      <c r="ZO6" t="e">
        <f>+SUMIF([1]Cartera!$R:$R,$A6&amp;"_"&amp;ZO$11,[1]Cartera!$I:$I)+SUMIF([1]Futuros!$AD:$AD,$A6&amp;"_"&amp;ZO$11,[1]Futuros!$AK:$AK)+SUMIF([1]Opciones!$AF:$AF,$A6&amp;"_"&amp;ZO$11,[1]Opciones!$AQ:$AQ)</f>
        <v>#VALUE!</v>
      </c>
      <c r="ZP6" t="e">
        <f>+SUMIF([1]Cartera!$R:$R,$A6&amp;"_"&amp;ZP$11,[1]Cartera!$I:$I)+SUMIF([1]Futuros!$AD:$AD,$A6&amp;"_"&amp;ZP$11,[1]Futuros!$AK:$AK)+SUMIF([1]Opciones!$AF:$AF,$A6&amp;"_"&amp;ZP$11,[1]Opciones!$AQ:$AQ)</f>
        <v>#VALUE!</v>
      </c>
      <c r="ZQ6" t="e">
        <f>+SUMIF([1]Cartera!$R:$R,$A6&amp;"_"&amp;ZQ$11,[1]Cartera!$I:$I)+SUMIF([1]Futuros!$AD:$AD,$A6&amp;"_"&amp;ZQ$11,[1]Futuros!$AK:$AK)+SUMIF([1]Opciones!$AF:$AF,$A6&amp;"_"&amp;ZQ$11,[1]Opciones!$AQ:$AQ)</f>
        <v>#VALUE!</v>
      </c>
      <c r="ZR6" t="e">
        <f>+SUMIF([1]Cartera!$R:$R,$A6&amp;"_"&amp;ZR$11,[1]Cartera!$I:$I)+SUMIF([1]Futuros!$AD:$AD,$A6&amp;"_"&amp;ZR$11,[1]Futuros!$AK:$AK)+SUMIF([1]Opciones!$AF:$AF,$A6&amp;"_"&amp;ZR$11,[1]Opciones!$AQ:$AQ)</f>
        <v>#VALUE!</v>
      </c>
      <c r="ZS6" t="e">
        <f>+SUMIF([1]Cartera!$R:$R,$A6&amp;"_"&amp;ZS$11,[1]Cartera!$I:$I)+SUMIF([1]Futuros!$AD:$AD,$A6&amp;"_"&amp;ZS$11,[1]Futuros!$AK:$AK)+SUMIF([1]Opciones!$AF:$AF,$A6&amp;"_"&amp;ZS$11,[1]Opciones!$AQ:$AQ)</f>
        <v>#VALUE!</v>
      </c>
      <c r="ZT6" t="e">
        <f>+SUMIF([1]Cartera!$R:$R,$A6&amp;"_"&amp;ZT$11,[1]Cartera!$I:$I)+SUMIF([1]Futuros!$AD:$AD,$A6&amp;"_"&amp;ZT$11,[1]Futuros!$AK:$AK)+SUMIF([1]Opciones!$AF:$AF,$A6&amp;"_"&amp;ZT$11,[1]Opciones!$AQ:$AQ)</f>
        <v>#VALUE!</v>
      </c>
      <c r="ZU6" t="e">
        <f>+SUMIF([1]Cartera!$R:$R,$A6&amp;"_"&amp;ZU$11,[1]Cartera!$I:$I)+SUMIF([1]Futuros!$AD:$AD,$A6&amp;"_"&amp;ZU$11,[1]Futuros!$AK:$AK)+SUMIF([1]Opciones!$AF:$AF,$A6&amp;"_"&amp;ZU$11,[1]Opciones!$AQ:$AQ)</f>
        <v>#VALUE!</v>
      </c>
      <c r="ZV6" t="e">
        <f>+SUMIF([1]Cartera!$R:$R,$A6&amp;"_"&amp;ZV$11,[1]Cartera!$I:$I)+SUMIF([1]Futuros!$AD:$AD,$A6&amp;"_"&amp;ZV$11,[1]Futuros!$AK:$AK)+SUMIF([1]Opciones!$AF:$AF,$A6&amp;"_"&amp;ZV$11,[1]Opciones!$AQ:$AQ)</f>
        <v>#VALUE!</v>
      </c>
      <c r="ZW6" t="e">
        <f>+SUMIF([1]Cartera!$R:$R,$A6&amp;"_"&amp;ZW$11,[1]Cartera!$I:$I)+SUMIF([1]Futuros!$AD:$AD,$A6&amp;"_"&amp;ZW$11,[1]Futuros!$AK:$AK)+SUMIF([1]Opciones!$AF:$AF,$A6&amp;"_"&amp;ZW$11,[1]Opciones!$AQ:$AQ)</f>
        <v>#VALUE!</v>
      </c>
      <c r="ZX6" t="e">
        <f>+SUMIF([1]Cartera!$R:$R,$A6&amp;"_"&amp;ZX$11,[1]Cartera!$I:$I)+SUMIF([1]Futuros!$AD:$AD,$A6&amp;"_"&amp;ZX$11,[1]Futuros!$AK:$AK)+SUMIF([1]Opciones!$AF:$AF,$A6&amp;"_"&amp;ZX$11,[1]Opciones!$AQ:$AQ)</f>
        <v>#VALUE!</v>
      </c>
      <c r="ZY6" t="e">
        <f>+SUMIF([1]Cartera!$R:$R,$A6&amp;"_"&amp;ZY$11,[1]Cartera!$I:$I)+SUMIF([1]Futuros!$AD:$AD,$A6&amp;"_"&amp;ZY$11,[1]Futuros!$AK:$AK)+SUMIF([1]Opciones!$AF:$AF,$A6&amp;"_"&amp;ZY$11,[1]Opciones!$AQ:$AQ)</f>
        <v>#VALUE!</v>
      </c>
      <c r="ZZ6" t="e">
        <f>+SUMIF([1]Cartera!$R:$R,$A6&amp;"_"&amp;ZZ$11,[1]Cartera!$I:$I)+SUMIF([1]Futuros!$AD:$AD,$A6&amp;"_"&amp;ZZ$11,[1]Futuros!$AK:$AK)+SUMIF([1]Opciones!$AF:$AF,$A6&amp;"_"&amp;ZZ$11,[1]Opciones!$AQ:$AQ)</f>
        <v>#VALUE!</v>
      </c>
      <c r="AAA6" t="e">
        <f>+SUMIF([1]Cartera!$R:$R,$A6&amp;"_"&amp;AAA$11,[1]Cartera!$I:$I)+SUMIF([1]Futuros!$AD:$AD,$A6&amp;"_"&amp;AAA$11,[1]Futuros!$AK:$AK)+SUMIF([1]Opciones!$AF:$AF,$A6&amp;"_"&amp;AAA$11,[1]Opciones!$AQ:$AQ)</f>
        <v>#VALUE!</v>
      </c>
      <c r="AAB6" t="e">
        <f>+SUMIF([1]Cartera!$R:$R,$A6&amp;"_"&amp;AAB$11,[1]Cartera!$I:$I)+SUMIF([1]Futuros!$AD:$AD,$A6&amp;"_"&amp;AAB$11,[1]Futuros!$AK:$AK)+SUMIF([1]Opciones!$AF:$AF,$A6&amp;"_"&amp;AAB$11,[1]Opciones!$AQ:$AQ)</f>
        <v>#VALUE!</v>
      </c>
      <c r="AAC6" t="e">
        <f>+SUMIF([1]Cartera!$R:$R,$A6&amp;"_"&amp;AAC$11,[1]Cartera!$I:$I)+SUMIF([1]Futuros!$AD:$AD,$A6&amp;"_"&amp;AAC$11,[1]Futuros!$AK:$AK)+SUMIF([1]Opciones!$AF:$AF,$A6&amp;"_"&amp;AAC$11,[1]Opciones!$AQ:$AQ)</f>
        <v>#VALUE!</v>
      </c>
      <c r="AAD6" t="e">
        <f>+SUMIF([1]Cartera!$R:$R,$A6&amp;"_"&amp;AAD$11,[1]Cartera!$I:$I)+SUMIF([1]Futuros!$AD:$AD,$A6&amp;"_"&amp;AAD$11,[1]Futuros!$AK:$AK)+SUMIF([1]Opciones!$AF:$AF,$A6&amp;"_"&amp;AAD$11,[1]Opciones!$AQ:$AQ)</f>
        <v>#VALUE!</v>
      </c>
      <c r="AAE6" t="e">
        <f>+SUMIF([1]Cartera!$R:$R,$A6&amp;"_"&amp;AAE$11,[1]Cartera!$I:$I)+SUMIF([1]Futuros!$AD:$AD,$A6&amp;"_"&amp;AAE$11,[1]Futuros!$AK:$AK)+SUMIF([1]Opciones!$AF:$AF,$A6&amp;"_"&amp;AAE$11,[1]Opciones!$AQ:$AQ)</f>
        <v>#VALUE!</v>
      </c>
      <c r="AAF6" t="e">
        <f>+SUMIF([1]Cartera!$R:$R,$A6&amp;"_"&amp;AAF$11,[1]Cartera!$I:$I)+SUMIF([1]Futuros!$AD:$AD,$A6&amp;"_"&amp;AAF$11,[1]Futuros!$AK:$AK)+SUMIF([1]Opciones!$AF:$AF,$A6&amp;"_"&amp;AAF$11,[1]Opciones!$AQ:$AQ)</f>
        <v>#VALUE!</v>
      </c>
      <c r="AAG6" t="e">
        <f>+SUMIF([1]Cartera!$R:$R,$A6&amp;"_"&amp;AAG$11,[1]Cartera!$I:$I)+SUMIF([1]Futuros!$AD:$AD,$A6&amp;"_"&amp;AAG$11,[1]Futuros!$AK:$AK)+SUMIF([1]Opciones!$AF:$AF,$A6&amp;"_"&amp;AAG$11,[1]Opciones!$AQ:$AQ)</f>
        <v>#VALUE!</v>
      </c>
      <c r="AAH6" t="e">
        <f>+SUMIF([1]Cartera!$R:$R,$A6&amp;"_"&amp;AAH$11,[1]Cartera!$I:$I)+SUMIF([1]Futuros!$AD:$AD,$A6&amp;"_"&amp;AAH$11,[1]Futuros!$AK:$AK)+SUMIF([1]Opciones!$AF:$AF,$A6&amp;"_"&amp;AAH$11,[1]Opciones!$AQ:$AQ)</f>
        <v>#VALUE!</v>
      </c>
      <c r="AAI6" t="e">
        <f>+SUMIF([1]Cartera!$R:$R,$A6&amp;"_"&amp;AAI$11,[1]Cartera!$I:$I)+SUMIF([1]Futuros!$AD:$AD,$A6&amp;"_"&amp;AAI$11,[1]Futuros!$AK:$AK)+SUMIF([1]Opciones!$AF:$AF,$A6&amp;"_"&amp;AAI$11,[1]Opciones!$AQ:$AQ)</f>
        <v>#VALUE!</v>
      </c>
      <c r="AAJ6" t="e">
        <f>+SUMIF([1]Cartera!$R:$R,$A6&amp;"_"&amp;AAJ$11,[1]Cartera!$I:$I)+SUMIF([1]Futuros!$AD:$AD,$A6&amp;"_"&amp;AAJ$11,[1]Futuros!$AK:$AK)+SUMIF([1]Opciones!$AF:$AF,$A6&amp;"_"&amp;AAJ$11,[1]Opciones!$AQ:$AQ)</f>
        <v>#VALUE!</v>
      </c>
      <c r="AAK6" t="e">
        <f>+SUMIF([1]Cartera!$R:$R,$A6&amp;"_"&amp;AAK$11,[1]Cartera!$I:$I)+SUMIF([1]Futuros!$AD:$AD,$A6&amp;"_"&amp;AAK$11,[1]Futuros!$AK:$AK)+SUMIF([1]Opciones!$AF:$AF,$A6&amp;"_"&amp;AAK$11,[1]Opciones!$AQ:$AQ)</f>
        <v>#VALUE!</v>
      </c>
      <c r="AAL6" t="e">
        <f>+SUMIF([1]Cartera!$R:$R,$A6&amp;"_"&amp;AAL$11,[1]Cartera!$I:$I)+SUMIF([1]Futuros!$AD:$AD,$A6&amp;"_"&amp;AAL$11,[1]Futuros!$AK:$AK)+SUMIF([1]Opciones!$AF:$AF,$A6&amp;"_"&amp;AAL$11,[1]Opciones!$AQ:$AQ)</f>
        <v>#VALUE!</v>
      </c>
      <c r="AAM6" t="e">
        <f>+SUMIF([1]Cartera!$R:$R,$A6&amp;"_"&amp;AAM$11,[1]Cartera!$I:$I)+SUMIF([1]Futuros!$AD:$AD,$A6&amp;"_"&amp;AAM$11,[1]Futuros!$AK:$AK)+SUMIF([1]Opciones!$AF:$AF,$A6&amp;"_"&amp;AAM$11,[1]Opciones!$AQ:$AQ)</f>
        <v>#VALUE!</v>
      </c>
      <c r="AAN6" t="e">
        <f>+SUMIF([1]Cartera!$R:$R,$A6&amp;"_"&amp;AAN$11,[1]Cartera!$I:$I)+SUMIF([1]Futuros!$AD:$AD,$A6&amp;"_"&amp;AAN$11,[1]Futuros!$AK:$AK)+SUMIF([1]Opciones!$AF:$AF,$A6&amp;"_"&amp;AAN$11,[1]Opciones!$AQ:$AQ)</f>
        <v>#VALUE!</v>
      </c>
      <c r="AAO6" t="e">
        <f>+SUMIF([1]Cartera!$R:$R,$A6&amp;"_"&amp;AAO$11,[1]Cartera!$I:$I)+SUMIF([1]Futuros!$AD:$AD,$A6&amp;"_"&amp;AAO$11,[1]Futuros!$AK:$AK)+SUMIF([1]Opciones!$AF:$AF,$A6&amp;"_"&amp;AAO$11,[1]Opciones!$AQ:$AQ)</f>
        <v>#VALUE!</v>
      </c>
      <c r="AAP6" t="e">
        <f>+SUMIF([1]Cartera!$R:$R,$A6&amp;"_"&amp;AAP$11,[1]Cartera!$I:$I)+SUMIF([1]Futuros!$AD:$AD,$A6&amp;"_"&amp;AAP$11,[1]Futuros!$AK:$AK)+SUMIF([1]Opciones!$AF:$AF,$A6&amp;"_"&amp;AAP$11,[1]Opciones!$AQ:$AQ)</f>
        <v>#VALUE!</v>
      </c>
      <c r="AAQ6" t="e">
        <f>+SUMIF([1]Cartera!$R:$R,$A6&amp;"_"&amp;AAQ$11,[1]Cartera!$I:$I)+SUMIF([1]Futuros!$AD:$AD,$A6&amp;"_"&amp;AAQ$11,[1]Futuros!$AK:$AK)+SUMIF([1]Opciones!$AF:$AF,$A6&amp;"_"&amp;AAQ$11,[1]Opciones!$AQ:$AQ)</f>
        <v>#VALUE!</v>
      </c>
      <c r="AAR6" t="e">
        <f>+SUMIF([1]Cartera!$R:$R,$A6&amp;"_"&amp;AAR$11,[1]Cartera!$I:$I)+SUMIF([1]Futuros!$AD:$AD,$A6&amp;"_"&amp;AAR$11,[1]Futuros!$AK:$AK)+SUMIF([1]Opciones!$AF:$AF,$A6&amp;"_"&amp;AAR$11,[1]Opciones!$AQ:$AQ)</f>
        <v>#VALUE!</v>
      </c>
      <c r="AAS6" t="e">
        <f>+SUMIF([1]Cartera!$R:$R,$A6&amp;"_"&amp;AAS$11,[1]Cartera!$I:$I)+SUMIF([1]Futuros!$AD:$AD,$A6&amp;"_"&amp;AAS$11,[1]Futuros!$AK:$AK)+SUMIF([1]Opciones!$AF:$AF,$A6&amp;"_"&amp;AAS$11,[1]Opciones!$AQ:$AQ)</f>
        <v>#VALUE!</v>
      </c>
      <c r="AAT6" t="e">
        <f>+SUMIF([1]Cartera!$R:$R,$A6&amp;"_"&amp;AAT$11,[1]Cartera!$I:$I)+SUMIF([1]Futuros!$AD:$AD,$A6&amp;"_"&amp;AAT$11,[1]Futuros!$AK:$AK)+SUMIF([1]Opciones!$AF:$AF,$A6&amp;"_"&amp;AAT$11,[1]Opciones!$AQ:$AQ)</f>
        <v>#VALUE!</v>
      </c>
      <c r="AAU6" t="e">
        <f>+SUMIF([1]Cartera!$R:$R,$A6&amp;"_"&amp;AAU$11,[1]Cartera!$I:$I)+SUMIF([1]Futuros!$AD:$AD,$A6&amp;"_"&amp;AAU$11,[1]Futuros!$AK:$AK)+SUMIF([1]Opciones!$AF:$AF,$A6&amp;"_"&amp;AAU$11,[1]Opciones!$AQ:$AQ)</f>
        <v>#VALUE!</v>
      </c>
      <c r="AAV6" t="e">
        <f>+SUMIF([1]Cartera!$R:$R,$A6&amp;"_"&amp;AAV$11,[1]Cartera!$I:$I)+SUMIF([1]Futuros!$AD:$AD,$A6&amp;"_"&amp;AAV$11,[1]Futuros!$AK:$AK)+SUMIF([1]Opciones!$AF:$AF,$A6&amp;"_"&amp;AAV$11,[1]Opciones!$AQ:$AQ)</f>
        <v>#VALUE!</v>
      </c>
      <c r="AAW6" t="e">
        <f>+SUMIF([1]Cartera!$R:$R,$A6&amp;"_"&amp;AAW$11,[1]Cartera!$I:$I)+SUMIF([1]Futuros!$AD:$AD,$A6&amp;"_"&amp;AAW$11,[1]Futuros!$AK:$AK)+SUMIF([1]Opciones!$AF:$AF,$A6&amp;"_"&amp;AAW$11,[1]Opciones!$AQ:$AQ)</f>
        <v>#VALUE!</v>
      </c>
      <c r="AAX6" t="e">
        <f>+SUMIF([1]Cartera!$R:$R,$A6&amp;"_"&amp;AAX$11,[1]Cartera!$I:$I)+SUMIF([1]Futuros!$AD:$AD,$A6&amp;"_"&amp;AAX$11,[1]Futuros!$AK:$AK)+SUMIF([1]Opciones!$AF:$AF,$A6&amp;"_"&amp;AAX$11,[1]Opciones!$AQ:$AQ)</f>
        <v>#VALUE!</v>
      </c>
      <c r="AAY6" t="e">
        <f>+SUMIF([1]Cartera!$R:$R,$A6&amp;"_"&amp;AAY$11,[1]Cartera!$I:$I)+SUMIF([1]Futuros!$AD:$AD,$A6&amp;"_"&amp;AAY$11,[1]Futuros!$AK:$AK)+SUMIF([1]Opciones!$AF:$AF,$A6&amp;"_"&amp;AAY$11,[1]Opciones!$AQ:$AQ)</f>
        <v>#VALUE!</v>
      </c>
      <c r="AAZ6" t="e">
        <f>+SUMIF([1]Cartera!$R:$R,$A6&amp;"_"&amp;AAZ$11,[1]Cartera!$I:$I)+SUMIF([1]Futuros!$AD:$AD,$A6&amp;"_"&amp;AAZ$11,[1]Futuros!$AK:$AK)+SUMIF([1]Opciones!$AF:$AF,$A6&amp;"_"&amp;AAZ$11,[1]Opciones!$AQ:$AQ)</f>
        <v>#VALUE!</v>
      </c>
      <c r="ABA6" t="e">
        <f>+SUMIF([1]Cartera!$R:$R,$A6&amp;"_"&amp;ABA$11,[1]Cartera!$I:$I)+SUMIF([1]Futuros!$AD:$AD,$A6&amp;"_"&amp;ABA$11,[1]Futuros!$AK:$AK)+SUMIF([1]Opciones!$AF:$AF,$A6&amp;"_"&amp;ABA$11,[1]Opciones!$AQ:$AQ)</f>
        <v>#VALUE!</v>
      </c>
      <c r="ABB6" t="e">
        <f>+SUMIF([1]Cartera!$R:$R,$A6&amp;"_"&amp;ABB$11,[1]Cartera!$I:$I)+SUMIF([1]Futuros!$AD:$AD,$A6&amp;"_"&amp;ABB$11,[1]Futuros!$AK:$AK)+SUMIF([1]Opciones!$AF:$AF,$A6&amp;"_"&amp;ABB$11,[1]Opciones!$AQ:$AQ)</f>
        <v>#VALUE!</v>
      </c>
      <c r="ABC6" t="e">
        <f>+SUMIF([1]Cartera!$R:$R,$A6&amp;"_"&amp;ABC$11,[1]Cartera!$I:$I)+SUMIF([1]Futuros!$AD:$AD,$A6&amp;"_"&amp;ABC$11,[1]Futuros!$AK:$AK)+SUMIF([1]Opciones!$AF:$AF,$A6&amp;"_"&amp;ABC$11,[1]Opciones!$AQ:$AQ)</f>
        <v>#VALUE!</v>
      </c>
      <c r="ABD6" t="e">
        <f>+SUMIF([1]Cartera!$R:$R,$A6&amp;"_"&amp;ABD$11,[1]Cartera!$I:$I)+SUMIF([1]Futuros!$AD:$AD,$A6&amp;"_"&amp;ABD$11,[1]Futuros!$AK:$AK)+SUMIF([1]Opciones!$AF:$AF,$A6&amp;"_"&amp;ABD$11,[1]Opciones!$AQ:$AQ)</f>
        <v>#VALUE!</v>
      </c>
      <c r="ABE6" t="e">
        <f>+SUMIF([1]Cartera!$R:$R,$A6&amp;"_"&amp;ABE$11,[1]Cartera!$I:$I)+SUMIF([1]Futuros!$AD:$AD,$A6&amp;"_"&amp;ABE$11,[1]Futuros!$AK:$AK)+SUMIF([1]Opciones!$AF:$AF,$A6&amp;"_"&amp;ABE$11,[1]Opciones!$AQ:$AQ)</f>
        <v>#VALUE!</v>
      </c>
      <c r="ABF6" t="e">
        <f>+SUMIF([1]Cartera!$R:$R,$A6&amp;"_"&amp;ABF$11,[1]Cartera!$I:$I)+SUMIF([1]Futuros!$AD:$AD,$A6&amp;"_"&amp;ABF$11,[1]Futuros!$AK:$AK)+SUMIF([1]Opciones!$AF:$AF,$A6&amp;"_"&amp;ABF$11,[1]Opciones!$AQ:$AQ)</f>
        <v>#VALUE!</v>
      </c>
      <c r="ABG6" t="e">
        <f>+SUMIF([1]Cartera!$R:$R,$A6&amp;"_"&amp;ABG$11,[1]Cartera!$I:$I)+SUMIF([1]Futuros!$AD:$AD,$A6&amp;"_"&amp;ABG$11,[1]Futuros!$AK:$AK)+SUMIF([1]Opciones!$AF:$AF,$A6&amp;"_"&amp;ABG$11,[1]Opciones!$AQ:$AQ)</f>
        <v>#VALUE!</v>
      </c>
      <c r="ABH6" t="e">
        <f>+SUMIF([1]Cartera!$R:$R,$A6&amp;"_"&amp;ABH$11,[1]Cartera!$I:$I)+SUMIF([1]Futuros!$AD:$AD,$A6&amp;"_"&amp;ABH$11,[1]Futuros!$AK:$AK)+SUMIF([1]Opciones!$AF:$AF,$A6&amp;"_"&amp;ABH$11,[1]Opciones!$AQ:$AQ)</f>
        <v>#VALUE!</v>
      </c>
      <c r="ABI6" t="e">
        <f>+SUMIF([1]Cartera!$R:$R,$A6&amp;"_"&amp;ABI$11,[1]Cartera!$I:$I)+SUMIF([1]Futuros!$AD:$AD,$A6&amp;"_"&amp;ABI$11,[1]Futuros!$AK:$AK)+SUMIF([1]Opciones!$AF:$AF,$A6&amp;"_"&amp;ABI$11,[1]Opciones!$AQ:$AQ)</f>
        <v>#VALUE!</v>
      </c>
      <c r="ABJ6" t="e">
        <f>+SUMIF([1]Cartera!$R:$R,$A6&amp;"_"&amp;ABJ$11,[1]Cartera!$I:$I)+SUMIF([1]Futuros!$AD:$AD,$A6&amp;"_"&amp;ABJ$11,[1]Futuros!$AK:$AK)+SUMIF([1]Opciones!$AF:$AF,$A6&amp;"_"&amp;ABJ$11,[1]Opciones!$AQ:$AQ)</f>
        <v>#VALUE!</v>
      </c>
      <c r="ABK6" t="e">
        <f>+SUMIF([1]Cartera!$R:$R,$A6&amp;"_"&amp;ABK$11,[1]Cartera!$I:$I)+SUMIF([1]Futuros!$AD:$AD,$A6&amp;"_"&amp;ABK$11,[1]Futuros!$AK:$AK)+SUMIF([1]Opciones!$AF:$AF,$A6&amp;"_"&amp;ABK$11,[1]Opciones!$AQ:$AQ)</f>
        <v>#VALUE!</v>
      </c>
      <c r="ABL6" t="e">
        <f>+SUMIF([1]Cartera!$R:$R,$A6&amp;"_"&amp;ABL$11,[1]Cartera!$I:$I)+SUMIF([1]Futuros!$AD:$AD,$A6&amp;"_"&amp;ABL$11,[1]Futuros!$AK:$AK)+SUMIF([1]Opciones!$AF:$AF,$A6&amp;"_"&amp;ABL$11,[1]Opciones!$AQ:$AQ)</f>
        <v>#VALUE!</v>
      </c>
      <c r="ABM6" t="e">
        <f>+SUMIF([1]Cartera!$R:$R,$A6&amp;"_"&amp;ABM$11,[1]Cartera!$I:$I)+SUMIF([1]Futuros!$AD:$AD,$A6&amp;"_"&amp;ABM$11,[1]Futuros!$AK:$AK)+SUMIF([1]Opciones!$AF:$AF,$A6&amp;"_"&amp;ABM$11,[1]Opciones!$AQ:$AQ)</f>
        <v>#VALUE!</v>
      </c>
      <c r="ABN6" t="e">
        <f>+SUMIF([1]Cartera!$R:$R,$A6&amp;"_"&amp;ABN$11,[1]Cartera!$I:$I)+SUMIF([1]Futuros!$AD:$AD,$A6&amp;"_"&amp;ABN$11,[1]Futuros!$AK:$AK)+SUMIF([1]Opciones!$AF:$AF,$A6&amp;"_"&amp;ABN$11,[1]Opciones!$AQ:$AQ)</f>
        <v>#VALUE!</v>
      </c>
      <c r="ABO6" t="e">
        <f>+SUMIF([1]Cartera!$R:$R,$A6&amp;"_"&amp;ABO$11,[1]Cartera!$I:$I)+SUMIF([1]Futuros!$AD:$AD,$A6&amp;"_"&amp;ABO$11,[1]Futuros!$AK:$AK)+SUMIF([1]Opciones!$AF:$AF,$A6&amp;"_"&amp;ABO$11,[1]Opciones!$AQ:$AQ)</f>
        <v>#VALUE!</v>
      </c>
      <c r="ABP6" t="e">
        <f>+SUMIF([1]Cartera!$R:$R,$A6&amp;"_"&amp;ABP$11,[1]Cartera!$I:$I)+SUMIF([1]Futuros!$AD:$AD,$A6&amp;"_"&amp;ABP$11,[1]Futuros!$AK:$AK)+SUMIF([1]Opciones!$AF:$AF,$A6&amp;"_"&amp;ABP$11,[1]Opciones!$AQ:$AQ)</f>
        <v>#VALUE!</v>
      </c>
      <c r="ABQ6" t="e">
        <f>+SUMIF([1]Cartera!$R:$R,$A6&amp;"_"&amp;ABQ$11,[1]Cartera!$I:$I)+SUMIF([1]Futuros!$AD:$AD,$A6&amp;"_"&amp;ABQ$11,[1]Futuros!$AK:$AK)+SUMIF([1]Opciones!$AF:$AF,$A6&amp;"_"&amp;ABQ$11,[1]Opciones!$AQ:$AQ)</f>
        <v>#VALUE!</v>
      </c>
      <c r="ABR6" t="e">
        <f>+SUMIF([1]Cartera!$R:$R,$A6&amp;"_"&amp;ABR$11,[1]Cartera!$I:$I)+SUMIF([1]Futuros!$AD:$AD,$A6&amp;"_"&amp;ABR$11,[1]Futuros!$AK:$AK)+SUMIF([1]Opciones!$AF:$AF,$A6&amp;"_"&amp;ABR$11,[1]Opciones!$AQ:$AQ)</f>
        <v>#VALUE!</v>
      </c>
      <c r="ABS6" t="e">
        <f>+SUMIF([1]Cartera!$R:$R,$A6&amp;"_"&amp;ABS$11,[1]Cartera!$I:$I)+SUMIF([1]Futuros!$AD:$AD,$A6&amp;"_"&amp;ABS$11,[1]Futuros!$AK:$AK)+SUMIF([1]Opciones!$AF:$AF,$A6&amp;"_"&amp;ABS$11,[1]Opciones!$AQ:$AQ)</f>
        <v>#VALUE!</v>
      </c>
      <c r="ABT6" t="e">
        <f>+SUMIF([1]Cartera!$R:$R,$A6&amp;"_"&amp;ABT$11,[1]Cartera!$I:$I)+SUMIF([1]Futuros!$AD:$AD,$A6&amp;"_"&amp;ABT$11,[1]Futuros!$AK:$AK)+SUMIF([1]Opciones!$AF:$AF,$A6&amp;"_"&amp;ABT$11,[1]Opciones!$AQ:$AQ)</f>
        <v>#VALUE!</v>
      </c>
      <c r="ABU6" t="e">
        <f>+SUMIF([1]Cartera!$R:$R,$A6&amp;"_"&amp;ABU$11,[1]Cartera!$I:$I)+SUMIF([1]Futuros!$AD:$AD,$A6&amp;"_"&amp;ABU$11,[1]Futuros!$AK:$AK)+SUMIF([1]Opciones!$AF:$AF,$A6&amp;"_"&amp;ABU$11,[1]Opciones!$AQ:$AQ)</f>
        <v>#VALUE!</v>
      </c>
      <c r="ABV6" t="e">
        <f>+SUMIF([1]Cartera!$R:$R,$A6&amp;"_"&amp;ABV$11,[1]Cartera!$I:$I)+SUMIF([1]Futuros!$AD:$AD,$A6&amp;"_"&amp;ABV$11,[1]Futuros!$AK:$AK)+SUMIF([1]Opciones!$AF:$AF,$A6&amp;"_"&amp;ABV$11,[1]Opciones!$AQ:$AQ)</f>
        <v>#VALUE!</v>
      </c>
      <c r="ABW6" t="e">
        <f>+SUMIF([1]Cartera!$R:$R,$A6&amp;"_"&amp;ABW$11,[1]Cartera!$I:$I)+SUMIF([1]Futuros!$AD:$AD,$A6&amp;"_"&amp;ABW$11,[1]Futuros!$AK:$AK)+SUMIF([1]Opciones!$AF:$AF,$A6&amp;"_"&amp;ABW$11,[1]Opciones!$AQ:$AQ)</f>
        <v>#VALUE!</v>
      </c>
      <c r="ABX6" t="e">
        <f>+SUMIF([1]Cartera!$R:$R,$A6&amp;"_"&amp;ABX$11,[1]Cartera!$I:$I)+SUMIF([1]Futuros!$AD:$AD,$A6&amp;"_"&amp;ABX$11,[1]Futuros!$AK:$AK)+SUMIF([1]Opciones!$AF:$AF,$A6&amp;"_"&amp;ABX$11,[1]Opciones!$AQ:$AQ)</f>
        <v>#VALUE!</v>
      </c>
      <c r="ABY6" t="e">
        <f>+SUMIF([1]Cartera!$R:$R,$A6&amp;"_"&amp;ABY$11,[1]Cartera!$I:$I)+SUMIF([1]Futuros!$AD:$AD,$A6&amp;"_"&amp;ABY$11,[1]Futuros!$AK:$AK)+SUMIF([1]Opciones!$AF:$AF,$A6&amp;"_"&amp;ABY$11,[1]Opciones!$AQ:$AQ)</f>
        <v>#VALUE!</v>
      </c>
      <c r="ABZ6" t="e">
        <f>+SUMIF([1]Cartera!$R:$R,$A6&amp;"_"&amp;ABZ$11,[1]Cartera!$I:$I)+SUMIF([1]Futuros!$AD:$AD,$A6&amp;"_"&amp;ABZ$11,[1]Futuros!$AK:$AK)+SUMIF([1]Opciones!$AF:$AF,$A6&amp;"_"&amp;ABZ$11,[1]Opciones!$AQ:$AQ)</f>
        <v>#VALUE!</v>
      </c>
      <c r="ACA6" t="e">
        <f>+SUMIF([1]Cartera!$R:$R,$A6&amp;"_"&amp;ACA$11,[1]Cartera!$I:$I)+SUMIF([1]Futuros!$AD:$AD,$A6&amp;"_"&amp;ACA$11,[1]Futuros!$AK:$AK)+SUMIF([1]Opciones!$AF:$AF,$A6&amp;"_"&amp;ACA$11,[1]Opciones!$AQ:$AQ)</f>
        <v>#VALUE!</v>
      </c>
      <c r="ACB6" t="e">
        <f>+SUMIF([1]Cartera!$R:$R,$A6&amp;"_"&amp;ACB$11,[1]Cartera!$I:$I)+SUMIF([1]Futuros!$AD:$AD,$A6&amp;"_"&amp;ACB$11,[1]Futuros!$AK:$AK)+SUMIF([1]Opciones!$AF:$AF,$A6&amp;"_"&amp;ACB$11,[1]Opciones!$AQ:$AQ)</f>
        <v>#VALUE!</v>
      </c>
      <c r="ACC6" t="e">
        <f>+SUMIF([1]Cartera!$R:$R,$A6&amp;"_"&amp;ACC$11,[1]Cartera!$I:$I)+SUMIF([1]Futuros!$AD:$AD,$A6&amp;"_"&amp;ACC$11,[1]Futuros!$AK:$AK)+SUMIF([1]Opciones!$AF:$AF,$A6&amp;"_"&amp;ACC$11,[1]Opciones!$AQ:$AQ)</f>
        <v>#VALUE!</v>
      </c>
      <c r="ACD6" t="e">
        <f>+SUMIF([1]Cartera!$R:$R,$A6&amp;"_"&amp;ACD$11,[1]Cartera!$I:$I)+SUMIF([1]Futuros!$AD:$AD,$A6&amp;"_"&amp;ACD$11,[1]Futuros!$AK:$AK)+SUMIF([1]Opciones!$AF:$AF,$A6&amp;"_"&amp;ACD$11,[1]Opciones!$AQ:$AQ)</f>
        <v>#VALUE!</v>
      </c>
      <c r="ACE6" t="e">
        <f>+SUMIF([1]Cartera!$R:$R,$A6&amp;"_"&amp;ACE$11,[1]Cartera!$I:$I)+SUMIF([1]Futuros!$AD:$AD,$A6&amp;"_"&amp;ACE$11,[1]Futuros!$AK:$AK)+SUMIF([1]Opciones!$AF:$AF,$A6&amp;"_"&amp;ACE$11,[1]Opciones!$AQ:$AQ)</f>
        <v>#VALUE!</v>
      </c>
      <c r="ACF6" t="e">
        <f>+SUMIF([1]Cartera!$R:$R,$A6&amp;"_"&amp;ACF$11,[1]Cartera!$I:$I)+SUMIF([1]Futuros!$AD:$AD,$A6&amp;"_"&amp;ACF$11,[1]Futuros!$AK:$AK)+SUMIF([1]Opciones!$AF:$AF,$A6&amp;"_"&amp;ACF$11,[1]Opciones!$AQ:$AQ)</f>
        <v>#VALUE!</v>
      </c>
      <c r="ACG6" t="e">
        <f>+SUMIF([1]Cartera!$R:$R,$A6&amp;"_"&amp;ACG$11,[1]Cartera!$I:$I)+SUMIF([1]Futuros!$AD:$AD,$A6&amp;"_"&amp;ACG$11,[1]Futuros!$AK:$AK)+SUMIF([1]Opciones!$AF:$AF,$A6&amp;"_"&amp;ACG$11,[1]Opciones!$AQ:$AQ)</f>
        <v>#VALUE!</v>
      </c>
      <c r="ACH6" t="e">
        <f>+SUMIF([1]Cartera!$R:$R,$A6&amp;"_"&amp;ACH$11,[1]Cartera!$I:$I)+SUMIF([1]Futuros!$AD:$AD,$A6&amp;"_"&amp;ACH$11,[1]Futuros!$AK:$AK)+SUMIF([1]Opciones!$AF:$AF,$A6&amp;"_"&amp;ACH$11,[1]Opciones!$AQ:$AQ)</f>
        <v>#VALUE!</v>
      </c>
      <c r="ACI6" t="e">
        <f>+SUMIF([1]Cartera!$R:$R,$A6&amp;"_"&amp;ACI$11,[1]Cartera!$I:$I)+SUMIF([1]Futuros!$AD:$AD,$A6&amp;"_"&amp;ACI$11,[1]Futuros!$AK:$AK)+SUMIF([1]Opciones!$AF:$AF,$A6&amp;"_"&amp;ACI$11,[1]Opciones!$AQ:$AQ)</f>
        <v>#VALUE!</v>
      </c>
      <c r="ACJ6" t="e">
        <f>+SUMIF([1]Cartera!$R:$R,$A6&amp;"_"&amp;ACJ$11,[1]Cartera!$I:$I)+SUMIF([1]Futuros!$AD:$AD,$A6&amp;"_"&amp;ACJ$11,[1]Futuros!$AK:$AK)+SUMIF([1]Opciones!$AF:$AF,$A6&amp;"_"&amp;ACJ$11,[1]Opciones!$AQ:$AQ)</f>
        <v>#VALUE!</v>
      </c>
      <c r="ACK6" t="e">
        <f>+SUMIF([1]Cartera!$R:$R,$A6&amp;"_"&amp;ACK$11,[1]Cartera!$I:$I)+SUMIF([1]Futuros!$AD:$AD,$A6&amp;"_"&amp;ACK$11,[1]Futuros!$AK:$AK)+SUMIF([1]Opciones!$AF:$AF,$A6&amp;"_"&amp;ACK$11,[1]Opciones!$AQ:$AQ)</f>
        <v>#VALUE!</v>
      </c>
      <c r="ACL6" t="e">
        <f>+SUMIF([1]Cartera!$R:$R,$A6&amp;"_"&amp;ACL$11,[1]Cartera!$I:$I)+SUMIF([1]Futuros!$AD:$AD,$A6&amp;"_"&amp;ACL$11,[1]Futuros!$AK:$AK)+SUMIF([1]Opciones!$AF:$AF,$A6&amp;"_"&amp;ACL$11,[1]Opciones!$AQ:$AQ)</f>
        <v>#VALUE!</v>
      </c>
      <c r="ACM6" t="e">
        <f>+SUMIF([1]Cartera!$R:$R,$A6&amp;"_"&amp;ACM$11,[1]Cartera!$I:$I)+SUMIF([1]Futuros!$AD:$AD,$A6&amp;"_"&amp;ACM$11,[1]Futuros!$AK:$AK)+SUMIF([1]Opciones!$AF:$AF,$A6&amp;"_"&amp;ACM$11,[1]Opciones!$AQ:$AQ)</f>
        <v>#VALUE!</v>
      </c>
      <c r="ACN6" t="e">
        <f>+SUMIF([1]Cartera!$R:$R,$A6&amp;"_"&amp;ACN$11,[1]Cartera!$I:$I)+SUMIF([1]Futuros!$AD:$AD,$A6&amp;"_"&amp;ACN$11,[1]Futuros!$AK:$AK)+SUMIF([1]Opciones!$AF:$AF,$A6&amp;"_"&amp;ACN$11,[1]Opciones!$AQ:$AQ)</f>
        <v>#VALUE!</v>
      </c>
      <c r="ACO6" t="e">
        <f>+SUMIF([1]Cartera!$R:$R,$A6&amp;"_"&amp;ACO$11,[1]Cartera!$I:$I)+SUMIF([1]Futuros!$AD:$AD,$A6&amp;"_"&amp;ACO$11,[1]Futuros!$AK:$AK)+SUMIF([1]Opciones!$AF:$AF,$A6&amp;"_"&amp;ACO$11,[1]Opciones!$AQ:$AQ)</f>
        <v>#VALUE!</v>
      </c>
      <c r="ACP6" t="e">
        <f>+SUMIF([1]Cartera!$R:$R,$A6&amp;"_"&amp;ACP$11,[1]Cartera!$I:$I)+SUMIF([1]Futuros!$AD:$AD,$A6&amp;"_"&amp;ACP$11,[1]Futuros!$AK:$AK)+SUMIF([1]Opciones!$AF:$AF,$A6&amp;"_"&amp;ACP$11,[1]Opciones!$AQ:$AQ)</f>
        <v>#VALUE!</v>
      </c>
      <c r="ACQ6" t="e">
        <f>+SUMIF([1]Cartera!$R:$R,$A6&amp;"_"&amp;ACQ$11,[1]Cartera!$I:$I)+SUMIF([1]Futuros!$AD:$AD,$A6&amp;"_"&amp;ACQ$11,[1]Futuros!$AK:$AK)+SUMIF([1]Opciones!$AF:$AF,$A6&amp;"_"&amp;ACQ$11,[1]Opciones!$AQ:$AQ)</f>
        <v>#VALUE!</v>
      </c>
      <c r="ACR6" t="e">
        <f>+SUMIF([1]Cartera!$R:$R,$A6&amp;"_"&amp;ACR$11,[1]Cartera!$I:$I)+SUMIF([1]Futuros!$AD:$AD,$A6&amp;"_"&amp;ACR$11,[1]Futuros!$AK:$AK)+SUMIF([1]Opciones!$AF:$AF,$A6&amp;"_"&amp;ACR$11,[1]Opciones!$AQ:$AQ)</f>
        <v>#VALUE!</v>
      </c>
      <c r="ACS6" t="e">
        <f>+SUMIF([1]Cartera!$R:$R,$A6&amp;"_"&amp;ACS$11,[1]Cartera!$I:$I)+SUMIF([1]Futuros!$AD:$AD,$A6&amp;"_"&amp;ACS$11,[1]Futuros!$AK:$AK)+SUMIF([1]Opciones!$AF:$AF,$A6&amp;"_"&amp;ACS$11,[1]Opciones!$AQ:$AQ)</f>
        <v>#VALUE!</v>
      </c>
      <c r="ACT6" t="e">
        <f>+SUMIF([1]Cartera!$R:$R,$A6&amp;"_"&amp;ACT$11,[1]Cartera!$I:$I)+SUMIF([1]Futuros!$AD:$AD,$A6&amp;"_"&amp;ACT$11,[1]Futuros!$AK:$AK)+SUMIF([1]Opciones!$AF:$AF,$A6&amp;"_"&amp;ACT$11,[1]Opciones!$AQ:$AQ)</f>
        <v>#VALUE!</v>
      </c>
      <c r="ACU6" t="e">
        <f>+SUMIF([1]Cartera!$R:$R,$A6&amp;"_"&amp;ACU$11,[1]Cartera!$I:$I)+SUMIF([1]Futuros!$AD:$AD,$A6&amp;"_"&amp;ACU$11,[1]Futuros!$AK:$AK)+SUMIF([1]Opciones!$AF:$AF,$A6&amp;"_"&amp;ACU$11,[1]Opciones!$AQ:$AQ)</f>
        <v>#VALUE!</v>
      </c>
      <c r="ACV6" t="e">
        <f>+SUMIF([1]Cartera!$R:$R,$A6&amp;"_"&amp;ACV$11,[1]Cartera!$I:$I)+SUMIF([1]Futuros!$AD:$AD,$A6&amp;"_"&amp;ACV$11,[1]Futuros!$AK:$AK)+SUMIF([1]Opciones!$AF:$AF,$A6&amp;"_"&amp;ACV$11,[1]Opciones!$AQ:$AQ)</f>
        <v>#VALUE!</v>
      </c>
      <c r="ACW6" t="e">
        <f>+SUMIF([1]Cartera!$R:$R,$A6&amp;"_"&amp;ACW$11,[1]Cartera!$I:$I)+SUMIF([1]Futuros!$AD:$AD,$A6&amp;"_"&amp;ACW$11,[1]Futuros!$AK:$AK)+SUMIF([1]Opciones!$AF:$AF,$A6&amp;"_"&amp;ACW$11,[1]Opciones!$AQ:$AQ)</f>
        <v>#VALUE!</v>
      </c>
      <c r="ACX6" t="e">
        <f>+SUMIF([1]Cartera!$R:$R,$A6&amp;"_"&amp;ACX$11,[1]Cartera!$I:$I)+SUMIF([1]Futuros!$AD:$AD,$A6&amp;"_"&amp;ACX$11,[1]Futuros!$AK:$AK)+SUMIF([1]Opciones!$AF:$AF,$A6&amp;"_"&amp;ACX$11,[1]Opciones!$AQ:$AQ)</f>
        <v>#VALUE!</v>
      </c>
      <c r="ACY6" t="e">
        <f>+SUMIF([1]Cartera!$R:$R,$A6&amp;"_"&amp;ACY$11,[1]Cartera!$I:$I)+SUMIF([1]Futuros!$AD:$AD,$A6&amp;"_"&amp;ACY$11,[1]Futuros!$AK:$AK)+SUMIF([1]Opciones!$AF:$AF,$A6&amp;"_"&amp;ACY$11,[1]Opciones!$AQ:$AQ)</f>
        <v>#VALUE!</v>
      </c>
      <c r="ACZ6" t="e">
        <f>+SUMIF([1]Cartera!$R:$R,$A6&amp;"_"&amp;ACZ$11,[1]Cartera!$I:$I)+SUMIF([1]Futuros!$AD:$AD,$A6&amp;"_"&amp;ACZ$11,[1]Futuros!$AK:$AK)+SUMIF([1]Opciones!$AF:$AF,$A6&amp;"_"&amp;ACZ$11,[1]Opciones!$AQ:$AQ)</f>
        <v>#VALUE!</v>
      </c>
      <c r="ADA6" t="e">
        <f>+SUMIF([1]Cartera!$R:$R,$A6&amp;"_"&amp;ADA$11,[1]Cartera!$I:$I)+SUMIF([1]Futuros!$AD:$AD,$A6&amp;"_"&amp;ADA$11,[1]Futuros!$AK:$AK)+SUMIF([1]Opciones!$AF:$AF,$A6&amp;"_"&amp;ADA$11,[1]Opciones!$AQ:$AQ)</f>
        <v>#VALUE!</v>
      </c>
      <c r="ADB6" t="e">
        <f>+SUMIF([1]Cartera!$R:$R,$A6&amp;"_"&amp;ADB$11,[1]Cartera!$I:$I)+SUMIF([1]Futuros!$AD:$AD,$A6&amp;"_"&amp;ADB$11,[1]Futuros!$AK:$AK)+SUMIF([1]Opciones!$AF:$AF,$A6&amp;"_"&amp;ADB$11,[1]Opciones!$AQ:$AQ)</f>
        <v>#VALUE!</v>
      </c>
      <c r="ADC6" t="e">
        <f>+SUMIF([1]Cartera!$R:$R,$A6&amp;"_"&amp;ADC$11,[1]Cartera!$I:$I)+SUMIF([1]Futuros!$AD:$AD,$A6&amp;"_"&amp;ADC$11,[1]Futuros!$AK:$AK)+SUMIF([1]Opciones!$AF:$AF,$A6&amp;"_"&amp;ADC$11,[1]Opciones!$AQ:$AQ)</f>
        <v>#VALUE!</v>
      </c>
      <c r="ADD6" t="e">
        <f>+SUMIF([1]Cartera!$R:$R,$A6&amp;"_"&amp;ADD$11,[1]Cartera!$I:$I)+SUMIF([1]Futuros!$AD:$AD,$A6&amp;"_"&amp;ADD$11,[1]Futuros!$AK:$AK)+SUMIF([1]Opciones!$AF:$AF,$A6&amp;"_"&amp;ADD$11,[1]Opciones!$AQ:$AQ)</f>
        <v>#VALUE!</v>
      </c>
      <c r="ADE6" t="e">
        <f>+SUMIF([1]Cartera!$R:$R,$A6&amp;"_"&amp;ADE$11,[1]Cartera!$I:$I)+SUMIF([1]Futuros!$AD:$AD,$A6&amp;"_"&amp;ADE$11,[1]Futuros!$AK:$AK)+SUMIF([1]Opciones!$AF:$AF,$A6&amp;"_"&amp;ADE$11,[1]Opciones!$AQ:$AQ)</f>
        <v>#VALUE!</v>
      </c>
      <c r="ADF6" t="e">
        <f>+SUMIF([1]Cartera!$R:$R,$A6&amp;"_"&amp;ADF$11,[1]Cartera!$I:$I)+SUMIF([1]Futuros!$AD:$AD,$A6&amp;"_"&amp;ADF$11,[1]Futuros!$AK:$AK)+SUMIF([1]Opciones!$AF:$AF,$A6&amp;"_"&amp;ADF$11,[1]Opciones!$AQ:$AQ)</f>
        <v>#VALUE!</v>
      </c>
      <c r="ADG6" t="e">
        <f>+SUMIF([1]Cartera!$R:$R,$A6&amp;"_"&amp;ADG$11,[1]Cartera!$I:$I)+SUMIF([1]Futuros!$AD:$AD,$A6&amp;"_"&amp;ADG$11,[1]Futuros!$AK:$AK)+SUMIF([1]Opciones!$AF:$AF,$A6&amp;"_"&amp;ADG$11,[1]Opciones!$AQ:$AQ)</f>
        <v>#VALUE!</v>
      </c>
      <c r="ADH6" t="e">
        <f>+SUMIF([1]Cartera!$R:$R,$A6&amp;"_"&amp;ADH$11,[1]Cartera!$I:$I)+SUMIF([1]Futuros!$AD:$AD,$A6&amp;"_"&amp;ADH$11,[1]Futuros!$AK:$AK)+SUMIF([1]Opciones!$AF:$AF,$A6&amp;"_"&amp;ADH$11,[1]Opciones!$AQ:$AQ)</f>
        <v>#VALUE!</v>
      </c>
      <c r="ADI6" t="e">
        <f>+SUMIF([1]Cartera!$R:$R,$A6&amp;"_"&amp;ADI$11,[1]Cartera!$I:$I)+SUMIF([1]Futuros!$AD:$AD,$A6&amp;"_"&amp;ADI$11,[1]Futuros!$AK:$AK)+SUMIF([1]Opciones!$AF:$AF,$A6&amp;"_"&amp;ADI$11,[1]Opciones!$AQ:$AQ)</f>
        <v>#VALUE!</v>
      </c>
      <c r="ADJ6" t="e">
        <f>+SUMIF([1]Cartera!$R:$R,$A6&amp;"_"&amp;ADJ$11,[1]Cartera!$I:$I)+SUMIF([1]Futuros!$AD:$AD,$A6&amp;"_"&amp;ADJ$11,[1]Futuros!$AK:$AK)+SUMIF([1]Opciones!$AF:$AF,$A6&amp;"_"&amp;ADJ$11,[1]Opciones!$AQ:$AQ)</f>
        <v>#VALUE!</v>
      </c>
      <c r="ADK6" t="e">
        <f>+SUMIF([1]Cartera!$R:$R,$A6&amp;"_"&amp;ADK$11,[1]Cartera!$I:$I)+SUMIF([1]Futuros!$AD:$AD,$A6&amp;"_"&amp;ADK$11,[1]Futuros!$AK:$AK)+SUMIF([1]Opciones!$AF:$AF,$A6&amp;"_"&amp;ADK$11,[1]Opciones!$AQ:$AQ)</f>
        <v>#VALUE!</v>
      </c>
      <c r="ADL6" t="e">
        <f>+SUMIF([1]Cartera!$R:$R,$A6&amp;"_"&amp;ADL$11,[1]Cartera!$I:$I)+SUMIF([1]Futuros!$AD:$AD,$A6&amp;"_"&amp;ADL$11,[1]Futuros!$AK:$AK)+SUMIF([1]Opciones!$AF:$AF,$A6&amp;"_"&amp;ADL$11,[1]Opciones!$AQ:$AQ)</f>
        <v>#VALUE!</v>
      </c>
      <c r="ADM6" t="e">
        <f>+SUMIF([1]Cartera!$R:$R,$A6&amp;"_"&amp;ADM$11,[1]Cartera!$I:$I)+SUMIF([1]Futuros!$AD:$AD,$A6&amp;"_"&amp;ADM$11,[1]Futuros!$AK:$AK)+SUMIF([1]Opciones!$AF:$AF,$A6&amp;"_"&amp;ADM$11,[1]Opciones!$AQ:$AQ)</f>
        <v>#VALUE!</v>
      </c>
      <c r="ADN6" t="e">
        <f>+SUMIF([1]Cartera!$R:$R,$A6&amp;"_"&amp;ADN$11,[1]Cartera!$I:$I)+SUMIF([1]Futuros!$AD:$AD,$A6&amp;"_"&amp;ADN$11,[1]Futuros!$AK:$AK)+SUMIF([1]Opciones!$AF:$AF,$A6&amp;"_"&amp;ADN$11,[1]Opciones!$AQ:$AQ)</f>
        <v>#VALUE!</v>
      </c>
      <c r="ADO6" t="e">
        <f>+SUMIF([1]Cartera!$R:$R,$A6&amp;"_"&amp;ADO$11,[1]Cartera!$I:$I)+SUMIF([1]Futuros!$AD:$AD,$A6&amp;"_"&amp;ADO$11,[1]Futuros!$AK:$AK)+SUMIF([1]Opciones!$AF:$AF,$A6&amp;"_"&amp;ADO$11,[1]Opciones!$AQ:$AQ)</f>
        <v>#VALUE!</v>
      </c>
      <c r="ADP6" t="e">
        <f>+SUMIF([1]Cartera!$R:$R,$A6&amp;"_"&amp;ADP$11,[1]Cartera!$I:$I)+SUMIF([1]Futuros!$AD:$AD,$A6&amp;"_"&amp;ADP$11,[1]Futuros!$AK:$AK)+SUMIF([1]Opciones!$AF:$AF,$A6&amp;"_"&amp;ADP$11,[1]Opciones!$AQ:$AQ)</f>
        <v>#VALUE!</v>
      </c>
      <c r="ADQ6" t="e">
        <f>+SUMIF([1]Cartera!$R:$R,$A6&amp;"_"&amp;ADQ$11,[1]Cartera!$I:$I)+SUMIF([1]Futuros!$AD:$AD,$A6&amp;"_"&amp;ADQ$11,[1]Futuros!$AK:$AK)+SUMIF([1]Opciones!$AF:$AF,$A6&amp;"_"&amp;ADQ$11,[1]Opciones!$AQ:$AQ)</f>
        <v>#VALUE!</v>
      </c>
      <c r="ADR6" t="e">
        <f>+SUMIF([1]Cartera!$R:$R,$A6&amp;"_"&amp;ADR$11,[1]Cartera!$I:$I)+SUMIF([1]Futuros!$AD:$AD,$A6&amp;"_"&amp;ADR$11,[1]Futuros!$AK:$AK)+SUMIF([1]Opciones!$AF:$AF,$A6&amp;"_"&amp;ADR$11,[1]Opciones!$AQ:$AQ)</f>
        <v>#VALUE!</v>
      </c>
      <c r="ADS6" t="e">
        <f>+SUMIF([1]Cartera!$R:$R,$A6&amp;"_"&amp;ADS$11,[1]Cartera!$I:$I)+SUMIF([1]Futuros!$AD:$AD,$A6&amp;"_"&amp;ADS$11,[1]Futuros!$AK:$AK)+SUMIF([1]Opciones!$AF:$AF,$A6&amp;"_"&amp;ADS$11,[1]Opciones!$AQ:$AQ)</f>
        <v>#VALUE!</v>
      </c>
      <c r="ADT6" t="e">
        <f>+SUMIF([1]Cartera!$R:$R,$A6&amp;"_"&amp;ADT$11,[1]Cartera!$I:$I)+SUMIF([1]Futuros!$AD:$AD,$A6&amp;"_"&amp;ADT$11,[1]Futuros!$AK:$AK)+SUMIF([1]Opciones!$AF:$AF,$A6&amp;"_"&amp;ADT$11,[1]Opciones!$AQ:$AQ)</f>
        <v>#VALUE!</v>
      </c>
      <c r="ADU6" t="e">
        <f>+SUMIF([1]Cartera!$R:$R,$A6&amp;"_"&amp;ADU$11,[1]Cartera!$I:$I)+SUMIF([1]Futuros!$AD:$AD,$A6&amp;"_"&amp;ADU$11,[1]Futuros!$AK:$AK)+SUMIF([1]Opciones!$AF:$AF,$A6&amp;"_"&amp;ADU$11,[1]Opciones!$AQ:$AQ)</f>
        <v>#VALUE!</v>
      </c>
      <c r="ADV6" t="e">
        <f>+SUMIF([1]Cartera!$R:$R,$A6&amp;"_"&amp;ADV$11,[1]Cartera!$I:$I)+SUMIF([1]Futuros!$AD:$AD,$A6&amp;"_"&amp;ADV$11,[1]Futuros!$AK:$AK)+SUMIF([1]Opciones!$AF:$AF,$A6&amp;"_"&amp;ADV$11,[1]Opciones!$AQ:$AQ)</f>
        <v>#VALUE!</v>
      </c>
      <c r="ADW6" t="e">
        <f>+SUMIF([1]Cartera!$R:$R,$A6&amp;"_"&amp;ADW$11,[1]Cartera!$I:$I)+SUMIF([1]Futuros!$AD:$AD,$A6&amp;"_"&amp;ADW$11,[1]Futuros!$AK:$AK)+SUMIF([1]Opciones!$AF:$AF,$A6&amp;"_"&amp;ADW$11,[1]Opciones!$AQ:$AQ)</f>
        <v>#VALUE!</v>
      </c>
      <c r="ADX6" t="e">
        <f>+SUMIF([1]Cartera!$R:$R,$A6&amp;"_"&amp;ADX$11,[1]Cartera!$I:$I)+SUMIF([1]Futuros!$AD:$AD,$A6&amp;"_"&amp;ADX$11,[1]Futuros!$AK:$AK)+SUMIF([1]Opciones!$AF:$AF,$A6&amp;"_"&amp;ADX$11,[1]Opciones!$AQ:$AQ)</f>
        <v>#VALUE!</v>
      </c>
      <c r="ADY6" t="e">
        <f>+SUMIF([1]Cartera!$R:$R,$A6&amp;"_"&amp;ADY$11,[1]Cartera!$I:$I)+SUMIF([1]Futuros!$AD:$AD,$A6&amp;"_"&amp;ADY$11,[1]Futuros!$AK:$AK)+SUMIF([1]Opciones!$AF:$AF,$A6&amp;"_"&amp;ADY$11,[1]Opciones!$AQ:$AQ)</f>
        <v>#VALUE!</v>
      </c>
      <c r="ADZ6" t="e">
        <f>+SUMIF([1]Cartera!$R:$R,$A6&amp;"_"&amp;ADZ$11,[1]Cartera!$I:$I)+SUMIF([1]Futuros!$AD:$AD,$A6&amp;"_"&amp;ADZ$11,[1]Futuros!$AK:$AK)+SUMIF([1]Opciones!$AF:$AF,$A6&amp;"_"&amp;ADZ$11,[1]Opciones!$AQ:$AQ)</f>
        <v>#VALUE!</v>
      </c>
      <c r="AEA6" t="e">
        <f>+SUMIF([1]Cartera!$R:$R,$A6&amp;"_"&amp;AEA$11,[1]Cartera!$I:$I)+SUMIF([1]Futuros!$AD:$AD,$A6&amp;"_"&amp;AEA$11,[1]Futuros!$AK:$AK)+SUMIF([1]Opciones!$AF:$AF,$A6&amp;"_"&amp;AEA$11,[1]Opciones!$AQ:$AQ)</f>
        <v>#VALUE!</v>
      </c>
      <c r="AEB6" t="e">
        <f>+SUMIF([1]Cartera!$R:$R,$A6&amp;"_"&amp;AEB$11,[1]Cartera!$I:$I)+SUMIF([1]Futuros!$AD:$AD,$A6&amp;"_"&amp;AEB$11,[1]Futuros!$AK:$AK)+SUMIF([1]Opciones!$AF:$AF,$A6&amp;"_"&amp;AEB$11,[1]Opciones!$AQ:$AQ)</f>
        <v>#VALUE!</v>
      </c>
      <c r="AEC6" t="e">
        <f>+SUMIF([1]Cartera!$R:$R,$A6&amp;"_"&amp;AEC$11,[1]Cartera!$I:$I)+SUMIF([1]Futuros!$AD:$AD,$A6&amp;"_"&amp;AEC$11,[1]Futuros!$AK:$AK)+SUMIF([1]Opciones!$AF:$AF,$A6&amp;"_"&amp;AEC$11,[1]Opciones!$AQ:$AQ)</f>
        <v>#VALUE!</v>
      </c>
      <c r="AED6" t="e">
        <f>+SUMIF([1]Cartera!$R:$R,$A6&amp;"_"&amp;AED$11,[1]Cartera!$I:$I)+SUMIF([1]Futuros!$AD:$AD,$A6&amp;"_"&amp;AED$11,[1]Futuros!$AK:$AK)+SUMIF([1]Opciones!$AF:$AF,$A6&amp;"_"&amp;AED$11,[1]Opciones!$AQ:$AQ)</f>
        <v>#VALUE!</v>
      </c>
      <c r="AEE6" t="e">
        <f>+SUMIF([1]Cartera!$R:$R,$A6&amp;"_"&amp;AEE$11,[1]Cartera!$I:$I)+SUMIF([1]Futuros!$AD:$AD,$A6&amp;"_"&amp;AEE$11,[1]Futuros!$AK:$AK)+SUMIF([1]Opciones!$AF:$AF,$A6&amp;"_"&amp;AEE$11,[1]Opciones!$AQ:$AQ)</f>
        <v>#VALUE!</v>
      </c>
      <c r="AEF6" t="e">
        <f>+SUMIF([1]Cartera!$R:$R,$A6&amp;"_"&amp;AEF$11,[1]Cartera!$I:$I)+SUMIF([1]Futuros!$AD:$AD,$A6&amp;"_"&amp;AEF$11,[1]Futuros!$AK:$AK)+SUMIF([1]Opciones!$AF:$AF,$A6&amp;"_"&amp;AEF$11,[1]Opciones!$AQ:$AQ)</f>
        <v>#VALUE!</v>
      </c>
      <c r="AEG6" t="e">
        <f>+SUMIF([1]Cartera!$R:$R,$A6&amp;"_"&amp;AEG$11,[1]Cartera!$I:$I)+SUMIF([1]Futuros!$AD:$AD,$A6&amp;"_"&amp;AEG$11,[1]Futuros!$AK:$AK)+SUMIF([1]Opciones!$AF:$AF,$A6&amp;"_"&amp;AEG$11,[1]Opciones!$AQ:$AQ)</f>
        <v>#VALUE!</v>
      </c>
      <c r="AEH6" t="e">
        <f>+SUMIF([1]Cartera!$R:$R,$A6&amp;"_"&amp;AEH$11,[1]Cartera!$I:$I)+SUMIF([1]Futuros!$AD:$AD,$A6&amp;"_"&amp;AEH$11,[1]Futuros!$AK:$AK)+SUMIF([1]Opciones!$AF:$AF,$A6&amp;"_"&amp;AEH$11,[1]Opciones!$AQ:$AQ)</f>
        <v>#VALUE!</v>
      </c>
      <c r="AEI6" t="e">
        <f>+SUMIF([1]Cartera!$R:$R,$A6&amp;"_"&amp;AEI$11,[1]Cartera!$I:$I)+SUMIF([1]Futuros!$AD:$AD,$A6&amp;"_"&amp;AEI$11,[1]Futuros!$AK:$AK)+SUMIF([1]Opciones!$AF:$AF,$A6&amp;"_"&amp;AEI$11,[1]Opciones!$AQ:$AQ)</f>
        <v>#VALUE!</v>
      </c>
      <c r="AEJ6" t="e">
        <f>+SUMIF([1]Cartera!$R:$R,$A6&amp;"_"&amp;AEJ$11,[1]Cartera!$I:$I)+SUMIF([1]Futuros!$AD:$AD,$A6&amp;"_"&amp;AEJ$11,[1]Futuros!$AK:$AK)+SUMIF([1]Opciones!$AF:$AF,$A6&amp;"_"&amp;AEJ$11,[1]Opciones!$AQ:$AQ)</f>
        <v>#VALUE!</v>
      </c>
      <c r="AEK6" t="e">
        <f>+SUMIF([1]Cartera!$R:$R,$A6&amp;"_"&amp;AEK$11,[1]Cartera!$I:$I)+SUMIF([1]Futuros!$AD:$AD,$A6&amp;"_"&amp;AEK$11,[1]Futuros!$AK:$AK)+SUMIF([1]Opciones!$AF:$AF,$A6&amp;"_"&amp;AEK$11,[1]Opciones!$AQ:$AQ)</f>
        <v>#VALUE!</v>
      </c>
      <c r="AEL6" t="e">
        <f>+SUMIF([1]Cartera!$R:$R,$A6&amp;"_"&amp;AEL$11,[1]Cartera!$I:$I)+SUMIF([1]Futuros!$AD:$AD,$A6&amp;"_"&amp;AEL$11,[1]Futuros!$AK:$AK)+SUMIF([1]Opciones!$AF:$AF,$A6&amp;"_"&amp;AEL$11,[1]Opciones!$AQ:$AQ)</f>
        <v>#VALUE!</v>
      </c>
      <c r="AEM6" t="e">
        <f>+SUMIF([1]Cartera!$R:$R,$A6&amp;"_"&amp;AEM$11,[1]Cartera!$I:$I)+SUMIF([1]Futuros!$AD:$AD,$A6&amp;"_"&amp;AEM$11,[1]Futuros!$AK:$AK)+SUMIF([1]Opciones!$AF:$AF,$A6&amp;"_"&amp;AEM$11,[1]Opciones!$AQ:$AQ)</f>
        <v>#VALUE!</v>
      </c>
      <c r="AEN6" t="e">
        <f>+SUMIF([1]Cartera!$R:$R,$A6&amp;"_"&amp;AEN$11,[1]Cartera!$I:$I)+SUMIF([1]Futuros!$AD:$AD,$A6&amp;"_"&amp;AEN$11,[1]Futuros!$AK:$AK)+SUMIF([1]Opciones!$AF:$AF,$A6&amp;"_"&amp;AEN$11,[1]Opciones!$AQ:$AQ)</f>
        <v>#VALUE!</v>
      </c>
      <c r="AEO6" t="e">
        <f>+SUMIF([1]Cartera!$R:$R,$A6&amp;"_"&amp;AEO$11,[1]Cartera!$I:$I)+SUMIF([1]Futuros!$AD:$AD,$A6&amp;"_"&amp;AEO$11,[1]Futuros!$AK:$AK)+SUMIF([1]Opciones!$AF:$AF,$A6&amp;"_"&amp;AEO$11,[1]Opciones!$AQ:$AQ)</f>
        <v>#VALUE!</v>
      </c>
      <c r="AEP6" t="e">
        <f>+SUMIF([1]Cartera!$R:$R,$A6&amp;"_"&amp;AEP$11,[1]Cartera!$I:$I)+SUMIF([1]Futuros!$AD:$AD,$A6&amp;"_"&amp;AEP$11,[1]Futuros!$AK:$AK)+SUMIF([1]Opciones!$AF:$AF,$A6&amp;"_"&amp;AEP$11,[1]Opciones!$AQ:$AQ)</f>
        <v>#VALUE!</v>
      </c>
      <c r="AEQ6" t="e">
        <f>+SUMIF([1]Cartera!$R:$R,$A6&amp;"_"&amp;AEQ$11,[1]Cartera!$I:$I)+SUMIF([1]Futuros!$AD:$AD,$A6&amp;"_"&amp;AEQ$11,[1]Futuros!$AK:$AK)+SUMIF([1]Opciones!$AF:$AF,$A6&amp;"_"&amp;AEQ$11,[1]Opciones!$AQ:$AQ)</f>
        <v>#VALUE!</v>
      </c>
      <c r="AER6" t="e">
        <f>+SUMIF([1]Cartera!$R:$R,$A6&amp;"_"&amp;AER$11,[1]Cartera!$I:$I)+SUMIF([1]Futuros!$AD:$AD,$A6&amp;"_"&amp;AER$11,[1]Futuros!$AK:$AK)+SUMIF([1]Opciones!$AF:$AF,$A6&amp;"_"&amp;AER$11,[1]Opciones!$AQ:$AQ)</f>
        <v>#VALUE!</v>
      </c>
      <c r="AES6" t="e">
        <f>+SUMIF([1]Cartera!$R:$R,$A6&amp;"_"&amp;AES$11,[1]Cartera!$I:$I)+SUMIF([1]Futuros!$AD:$AD,$A6&amp;"_"&amp;AES$11,[1]Futuros!$AK:$AK)+SUMIF([1]Opciones!$AF:$AF,$A6&amp;"_"&amp;AES$11,[1]Opciones!$AQ:$AQ)</f>
        <v>#VALUE!</v>
      </c>
      <c r="AET6" t="e">
        <f>+SUMIF([1]Cartera!$R:$R,$A6&amp;"_"&amp;AET$11,[1]Cartera!$I:$I)+SUMIF([1]Futuros!$AD:$AD,$A6&amp;"_"&amp;AET$11,[1]Futuros!$AK:$AK)+SUMIF([1]Opciones!$AF:$AF,$A6&amp;"_"&amp;AET$11,[1]Opciones!$AQ:$AQ)</f>
        <v>#VALUE!</v>
      </c>
      <c r="AEU6" t="e">
        <f>+SUMIF([1]Cartera!$R:$R,$A6&amp;"_"&amp;AEU$11,[1]Cartera!$I:$I)+SUMIF([1]Futuros!$AD:$AD,$A6&amp;"_"&amp;AEU$11,[1]Futuros!$AK:$AK)+SUMIF([1]Opciones!$AF:$AF,$A6&amp;"_"&amp;AEU$11,[1]Opciones!$AQ:$AQ)</f>
        <v>#VALUE!</v>
      </c>
      <c r="AEV6" t="e">
        <f>+SUMIF([1]Cartera!$R:$R,$A6&amp;"_"&amp;AEV$11,[1]Cartera!$I:$I)+SUMIF([1]Futuros!$AD:$AD,$A6&amp;"_"&amp;AEV$11,[1]Futuros!$AK:$AK)+SUMIF([1]Opciones!$AF:$AF,$A6&amp;"_"&amp;AEV$11,[1]Opciones!$AQ:$AQ)</f>
        <v>#VALUE!</v>
      </c>
      <c r="AEW6" t="e">
        <f>+SUMIF([1]Cartera!$R:$R,$A6&amp;"_"&amp;AEW$11,[1]Cartera!$I:$I)+SUMIF([1]Futuros!$AD:$AD,$A6&amp;"_"&amp;AEW$11,[1]Futuros!$AK:$AK)+SUMIF([1]Opciones!$AF:$AF,$A6&amp;"_"&amp;AEW$11,[1]Opciones!$AQ:$AQ)</f>
        <v>#VALUE!</v>
      </c>
      <c r="AEX6" t="e">
        <f>+SUMIF([1]Cartera!$R:$R,$A6&amp;"_"&amp;AEX$11,[1]Cartera!$I:$I)+SUMIF([1]Futuros!$AD:$AD,$A6&amp;"_"&amp;AEX$11,[1]Futuros!$AK:$AK)+SUMIF([1]Opciones!$AF:$AF,$A6&amp;"_"&amp;AEX$11,[1]Opciones!$AQ:$AQ)</f>
        <v>#VALUE!</v>
      </c>
      <c r="AEY6" t="e">
        <f>+SUMIF([1]Cartera!$R:$R,$A6&amp;"_"&amp;AEY$11,[1]Cartera!$I:$I)+SUMIF([1]Futuros!$AD:$AD,$A6&amp;"_"&amp;AEY$11,[1]Futuros!$AK:$AK)+SUMIF([1]Opciones!$AF:$AF,$A6&amp;"_"&amp;AEY$11,[1]Opciones!$AQ:$AQ)</f>
        <v>#VALUE!</v>
      </c>
      <c r="AEZ6" t="e">
        <f>+SUMIF([1]Cartera!$R:$R,$A6&amp;"_"&amp;AEZ$11,[1]Cartera!$I:$I)+SUMIF([1]Futuros!$AD:$AD,$A6&amp;"_"&amp;AEZ$11,[1]Futuros!$AK:$AK)+SUMIF([1]Opciones!$AF:$AF,$A6&amp;"_"&amp;AEZ$11,[1]Opciones!$AQ:$AQ)</f>
        <v>#VALUE!</v>
      </c>
      <c r="AFA6" t="e">
        <f>+SUMIF([1]Cartera!$R:$R,$A6&amp;"_"&amp;AFA$11,[1]Cartera!$I:$I)+SUMIF([1]Futuros!$AD:$AD,$A6&amp;"_"&amp;AFA$11,[1]Futuros!$AK:$AK)+SUMIF([1]Opciones!$AF:$AF,$A6&amp;"_"&amp;AFA$11,[1]Opciones!$AQ:$AQ)</f>
        <v>#VALUE!</v>
      </c>
      <c r="AFB6" t="e">
        <f>+SUMIF([1]Cartera!$R:$R,$A6&amp;"_"&amp;AFB$11,[1]Cartera!$I:$I)+SUMIF([1]Futuros!$AD:$AD,$A6&amp;"_"&amp;AFB$11,[1]Futuros!$AK:$AK)+SUMIF([1]Opciones!$AF:$AF,$A6&amp;"_"&amp;AFB$11,[1]Opciones!$AQ:$AQ)</f>
        <v>#VALUE!</v>
      </c>
      <c r="AFC6" t="e">
        <f>+SUMIF([1]Cartera!$R:$R,$A6&amp;"_"&amp;AFC$11,[1]Cartera!$I:$I)+SUMIF([1]Futuros!$AD:$AD,$A6&amp;"_"&amp;AFC$11,[1]Futuros!$AK:$AK)+SUMIF([1]Opciones!$AF:$AF,$A6&amp;"_"&amp;AFC$11,[1]Opciones!$AQ:$AQ)</f>
        <v>#VALUE!</v>
      </c>
      <c r="AFD6" t="e">
        <f>+SUMIF([1]Cartera!$R:$R,$A6&amp;"_"&amp;AFD$11,[1]Cartera!$I:$I)+SUMIF([1]Futuros!$AD:$AD,$A6&amp;"_"&amp;AFD$11,[1]Futuros!$AK:$AK)+SUMIF([1]Opciones!$AF:$AF,$A6&amp;"_"&amp;AFD$11,[1]Opciones!$AQ:$AQ)</f>
        <v>#VALUE!</v>
      </c>
      <c r="AFE6" t="e">
        <f>+SUMIF([1]Cartera!$R:$R,$A6&amp;"_"&amp;AFE$11,[1]Cartera!$I:$I)+SUMIF([1]Futuros!$AD:$AD,$A6&amp;"_"&amp;AFE$11,[1]Futuros!$AK:$AK)+SUMIF([1]Opciones!$AF:$AF,$A6&amp;"_"&amp;AFE$11,[1]Opciones!$AQ:$AQ)</f>
        <v>#VALUE!</v>
      </c>
      <c r="AFF6" t="e">
        <f>+SUMIF([1]Cartera!$R:$R,$A6&amp;"_"&amp;AFF$11,[1]Cartera!$I:$I)+SUMIF([1]Futuros!$AD:$AD,$A6&amp;"_"&amp;AFF$11,[1]Futuros!$AK:$AK)+SUMIF([1]Opciones!$AF:$AF,$A6&amp;"_"&amp;AFF$11,[1]Opciones!$AQ:$AQ)</f>
        <v>#VALUE!</v>
      </c>
      <c r="AFG6" t="e">
        <f>+SUMIF([1]Cartera!$R:$R,$A6&amp;"_"&amp;AFG$11,[1]Cartera!$I:$I)+SUMIF([1]Futuros!$AD:$AD,$A6&amp;"_"&amp;AFG$11,[1]Futuros!$AK:$AK)+SUMIF([1]Opciones!$AF:$AF,$A6&amp;"_"&amp;AFG$11,[1]Opciones!$AQ:$AQ)</f>
        <v>#VALUE!</v>
      </c>
      <c r="AFH6" t="e">
        <f>+SUMIF([1]Cartera!$R:$R,$A6&amp;"_"&amp;AFH$11,[1]Cartera!$I:$I)+SUMIF([1]Futuros!$AD:$AD,$A6&amp;"_"&amp;AFH$11,[1]Futuros!$AK:$AK)+SUMIF([1]Opciones!$AF:$AF,$A6&amp;"_"&amp;AFH$11,[1]Opciones!$AQ:$AQ)</f>
        <v>#VALUE!</v>
      </c>
      <c r="AFI6" t="e">
        <f>+SUMIF([1]Cartera!$R:$R,$A6&amp;"_"&amp;AFI$11,[1]Cartera!$I:$I)+SUMIF([1]Futuros!$AD:$AD,$A6&amp;"_"&amp;AFI$11,[1]Futuros!$AK:$AK)+SUMIF([1]Opciones!$AF:$AF,$A6&amp;"_"&amp;AFI$11,[1]Opciones!$AQ:$AQ)</f>
        <v>#VALUE!</v>
      </c>
      <c r="AFJ6" t="e">
        <f>+SUMIF([1]Cartera!$R:$R,$A6&amp;"_"&amp;AFJ$11,[1]Cartera!$I:$I)+SUMIF([1]Futuros!$AD:$AD,$A6&amp;"_"&amp;AFJ$11,[1]Futuros!$AK:$AK)+SUMIF([1]Opciones!$AF:$AF,$A6&amp;"_"&amp;AFJ$11,[1]Opciones!$AQ:$AQ)</f>
        <v>#VALUE!</v>
      </c>
      <c r="AFK6" t="e">
        <f>+SUMIF([1]Cartera!$R:$R,$A6&amp;"_"&amp;AFK$11,[1]Cartera!$I:$I)+SUMIF([1]Futuros!$AD:$AD,$A6&amp;"_"&amp;AFK$11,[1]Futuros!$AK:$AK)+SUMIF([1]Opciones!$AF:$AF,$A6&amp;"_"&amp;AFK$11,[1]Opciones!$AQ:$AQ)</f>
        <v>#VALUE!</v>
      </c>
      <c r="AFL6" t="e">
        <f>+SUMIF([1]Cartera!$R:$R,$A6&amp;"_"&amp;AFL$11,[1]Cartera!$I:$I)+SUMIF([1]Futuros!$AD:$AD,$A6&amp;"_"&amp;AFL$11,[1]Futuros!$AK:$AK)+SUMIF([1]Opciones!$AF:$AF,$A6&amp;"_"&amp;AFL$11,[1]Opciones!$AQ:$AQ)</f>
        <v>#VALUE!</v>
      </c>
      <c r="AFM6" t="e">
        <f>+SUMIF([1]Cartera!$R:$R,$A6&amp;"_"&amp;AFM$11,[1]Cartera!$I:$I)+SUMIF([1]Futuros!$AD:$AD,$A6&amp;"_"&amp;AFM$11,[1]Futuros!$AK:$AK)+SUMIF([1]Opciones!$AF:$AF,$A6&amp;"_"&amp;AFM$11,[1]Opciones!$AQ:$AQ)</f>
        <v>#VALUE!</v>
      </c>
      <c r="AFN6" t="e">
        <f>+SUMIF([1]Cartera!$R:$R,$A6&amp;"_"&amp;AFN$11,[1]Cartera!$I:$I)+SUMIF([1]Futuros!$AD:$AD,$A6&amp;"_"&amp;AFN$11,[1]Futuros!$AK:$AK)+SUMIF([1]Opciones!$AF:$AF,$A6&amp;"_"&amp;AFN$11,[1]Opciones!$AQ:$AQ)</f>
        <v>#VALUE!</v>
      </c>
      <c r="AFO6" t="e">
        <f>+SUMIF([1]Cartera!$R:$R,$A6&amp;"_"&amp;AFO$11,[1]Cartera!$I:$I)+SUMIF([1]Futuros!$AD:$AD,$A6&amp;"_"&amp;AFO$11,[1]Futuros!$AK:$AK)+SUMIF([1]Opciones!$AF:$AF,$A6&amp;"_"&amp;AFO$11,[1]Opciones!$AQ:$AQ)</f>
        <v>#VALUE!</v>
      </c>
      <c r="AFP6" t="e">
        <f>+SUMIF([1]Cartera!$R:$R,$A6&amp;"_"&amp;AFP$11,[1]Cartera!$I:$I)+SUMIF([1]Futuros!$AD:$AD,$A6&amp;"_"&amp;AFP$11,[1]Futuros!$AK:$AK)+SUMIF([1]Opciones!$AF:$AF,$A6&amp;"_"&amp;AFP$11,[1]Opciones!$AQ:$AQ)</f>
        <v>#VALUE!</v>
      </c>
      <c r="AFQ6" t="e">
        <f>+SUMIF([1]Cartera!$R:$R,$A6&amp;"_"&amp;AFQ$11,[1]Cartera!$I:$I)+SUMIF([1]Futuros!$AD:$AD,$A6&amp;"_"&amp;AFQ$11,[1]Futuros!$AK:$AK)+SUMIF([1]Opciones!$AF:$AF,$A6&amp;"_"&amp;AFQ$11,[1]Opciones!$AQ:$AQ)</f>
        <v>#VALUE!</v>
      </c>
      <c r="AFR6" t="e">
        <f>+SUMIF([1]Cartera!$R:$R,$A6&amp;"_"&amp;AFR$11,[1]Cartera!$I:$I)+SUMIF([1]Futuros!$AD:$AD,$A6&amp;"_"&amp;AFR$11,[1]Futuros!$AK:$AK)+SUMIF([1]Opciones!$AF:$AF,$A6&amp;"_"&amp;AFR$11,[1]Opciones!$AQ:$AQ)</f>
        <v>#VALUE!</v>
      </c>
      <c r="AFS6" t="e">
        <f>+SUMIF([1]Cartera!$R:$R,$A6&amp;"_"&amp;AFS$11,[1]Cartera!$I:$I)+SUMIF([1]Futuros!$AD:$AD,$A6&amp;"_"&amp;AFS$11,[1]Futuros!$AK:$AK)+SUMIF([1]Opciones!$AF:$AF,$A6&amp;"_"&amp;AFS$11,[1]Opciones!$AQ:$AQ)</f>
        <v>#VALUE!</v>
      </c>
      <c r="AFT6" t="e">
        <f>+SUMIF([1]Cartera!$R:$R,$A6&amp;"_"&amp;AFT$11,[1]Cartera!$I:$I)+SUMIF([1]Futuros!$AD:$AD,$A6&amp;"_"&amp;AFT$11,[1]Futuros!$AK:$AK)+SUMIF([1]Opciones!$AF:$AF,$A6&amp;"_"&amp;AFT$11,[1]Opciones!$AQ:$AQ)</f>
        <v>#VALUE!</v>
      </c>
      <c r="AFU6" t="e">
        <f>+SUMIF([1]Cartera!$R:$R,$A6&amp;"_"&amp;AFU$11,[1]Cartera!$I:$I)+SUMIF([1]Futuros!$AD:$AD,$A6&amp;"_"&amp;AFU$11,[1]Futuros!$AK:$AK)+SUMIF([1]Opciones!$AF:$AF,$A6&amp;"_"&amp;AFU$11,[1]Opciones!$AQ:$AQ)</f>
        <v>#VALUE!</v>
      </c>
      <c r="AFV6" t="e">
        <f>+SUMIF([1]Cartera!$R:$R,$A6&amp;"_"&amp;AFV$11,[1]Cartera!$I:$I)+SUMIF([1]Futuros!$AD:$AD,$A6&amp;"_"&amp;AFV$11,[1]Futuros!$AK:$AK)+SUMIF([1]Opciones!$AF:$AF,$A6&amp;"_"&amp;AFV$11,[1]Opciones!$AQ:$AQ)</f>
        <v>#VALUE!</v>
      </c>
      <c r="AFW6" t="e">
        <f>+SUMIF([1]Cartera!$R:$R,$A6&amp;"_"&amp;AFW$11,[1]Cartera!$I:$I)+SUMIF([1]Futuros!$AD:$AD,$A6&amp;"_"&amp;AFW$11,[1]Futuros!$AK:$AK)+SUMIF([1]Opciones!$AF:$AF,$A6&amp;"_"&amp;AFW$11,[1]Opciones!$AQ:$AQ)</f>
        <v>#VALUE!</v>
      </c>
      <c r="AFX6" t="e">
        <f>+SUMIF([1]Cartera!$R:$R,$A6&amp;"_"&amp;AFX$11,[1]Cartera!$I:$I)+SUMIF([1]Futuros!$AD:$AD,$A6&amp;"_"&amp;AFX$11,[1]Futuros!$AK:$AK)+SUMIF([1]Opciones!$AF:$AF,$A6&amp;"_"&amp;AFX$11,[1]Opciones!$AQ:$AQ)</f>
        <v>#VALUE!</v>
      </c>
      <c r="AFY6" t="e">
        <f>+SUMIF([1]Cartera!$R:$R,$A6&amp;"_"&amp;AFY$11,[1]Cartera!$I:$I)+SUMIF([1]Futuros!$AD:$AD,$A6&amp;"_"&amp;AFY$11,[1]Futuros!$AK:$AK)+SUMIF([1]Opciones!$AF:$AF,$A6&amp;"_"&amp;AFY$11,[1]Opciones!$AQ:$AQ)</f>
        <v>#VALUE!</v>
      </c>
      <c r="AFZ6" t="e">
        <f>+SUMIF([1]Cartera!$R:$R,$A6&amp;"_"&amp;AFZ$11,[1]Cartera!$I:$I)+SUMIF([1]Futuros!$AD:$AD,$A6&amp;"_"&amp;AFZ$11,[1]Futuros!$AK:$AK)+SUMIF([1]Opciones!$AF:$AF,$A6&amp;"_"&amp;AFZ$11,[1]Opciones!$AQ:$AQ)</f>
        <v>#VALUE!</v>
      </c>
      <c r="AGA6" t="e">
        <f>+SUMIF([1]Cartera!$R:$R,$A6&amp;"_"&amp;AGA$11,[1]Cartera!$I:$I)+SUMIF([1]Futuros!$AD:$AD,$A6&amp;"_"&amp;AGA$11,[1]Futuros!$AK:$AK)+SUMIF([1]Opciones!$AF:$AF,$A6&amp;"_"&amp;AGA$11,[1]Opciones!$AQ:$AQ)</f>
        <v>#VALUE!</v>
      </c>
      <c r="AGB6" t="e">
        <f>+SUMIF([1]Cartera!$R:$R,$A6&amp;"_"&amp;AGB$11,[1]Cartera!$I:$I)+SUMIF([1]Futuros!$AD:$AD,$A6&amp;"_"&amp;AGB$11,[1]Futuros!$AK:$AK)+SUMIF([1]Opciones!$AF:$AF,$A6&amp;"_"&amp;AGB$11,[1]Opciones!$AQ:$AQ)</f>
        <v>#VALUE!</v>
      </c>
      <c r="AGC6" t="e">
        <f>+SUMIF([1]Cartera!$R:$R,$A6&amp;"_"&amp;AGC$11,[1]Cartera!$I:$I)+SUMIF([1]Futuros!$AD:$AD,$A6&amp;"_"&amp;AGC$11,[1]Futuros!$AK:$AK)+SUMIF([1]Opciones!$AF:$AF,$A6&amp;"_"&amp;AGC$11,[1]Opciones!$AQ:$AQ)</f>
        <v>#VALUE!</v>
      </c>
      <c r="AGD6" t="e">
        <f>+SUMIF([1]Cartera!$R:$R,$A6&amp;"_"&amp;AGD$11,[1]Cartera!$I:$I)+SUMIF([1]Futuros!$AD:$AD,$A6&amp;"_"&amp;AGD$11,[1]Futuros!$AK:$AK)+SUMIF([1]Opciones!$AF:$AF,$A6&amp;"_"&amp;AGD$11,[1]Opciones!$AQ:$AQ)</f>
        <v>#VALUE!</v>
      </c>
      <c r="AGE6" t="e">
        <f>+SUMIF([1]Cartera!$R:$R,$A6&amp;"_"&amp;AGE$11,[1]Cartera!$I:$I)+SUMIF([1]Futuros!$AD:$AD,$A6&amp;"_"&amp;AGE$11,[1]Futuros!$AK:$AK)+SUMIF([1]Opciones!$AF:$AF,$A6&amp;"_"&amp;AGE$11,[1]Opciones!$AQ:$AQ)</f>
        <v>#VALUE!</v>
      </c>
      <c r="AGF6" t="e">
        <f>+SUMIF([1]Cartera!$R:$R,$A6&amp;"_"&amp;AGF$11,[1]Cartera!$I:$I)+SUMIF([1]Futuros!$AD:$AD,$A6&amp;"_"&amp;AGF$11,[1]Futuros!$AK:$AK)+SUMIF([1]Opciones!$AF:$AF,$A6&amp;"_"&amp;AGF$11,[1]Opciones!$AQ:$AQ)</f>
        <v>#VALUE!</v>
      </c>
      <c r="AGG6" t="e">
        <f>+SUMIF([1]Cartera!$R:$R,$A6&amp;"_"&amp;AGG$11,[1]Cartera!$I:$I)+SUMIF([1]Futuros!$AD:$AD,$A6&amp;"_"&amp;AGG$11,[1]Futuros!$AK:$AK)+SUMIF([1]Opciones!$AF:$AF,$A6&amp;"_"&amp;AGG$11,[1]Opciones!$AQ:$AQ)</f>
        <v>#VALUE!</v>
      </c>
      <c r="AGH6" t="e">
        <f>+SUMIF([1]Cartera!$R:$R,$A6&amp;"_"&amp;AGH$11,[1]Cartera!$I:$I)+SUMIF([1]Futuros!$AD:$AD,$A6&amp;"_"&amp;AGH$11,[1]Futuros!$AK:$AK)+SUMIF([1]Opciones!$AF:$AF,$A6&amp;"_"&amp;AGH$11,[1]Opciones!$AQ:$AQ)</f>
        <v>#VALUE!</v>
      </c>
      <c r="AGI6" t="e">
        <f>+SUMIF([1]Cartera!$R:$R,$A6&amp;"_"&amp;AGI$11,[1]Cartera!$I:$I)+SUMIF([1]Futuros!$AD:$AD,$A6&amp;"_"&amp;AGI$11,[1]Futuros!$AK:$AK)+SUMIF([1]Opciones!$AF:$AF,$A6&amp;"_"&amp;AGI$11,[1]Opciones!$AQ:$AQ)</f>
        <v>#VALUE!</v>
      </c>
      <c r="AGJ6" t="e">
        <f>+SUMIF([1]Cartera!$R:$R,$A6&amp;"_"&amp;AGJ$11,[1]Cartera!$I:$I)+SUMIF([1]Futuros!$AD:$AD,$A6&amp;"_"&amp;AGJ$11,[1]Futuros!$AK:$AK)+SUMIF([1]Opciones!$AF:$AF,$A6&amp;"_"&amp;AGJ$11,[1]Opciones!$AQ:$AQ)</f>
        <v>#VALUE!</v>
      </c>
      <c r="AGK6" t="e">
        <f>+SUMIF([1]Cartera!$R:$R,$A6&amp;"_"&amp;AGK$11,[1]Cartera!$I:$I)+SUMIF([1]Futuros!$AD:$AD,$A6&amp;"_"&amp;AGK$11,[1]Futuros!$AK:$AK)+SUMIF([1]Opciones!$AF:$AF,$A6&amp;"_"&amp;AGK$11,[1]Opciones!$AQ:$AQ)</f>
        <v>#VALUE!</v>
      </c>
      <c r="AGL6" t="e">
        <f>+SUMIF([1]Cartera!$R:$R,$A6&amp;"_"&amp;AGL$11,[1]Cartera!$I:$I)+SUMIF([1]Futuros!$AD:$AD,$A6&amp;"_"&amp;AGL$11,[1]Futuros!$AK:$AK)+SUMIF([1]Opciones!$AF:$AF,$A6&amp;"_"&amp;AGL$11,[1]Opciones!$AQ:$AQ)</f>
        <v>#VALUE!</v>
      </c>
      <c r="AGM6" t="e">
        <f>+SUMIF([1]Cartera!$R:$R,$A6&amp;"_"&amp;AGM$11,[1]Cartera!$I:$I)+SUMIF([1]Futuros!$AD:$AD,$A6&amp;"_"&amp;AGM$11,[1]Futuros!$AK:$AK)+SUMIF([1]Opciones!$AF:$AF,$A6&amp;"_"&amp;AGM$11,[1]Opciones!$AQ:$AQ)</f>
        <v>#VALUE!</v>
      </c>
      <c r="AGN6" t="e">
        <f>+SUMIF([1]Cartera!$R:$R,$A6&amp;"_"&amp;AGN$11,[1]Cartera!$I:$I)+SUMIF([1]Futuros!$AD:$AD,$A6&amp;"_"&amp;AGN$11,[1]Futuros!$AK:$AK)+SUMIF([1]Opciones!$AF:$AF,$A6&amp;"_"&amp;AGN$11,[1]Opciones!$AQ:$AQ)</f>
        <v>#VALUE!</v>
      </c>
      <c r="AGO6" t="e">
        <f>+SUMIF([1]Cartera!$R:$R,$A6&amp;"_"&amp;AGO$11,[1]Cartera!$I:$I)+SUMIF([1]Futuros!$AD:$AD,$A6&amp;"_"&amp;AGO$11,[1]Futuros!$AK:$AK)+SUMIF([1]Opciones!$AF:$AF,$A6&amp;"_"&amp;AGO$11,[1]Opciones!$AQ:$AQ)</f>
        <v>#VALUE!</v>
      </c>
      <c r="AGP6" t="e">
        <f>+SUMIF([1]Cartera!$R:$R,$A6&amp;"_"&amp;AGP$11,[1]Cartera!$I:$I)+SUMIF([1]Futuros!$AD:$AD,$A6&amp;"_"&amp;AGP$11,[1]Futuros!$AK:$AK)+SUMIF([1]Opciones!$AF:$AF,$A6&amp;"_"&amp;AGP$11,[1]Opciones!$AQ:$AQ)</f>
        <v>#VALUE!</v>
      </c>
      <c r="AGQ6" t="e">
        <f>+SUMIF([1]Cartera!$R:$R,$A6&amp;"_"&amp;AGQ$11,[1]Cartera!$I:$I)+SUMIF([1]Futuros!$AD:$AD,$A6&amp;"_"&amp;AGQ$11,[1]Futuros!$AK:$AK)+SUMIF([1]Opciones!$AF:$AF,$A6&amp;"_"&amp;AGQ$11,[1]Opciones!$AQ:$AQ)</f>
        <v>#VALUE!</v>
      </c>
      <c r="AGR6" t="e">
        <f>+SUMIF([1]Cartera!$R:$R,$A6&amp;"_"&amp;AGR$11,[1]Cartera!$I:$I)+SUMIF([1]Futuros!$AD:$AD,$A6&amp;"_"&amp;AGR$11,[1]Futuros!$AK:$AK)+SUMIF([1]Opciones!$AF:$AF,$A6&amp;"_"&amp;AGR$11,[1]Opciones!$AQ:$AQ)</f>
        <v>#VALUE!</v>
      </c>
      <c r="AGS6" t="e">
        <f>+SUMIF([1]Cartera!$R:$R,$A6&amp;"_"&amp;AGS$11,[1]Cartera!$I:$I)+SUMIF([1]Futuros!$AD:$AD,$A6&amp;"_"&amp;AGS$11,[1]Futuros!$AK:$AK)+SUMIF([1]Opciones!$AF:$AF,$A6&amp;"_"&amp;AGS$11,[1]Opciones!$AQ:$AQ)</f>
        <v>#VALUE!</v>
      </c>
      <c r="AGT6" t="e">
        <f>+SUMIF([1]Cartera!$R:$R,$A6&amp;"_"&amp;AGT$11,[1]Cartera!$I:$I)+SUMIF([1]Futuros!$AD:$AD,$A6&amp;"_"&amp;AGT$11,[1]Futuros!$AK:$AK)+SUMIF([1]Opciones!$AF:$AF,$A6&amp;"_"&amp;AGT$11,[1]Opciones!$AQ:$AQ)</f>
        <v>#VALUE!</v>
      </c>
      <c r="AGU6" t="e">
        <f>+SUMIF([1]Cartera!$R:$R,$A6&amp;"_"&amp;AGU$11,[1]Cartera!$I:$I)+SUMIF([1]Futuros!$AD:$AD,$A6&amp;"_"&amp;AGU$11,[1]Futuros!$AK:$AK)+SUMIF([1]Opciones!$AF:$AF,$A6&amp;"_"&amp;AGU$11,[1]Opciones!$AQ:$AQ)</f>
        <v>#VALUE!</v>
      </c>
      <c r="AGV6" t="e">
        <f>+SUMIF([1]Cartera!$R:$R,$A6&amp;"_"&amp;AGV$11,[1]Cartera!$I:$I)+SUMIF([1]Futuros!$AD:$AD,$A6&amp;"_"&amp;AGV$11,[1]Futuros!$AK:$AK)+SUMIF([1]Opciones!$AF:$AF,$A6&amp;"_"&amp;AGV$11,[1]Opciones!$AQ:$AQ)</f>
        <v>#VALUE!</v>
      </c>
      <c r="AGW6" t="e">
        <f>+SUMIF([1]Cartera!$R:$R,$A6&amp;"_"&amp;AGW$11,[1]Cartera!$I:$I)+SUMIF([1]Futuros!$AD:$AD,$A6&amp;"_"&amp;AGW$11,[1]Futuros!$AK:$AK)+SUMIF([1]Opciones!$AF:$AF,$A6&amp;"_"&amp;AGW$11,[1]Opciones!$AQ:$AQ)</f>
        <v>#VALUE!</v>
      </c>
      <c r="AGX6" t="e">
        <f>+SUMIF([1]Cartera!$R:$R,$A6&amp;"_"&amp;AGX$11,[1]Cartera!$I:$I)+SUMIF([1]Futuros!$AD:$AD,$A6&amp;"_"&amp;AGX$11,[1]Futuros!$AK:$AK)+SUMIF([1]Opciones!$AF:$AF,$A6&amp;"_"&amp;AGX$11,[1]Opciones!$AQ:$AQ)</f>
        <v>#VALUE!</v>
      </c>
      <c r="AGY6" t="e">
        <f>+SUMIF([1]Cartera!$R:$R,$A6&amp;"_"&amp;AGY$11,[1]Cartera!$I:$I)+SUMIF([1]Futuros!$AD:$AD,$A6&amp;"_"&amp;AGY$11,[1]Futuros!$AK:$AK)+SUMIF([1]Opciones!$AF:$AF,$A6&amp;"_"&amp;AGY$11,[1]Opciones!$AQ:$AQ)</f>
        <v>#VALUE!</v>
      </c>
      <c r="AGZ6" t="e">
        <f>+SUMIF([1]Cartera!$R:$R,$A6&amp;"_"&amp;AGZ$11,[1]Cartera!$I:$I)+SUMIF([1]Futuros!$AD:$AD,$A6&amp;"_"&amp;AGZ$11,[1]Futuros!$AK:$AK)+SUMIF([1]Opciones!$AF:$AF,$A6&amp;"_"&amp;AGZ$11,[1]Opciones!$AQ:$AQ)</f>
        <v>#VALUE!</v>
      </c>
      <c r="AHA6" t="e">
        <f>+SUMIF([1]Cartera!$R:$R,$A6&amp;"_"&amp;AHA$11,[1]Cartera!$I:$I)+SUMIF([1]Futuros!$AD:$AD,$A6&amp;"_"&amp;AHA$11,[1]Futuros!$AK:$AK)+SUMIF([1]Opciones!$AF:$AF,$A6&amp;"_"&amp;AHA$11,[1]Opciones!$AQ:$AQ)</f>
        <v>#VALUE!</v>
      </c>
      <c r="AHB6" t="e">
        <f>+SUMIF([1]Cartera!$R:$R,$A6&amp;"_"&amp;AHB$11,[1]Cartera!$I:$I)+SUMIF([1]Futuros!$AD:$AD,$A6&amp;"_"&amp;AHB$11,[1]Futuros!$AK:$AK)+SUMIF([1]Opciones!$AF:$AF,$A6&amp;"_"&amp;AHB$11,[1]Opciones!$AQ:$AQ)</f>
        <v>#VALUE!</v>
      </c>
      <c r="AHC6" t="e">
        <f>+SUMIF([1]Cartera!$R:$R,$A6&amp;"_"&amp;AHC$11,[1]Cartera!$I:$I)+SUMIF([1]Futuros!$AD:$AD,$A6&amp;"_"&amp;AHC$11,[1]Futuros!$AK:$AK)+SUMIF([1]Opciones!$AF:$AF,$A6&amp;"_"&amp;AHC$11,[1]Opciones!$AQ:$AQ)</f>
        <v>#VALUE!</v>
      </c>
      <c r="AHD6" t="e">
        <f>+SUMIF([1]Cartera!$R:$R,$A6&amp;"_"&amp;AHD$11,[1]Cartera!$I:$I)+SUMIF([1]Futuros!$AD:$AD,$A6&amp;"_"&amp;AHD$11,[1]Futuros!$AK:$AK)+SUMIF([1]Opciones!$AF:$AF,$A6&amp;"_"&amp;AHD$11,[1]Opciones!$AQ:$AQ)</f>
        <v>#VALUE!</v>
      </c>
      <c r="AHE6" t="e">
        <f>+SUMIF([1]Cartera!$R:$R,$A6&amp;"_"&amp;AHE$11,[1]Cartera!$I:$I)+SUMIF([1]Futuros!$AD:$AD,$A6&amp;"_"&amp;AHE$11,[1]Futuros!$AK:$AK)+SUMIF([1]Opciones!$AF:$AF,$A6&amp;"_"&amp;AHE$11,[1]Opciones!$AQ:$AQ)</f>
        <v>#VALUE!</v>
      </c>
      <c r="AHF6" t="e">
        <f>+SUMIF([1]Cartera!$R:$R,$A6&amp;"_"&amp;AHF$11,[1]Cartera!$I:$I)+SUMIF([1]Futuros!$AD:$AD,$A6&amp;"_"&amp;AHF$11,[1]Futuros!$AK:$AK)+SUMIF([1]Opciones!$AF:$AF,$A6&amp;"_"&amp;AHF$11,[1]Opciones!$AQ:$AQ)</f>
        <v>#VALUE!</v>
      </c>
      <c r="AHG6" t="e">
        <f>+SUMIF([1]Cartera!$R:$R,$A6&amp;"_"&amp;AHG$11,[1]Cartera!$I:$I)+SUMIF([1]Futuros!$AD:$AD,$A6&amp;"_"&amp;AHG$11,[1]Futuros!$AK:$AK)+SUMIF([1]Opciones!$AF:$AF,$A6&amp;"_"&amp;AHG$11,[1]Opciones!$AQ:$AQ)</f>
        <v>#VALUE!</v>
      </c>
      <c r="AHH6" t="e">
        <f>+SUMIF([1]Cartera!$R:$R,$A6&amp;"_"&amp;AHH$11,[1]Cartera!$I:$I)+SUMIF([1]Futuros!$AD:$AD,$A6&amp;"_"&amp;AHH$11,[1]Futuros!$AK:$AK)+SUMIF([1]Opciones!$AF:$AF,$A6&amp;"_"&amp;AHH$11,[1]Opciones!$AQ:$AQ)</f>
        <v>#VALUE!</v>
      </c>
      <c r="AHI6" t="e">
        <f>+SUMIF([1]Cartera!$R:$R,$A6&amp;"_"&amp;AHI$11,[1]Cartera!$I:$I)+SUMIF([1]Futuros!$AD:$AD,$A6&amp;"_"&amp;AHI$11,[1]Futuros!$AK:$AK)+SUMIF([1]Opciones!$AF:$AF,$A6&amp;"_"&amp;AHI$11,[1]Opciones!$AQ:$AQ)</f>
        <v>#VALUE!</v>
      </c>
      <c r="AHJ6" t="e">
        <f>+SUMIF([1]Cartera!$R:$R,$A6&amp;"_"&amp;AHJ$11,[1]Cartera!$I:$I)+SUMIF([1]Futuros!$AD:$AD,$A6&amp;"_"&amp;AHJ$11,[1]Futuros!$AK:$AK)+SUMIF([1]Opciones!$AF:$AF,$A6&amp;"_"&amp;AHJ$11,[1]Opciones!$AQ:$AQ)</f>
        <v>#VALUE!</v>
      </c>
      <c r="AHK6" t="e">
        <f>+SUMIF([1]Cartera!$R:$R,$A6&amp;"_"&amp;AHK$11,[1]Cartera!$I:$I)+SUMIF([1]Futuros!$AD:$AD,$A6&amp;"_"&amp;AHK$11,[1]Futuros!$AK:$AK)+SUMIF([1]Opciones!$AF:$AF,$A6&amp;"_"&amp;AHK$11,[1]Opciones!$AQ:$AQ)</f>
        <v>#VALUE!</v>
      </c>
      <c r="AHL6" t="e">
        <f>+SUMIF([1]Cartera!$R:$R,$A6&amp;"_"&amp;AHL$11,[1]Cartera!$I:$I)+SUMIF([1]Futuros!$AD:$AD,$A6&amp;"_"&amp;AHL$11,[1]Futuros!$AK:$AK)+SUMIF([1]Opciones!$AF:$AF,$A6&amp;"_"&amp;AHL$11,[1]Opciones!$AQ:$AQ)</f>
        <v>#VALUE!</v>
      </c>
      <c r="AHM6" t="e">
        <f>+SUMIF([1]Cartera!$R:$R,$A6&amp;"_"&amp;AHM$11,[1]Cartera!$I:$I)+SUMIF([1]Futuros!$AD:$AD,$A6&amp;"_"&amp;AHM$11,[1]Futuros!$AK:$AK)+SUMIF([1]Opciones!$AF:$AF,$A6&amp;"_"&amp;AHM$11,[1]Opciones!$AQ:$AQ)</f>
        <v>#VALUE!</v>
      </c>
      <c r="AHN6" t="e">
        <f>+SUMIF([1]Cartera!$R:$R,$A6&amp;"_"&amp;AHN$11,[1]Cartera!$I:$I)+SUMIF([1]Futuros!$AD:$AD,$A6&amp;"_"&amp;AHN$11,[1]Futuros!$AK:$AK)+SUMIF([1]Opciones!$AF:$AF,$A6&amp;"_"&amp;AHN$11,[1]Opciones!$AQ:$AQ)</f>
        <v>#VALUE!</v>
      </c>
      <c r="AHO6" t="e">
        <f>+SUMIF([1]Cartera!$R:$R,$A6&amp;"_"&amp;AHO$11,[1]Cartera!$I:$I)+SUMIF([1]Futuros!$AD:$AD,$A6&amp;"_"&amp;AHO$11,[1]Futuros!$AK:$AK)+SUMIF([1]Opciones!$AF:$AF,$A6&amp;"_"&amp;AHO$11,[1]Opciones!$AQ:$AQ)</f>
        <v>#VALUE!</v>
      </c>
      <c r="AHP6" t="e">
        <f>+SUMIF([1]Cartera!$R:$R,$A6&amp;"_"&amp;AHP$11,[1]Cartera!$I:$I)+SUMIF([1]Futuros!$AD:$AD,$A6&amp;"_"&amp;AHP$11,[1]Futuros!$AK:$AK)+SUMIF([1]Opciones!$AF:$AF,$A6&amp;"_"&amp;AHP$11,[1]Opciones!$AQ:$AQ)</f>
        <v>#VALUE!</v>
      </c>
      <c r="AHQ6" t="e">
        <f>+SUMIF([1]Cartera!$R:$R,$A6&amp;"_"&amp;AHQ$11,[1]Cartera!$I:$I)+SUMIF([1]Futuros!$AD:$AD,$A6&amp;"_"&amp;AHQ$11,[1]Futuros!$AK:$AK)+SUMIF([1]Opciones!$AF:$AF,$A6&amp;"_"&amp;AHQ$11,[1]Opciones!$AQ:$AQ)</f>
        <v>#VALUE!</v>
      </c>
      <c r="AHR6" t="e">
        <f>+SUMIF([1]Cartera!$R:$R,$A6&amp;"_"&amp;AHR$11,[1]Cartera!$I:$I)+SUMIF([1]Futuros!$AD:$AD,$A6&amp;"_"&amp;AHR$11,[1]Futuros!$AK:$AK)+SUMIF([1]Opciones!$AF:$AF,$A6&amp;"_"&amp;AHR$11,[1]Opciones!$AQ:$AQ)</f>
        <v>#VALUE!</v>
      </c>
      <c r="AHS6" t="e">
        <f>+SUMIF([1]Cartera!$R:$R,$A6&amp;"_"&amp;AHS$11,[1]Cartera!$I:$I)+SUMIF([1]Futuros!$AD:$AD,$A6&amp;"_"&amp;AHS$11,[1]Futuros!$AK:$AK)+SUMIF([1]Opciones!$AF:$AF,$A6&amp;"_"&amp;AHS$11,[1]Opciones!$AQ:$AQ)</f>
        <v>#VALUE!</v>
      </c>
      <c r="AHT6" t="e">
        <f>+SUMIF([1]Cartera!$R:$R,$A6&amp;"_"&amp;AHT$11,[1]Cartera!$I:$I)+SUMIF([1]Futuros!$AD:$AD,$A6&amp;"_"&amp;AHT$11,[1]Futuros!$AK:$AK)+SUMIF([1]Opciones!$AF:$AF,$A6&amp;"_"&amp;AHT$11,[1]Opciones!$AQ:$AQ)</f>
        <v>#VALUE!</v>
      </c>
      <c r="AHU6" t="e">
        <f>+SUMIF([1]Cartera!$R:$R,$A6&amp;"_"&amp;AHU$11,[1]Cartera!$I:$I)+SUMIF([1]Futuros!$AD:$AD,$A6&amp;"_"&amp;AHU$11,[1]Futuros!$AK:$AK)+SUMIF([1]Opciones!$AF:$AF,$A6&amp;"_"&amp;AHU$11,[1]Opciones!$AQ:$AQ)</f>
        <v>#VALUE!</v>
      </c>
      <c r="AHV6" t="e">
        <f>+SUMIF([1]Cartera!$R:$R,$A6&amp;"_"&amp;AHV$11,[1]Cartera!$I:$I)+SUMIF([1]Futuros!$AD:$AD,$A6&amp;"_"&amp;AHV$11,[1]Futuros!$AK:$AK)+SUMIF([1]Opciones!$AF:$AF,$A6&amp;"_"&amp;AHV$11,[1]Opciones!$AQ:$AQ)</f>
        <v>#VALUE!</v>
      </c>
      <c r="AHW6" t="e">
        <f>+SUMIF([1]Cartera!$R:$R,$A6&amp;"_"&amp;AHW$11,[1]Cartera!$I:$I)+SUMIF([1]Futuros!$AD:$AD,$A6&amp;"_"&amp;AHW$11,[1]Futuros!$AK:$AK)+SUMIF([1]Opciones!$AF:$AF,$A6&amp;"_"&amp;AHW$11,[1]Opciones!$AQ:$AQ)</f>
        <v>#VALUE!</v>
      </c>
      <c r="AHX6" t="e">
        <f>+SUMIF([1]Cartera!$R:$R,$A6&amp;"_"&amp;AHX$11,[1]Cartera!$I:$I)+SUMIF([1]Futuros!$AD:$AD,$A6&amp;"_"&amp;AHX$11,[1]Futuros!$AK:$AK)+SUMIF([1]Opciones!$AF:$AF,$A6&amp;"_"&amp;AHX$11,[1]Opciones!$AQ:$AQ)</f>
        <v>#VALUE!</v>
      </c>
      <c r="AHY6" t="e">
        <f>+SUMIF([1]Cartera!$R:$R,$A6&amp;"_"&amp;AHY$11,[1]Cartera!$I:$I)+SUMIF([1]Futuros!$AD:$AD,$A6&amp;"_"&amp;AHY$11,[1]Futuros!$AK:$AK)+SUMIF([1]Opciones!$AF:$AF,$A6&amp;"_"&amp;AHY$11,[1]Opciones!$AQ:$AQ)</f>
        <v>#VALUE!</v>
      </c>
      <c r="AHZ6" t="e">
        <f>+SUMIF([1]Cartera!$R:$R,$A6&amp;"_"&amp;AHZ$11,[1]Cartera!$I:$I)+SUMIF([1]Futuros!$AD:$AD,$A6&amp;"_"&amp;AHZ$11,[1]Futuros!$AK:$AK)+SUMIF([1]Opciones!$AF:$AF,$A6&amp;"_"&amp;AHZ$11,[1]Opciones!$AQ:$AQ)</f>
        <v>#VALUE!</v>
      </c>
      <c r="AIA6" t="e">
        <f>+SUMIF([1]Cartera!$R:$R,$A6&amp;"_"&amp;AIA$11,[1]Cartera!$I:$I)+SUMIF([1]Futuros!$AD:$AD,$A6&amp;"_"&amp;AIA$11,[1]Futuros!$AK:$AK)+SUMIF([1]Opciones!$AF:$AF,$A6&amp;"_"&amp;AIA$11,[1]Opciones!$AQ:$AQ)</f>
        <v>#VALUE!</v>
      </c>
      <c r="AIB6" t="e">
        <f>+SUMIF([1]Cartera!$R:$R,$A6&amp;"_"&amp;AIB$11,[1]Cartera!$I:$I)+SUMIF([1]Futuros!$AD:$AD,$A6&amp;"_"&amp;AIB$11,[1]Futuros!$AK:$AK)+SUMIF([1]Opciones!$AF:$AF,$A6&amp;"_"&amp;AIB$11,[1]Opciones!$AQ:$AQ)</f>
        <v>#VALUE!</v>
      </c>
      <c r="AIC6" t="e">
        <f>+SUMIF([1]Cartera!$R:$R,$A6&amp;"_"&amp;AIC$11,[1]Cartera!$I:$I)+SUMIF([1]Futuros!$AD:$AD,$A6&amp;"_"&amp;AIC$11,[1]Futuros!$AK:$AK)+SUMIF([1]Opciones!$AF:$AF,$A6&amp;"_"&amp;AIC$11,[1]Opciones!$AQ:$AQ)</f>
        <v>#VALUE!</v>
      </c>
      <c r="AID6" t="e">
        <f>+SUMIF([1]Cartera!$R:$R,$A6&amp;"_"&amp;AID$11,[1]Cartera!$I:$I)+SUMIF([1]Futuros!$AD:$AD,$A6&amp;"_"&amp;AID$11,[1]Futuros!$AK:$AK)+SUMIF([1]Opciones!$AF:$AF,$A6&amp;"_"&amp;AID$11,[1]Opciones!$AQ:$AQ)</f>
        <v>#VALUE!</v>
      </c>
      <c r="AIE6" t="e">
        <f>+SUMIF([1]Cartera!$R:$R,$A6&amp;"_"&amp;AIE$11,[1]Cartera!$I:$I)+SUMIF([1]Futuros!$AD:$AD,$A6&amp;"_"&amp;AIE$11,[1]Futuros!$AK:$AK)+SUMIF([1]Opciones!$AF:$AF,$A6&amp;"_"&amp;AIE$11,[1]Opciones!$AQ:$AQ)</f>
        <v>#VALUE!</v>
      </c>
      <c r="AIF6" t="e">
        <f>+SUMIF([1]Cartera!$R:$R,$A6&amp;"_"&amp;AIF$11,[1]Cartera!$I:$I)+SUMIF([1]Futuros!$AD:$AD,$A6&amp;"_"&amp;AIF$11,[1]Futuros!$AK:$AK)+SUMIF([1]Opciones!$AF:$AF,$A6&amp;"_"&amp;AIF$11,[1]Opciones!$AQ:$AQ)</f>
        <v>#VALUE!</v>
      </c>
      <c r="AIG6" t="e">
        <f>+SUMIF([1]Cartera!$R:$R,$A6&amp;"_"&amp;AIG$11,[1]Cartera!$I:$I)+SUMIF([1]Futuros!$AD:$AD,$A6&amp;"_"&amp;AIG$11,[1]Futuros!$AK:$AK)+SUMIF([1]Opciones!$AF:$AF,$A6&amp;"_"&amp;AIG$11,[1]Opciones!$AQ:$AQ)</f>
        <v>#VALUE!</v>
      </c>
      <c r="AIH6" t="e">
        <f>+SUMIF([1]Cartera!$R:$R,$A6&amp;"_"&amp;AIH$11,[1]Cartera!$I:$I)+SUMIF([1]Futuros!$AD:$AD,$A6&amp;"_"&amp;AIH$11,[1]Futuros!$AK:$AK)+SUMIF([1]Opciones!$AF:$AF,$A6&amp;"_"&amp;AIH$11,[1]Opciones!$AQ:$AQ)</f>
        <v>#VALUE!</v>
      </c>
      <c r="AII6" t="e">
        <f>+SUMIF([1]Cartera!$R:$R,$A6&amp;"_"&amp;AII$11,[1]Cartera!$I:$I)+SUMIF([1]Futuros!$AD:$AD,$A6&amp;"_"&amp;AII$11,[1]Futuros!$AK:$AK)+SUMIF([1]Opciones!$AF:$AF,$A6&amp;"_"&amp;AII$11,[1]Opciones!$AQ:$AQ)</f>
        <v>#VALUE!</v>
      </c>
      <c r="AIJ6" t="e">
        <f>+SUMIF([1]Cartera!$R:$R,$A6&amp;"_"&amp;AIJ$11,[1]Cartera!$I:$I)+SUMIF([1]Futuros!$AD:$AD,$A6&amp;"_"&amp;AIJ$11,[1]Futuros!$AK:$AK)+SUMIF([1]Opciones!$AF:$AF,$A6&amp;"_"&amp;AIJ$11,[1]Opciones!$AQ:$AQ)</f>
        <v>#VALUE!</v>
      </c>
      <c r="AIK6" t="e">
        <f>+SUMIF([1]Cartera!$R:$R,$A6&amp;"_"&amp;AIK$11,[1]Cartera!$I:$I)+SUMIF([1]Futuros!$AD:$AD,$A6&amp;"_"&amp;AIK$11,[1]Futuros!$AK:$AK)+SUMIF([1]Opciones!$AF:$AF,$A6&amp;"_"&amp;AIK$11,[1]Opciones!$AQ:$AQ)</f>
        <v>#VALUE!</v>
      </c>
      <c r="AIL6" t="e">
        <f>+SUMIF([1]Cartera!$R:$R,$A6&amp;"_"&amp;AIL$11,[1]Cartera!$I:$I)+SUMIF([1]Futuros!$AD:$AD,$A6&amp;"_"&amp;AIL$11,[1]Futuros!$AK:$AK)+SUMIF([1]Opciones!$AF:$AF,$A6&amp;"_"&amp;AIL$11,[1]Opciones!$AQ:$AQ)</f>
        <v>#VALUE!</v>
      </c>
      <c r="AIM6" t="e">
        <f>+SUMIF([1]Cartera!$R:$R,$A6&amp;"_"&amp;AIM$11,[1]Cartera!$I:$I)+SUMIF([1]Futuros!$AD:$AD,$A6&amp;"_"&amp;AIM$11,[1]Futuros!$AK:$AK)+SUMIF([1]Opciones!$AF:$AF,$A6&amp;"_"&amp;AIM$11,[1]Opciones!$AQ:$AQ)</f>
        <v>#VALUE!</v>
      </c>
      <c r="AIN6" t="e">
        <f>+SUMIF([1]Cartera!$R:$R,$A6&amp;"_"&amp;AIN$11,[1]Cartera!$I:$I)+SUMIF([1]Futuros!$AD:$AD,$A6&amp;"_"&amp;AIN$11,[1]Futuros!$AK:$AK)+SUMIF([1]Opciones!$AF:$AF,$A6&amp;"_"&amp;AIN$11,[1]Opciones!$AQ:$AQ)</f>
        <v>#VALUE!</v>
      </c>
      <c r="AIO6" t="e">
        <f>+SUMIF([1]Cartera!$R:$R,$A6&amp;"_"&amp;AIO$11,[1]Cartera!$I:$I)+SUMIF([1]Futuros!$AD:$AD,$A6&amp;"_"&amp;AIO$11,[1]Futuros!$AK:$AK)+SUMIF([1]Opciones!$AF:$AF,$A6&amp;"_"&amp;AIO$11,[1]Opciones!$AQ:$AQ)</f>
        <v>#VALUE!</v>
      </c>
      <c r="AIP6" t="e">
        <f>+SUMIF([1]Cartera!$R:$R,$A6&amp;"_"&amp;AIP$11,[1]Cartera!$I:$I)+SUMIF([1]Futuros!$AD:$AD,$A6&amp;"_"&amp;AIP$11,[1]Futuros!$AK:$AK)+SUMIF([1]Opciones!$AF:$AF,$A6&amp;"_"&amp;AIP$11,[1]Opciones!$AQ:$AQ)</f>
        <v>#VALUE!</v>
      </c>
      <c r="AIQ6" t="e">
        <f>+SUMIF([1]Cartera!$R:$R,$A6&amp;"_"&amp;AIQ$11,[1]Cartera!$I:$I)+SUMIF([1]Futuros!$AD:$AD,$A6&amp;"_"&amp;AIQ$11,[1]Futuros!$AK:$AK)+SUMIF([1]Opciones!$AF:$AF,$A6&amp;"_"&amp;AIQ$11,[1]Opciones!$AQ:$AQ)</f>
        <v>#VALUE!</v>
      </c>
      <c r="AIR6" s="2" t="e">
        <f>+SUMIF([1]Cartera!$R:$R,$A6&amp;"_"&amp;AIR$11,[1]Cartera!$I:$I)+SUMIF([1]Futuros!$AD:$AD,$A6&amp;"_"&amp;AIR$11,[1]Futuros!$AK:$AK)+SUMIF([1]Opciones!$AF:$AF,$A6&amp;"_"&amp;AIR$11,[1]Opciones!$AQ:$AQ)</f>
        <v>#VALUE!</v>
      </c>
      <c r="AIS6" t="e">
        <f>+SUMIF([1]Cartera!$R:$R,$A6&amp;"_"&amp;AIS$11,[1]Cartera!$I:$I)+SUMIF([1]Futuros!$AD:$AD,$A6&amp;"_"&amp;AIS$11,[1]Futuros!$AK:$AK)+SUMIF([1]Opciones!$AF:$AF,$A6&amp;"_"&amp;AIS$11,[1]Opciones!$AQ:$AQ)</f>
        <v>#VALUE!</v>
      </c>
      <c r="AIT6" t="e">
        <f>+SUMIF([1]Cartera!$R:$R,$A6&amp;"_"&amp;AIT$11,[1]Cartera!$I:$I)+SUMIF([1]Futuros!$AD:$AD,$A6&amp;"_"&amp;AIT$11,[1]Futuros!$AK:$AK)+SUMIF([1]Opciones!$AF:$AF,$A6&amp;"_"&amp;AIT$11,[1]Opciones!$AQ:$AQ)</f>
        <v>#VALUE!</v>
      </c>
      <c r="AIU6" t="e">
        <f>+SUMIF([1]Cartera!$R:$R,$A6&amp;"_"&amp;AIU$11,[1]Cartera!$I:$I)+SUMIF([1]Futuros!$AD:$AD,$A6&amp;"_"&amp;AIU$11,[1]Futuros!$AK:$AK)+SUMIF([1]Opciones!$AF:$AF,$A6&amp;"_"&amp;AIU$11,[1]Opciones!$AQ:$AQ)</f>
        <v>#VALUE!</v>
      </c>
      <c r="AIV6" t="e">
        <f>+SUMIF([1]Cartera!$R:$R,$A6&amp;"_"&amp;AIV$11,[1]Cartera!$I:$I)+SUMIF([1]Futuros!$AD:$AD,$A6&amp;"_"&amp;AIV$11,[1]Futuros!$AK:$AK)+SUMIF([1]Opciones!$AF:$AF,$A6&amp;"_"&amp;AIV$11,[1]Opciones!$AQ:$AQ)</f>
        <v>#VALUE!</v>
      </c>
      <c r="AIW6" t="e">
        <f>+SUMIF([1]Cartera!$R:$R,$A6&amp;"_"&amp;AIW$11,[1]Cartera!$I:$I)+SUMIF([1]Futuros!$AD:$AD,$A6&amp;"_"&amp;AIW$11,[1]Futuros!$AK:$AK)+SUMIF([1]Opciones!$AF:$AF,$A6&amp;"_"&amp;AIW$11,[1]Opciones!$AQ:$AQ)</f>
        <v>#VALUE!</v>
      </c>
      <c r="AIX6" t="e">
        <f>+SUMIF([1]Cartera!$R:$R,$A6&amp;"_"&amp;AIX$11,[1]Cartera!$I:$I)+SUMIF([1]Futuros!$AD:$AD,$A6&amp;"_"&amp;AIX$11,[1]Futuros!$AK:$AK)+SUMIF([1]Opciones!$AF:$AF,$A6&amp;"_"&amp;AIX$11,[1]Opciones!$AQ:$AQ)</f>
        <v>#VALUE!</v>
      </c>
      <c r="AIY6" t="e">
        <f>+SUMIF([1]Cartera!$R:$R,$A6&amp;"_"&amp;AIY$11,[1]Cartera!$I:$I)+SUMIF([1]Futuros!$AD:$AD,$A6&amp;"_"&amp;AIY$11,[1]Futuros!$AK:$AK)+SUMIF([1]Opciones!$AF:$AF,$A6&amp;"_"&amp;AIY$11,[1]Opciones!$AQ:$AQ)</f>
        <v>#VALUE!</v>
      </c>
      <c r="AIZ6" t="e">
        <f>+SUMIF([1]Cartera!$R:$R,$A6&amp;"_"&amp;AIZ$11,[1]Cartera!$I:$I)+SUMIF([1]Futuros!$AD:$AD,$A6&amp;"_"&amp;AIZ$11,[1]Futuros!$AK:$AK)+SUMIF([1]Opciones!$AF:$AF,$A6&amp;"_"&amp;AIZ$11,[1]Opciones!$AQ:$AQ)</f>
        <v>#VALUE!</v>
      </c>
      <c r="AJA6" t="e">
        <f>+SUMIF([1]Cartera!$R:$R,$A6&amp;"_"&amp;AJA$11,[1]Cartera!$I:$I)+SUMIF([1]Futuros!$AD:$AD,$A6&amp;"_"&amp;AJA$11,[1]Futuros!$AK:$AK)+SUMIF([1]Opciones!$AF:$AF,$A6&amp;"_"&amp;AJA$11,[1]Opciones!$AQ:$AQ)</f>
        <v>#VALUE!</v>
      </c>
      <c r="AJB6" t="e">
        <f>+SUMIF([1]Cartera!$R:$R,$A6&amp;"_"&amp;AJB$11,[1]Cartera!$I:$I)+SUMIF([1]Futuros!$AD:$AD,$A6&amp;"_"&amp;AJB$11,[1]Futuros!$AK:$AK)+SUMIF([1]Opciones!$AF:$AF,$A6&amp;"_"&amp;AJB$11,[1]Opciones!$AQ:$AQ)</f>
        <v>#VALUE!</v>
      </c>
      <c r="AJC6" t="e">
        <f>+SUMIF([1]Cartera!$R:$R,$A6&amp;"_"&amp;AJC$11,[1]Cartera!$I:$I)+SUMIF([1]Futuros!$AD:$AD,$A6&amp;"_"&amp;AJC$11,[1]Futuros!$AK:$AK)+SUMIF([1]Opciones!$AF:$AF,$A6&amp;"_"&amp;AJC$11,[1]Opciones!$AQ:$AQ)</f>
        <v>#VALUE!</v>
      </c>
      <c r="AJD6" t="e">
        <f>+SUMIF([1]Cartera!$R:$R,$A6&amp;"_"&amp;AJD$11,[1]Cartera!$I:$I)+SUMIF([1]Futuros!$AD:$AD,$A6&amp;"_"&amp;AJD$11,[1]Futuros!$AK:$AK)+SUMIF([1]Opciones!$AF:$AF,$A6&amp;"_"&amp;AJD$11,[1]Opciones!$AQ:$AQ)</f>
        <v>#VALUE!</v>
      </c>
      <c r="AJE6" t="e">
        <f>+SUMIF([1]Cartera!$R:$R,$A6&amp;"_"&amp;AJE$11,[1]Cartera!$I:$I)+SUMIF([1]Futuros!$AD:$AD,$A6&amp;"_"&amp;AJE$11,[1]Futuros!$AK:$AK)+SUMIF([1]Opciones!$AF:$AF,$A6&amp;"_"&amp;AJE$11,[1]Opciones!$AQ:$AQ)</f>
        <v>#VALUE!</v>
      </c>
      <c r="AJF6" t="e">
        <f>+SUMIF([1]Cartera!$R:$R,$A6&amp;"_"&amp;AJF$11,[1]Cartera!$I:$I)+SUMIF([1]Futuros!$AD:$AD,$A6&amp;"_"&amp;AJF$11,[1]Futuros!$AK:$AK)+SUMIF([1]Opciones!$AF:$AF,$A6&amp;"_"&amp;AJF$11,[1]Opciones!$AQ:$AQ)</f>
        <v>#VALUE!</v>
      </c>
      <c r="AJG6" t="e">
        <f>+SUMIF([1]Cartera!$R:$R,$A6&amp;"_"&amp;AJG$11,[1]Cartera!$I:$I)+SUMIF([1]Futuros!$AD:$AD,$A6&amp;"_"&amp;AJG$11,[1]Futuros!$AK:$AK)+SUMIF([1]Opciones!$AF:$AF,$A6&amp;"_"&amp;AJG$11,[1]Opciones!$AQ:$AQ)</f>
        <v>#VALUE!</v>
      </c>
      <c r="AJH6" t="e">
        <f>+SUMIF([1]Cartera!$R:$R,$A6&amp;"_"&amp;AJH$11,[1]Cartera!$I:$I)+SUMIF([1]Futuros!$AD:$AD,$A6&amp;"_"&amp;AJH$11,[1]Futuros!$AK:$AK)+SUMIF([1]Opciones!$AF:$AF,$A6&amp;"_"&amp;AJH$11,[1]Opciones!$AQ:$AQ)</f>
        <v>#VALUE!</v>
      </c>
      <c r="AJI6" t="e">
        <f>+SUMIF([1]Cartera!$R:$R,$A6&amp;"_"&amp;AJI$11,[1]Cartera!$I:$I)+SUMIF([1]Futuros!$AD:$AD,$A6&amp;"_"&amp;AJI$11,[1]Futuros!$AK:$AK)+SUMIF([1]Opciones!$AF:$AF,$A6&amp;"_"&amp;AJI$11,[1]Opciones!$AQ:$AQ)</f>
        <v>#VALUE!</v>
      </c>
      <c r="AJJ6" t="e">
        <f>+SUMIF([1]Cartera!$R:$R,$A6&amp;"_"&amp;AJJ$11,[1]Cartera!$I:$I)+SUMIF([1]Futuros!$AD:$AD,$A6&amp;"_"&amp;AJJ$11,[1]Futuros!$AK:$AK)+SUMIF([1]Opciones!$AF:$AF,$A6&amp;"_"&amp;AJJ$11,[1]Opciones!$AQ:$AQ)</f>
        <v>#VALUE!</v>
      </c>
      <c r="AJK6" t="e">
        <f>+SUMIF([1]Cartera!$R:$R,$A6&amp;"_"&amp;AJK$11,[1]Cartera!$I:$I)+SUMIF([1]Futuros!$AD:$AD,$A6&amp;"_"&amp;AJK$11,[1]Futuros!$AK:$AK)+SUMIF([1]Opciones!$AF:$AF,$A6&amp;"_"&amp;AJK$11,[1]Opciones!$AQ:$AQ)</f>
        <v>#VALUE!</v>
      </c>
      <c r="AJL6" t="e">
        <f>+SUMIF([1]Cartera!$R:$R,$A6&amp;"_"&amp;AJL$11,[1]Cartera!$I:$I)+SUMIF([1]Futuros!$AD:$AD,$A6&amp;"_"&amp;AJL$11,[1]Futuros!$AK:$AK)+SUMIF([1]Opciones!$AF:$AF,$A6&amp;"_"&amp;AJL$11,[1]Opciones!$AQ:$AQ)</f>
        <v>#VALUE!</v>
      </c>
      <c r="AJM6" t="e">
        <f>+SUMIF([1]Cartera!$R:$R,$A6&amp;"_"&amp;AJM$11,[1]Cartera!$I:$I)+SUMIF([1]Futuros!$AD:$AD,$A6&amp;"_"&amp;AJM$11,[1]Futuros!$AK:$AK)+SUMIF([1]Opciones!$AF:$AF,$A6&amp;"_"&amp;AJM$11,[1]Opciones!$AQ:$AQ)</f>
        <v>#VALUE!</v>
      </c>
      <c r="AJN6" t="e">
        <f>+SUMIF([1]Cartera!$R:$R,$A6&amp;"_"&amp;AJN$11,[1]Cartera!$I:$I)+SUMIF([1]Futuros!$AD:$AD,$A6&amp;"_"&amp;AJN$11,[1]Futuros!$AK:$AK)+SUMIF([1]Opciones!$AF:$AF,$A6&amp;"_"&amp;AJN$11,[1]Opciones!$AQ:$AQ)</f>
        <v>#VALUE!</v>
      </c>
      <c r="AJO6" t="e">
        <f>+SUMIF([1]Cartera!$R:$R,$A6&amp;"_"&amp;AJO$11,[1]Cartera!$I:$I)+SUMIF([1]Futuros!$AD:$AD,$A6&amp;"_"&amp;AJO$11,[1]Futuros!$AK:$AK)+SUMIF([1]Opciones!$AF:$AF,$A6&amp;"_"&amp;AJO$11,[1]Opciones!$AQ:$AQ)</f>
        <v>#VALUE!</v>
      </c>
      <c r="AJP6" t="e">
        <f>+SUMIF([1]Cartera!$R:$R,$A6&amp;"_"&amp;AJP$11,[1]Cartera!$I:$I)+SUMIF([1]Futuros!$AD:$AD,$A6&amp;"_"&amp;AJP$11,[1]Futuros!$AK:$AK)+SUMIF([1]Opciones!$AF:$AF,$A6&amp;"_"&amp;AJP$11,[1]Opciones!$AQ:$AQ)</f>
        <v>#VALUE!</v>
      </c>
      <c r="AJQ6" t="e">
        <f>+SUMIF([1]Cartera!$R:$R,$A6&amp;"_"&amp;AJQ$11,[1]Cartera!$I:$I)+SUMIF([1]Futuros!$AD:$AD,$A6&amp;"_"&amp;AJQ$11,[1]Futuros!$AK:$AK)+SUMIF([1]Opciones!$AF:$AF,$A6&amp;"_"&amp;AJQ$11,[1]Opciones!$AQ:$AQ)</f>
        <v>#VALUE!</v>
      </c>
      <c r="AJR6" t="e">
        <f>+SUMIF([1]Cartera!$R:$R,$A6&amp;"_"&amp;AJR$11,[1]Cartera!$I:$I)+SUMIF([1]Futuros!$AD:$AD,$A6&amp;"_"&amp;AJR$11,[1]Futuros!$AK:$AK)+SUMIF([1]Opciones!$AF:$AF,$A6&amp;"_"&amp;AJR$11,[1]Opciones!$AQ:$AQ)</f>
        <v>#VALUE!</v>
      </c>
      <c r="AJS6" t="e">
        <f>+SUMIF([1]Cartera!$R:$R,$A6&amp;"_"&amp;AJS$11,[1]Cartera!$I:$I)+SUMIF([1]Futuros!$AD:$AD,$A6&amp;"_"&amp;AJS$11,[1]Futuros!$AK:$AK)+SUMIF([1]Opciones!$AF:$AF,$A6&amp;"_"&amp;AJS$11,[1]Opciones!$AQ:$AQ)</f>
        <v>#VALUE!</v>
      </c>
      <c r="AJT6" t="e">
        <f>+SUMIF([1]Cartera!$R:$R,$A6&amp;"_"&amp;AJT$11,[1]Cartera!$I:$I)+SUMIF([1]Futuros!$AD:$AD,$A6&amp;"_"&amp;AJT$11,[1]Futuros!$AK:$AK)+SUMIF([1]Opciones!$AF:$AF,$A6&amp;"_"&amp;AJT$11,[1]Opciones!$AQ:$AQ)</f>
        <v>#VALUE!</v>
      </c>
      <c r="AJU6" t="e">
        <f>+SUMIF([1]Cartera!$R:$R,$A6&amp;"_"&amp;AJU$11,[1]Cartera!$I:$I)+SUMIF([1]Futuros!$AD:$AD,$A6&amp;"_"&amp;AJU$11,[1]Futuros!$AK:$AK)+SUMIF([1]Opciones!$AF:$AF,$A6&amp;"_"&amp;AJU$11,[1]Opciones!$AQ:$AQ)</f>
        <v>#VALUE!</v>
      </c>
      <c r="AJV6" t="e">
        <f>+SUMIF([1]Cartera!$R:$R,$A6&amp;"_"&amp;AJV$11,[1]Cartera!$I:$I)+SUMIF([1]Futuros!$AD:$AD,$A6&amp;"_"&amp;AJV$11,[1]Futuros!$AK:$AK)+SUMIF([1]Opciones!$AF:$AF,$A6&amp;"_"&amp;AJV$11,[1]Opciones!$AQ:$AQ)</f>
        <v>#VALUE!</v>
      </c>
      <c r="AJW6" t="e">
        <f>+SUMIF([1]Cartera!$R:$R,$A6&amp;"_"&amp;AJW$11,[1]Cartera!$I:$I)+SUMIF([1]Futuros!$AD:$AD,$A6&amp;"_"&amp;AJW$11,[1]Futuros!$AK:$AK)+SUMIF([1]Opciones!$AF:$AF,$A6&amp;"_"&amp;AJW$11,[1]Opciones!$AQ:$AQ)</f>
        <v>#VALUE!</v>
      </c>
      <c r="AJX6" t="e">
        <f>+SUMIF([1]Cartera!$R:$R,$A6&amp;"_"&amp;AJX$11,[1]Cartera!$I:$I)+SUMIF([1]Futuros!$AD:$AD,$A6&amp;"_"&amp;AJX$11,[1]Futuros!$AK:$AK)+SUMIF([1]Opciones!$AF:$AF,$A6&amp;"_"&amp;AJX$11,[1]Opciones!$AQ:$AQ)</f>
        <v>#VALUE!</v>
      </c>
      <c r="AJY6" t="e">
        <f>+SUMIF([1]Cartera!$R:$R,$A6&amp;"_"&amp;AJY$11,[1]Cartera!$I:$I)+SUMIF([1]Futuros!$AD:$AD,$A6&amp;"_"&amp;AJY$11,[1]Futuros!$AK:$AK)+SUMIF([1]Opciones!$AF:$AF,$A6&amp;"_"&amp;AJY$11,[1]Opciones!$AQ:$AQ)</f>
        <v>#VALUE!</v>
      </c>
      <c r="AJZ6" t="e">
        <f>+SUMIF([1]Cartera!$R:$R,$A6&amp;"_"&amp;AJZ$11,[1]Cartera!$I:$I)+SUMIF([1]Futuros!$AD:$AD,$A6&amp;"_"&amp;AJZ$11,[1]Futuros!$AK:$AK)+SUMIF([1]Opciones!$AF:$AF,$A6&amp;"_"&amp;AJZ$11,[1]Opciones!$AQ:$AQ)</f>
        <v>#VALUE!</v>
      </c>
      <c r="AKA6" t="e">
        <f>+SUMIF([1]Cartera!$R:$R,$A6&amp;"_"&amp;AKA$11,[1]Cartera!$I:$I)+SUMIF([1]Futuros!$AD:$AD,$A6&amp;"_"&amp;AKA$11,[1]Futuros!$AK:$AK)+SUMIF([1]Opciones!$AF:$AF,$A6&amp;"_"&amp;AKA$11,[1]Opciones!$AQ:$AQ)</f>
        <v>#VALUE!</v>
      </c>
      <c r="AKB6" t="e">
        <f>+SUMIF([1]Cartera!$R:$R,$A6&amp;"_"&amp;AKB$11,[1]Cartera!$I:$I)+SUMIF([1]Futuros!$AD:$AD,$A6&amp;"_"&amp;AKB$11,[1]Futuros!$AK:$AK)+SUMIF([1]Opciones!$AF:$AF,$A6&amp;"_"&amp;AKB$11,[1]Opciones!$AQ:$AQ)</f>
        <v>#VALUE!</v>
      </c>
      <c r="AKC6" t="e">
        <f>+SUMIF([1]Cartera!$R:$R,$A6&amp;"_"&amp;AKC$11,[1]Cartera!$I:$I)+SUMIF([1]Futuros!$AD:$AD,$A6&amp;"_"&amp;AKC$11,[1]Futuros!$AK:$AK)+SUMIF([1]Opciones!$AF:$AF,$A6&amp;"_"&amp;AKC$11,[1]Opciones!$AQ:$AQ)</f>
        <v>#VALUE!</v>
      </c>
      <c r="AKD6" t="e">
        <f>+SUMIF([1]Cartera!$R:$R,$A6&amp;"_"&amp;AKD$11,[1]Cartera!$I:$I)+SUMIF([1]Futuros!$AD:$AD,$A6&amp;"_"&amp;AKD$11,[1]Futuros!$AK:$AK)+SUMIF([1]Opciones!$AF:$AF,$A6&amp;"_"&amp;AKD$11,[1]Opciones!$AQ:$AQ)</f>
        <v>#VALUE!</v>
      </c>
      <c r="AKE6" t="e">
        <f>+SUMIF([1]Cartera!$R:$R,$A6&amp;"_"&amp;AKE$11,[1]Cartera!$I:$I)+SUMIF([1]Futuros!$AD:$AD,$A6&amp;"_"&amp;AKE$11,[1]Futuros!$AK:$AK)+SUMIF([1]Opciones!$AF:$AF,$A6&amp;"_"&amp;AKE$11,[1]Opciones!$AQ:$AQ)</f>
        <v>#VALUE!</v>
      </c>
      <c r="AKF6" t="e">
        <f>+SUMIF([1]Cartera!$R:$R,$A6&amp;"_"&amp;AKF$11,[1]Cartera!$I:$I)+SUMIF([1]Futuros!$AD:$AD,$A6&amp;"_"&amp;AKF$11,[1]Futuros!$AK:$AK)+SUMIF([1]Opciones!$AF:$AF,$A6&amp;"_"&amp;AKF$11,[1]Opciones!$AQ:$AQ)</f>
        <v>#VALUE!</v>
      </c>
      <c r="AKG6" t="e">
        <f>+SUMIF([1]Cartera!$R:$R,$A6&amp;"_"&amp;AKG$11,[1]Cartera!$I:$I)+SUMIF([1]Futuros!$AD:$AD,$A6&amp;"_"&amp;AKG$11,[1]Futuros!$AK:$AK)+SUMIF([1]Opciones!$AF:$AF,$A6&amp;"_"&amp;AKG$11,[1]Opciones!$AQ:$AQ)</f>
        <v>#VALUE!</v>
      </c>
      <c r="AKH6" t="e">
        <f>+SUMIF([1]Cartera!$R:$R,$A6&amp;"_"&amp;AKH$11,[1]Cartera!$I:$I)+SUMIF([1]Futuros!$AD:$AD,$A6&amp;"_"&amp;AKH$11,[1]Futuros!$AK:$AK)+SUMIF([1]Opciones!$AF:$AF,$A6&amp;"_"&amp;AKH$11,[1]Opciones!$AQ:$AQ)</f>
        <v>#VALUE!</v>
      </c>
      <c r="AKI6" t="e">
        <f>+SUMIF([1]Cartera!$R:$R,$A6&amp;"_"&amp;AKI$11,[1]Cartera!$I:$I)+SUMIF([1]Futuros!$AD:$AD,$A6&amp;"_"&amp;AKI$11,[1]Futuros!$AK:$AK)+SUMIF([1]Opciones!$AF:$AF,$A6&amp;"_"&amp;AKI$11,[1]Opciones!$AQ:$AQ)</f>
        <v>#VALUE!</v>
      </c>
      <c r="AKJ6" t="e">
        <f>+SUMIF([1]Cartera!$R:$R,$A6&amp;"_"&amp;AKJ$11,[1]Cartera!$I:$I)+SUMIF([1]Futuros!$AD:$AD,$A6&amp;"_"&amp;AKJ$11,[1]Futuros!$AK:$AK)+SUMIF([1]Opciones!$AF:$AF,$A6&amp;"_"&amp;AKJ$11,[1]Opciones!$AQ:$AQ)</f>
        <v>#VALUE!</v>
      </c>
      <c r="AKK6" t="e">
        <f>+SUMIF([1]Cartera!$R:$R,$A6&amp;"_"&amp;AKK$11,[1]Cartera!$I:$I)+SUMIF([1]Futuros!$AD:$AD,$A6&amp;"_"&amp;AKK$11,[1]Futuros!$AK:$AK)+SUMIF([1]Opciones!$AF:$AF,$A6&amp;"_"&amp;AKK$11,[1]Opciones!$AQ:$AQ)</f>
        <v>#VALUE!</v>
      </c>
      <c r="AKL6" t="e">
        <f>+SUMIF([1]Cartera!$R:$R,$A6&amp;"_"&amp;AKL$11,[1]Cartera!$I:$I)+SUMIF([1]Futuros!$AD:$AD,$A6&amp;"_"&amp;AKL$11,[1]Futuros!$AK:$AK)+SUMIF([1]Opciones!$AF:$AF,$A6&amp;"_"&amp;AKL$11,[1]Opciones!$AQ:$AQ)</f>
        <v>#VALUE!</v>
      </c>
      <c r="AKM6" t="e">
        <f>+SUMIF([1]Cartera!$R:$R,$A6&amp;"_"&amp;AKM$11,[1]Cartera!$I:$I)+SUMIF([1]Futuros!$AD:$AD,$A6&amp;"_"&amp;AKM$11,[1]Futuros!$AK:$AK)+SUMIF([1]Opciones!$AF:$AF,$A6&amp;"_"&amp;AKM$11,[1]Opciones!$AQ:$AQ)</f>
        <v>#VALUE!</v>
      </c>
      <c r="AKN6" t="e">
        <f>+SUMIF([1]Cartera!$R:$R,$A6&amp;"_"&amp;AKN$11,[1]Cartera!$I:$I)+SUMIF([1]Futuros!$AD:$AD,$A6&amp;"_"&amp;AKN$11,[1]Futuros!$AK:$AK)+SUMIF([1]Opciones!$AF:$AF,$A6&amp;"_"&amp;AKN$11,[1]Opciones!$AQ:$AQ)</f>
        <v>#VALUE!</v>
      </c>
      <c r="AKO6" t="e">
        <f>+SUMIF([1]Cartera!$R:$R,$A6&amp;"_"&amp;AKO$11,[1]Cartera!$I:$I)+SUMIF([1]Futuros!$AD:$AD,$A6&amp;"_"&amp;AKO$11,[1]Futuros!$AK:$AK)+SUMIF([1]Opciones!$AF:$AF,$A6&amp;"_"&amp;AKO$11,[1]Opciones!$AQ:$AQ)</f>
        <v>#VALUE!</v>
      </c>
      <c r="AKP6" t="e">
        <f>+SUMIF([1]Cartera!$R:$R,$A6&amp;"_"&amp;AKP$11,[1]Cartera!$I:$I)+SUMIF([1]Futuros!$AD:$AD,$A6&amp;"_"&amp;AKP$11,[1]Futuros!$AK:$AK)+SUMIF([1]Opciones!$AF:$AF,$A6&amp;"_"&amp;AKP$11,[1]Opciones!$AQ:$AQ)</f>
        <v>#VALUE!</v>
      </c>
      <c r="AKQ6" t="e">
        <f>+SUMIF([1]Cartera!$R:$R,$A6&amp;"_"&amp;AKQ$11,[1]Cartera!$I:$I)+SUMIF([1]Futuros!$AD:$AD,$A6&amp;"_"&amp;AKQ$11,[1]Futuros!$AK:$AK)+SUMIF([1]Opciones!$AF:$AF,$A6&amp;"_"&amp;AKQ$11,[1]Opciones!$AQ:$AQ)</f>
        <v>#VALUE!</v>
      </c>
      <c r="AKR6" t="e">
        <f>+SUMIF([1]Cartera!$R:$R,$A6&amp;"_"&amp;AKR$11,[1]Cartera!$I:$I)+SUMIF([1]Futuros!$AD:$AD,$A6&amp;"_"&amp;AKR$11,[1]Futuros!$AK:$AK)+SUMIF([1]Opciones!$AF:$AF,$A6&amp;"_"&amp;AKR$11,[1]Opciones!$AQ:$AQ)</f>
        <v>#VALUE!</v>
      </c>
      <c r="AKS6" t="e">
        <f>+SUMIF([1]Cartera!$R:$R,$A6&amp;"_"&amp;AKS$11,[1]Cartera!$I:$I)+SUMIF([1]Futuros!$AD:$AD,$A6&amp;"_"&amp;AKS$11,[1]Futuros!$AK:$AK)+SUMIF([1]Opciones!$AF:$AF,$A6&amp;"_"&amp;AKS$11,[1]Opciones!$AQ:$AQ)</f>
        <v>#VALUE!</v>
      </c>
      <c r="AKT6" t="e">
        <f>+SUMIF([1]Cartera!$R:$R,$A6&amp;"_"&amp;AKT$11,[1]Cartera!$I:$I)+SUMIF([1]Futuros!$AD:$AD,$A6&amp;"_"&amp;AKT$11,[1]Futuros!$AK:$AK)+SUMIF([1]Opciones!$AF:$AF,$A6&amp;"_"&amp;AKT$11,[1]Opciones!$AQ:$AQ)</f>
        <v>#VALUE!</v>
      </c>
      <c r="AKU6" t="e">
        <f>+SUMIF([1]Cartera!$R:$R,$A6&amp;"_"&amp;AKU$11,[1]Cartera!$I:$I)+SUMIF([1]Futuros!$AD:$AD,$A6&amp;"_"&amp;AKU$11,[1]Futuros!$AK:$AK)+SUMIF([1]Opciones!$AF:$AF,$A6&amp;"_"&amp;AKU$11,[1]Opciones!$AQ:$AQ)</f>
        <v>#VALUE!</v>
      </c>
      <c r="AKV6" t="e">
        <f>+SUMIF([1]Cartera!$R:$R,$A6&amp;"_"&amp;AKV$11,[1]Cartera!$I:$I)+SUMIF([1]Futuros!$AD:$AD,$A6&amp;"_"&amp;AKV$11,[1]Futuros!$AK:$AK)+SUMIF([1]Opciones!$AF:$AF,$A6&amp;"_"&amp;AKV$11,[1]Opciones!$AQ:$AQ)</f>
        <v>#VALUE!</v>
      </c>
      <c r="AKW6" t="e">
        <f>+SUMIF([1]Cartera!$R:$R,$A6&amp;"_"&amp;AKW$11,[1]Cartera!$I:$I)+SUMIF([1]Futuros!$AD:$AD,$A6&amp;"_"&amp;AKW$11,[1]Futuros!$AK:$AK)+SUMIF([1]Opciones!$AF:$AF,$A6&amp;"_"&amp;AKW$11,[1]Opciones!$AQ:$AQ)</f>
        <v>#VALUE!</v>
      </c>
      <c r="AKX6" t="e">
        <f>+SUMIF([1]Cartera!$R:$R,$A6&amp;"_"&amp;AKX$11,[1]Cartera!$I:$I)+SUMIF([1]Futuros!$AD:$AD,$A6&amp;"_"&amp;AKX$11,[1]Futuros!$AK:$AK)+SUMIF([1]Opciones!$AF:$AF,$A6&amp;"_"&amp;AKX$11,[1]Opciones!$AQ:$AQ)</f>
        <v>#VALUE!</v>
      </c>
      <c r="AKY6" t="e">
        <f>+SUMIF([1]Cartera!$R:$R,$A6&amp;"_"&amp;AKY$11,[1]Cartera!$I:$I)+SUMIF([1]Futuros!$AD:$AD,$A6&amp;"_"&amp;AKY$11,[1]Futuros!$AK:$AK)+SUMIF([1]Opciones!$AF:$AF,$A6&amp;"_"&amp;AKY$11,[1]Opciones!$AQ:$AQ)</f>
        <v>#VALUE!</v>
      </c>
      <c r="AKZ6" t="e">
        <f>+SUMIF([1]Cartera!$R:$R,$A6&amp;"_"&amp;AKZ$11,[1]Cartera!$I:$I)+SUMIF([1]Futuros!$AD:$AD,$A6&amp;"_"&amp;AKZ$11,[1]Futuros!$AK:$AK)+SUMIF([1]Opciones!$AF:$AF,$A6&amp;"_"&amp;AKZ$11,[1]Opciones!$AQ:$AQ)</f>
        <v>#VALUE!</v>
      </c>
      <c r="ALA6" t="e">
        <f>+SUMIF([1]Cartera!$R:$R,$A6&amp;"_"&amp;ALA$11,[1]Cartera!$I:$I)+SUMIF([1]Futuros!$AD:$AD,$A6&amp;"_"&amp;ALA$11,[1]Futuros!$AK:$AK)+SUMIF([1]Opciones!$AF:$AF,$A6&amp;"_"&amp;ALA$11,[1]Opciones!$AQ:$AQ)</f>
        <v>#VALUE!</v>
      </c>
      <c r="ALB6" t="e">
        <f>+SUMIF([1]Cartera!$R:$R,$A6&amp;"_"&amp;ALB$11,[1]Cartera!$I:$I)+SUMIF([1]Futuros!$AD:$AD,$A6&amp;"_"&amp;ALB$11,[1]Futuros!$AK:$AK)+SUMIF([1]Opciones!$AF:$AF,$A6&amp;"_"&amp;ALB$11,[1]Opciones!$AQ:$AQ)</f>
        <v>#VALUE!</v>
      </c>
      <c r="ALC6" t="e">
        <f>+SUMIF([1]Cartera!$R:$R,$A6&amp;"_"&amp;ALC$11,[1]Cartera!$I:$I)+SUMIF([1]Futuros!$AD:$AD,$A6&amp;"_"&amp;ALC$11,[1]Futuros!$AK:$AK)+SUMIF([1]Opciones!$AF:$AF,$A6&amp;"_"&amp;ALC$11,[1]Opciones!$AQ:$AQ)</f>
        <v>#VALUE!</v>
      </c>
      <c r="ALD6" t="e">
        <f>+SUMIF([1]Cartera!$R:$R,$A6&amp;"_"&amp;ALD$11,[1]Cartera!$I:$I)+SUMIF([1]Futuros!$AD:$AD,$A6&amp;"_"&amp;ALD$11,[1]Futuros!$AK:$AK)+SUMIF([1]Opciones!$AF:$AF,$A6&amp;"_"&amp;ALD$11,[1]Opciones!$AQ:$AQ)</f>
        <v>#VALUE!</v>
      </c>
      <c r="ALE6" t="e">
        <f>+SUMIF([1]Cartera!$R:$R,$A6&amp;"_"&amp;ALE$11,[1]Cartera!$I:$I)+SUMIF([1]Futuros!$AD:$AD,$A6&amp;"_"&amp;ALE$11,[1]Futuros!$AK:$AK)+SUMIF([1]Opciones!$AF:$AF,$A6&amp;"_"&amp;ALE$11,[1]Opciones!$AQ:$AQ)</f>
        <v>#VALUE!</v>
      </c>
      <c r="ALF6" t="e">
        <f>+SUMIF([1]Cartera!$R:$R,$A6&amp;"_"&amp;ALF$11,[1]Cartera!$I:$I)+SUMIF([1]Futuros!$AD:$AD,$A6&amp;"_"&amp;ALF$11,[1]Futuros!$AK:$AK)+SUMIF([1]Opciones!$AF:$AF,$A6&amp;"_"&amp;ALF$11,[1]Opciones!$AQ:$AQ)</f>
        <v>#VALUE!</v>
      </c>
      <c r="ALG6" t="e">
        <f>+SUMIF([1]Cartera!$R:$R,$A6&amp;"_"&amp;ALG$11,[1]Cartera!$I:$I)+SUMIF([1]Futuros!$AD:$AD,$A6&amp;"_"&amp;ALG$11,[1]Futuros!$AK:$AK)+SUMIF([1]Opciones!$AF:$AF,$A6&amp;"_"&amp;ALG$11,[1]Opciones!$AQ:$AQ)</f>
        <v>#VALUE!</v>
      </c>
      <c r="ALH6" t="e">
        <f>+SUMIF([1]Cartera!$R:$R,$A6&amp;"_"&amp;ALH$11,[1]Cartera!$I:$I)+SUMIF([1]Futuros!$AD:$AD,$A6&amp;"_"&amp;ALH$11,[1]Futuros!$AK:$AK)+SUMIF([1]Opciones!$AF:$AF,$A6&amp;"_"&amp;ALH$11,[1]Opciones!$AQ:$AQ)</f>
        <v>#VALUE!</v>
      </c>
      <c r="ALI6" t="e">
        <f>+SUMIF([1]Cartera!$R:$R,$A6&amp;"_"&amp;ALI$11,[1]Cartera!$I:$I)+SUMIF([1]Futuros!$AD:$AD,$A6&amp;"_"&amp;ALI$11,[1]Futuros!$AK:$AK)+SUMIF([1]Opciones!$AF:$AF,$A6&amp;"_"&amp;ALI$11,[1]Opciones!$AQ:$AQ)</f>
        <v>#VALUE!</v>
      </c>
      <c r="ALJ6" t="e">
        <f>+SUMIF([1]Cartera!$R:$R,$A6&amp;"_"&amp;ALJ$11,[1]Cartera!$I:$I)+SUMIF([1]Futuros!$AD:$AD,$A6&amp;"_"&amp;ALJ$11,[1]Futuros!$AK:$AK)+SUMIF([1]Opciones!$AF:$AF,$A6&amp;"_"&amp;ALJ$11,[1]Opciones!$AQ:$AQ)</f>
        <v>#VALUE!</v>
      </c>
      <c r="ALK6" t="e">
        <f>+SUMIF([1]Cartera!$R:$R,$A6&amp;"_"&amp;ALK$11,[1]Cartera!$I:$I)+SUMIF([1]Futuros!$AD:$AD,$A6&amp;"_"&amp;ALK$11,[1]Futuros!$AK:$AK)+SUMIF([1]Opciones!$AF:$AF,$A6&amp;"_"&amp;ALK$11,[1]Opciones!$AQ:$AQ)</f>
        <v>#VALUE!</v>
      </c>
      <c r="ALL6" t="e">
        <f>+SUMIF([1]Cartera!$R:$R,$A6&amp;"_"&amp;ALL$11,[1]Cartera!$I:$I)+SUMIF([1]Futuros!$AD:$AD,$A6&amp;"_"&amp;ALL$11,[1]Futuros!$AK:$AK)+SUMIF([1]Opciones!$AF:$AF,$A6&amp;"_"&amp;ALL$11,[1]Opciones!$AQ:$AQ)</f>
        <v>#VALUE!</v>
      </c>
      <c r="ALM6" t="e">
        <f>+SUMIF([1]Cartera!$R:$R,$A6&amp;"_"&amp;ALM$11,[1]Cartera!$I:$I)+SUMIF([1]Futuros!$AD:$AD,$A6&amp;"_"&amp;ALM$11,[1]Futuros!$AK:$AK)+SUMIF([1]Opciones!$AF:$AF,$A6&amp;"_"&amp;ALM$11,[1]Opciones!$AQ:$AQ)</f>
        <v>#VALUE!</v>
      </c>
      <c r="ALN6" t="e">
        <f>+SUMIF([1]Cartera!$R:$R,$A6&amp;"_"&amp;ALN$11,[1]Cartera!$I:$I)+SUMIF([1]Futuros!$AD:$AD,$A6&amp;"_"&amp;ALN$11,[1]Futuros!$AK:$AK)+SUMIF([1]Opciones!$AF:$AF,$A6&amp;"_"&amp;ALN$11,[1]Opciones!$AQ:$AQ)</f>
        <v>#VALUE!</v>
      </c>
      <c r="ALO6" t="e">
        <f>+SUMIF([1]Cartera!$R:$R,$A6&amp;"_"&amp;ALO$11,[1]Cartera!$I:$I)+SUMIF([1]Futuros!$AD:$AD,$A6&amp;"_"&amp;ALO$11,[1]Futuros!$AK:$AK)+SUMIF([1]Opciones!$AF:$AF,$A6&amp;"_"&amp;ALO$11,[1]Opciones!$AQ:$AQ)</f>
        <v>#VALUE!</v>
      </c>
      <c r="ALP6" t="e">
        <f>+SUMIF([1]Cartera!$R:$R,$A6&amp;"_"&amp;ALP$11,[1]Cartera!$I:$I)+SUMIF([1]Futuros!$AD:$AD,$A6&amp;"_"&amp;ALP$11,[1]Futuros!$AK:$AK)+SUMIF([1]Opciones!$AF:$AF,$A6&amp;"_"&amp;ALP$11,[1]Opciones!$AQ:$AQ)</f>
        <v>#VALUE!</v>
      </c>
      <c r="ALQ6" t="e">
        <f>+SUMIF([1]Cartera!$R:$R,$A6&amp;"_"&amp;ALQ$11,[1]Cartera!$I:$I)+SUMIF([1]Futuros!$AD:$AD,$A6&amp;"_"&amp;ALQ$11,[1]Futuros!$AK:$AK)+SUMIF([1]Opciones!$AF:$AF,$A6&amp;"_"&amp;ALQ$11,[1]Opciones!$AQ:$AQ)</f>
        <v>#VALUE!</v>
      </c>
      <c r="ALR6" t="e">
        <f>+SUMIF([1]Cartera!$R:$R,$A6&amp;"_"&amp;ALR$11,[1]Cartera!$I:$I)+SUMIF([1]Futuros!$AD:$AD,$A6&amp;"_"&amp;ALR$11,[1]Futuros!$AK:$AK)+SUMIF([1]Opciones!$AF:$AF,$A6&amp;"_"&amp;ALR$11,[1]Opciones!$AQ:$AQ)</f>
        <v>#VALUE!</v>
      </c>
      <c r="ALS6" t="e">
        <f>+SUMIF([1]Cartera!$R:$R,$A6&amp;"_"&amp;ALS$11,[1]Cartera!$I:$I)+SUMIF([1]Futuros!$AD:$AD,$A6&amp;"_"&amp;ALS$11,[1]Futuros!$AK:$AK)+SUMIF([1]Opciones!$AF:$AF,$A6&amp;"_"&amp;ALS$11,[1]Opciones!$AQ:$AQ)</f>
        <v>#VALUE!</v>
      </c>
      <c r="ALT6" t="e">
        <f>+SUMIF([1]Cartera!$R:$R,$A6&amp;"_"&amp;ALT$11,[1]Cartera!$I:$I)+SUMIF([1]Futuros!$AD:$AD,$A6&amp;"_"&amp;ALT$11,[1]Futuros!$AK:$AK)+SUMIF([1]Opciones!$AF:$AF,$A6&amp;"_"&amp;ALT$11,[1]Opciones!$AQ:$AQ)</f>
        <v>#VALUE!</v>
      </c>
      <c r="ALU6" t="e">
        <f>+SUMIF([1]Cartera!$R:$R,$A6&amp;"_"&amp;ALU$11,[1]Cartera!$I:$I)+SUMIF([1]Futuros!$AD:$AD,$A6&amp;"_"&amp;ALU$11,[1]Futuros!$AK:$AK)+SUMIF([1]Opciones!$AF:$AF,$A6&amp;"_"&amp;ALU$11,[1]Opciones!$AQ:$AQ)</f>
        <v>#VALUE!</v>
      </c>
      <c r="ALV6" t="e">
        <f>+SUMIF([1]Cartera!$R:$R,$A6&amp;"_"&amp;ALV$11,[1]Cartera!$I:$I)+SUMIF([1]Futuros!$AD:$AD,$A6&amp;"_"&amp;ALV$11,[1]Futuros!$AK:$AK)+SUMIF([1]Opciones!$AF:$AF,$A6&amp;"_"&amp;ALV$11,[1]Opciones!$AQ:$AQ)</f>
        <v>#VALUE!</v>
      </c>
      <c r="ALW6" t="e">
        <f>+SUMIF([1]Cartera!$R:$R,$A6&amp;"_"&amp;ALW$11,[1]Cartera!$I:$I)+SUMIF([1]Futuros!$AD:$AD,$A6&amp;"_"&amp;ALW$11,[1]Futuros!$AK:$AK)+SUMIF([1]Opciones!$AF:$AF,$A6&amp;"_"&amp;ALW$11,[1]Opciones!$AQ:$AQ)</f>
        <v>#VALUE!</v>
      </c>
      <c r="ALX6" t="e">
        <f>+SUMIF([1]Cartera!$R:$R,$A6&amp;"_"&amp;ALX$11,[1]Cartera!$I:$I)+SUMIF([1]Futuros!$AD:$AD,$A6&amp;"_"&amp;ALX$11,[1]Futuros!$AK:$AK)+SUMIF([1]Opciones!$AF:$AF,$A6&amp;"_"&amp;ALX$11,[1]Opciones!$AQ:$AQ)</f>
        <v>#VALUE!</v>
      </c>
      <c r="ALY6" t="e">
        <f>+SUMIF([1]Cartera!$R:$R,$A6&amp;"_"&amp;ALY$11,[1]Cartera!$I:$I)+SUMIF([1]Futuros!$AD:$AD,$A6&amp;"_"&amp;ALY$11,[1]Futuros!$AK:$AK)+SUMIF([1]Opciones!$AF:$AF,$A6&amp;"_"&amp;ALY$11,[1]Opciones!$AQ:$AQ)</f>
        <v>#VALUE!</v>
      </c>
      <c r="ALZ6" t="e">
        <f>+SUMIF([1]Cartera!$R:$R,$A6&amp;"_"&amp;ALZ$11,[1]Cartera!$I:$I)+SUMIF([1]Futuros!$AD:$AD,$A6&amp;"_"&amp;ALZ$11,[1]Futuros!$AK:$AK)+SUMIF([1]Opciones!$AF:$AF,$A6&amp;"_"&amp;ALZ$11,[1]Opciones!$AQ:$AQ)</f>
        <v>#VALUE!</v>
      </c>
      <c r="AMA6" t="e">
        <f>+SUMIF([1]Cartera!$R:$R,$A6&amp;"_"&amp;AMA$11,[1]Cartera!$I:$I)+SUMIF([1]Futuros!$AD:$AD,$A6&amp;"_"&amp;AMA$11,[1]Futuros!$AK:$AK)+SUMIF([1]Opciones!$AF:$AF,$A6&amp;"_"&amp;AMA$11,[1]Opciones!$AQ:$AQ)</f>
        <v>#VALUE!</v>
      </c>
      <c r="AMB6" t="e">
        <f>+SUMIF([1]Cartera!$R:$R,$A6&amp;"_"&amp;AMB$11,[1]Cartera!$I:$I)+SUMIF([1]Futuros!$AD:$AD,$A6&amp;"_"&amp;AMB$11,[1]Futuros!$AK:$AK)+SUMIF([1]Opciones!$AF:$AF,$A6&amp;"_"&amp;AMB$11,[1]Opciones!$AQ:$AQ)</f>
        <v>#VALUE!</v>
      </c>
      <c r="AMC6" t="e">
        <f>+SUMIF([1]Cartera!$R:$R,$A6&amp;"_"&amp;AMC$11,[1]Cartera!$I:$I)+SUMIF([1]Futuros!$AD:$AD,$A6&amp;"_"&amp;AMC$11,[1]Futuros!$AK:$AK)+SUMIF([1]Opciones!$AF:$AF,$A6&amp;"_"&amp;AMC$11,[1]Opciones!$AQ:$AQ)</f>
        <v>#VALUE!</v>
      </c>
      <c r="AMD6" t="e">
        <f>+SUMIF([1]Cartera!$R:$R,$A6&amp;"_"&amp;AMD$11,[1]Cartera!$I:$I)+SUMIF([1]Futuros!$AD:$AD,$A6&amp;"_"&amp;AMD$11,[1]Futuros!$AK:$AK)+SUMIF([1]Opciones!$AF:$AF,$A6&amp;"_"&amp;AMD$11,[1]Opciones!$AQ:$AQ)</f>
        <v>#VALUE!</v>
      </c>
      <c r="AME6" t="e">
        <f>+SUMIF([1]Cartera!$R:$R,$A6&amp;"_"&amp;AME$11,[1]Cartera!$I:$I)+SUMIF([1]Futuros!$AD:$AD,$A6&amp;"_"&amp;AME$11,[1]Futuros!$AK:$AK)+SUMIF([1]Opciones!$AF:$AF,$A6&amp;"_"&amp;AME$11,[1]Opciones!$AQ:$AQ)</f>
        <v>#VALUE!</v>
      </c>
      <c r="AMF6" t="e">
        <f>+SUMIF([1]Cartera!$R:$R,$A6&amp;"_"&amp;AMF$11,[1]Cartera!$I:$I)+SUMIF([1]Futuros!$AD:$AD,$A6&amp;"_"&amp;AMF$11,[1]Futuros!$AK:$AK)+SUMIF([1]Opciones!$AF:$AF,$A6&amp;"_"&amp;AMF$11,[1]Opciones!$AQ:$AQ)</f>
        <v>#VALUE!</v>
      </c>
      <c r="AMG6" t="e">
        <f>+SUMIF([1]Cartera!$R:$R,$A6&amp;"_"&amp;AMG$11,[1]Cartera!$I:$I)+SUMIF([1]Futuros!$AD:$AD,$A6&amp;"_"&amp;AMG$11,[1]Futuros!$AK:$AK)+SUMIF([1]Opciones!$AF:$AF,$A6&amp;"_"&amp;AMG$11,[1]Opciones!$AQ:$AQ)</f>
        <v>#VALUE!</v>
      </c>
      <c r="AMH6" t="e">
        <f>+SUMIF([1]Cartera!$R:$R,$A6&amp;"_"&amp;AMH$11,[1]Cartera!$I:$I)+SUMIF([1]Futuros!$AD:$AD,$A6&amp;"_"&amp;AMH$11,[1]Futuros!$AK:$AK)+SUMIF([1]Opciones!$AF:$AF,$A6&amp;"_"&amp;AMH$11,[1]Opciones!$AQ:$AQ)</f>
        <v>#VALUE!</v>
      </c>
      <c r="AMI6" t="e">
        <f>+SUMIF([1]Cartera!$R:$R,$A6&amp;"_"&amp;AMI$11,[1]Cartera!$I:$I)+SUMIF([1]Futuros!$AD:$AD,$A6&amp;"_"&amp;AMI$11,[1]Futuros!$AK:$AK)+SUMIF([1]Opciones!$AF:$AF,$A6&amp;"_"&amp;AMI$11,[1]Opciones!$AQ:$AQ)</f>
        <v>#VALUE!</v>
      </c>
      <c r="AMJ6" t="e">
        <f>+SUMIF([1]Cartera!$R:$R,$A6&amp;"_"&amp;AMJ$11,[1]Cartera!$I:$I)+SUMIF([1]Futuros!$AD:$AD,$A6&amp;"_"&amp;AMJ$11,[1]Futuros!$AK:$AK)+SUMIF([1]Opciones!$AF:$AF,$A6&amp;"_"&amp;AMJ$11,[1]Opciones!$AQ:$AQ)</f>
        <v>#VALUE!</v>
      </c>
      <c r="AMK6" t="e">
        <f>+SUMIF([1]Cartera!$R:$R,$A6&amp;"_"&amp;AMK$11,[1]Cartera!$I:$I)+SUMIF([1]Futuros!$AD:$AD,$A6&amp;"_"&amp;AMK$11,[1]Futuros!$AK:$AK)+SUMIF([1]Opciones!$AF:$AF,$A6&amp;"_"&amp;AMK$11,[1]Opciones!$AQ:$AQ)</f>
        <v>#VALUE!</v>
      </c>
      <c r="AML6" t="e">
        <f>+SUMIF([1]Cartera!$R:$R,$A6&amp;"_"&amp;AML$11,[1]Cartera!$I:$I)+SUMIF([1]Futuros!$AD:$AD,$A6&amp;"_"&amp;AML$11,[1]Futuros!$AK:$AK)+SUMIF([1]Opciones!$AF:$AF,$A6&amp;"_"&amp;AML$11,[1]Opciones!$AQ:$AQ)</f>
        <v>#VALUE!</v>
      </c>
      <c r="AMM6" t="e">
        <f>+SUMIF([1]Cartera!$R:$R,$A6&amp;"_"&amp;AMM$11,[1]Cartera!$I:$I)+SUMIF([1]Futuros!$AD:$AD,$A6&amp;"_"&amp;AMM$11,[1]Futuros!$AK:$AK)+SUMIF([1]Opciones!$AF:$AF,$A6&amp;"_"&amp;AMM$11,[1]Opciones!$AQ:$AQ)</f>
        <v>#VALUE!</v>
      </c>
      <c r="AMN6" t="e">
        <f>+SUMIF([1]Cartera!$R:$R,$A6&amp;"_"&amp;AMN$11,[1]Cartera!$I:$I)+SUMIF([1]Futuros!$AD:$AD,$A6&amp;"_"&amp;AMN$11,[1]Futuros!$AK:$AK)+SUMIF([1]Opciones!$AF:$AF,$A6&amp;"_"&amp;AMN$11,[1]Opciones!$AQ:$AQ)</f>
        <v>#VALUE!</v>
      </c>
      <c r="AMO6" t="e">
        <f>+SUMIF([1]Cartera!$R:$R,$A6&amp;"_"&amp;AMO$11,[1]Cartera!$I:$I)+SUMIF([1]Futuros!$AD:$AD,$A6&amp;"_"&amp;AMO$11,[1]Futuros!$AK:$AK)+SUMIF([1]Opciones!$AF:$AF,$A6&amp;"_"&amp;AMO$11,[1]Opciones!$AQ:$AQ)</f>
        <v>#VALUE!</v>
      </c>
      <c r="AMP6" t="e">
        <f>+SUMIF([1]Cartera!$R:$R,$A6&amp;"_"&amp;AMP$11,[1]Cartera!$I:$I)+SUMIF([1]Futuros!$AD:$AD,$A6&amp;"_"&amp;AMP$11,[1]Futuros!$AK:$AK)+SUMIF([1]Opciones!$AF:$AF,$A6&amp;"_"&amp;AMP$11,[1]Opciones!$AQ:$AQ)</f>
        <v>#VALUE!</v>
      </c>
      <c r="AMQ6" t="e">
        <f>+SUMIF([1]Cartera!$R:$R,$A6&amp;"_"&amp;AMQ$11,[1]Cartera!$I:$I)+SUMIF([1]Futuros!$AD:$AD,$A6&amp;"_"&amp;AMQ$11,[1]Futuros!$AK:$AK)+SUMIF([1]Opciones!$AF:$AF,$A6&amp;"_"&amp;AMQ$11,[1]Opciones!$AQ:$AQ)</f>
        <v>#VALUE!</v>
      </c>
      <c r="AMR6" t="e">
        <f>+SUMIF([1]Cartera!$R:$R,$A6&amp;"_"&amp;AMR$11,[1]Cartera!$I:$I)+SUMIF([1]Futuros!$AD:$AD,$A6&amp;"_"&amp;AMR$11,[1]Futuros!$AK:$AK)+SUMIF([1]Opciones!$AF:$AF,$A6&amp;"_"&amp;AMR$11,[1]Opciones!$AQ:$AQ)</f>
        <v>#VALUE!</v>
      </c>
      <c r="AMS6" t="e">
        <f>+SUMIF([1]Cartera!$R:$R,$A6&amp;"_"&amp;AMS$11,[1]Cartera!$I:$I)+SUMIF([1]Futuros!$AD:$AD,$A6&amp;"_"&amp;AMS$11,[1]Futuros!$AK:$AK)+SUMIF([1]Opciones!$AF:$AF,$A6&amp;"_"&amp;AMS$11,[1]Opciones!$AQ:$AQ)</f>
        <v>#VALUE!</v>
      </c>
      <c r="AMT6" t="e">
        <f>+SUMIF([1]Cartera!$R:$R,$A6&amp;"_"&amp;AMT$11,[1]Cartera!$I:$I)+SUMIF([1]Futuros!$AD:$AD,$A6&amp;"_"&amp;AMT$11,[1]Futuros!$AK:$AK)+SUMIF([1]Opciones!$AF:$AF,$A6&amp;"_"&amp;AMT$11,[1]Opciones!$AQ:$AQ)</f>
        <v>#VALUE!</v>
      </c>
      <c r="AMU6" t="e">
        <f>+SUMIF([1]Cartera!$R:$R,$A6&amp;"_"&amp;AMU$11,[1]Cartera!$I:$I)+SUMIF([1]Futuros!$AD:$AD,$A6&amp;"_"&amp;AMU$11,[1]Futuros!$AK:$AK)+SUMIF([1]Opciones!$AF:$AF,$A6&amp;"_"&amp;AMU$11,[1]Opciones!$AQ:$AQ)</f>
        <v>#VALUE!</v>
      </c>
      <c r="AMV6" t="e">
        <f>+SUMIF([1]Cartera!$R:$R,$A6&amp;"_"&amp;AMV$11,[1]Cartera!$I:$I)+SUMIF([1]Futuros!$AD:$AD,$A6&amp;"_"&amp;AMV$11,[1]Futuros!$AK:$AK)+SUMIF([1]Opciones!$AF:$AF,$A6&amp;"_"&amp;AMV$11,[1]Opciones!$AQ:$AQ)</f>
        <v>#VALUE!</v>
      </c>
      <c r="AMW6" t="e">
        <f>+SUMIF([1]Cartera!$R:$R,$A6&amp;"_"&amp;AMW$11,[1]Cartera!$I:$I)+SUMIF([1]Futuros!$AD:$AD,$A6&amp;"_"&amp;AMW$11,[1]Futuros!$AK:$AK)+SUMIF([1]Opciones!$AF:$AF,$A6&amp;"_"&amp;AMW$11,[1]Opciones!$AQ:$AQ)</f>
        <v>#VALUE!</v>
      </c>
      <c r="AMX6" t="e">
        <f>+SUMIF([1]Cartera!$R:$R,$A6&amp;"_"&amp;AMX$11,[1]Cartera!$I:$I)+SUMIF([1]Futuros!$AD:$AD,$A6&amp;"_"&amp;AMX$11,[1]Futuros!$AK:$AK)+SUMIF([1]Opciones!$AF:$AF,$A6&amp;"_"&amp;AMX$11,[1]Opciones!$AQ:$AQ)</f>
        <v>#VALUE!</v>
      </c>
      <c r="AMY6" t="e">
        <f>+SUMIF([1]Cartera!$R:$R,$A6&amp;"_"&amp;AMY$11,[1]Cartera!$I:$I)+SUMIF([1]Futuros!$AD:$AD,$A6&amp;"_"&amp;AMY$11,[1]Futuros!$AK:$AK)+SUMIF([1]Opciones!$AF:$AF,$A6&amp;"_"&amp;AMY$11,[1]Opciones!$AQ:$AQ)</f>
        <v>#VALUE!</v>
      </c>
      <c r="AMZ6" t="e">
        <f>+SUMIF([1]Cartera!$R:$R,$A6&amp;"_"&amp;AMZ$11,[1]Cartera!$I:$I)+SUMIF([1]Futuros!$AD:$AD,$A6&amp;"_"&amp;AMZ$11,[1]Futuros!$AK:$AK)+SUMIF([1]Opciones!$AF:$AF,$A6&amp;"_"&amp;AMZ$11,[1]Opciones!$AQ:$AQ)</f>
        <v>#VALUE!</v>
      </c>
      <c r="ANA6" t="e">
        <f>+SUMIF([1]Cartera!$R:$R,$A6&amp;"_"&amp;ANA$11,[1]Cartera!$I:$I)+SUMIF([1]Futuros!$AD:$AD,$A6&amp;"_"&amp;ANA$11,[1]Futuros!$AK:$AK)+SUMIF([1]Opciones!$AF:$AF,$A6&amp;"_"&amp;ANA$11,[1]Opciones!$AQ:$AQ)</f>
        <v>#VALUE!</v>
      </c>
      <c r="ANB6" t="e">
        <f>+SUMIF([1]Cartera!$R:$R,$A6&amp;"_"&amp;ANB$11,[1]Cartera!$I:$I)+SUMIF([1]Futuros!$AD:$AD,$A6&amp;"_"&amp;ANB$11,[1]Futuros!$AK:$AK)+SUMIF([1]Opciones!$AF:$AF,$A6&amp;"_"&amp;ANB$11,[1]Opciones!$AQ:$AQ)</f>
        <v>#VALUE!</v>
      </c>
      <c r="ANC6" t="e">
        <f>+SUMIF([1]Cartera!$R:$R,$A6&amp;"_"&amp;ANC$11,[1]Cartera!$I:$I)+SUMIF([1]Futuros!$AD:$AD,$A6&amp;"_"&amp;ANC$11,[1]Futuros!$AK:$AK)+SUMIF([1]Opciones!$AF:$AF,$A6&amp;"_"&amp;ANC$11,[1]Opciones!$AQ:$AQ)</f>
        <v>#VALUE!</v>
      </c>
      <c r="AND6" t="e">
        <f>+SUMIF([1]Cartera!$R:$R,$A6&amp;"_"&amp;AND$11,[1]Cartera!$I:$I)+SUMIF([1]Futuros!$AD:$AD,$A6&amp;"_"&amp;AND$11,[1]Futuros!$AK:$AK)+SUMIF([1]Opciones!$AF:$AF,$A6&amp;"_"&amp;AND$11,[1]Opciones!$AQ:$AQ)</f>
        <v>#VALUE!</v>
      </c>
      <c r="ANE6" t="e">
        <f>+SUMIF([1]Cartera!$R:$R,$A6&amp;"_"&amp;ANE$11,[1]Cartera!$I:$I)+SUMIF([1]Futuros!$AD:$AD,$A6&amp;"_"&amp;ANE$11,[1]Futuros!$AK:$AK)+SUMIF([1]Opciones!$AF:$AF,$A6&amp;"_"&amp;ANE$11,[1]Opciones!$AQ:$AQ)</f>
        <v>#VALUE!</v>
      </c>
      <c r="ANF6" t="e">
        <f>+SUMIF([1]Cartera!$R:$R,$A6&amp;"_"&amp;ANF$11,[1]Cartera!$I:$I)+SUMIF([1]Futuros!$AD:$AD,$A6&amp;"_"&amp;ANF$11,[1]Futuros!$AK:$AK)+SUMIF([1]Opciones!$AF:$AF,$A6&amp;"_"&amp;ANF$11,[1]Opciones!$AQ:$AQ)</f>
        <v>#VALUE!</v>
      </c>
      <c r="ANG6" t="e">
        <f>+SUMIF([1]Cartera!$R:$R,$A6&amp;"_"&amp;ANG$11,[1]Cartera!$I:$I)+SUMIF([1]Futuros!$AD:$AD,$A6&amp;"_"&amp;ANG$11,[1]Futuros!$AK:$AK)+SUMIF([1]Opciones!$AF:$AF,$A6&amp;"_"&amp;ANG$11,[1]Opciones!$AQ:$AQ)</f>
        <v>#VALUE!</v>
      </c>
      <c r="ANH6" t="e">
        <f>+SUMIF([1]Cartera!$R:$R,$A6&amp;"_"&amp;ANH$11,[1]Cartera!$I:$I)+SUMIF([1]Futuros!$AD:$AD,$A6&amp;"_"&amp;ANH$11,[1]Futuros!$AK:$AK)+SUMIF([1]Opciones!$AF:$AF,$A6&amp;"_"&amp;ANH$11,[1]Opciones!$AQ:$AQ)</f>
        <v>#VALUE!</v>
      </c>
      <c r="ANI6" t="e">
        <f>+SUMIF([1]Cartera!$R:$R,$A6&amp;"_"&amp;ANI$11,[1]Cartera!$I:$I)+SUMIF([1]Futuros!$AD:$AD,$A6&amp;"_"&amp;ANI$11,[1]Futuros!$AK:$AK)+SUMIF([1]Opciones!$AF:$AF,$A6&amp;"_"&amp;ANI$11,[1]Opciones!$AQ:$AQ)</f>
        <v>#VALUE!</v>
      </c>
      <c r="ANJ6" t="e">
        <f>+SUMIF([1]Cartera!$R:$R,$A6&amp;"_"&amp;ANJ$11,[1]Cartera!$I:$I)+SUMIF([1]Futuros!$AD:$AD,$A6&amp;"_"&amp;ANJ$11,[1]Futuros!$AK:$AK)+SUMIF([1]Opciones!$AF:$AF,$A6&amp;"_"&amp;ANJ$11,[1]Opciones!$AQ:$AQ)</f>
        <v>#VALUE!</v>
      </c>
      <c r="ANK6" t="e">
        <f>+SUMIF([1]Cartera!$R:$R,$A6&amp;"_"&amp;ANK$11,[1]Cartera!$I:$I)+SUMIF([1]Futuros!$AD:$AD,$A6&amp;"_"&amp;ANK$11,[1]Futuros!$AK:$AK)+SUMIF([1]Opciones!$AF:$AF,$A6&amp;"_"&amp;ANK$11,[1]Opciones!$AQ:$AQ)</f>
        <v>#VALUE!</v>
      </c>
      <c r="ANL6" t="e">
        <f>+SUMIF([1]Cartera!$R:$R,$A6&amp;"_"&amp;ANL$11,[1]Cartera!$I:$I)+SUMIF([1]Futuros!$AD:$AD,$A6&amp;"_"&amp;ANL$11,[1]Futuros!$AK:$AK)+SUMIF([1]Opciones!$AF:$AF,$A6&amp;"_"&amp;ANL$11,[1]Opciones!$AQ:$AQ)</f>
        <v>#VALUE!</v>
      </c>
      <c r="ANM6" t="e">
        <f>+SUMIF([1]Cartera!$R:$R,$A6&amp;"_"&amp;ANM$11,[1]Cartera!$I:$I)+SUMIF([1]Futuros!$AD:$AD,$A6&amp;"_"&amp;ANM$11,[1]Futuros!$AK:$AK)+SUMIF([1]Opciones!$AF:$AF,$A6&amp;"_"&amp;ANM$11,[1]Opciones!$AQ:$AQ)</f>
        <v>#VALUE!</v>
      </c>
      <c r="ANN6" t="e">
        <f>+SUMIF([1]Cartera!$R:$R,$A6&amp;"_"&amp;ANN$11,[1]Cartera!$I:$I)+SUMIF([1]Futuros!$AD:$AD,$A6&amp;"_"&amp;ANN$11,[1]Futuros!$AK:$AK)+SUMIF([1]Opciones!$AF:$AF,$A6&amp;"_"&amp;ANN$11,[1]Opciones!$AQ:$AQ)</f>
        <v>#VALUE!</v>
      </c>
      <c r="ANO6" t="e">
        <f>+SUMIF([1]Cartera!$R:$R,$A6&amp;"_"&amp;ANO$11,[1]Cartera!$I:$I)+SUMIF([1]Futuros!$AD:$AD,$A6&amp;"_"&amp;ANO$11,[1]Futuros!$AK:$AK)+SUMIF([1]Opciones!$AF:$AF,$A6&amp;"_"&amp;ANO$11,[1]Opciones!$AQ:$AQ)</f>
        <v>#VALUE!</v>
      </c>
      <c r="ANP6" t="e">
        <f>+SUMIF([1]Cartera!$R:$R,$A6&amp;"_"&amp;ANP$11,[1]Cartera!$I:$I)+SUMIF([1]Futuros!$AD:$AD,$A6&amp;"_"&amp;ANP$11,[1]Futuros!$AK:$AK)+SUMIF([1]Opciones!$AF:$AF,$A6&amp;"_"&amp;ANP$11,[1]Opciones!$AQ:$AQ)</f>
        <v>#VALUE!</v>
      </c>
      <c r="ANQ6" t="e">
        <f>+SUMIF([1]Cartera!$R:$R,$A6&amp;"_"&amp;ANQ$11,[1]Cartera!$I:$I)+SUMIF([1]Futuros!$AD:$AD,$A6&amp;"_"&amp;ANQ$11,[1]Futuros!$AK:$AK)+SUMIF([1]Opciones!$AF:$AF,$A6&amp;"_"&amp;ANQ$11,[1]Opciones!$AQ:$AQ)</f>
        <v>#VALUE!</v>
      </c>
      <c r="ANR6" t="e">
        <f>+SUMIF([1]Cartera!$R:$R,$A6&amp;"_"&amp;ANR$11,[1]Cartera!$I:$I)+SUMIF([1]Futuros!$AD:$AD,$A6&amp;"_"&amp;ANR$11,[1]Futuros!$AK:$AK)+SUMIF([1]Opciones!$AF:$AF,$A6&amp;"_"&amp;ANR$11,[1]Opciones!$AQ:$AQ)</f>
        <v>#VALUE!</v>
      </c>
      <c r="ANS6" t="e">
        <f>+SUMIF([1]Cartera!$R:$R,$A6&amp;"_"&amp;ANS$11,[1]Cartera!$I:$I)+SUMIF([1]Futuros!$AD:$AD,$A6&amp;"_"&amp;ANS$11,[1]Futuros!$AK:$AK)+SUMIF([1]Opciones!$AF:$AF,$A6&amp;"_"&amp;ANS$11,[1]Opciones!$AQ:$AQ)</f>
        <v>#VALUE!</v>
      </c>
      <c r="ANT6" t="e">
        <f>+SUMIF([1]Cartera!$R:$R,$A6&amp;"_"&amp;ANT$11,[1]Cartera!$I:$I)+SUMIF([1]Futuros!$AD:$AD,$A6&amp;"_"&amp;ANT$11,[1]Futuros!$AK:$AK)+SUMIF([1]Opciones!$AF:$AF,$A6&amp;"_"&amp;ANT$11,[1]Opciones!$AQ:$AQ)</f>
        <v>#VALUE!</v>
      </c>
      <c r="ANU6" t="e">
        <f>+SUMIF([1]Cartera!$R:$R,$A6&amp;"_"&amp;ANU$11,[1]Cartera!$I:$I)+SUMIF([1]Futuros!$AD:$AD,$A6&amp;"_"&amp;ANU$11,[1]Futuros!$AK:$AK)+SUMIF([1]Opciones!$AF:$AF,$A6&amp;"_"&amp;ANU$11,[1]Opciones!$AQ:$AQ)</f>
        <v>#VALUE!</v>
      </c>
      <c r="ANV6" t="e">
        <f>+SUMIF([1]Cartera!$R:$R,$A6&amp;"_"&amp;ANV$11,[1]Cartera!$I:$I)+SUMIF([1]Futuros!$AD:$AD,$A6&amp;"_"&amp;ANV$11,[1]Futuros!$AK:$AK)+SUMIF([1]Opciones!$AF:$AF,$A6&amp;"_"&amp;ANV$11,[1]Opciones!$AQ:$AQ)</f>
        <v>#VALUE!</v>
      </c>
      <c r="ANW6" t="e">
        <f>+SUMIF([1]Cartera!$R:$R,$A6&amp;"_"&amp;ANW$11,[1]Cartera!$I:$I)+SUMIF([1]Futuros!$AD:$AD,$A6&amp;"_"&amp;ANW$11,[1]Futuros!$AK:$AK)+SUMIF([1]Opciones!$AF:$AF,$A6&amp;"_"&amp;ANW$11,[1]Opciones!$AQ:$AQ)</f>
        <v>#VALUE!</v>
      </c>
      <c r="ANX6" t="e">
        <f>+SUMIF([1]Cartera!$R:$R,$A6&amp;"_"&amp;ANX$11,[1]Cartera!$I:$I)+SUMIF([1]Futuros!$AD:$AD,$A6&amp;"_"&amp;ANX$11,[1]Futuros!$AK:$AK)+SUMIF([1]Opciones!$AF:$AF,$A6&amp;"_"&amp;ANX$11,[1]Opciones!$AQ:$AQ)</f>
        <v>#VALUE!</v>
      </c>
      <c r="ANY6" t="e">
        <f>+SUMIF([1]Cartera!$R:$R,$A6&amp;"_"&amp;ANY$11,[1]Cartera!$I:$I)+SUMIF([1]Futuros!$AD:$AD,$A6&amp;"_"&amp;ANY$11,[1]Futuros!$AK:$AK)+SUMIF([1]Opciones!$AF:$AF,$A6&amp;"_"&amp;ANY$11,[1]Opciones!$AQ:$AQ)</f>
        <v>#VALUE!</v>
      </c>
      <c r="ANZ6" t="e">
        <f>+SUMIF([1]Cartera!$R:$R,$A6&amp;"_"&amp;ANZ$11,[1]Cartera!$I:$I)+SUMIF([1]Futuros!$AD:$AD,$A6&amp;"_"&amp;ANZ$11,[1]Futuros!$AK:$AK)+SUMIF([1]Opciones!$AF:$AF,$A6&amp;"_"&amp;ANZ$11,[1]Opciones!$AQ:$AQ)</f>
        <v>#VALUE!</v>
      </c>
      <c r="AOA6" t="e">
        <f>+SUMIF([1]Cartera!$R:$R,$A6&amp;"_"&amp;AOA$11,[1]Cartera!$I:$I)+SUMIF([1]Futuros!$AD:$AD,$A6&amp;"_"&amp;AOA$11,[1]Futuros!$AK:$AK)+SUMIF([1]Opciones!$AF:$AF,$A6&amp;"_"&amp;AOA$11,[1]Opciones!$AQ:$AQ)</f>
        <v>#VALUE!</v>
      </c>
      <c r="AOB6" t="e">
        <f>+SUMIF([1]Cartera!$R:$R,$A6&amp;"_"&amp;AOB$11,[1]Cartera!$I:$I)+SUMIF([1]Futuros!$AD:$AD,$A6&amp;"_"&amp;AOB$11,[1]Futuros!$AK:$AK)+SUMIF([1]Opciones!$AF:$AF,$A6&amp;"_"&amp;AOB$11,[1]Opciones!$AQ:$AQ)</f>
        <v>#VALUE!</v>
      </c>
      <c r="AOC6" t="e">
        <f>+SUMIF([1]Cartera!$R:$R,$A6&amp;"_"&amp;AOC$11,[1]Cartera!$I:$I)+SUMIF([1]Futuros!$AD:$AD,$A6&amp;"_"&amp;AOC$11,[1]Futuros!$AK:$AK)+SUMIF([1]Opciones!$AF:$AF,$A6&amp;"_"&amp;AOC$11,[1]Opciones!$AQ:$AQ)</f>
        <v>#VALUE!</v>
      </c>
      <c r="AOD6" t="e">
        <f>+SUMIF([1]Cartera!$R:$R,$A6&amp;"_"&amp;AOD$11,[1]Cartera!$I:$I)+SUMIF([1]Futuros!$AD:$AD,$A6&amp;"_"&amp;AOD$11,[1]Futuros!$AK:$AK)+SUMIF([1]Opciones!$AF:$AF,$A6&amp;"_"&amp;AOD$11,[1]Opciones!$AQ:$AQ)</f>
        <v>#VALUE!</v>
      </c>
      <c r="AOE6" t="e">
        <f>+SUMIF([1]Cartera!$R:$R,$A6&amp;"_"&amp;AOE$11,[1]Cartera!$I:$I)+SUMIF([1]Futuros!$AD:$AD,$A6&amp;"_"&amp;AOE$11,[1]Futuros!$AK:$AK)+SUMIF([1]Opciones!$AF:$AF,$A6&amp;"_"&amp;AOE$11,[1]Opciones!$AQ:$AQ)</f>
        <v>#VALUE!</v>
      </c>
      <c r="AOF6" t="e">
        <f>+SUMIF([1]Cartera!$R:$R,$A6&amp;"_"&amp;AOF$11,[1]Cartera!$I:$I)+SUMIF([1]Futuros!$AD:$AD,$A6&amp;"_"&amp;AOF$11,[1]Futuros!$AK:$AK)+SUMIF([1]Opciones!$AF:$AF,$A6&amp;"_"&amp;AOF$11,[1]Opciones!$AQ:$AQ)</f>
        <v>#VALUE!</v>
      </c>
      <c r="AOG6" t="e">
        <f>+SUMIF([1]Cartera!$R:$R,$A6&amp;"_"&amp;AOG$11,[1]Cartera!$I:$I)+SUMIF([1]Futuros!$AD:$AD,$A6&amp;"_"&amp;AOG$11,[1]Futuros!$AK:$AK)+SUMIF([1]Opciones!$AF:$AF,$A6&amp;"_"&amp;AOG$11,[1]Opciones!$AQ:$AQ)</f>
        <v>#VALUE!</v>
      </c>
      <c r="AOH6" t="e">
        <f>+SUMIF([1]Cartera!$R:$R,$A6&amp;"_"&amp;AOH$11,[1]Cartera!$I:$I)+SUMIF([1]Futuros!$AD:$AD,$A6&amp;"_"&amp;AOH$11,[1]Futuros!$AK:$AK)+SUMIF([1]Opciones!$AF:$AF,$A6&amp;"_"&amp;AOH$11,[1]Opciones!$AQ:$AQ)</f>
        <v>#VALUE!</v>
      </c>
      <c r="AOI6" t="e">
        <f>+SUMIF([1]Cartera!$R:$R,$A6&amp;"_"&amp;AOI$11,[1]Cartera!$I:$I)+SUMIF([1]Futuros!$AD:$AD,$A6&amp;"_"&amp;AOI$11,[1]Futuros!$AK:$AK)+SUMIF([1]Opciones!$AF:$AF,$A6&amp;"_"&amp;AOI$11,[1]Opciones!$AQ:$AQ)</f>
        <v>#VALUE!</v>
      </c>
      <c r="AOJ6" t="e">
        <f>+SUMIF([1]Cartera!$R:$R,$A6&amp;"_"&amp;AOJ$11,[1]Cartera!$I:$I)+SUMIF([1]Futuros!$AD:$AD,$A6&amp;"_"&amp;AOJ$11,[1]Futuros!$AK:$AK)+SUMIF([1]Opciones!$AF:$AF,$A6&amp;"_"&amp;AOJ$11,[1]Opciones!$AQ:$AQ)</f>
        <v>#VALUE!</v>
      </c>
      <c r="AOK6" t="e">
        <f>+SUMIF([1]Cartera!$R:$R,$A6&amp;"_"&amp;AOK$11,[1]Cartera!$I:$I)+SUMIF([1]Futuros!$AD:$AD,$A6&amp;"_"&amp;AOK$11,[1]Futuros!$AK:$AK)+SUMIF([1]Opciones!$AF:$AF,$A6&amp;"_"&amp;AOK$11,[1]Opciones!$AQ:$AQ)</f>
        <v>#VALUE!</v>
      </c>
      <c r="AOL6" t="e">
        <f>+SUMIF([1]Cartera!$R:$R,$A6&amp;"_"&amp;AOL$11,[1]Cartera!$I:$I)+SUMIF([1]Futuros!$AD:$AD,$A6&amp;"_"&amp;AOL$11,[1]Futuros!$AK:$AK)+SUMIF([1]Opciones!$AF:$AF,$A6&amp;"_"&amp;AOL$11,[1]Opciones!$AQ:$AQ)</f>
        <v>#VALUE!</v>
      </c>
      <c r="AOM6" t="e">
        <f>+SUMIF([1]Cartera!$R:$R,$A6&amp;"_"&amp;AOM$11,[1]Cartera!$I:$I)+SUMIF([1]Futuros!$AD:$AD,$A6&amp;"_"&amp;AOM$11,[1]Futuros!$AK:$AK)+SUMIF([1]Opciones!$AF:$AF,$A6&amp;"_"&amp;AOM$11,[1]Opciones!$AQ:$AQ)</f>
        <v>#VALUE!</v>
      </c>
      <c r="AON6" t="e">
        <f>+SUMIF([1]Cartera!$R:$R,$A6&amp;"_"&amp;AON$11,[1]Cartera!$I:$I)+SUMIF([1]Futuros!$AD:$AD,$A6&amp;"_"&amp;AON$11,[1]Futuros!$AK:$AK)+SUMIF([1]Opciones!$AF:$AF,$A6&amp;"_"&amp;AON$11,[1]Opciones!$AQ:$AQ)</f>
        <v>#VALUE!</v>
      </c>
      <c r="AOO6" t="e">
        <f>+SUMIF([1]Cartera!$R:$R,$A6&amp;"_"&amp;AOO$11,[1]Cartera!$I:$I)+SUMIF([1]Futuros!$AD:$AD,$A6&amp;"_"&amp;AOO$11,[1]Futuros!$AK:$AK)+SUMIF([1]Opciones!$AF:$AF,$A6&amp;"_"&amp;AOO$11,[1]Opciones!$AQ:$AQ)</f>
        <v>#VALUE!</v>
      </c>
      <c r="AOP6" t="e">
        <f>+SUMIF([1]Cartera!$R:$R,$A6&amp;"_"&amp;AOP$11,[1]Cartera!$I:$I)+SUMIF([1]Futuros!$AD:$AD,$A6&amp;"_"&amp;AOP$11,[1]Futuros!$AK:$AK)+SUMIF([1]Opciones!$AF:$AF,$A6&amp;"_"&amp;AOP$11,[1]Opciones!$AQ:$AQ)</f>
        <v>#VALUE!</v>
      </c>
      <c r="AOQ6" t="e">
        <f>+SUMIF([1]Cartera!$R:$R,$A6&amp;"_"&amp;AOQ$11,[1]Cartera!$I:$I)+SUMIF([1]Futuros!$AD:$AD,$A6&amp;"_"&amp;AOQ$11,[1]Futuros!$AK:$AK)+SUMIF([1]Opciones!$AF:$AF,$A6&amp;"_"&amp;AOQ$11,[1]Opciones!$AQ:$AQ)</f>
        <v>#VALUE!</v>
      </c>
      <c r="AOR6" t="e">
        <f>+SUMIF([1]Cartera!$R:$R,$A6&amp;"_"&amp;AOR$11,[1]Cartera!$I:$I)+SUMIF([1]Futuros!$AD:$AD,$A6&amp;"_"&amp;AOR$11,[1]Futuros!$AK:$AK)+SUMIF([1]Opciones!$AF:$AF,$A6&amp;"_"&amp;AOR$11,[1]Opciones!$AQ:$AQ)</f>
        <v>#VALUE!</v>
      </c>
      <c r="AOS6" t="e">
        <f>+SUMIF([1]Cartera!$R:$R,$A6&amp;"_"&amp;AOS$11,[1]Cartera!$I:$I)+SUMIF([1]Futuros!$AD:$AD,$A6&amp;"_"&amp;AOS$11,[1]Futuros!$AK:$AK)+SUMIF([1]Opciones!$AF:$AF,$A6&amp;"_"&amp;AOS$11,[1]Opciones!$AQ:$AQ)</f>
        <v>#VALUE!</v>
      </c>
      <c r="AOT6" t="e">
        <f>+SUMIF([1]Cartera!$R:$R,$A6&amp;"_"&amp;AOT$11,[1]Cartera!$I:$I)+SUMIF([1]Futuros!$AD:$AD,$A6&amp;"_"&amp;AOT$11,[1]Futuros!$AK:$AK)+SUMIF([1]Opciones!$AF:$AF,$A6&amp;"_"&amp;AOT$11,[1]Opciones!$AQ:$AQ)</f>
        <v>#VALUE!</v>
      </c>
      <c r="AOU6" t="e">
        <f>+SUMIF([1]Cartera!$R:$R,$A6&amp;"_"&amp;AOU$11,[1]Cartera!$I:$I)+SUMIF([1]Futuros!$AD:$AD,$A6&amp;"_"&amp;AOU$11,[1]Futuros!$AK:$AK)+SUMIF([1]Opciones!$AF:$AF,$A6&amp;"_"&amp;AOU$11,[1]Opciones!$AQ:$AQ)</f>
        <v>#VALUE!</v>
      </c>
      <c r="AOV6" t="e">
        <f>+SUMIF([1]Cartera!$R:$R,$A6&amp;"_"&amp;AOV$11,[1]Cartera!$I:$I)+SUMIF([1]Futuros!$AD:$AD,$A6&amp;"_"&amp;AOV$11,[1]Futuros!$AK:$AK)+SUMIF([1]Opciones!$AF:$AF,$A6&amp;"_"&amp;AOV$11,[1]Opciones!$AQ:$AQ)</f>
        <v>#VALUE!</v>
      </c>
      <c r="AOW6" t="e">
        <f>+SUMIF([1]Cartera!$R:$R,$A6&amp;"_"&amp;AOW$11,[1]Cartera!$I:$I)+SUMIF([1]Futuros!$AD:$AD,$A6&amp;"_"&amp;AOW$11,[1]Futuros!$AK:$AK)+SUMIF([1]Opciones!$AF:$AF,$A6&amp;"_"&amp;AOW$11,[1]Opciones!$AQ:$AQ)</f>
        <v>#VALUE!</v>
      </c>
      <c r="AOX6" t="e">
        <f>+SUMIF([1]Cartera!$R:$R,$A6&amp;"_"&amp;AOX$11,[1]Cartera!$I:$I)+SUMIF([1]Futuros!$AD:$AD,$A6&amp;"_"&amp;AOX$11,[1]Futuros!$AK:$AK)+SUMIF([1]Opciones!$AF:$AF,$A6&amp;"_"&amp;AOX$11,[1]Opciones!$AQ:$AQ)</f>
        <v>#VALUE!</v>
      </c>
      <c r="AOY6" t="e">
        <f>+SUMIF([1]Cartera!$R:$R,$A6&amp;"_"&amp;AOY$11,[1]Cartera!$I:$I)+SUMIF([1]Futuros!$AD:$AD,$A6&amp;"_"&amp;AOY$11,[1]Futuros!$AK:$AK)+SUMIF([1]Opciones!$AF:$AF,$A6&amp;"_"&amp;AOY$11,[1]Opciones!$AQ:$AQ)</f>
        <v>#VALUE!</v>
      </c>
      <c r="AOZ6" t="e">
        <f>+SUMIF([1]Cartera!$R:$R,$A6&amp;"_"&amp;AOZ$11,[1]Cartera!$I:$I)+SUMIF([1]Futuros!$AD:$AD,$A6&amp;"_"&amp;AOZ$11,[1]Futuros!$AK:$AK)+SUMIF([1]Opciones!$AF:$AF,$A6&amp;"_"&amp;AOZ$11,[1]Opciones!$AQ:$AQ)</f>
        <v>#VALUE!</v>
      </c>
      <c r="APA6" t="e">
        <f>+SUMIF([1]Cartera!$R:$R,$A6&amp;"_"&amp;APA$11,[1]Cartera!$I:$I)+SUMIF([1]Futuros!$AD:$AD,$A6&amp;"_"&amp;APA$11,[1]Futuros!$AK:$AK)+SUMIF([1]Opciones!$AF:$AF,$A6&amp;"_"&amp;APA$11,[1]Opciones!$AQ:$AQ)</f>
        <v>#VALUE!</v>
      </c>
      <c r="APB6" t="e">
        <f>+SUMIF([1]Cartera!$R:$R,$A6&amp;"_"&amp;APB$11,[1]Cartera!$I:$I)+SUMIF([1]Futuros!$AD:$AD,$A6&amp;"_"&amp;APB$11,[1]Futuros!$AK:$AK)+SUMIF([1]Opciones!$AF:$AF,$A6&amp;"_"&amp;APB$11,[1]Opciones!$AQ:$AQ)</f>
        <v>#VALUE!</v>
      </c>
      <c r="APC6" t="e">
        <f>+SUMIF([1]Cartera!$R:$R,$A6&amp;"_"&amp;APC$11,[1]Cartera!$I:$I)+SUMIF([1]Futuros!$AD:$AD,$A6&amp;"_"&amp;APC$11,[1]Futuros!$AK:$AK)+SUMIF([1]Opciones!$AF:$AF,$A6&amp;"_"&amp;APC$11,[1]Opciones!$AQ:$AQ)</f>
        <v>#VALUE!</v>
      </c>
      <c r="APD6" t="e">
        <f>+SUMIF([1]Cartera!$R:$R,$A6&amp;"_"&amp;APD$11,[1]Cartera!$I:$I)+SUMIF([1]Futuros!$AD:$AD,$A6&amp;"_"&amp;APD$11,[1]Futuros!$AK:$AK)+SUMIF([1]Opciones!$AF:$AF,$A6&amp;"_"&amp;APD$11,[1]Opciones!$AQ:$AQ)</f>
        <v>#VALUE!</v>
      </c>
      <c r="APE6" t="e">
        <f>+SUMIF([1]Cartera!$R:$R,$A6&amp;"_"&amp;APE$11,[1]Cartera!$I:$I)+SUMIF([1]Futuros!$AD:$AD,$A6&amp;"_"&amp;APE$11,[1]Futuros!$AK:$AK)+SUMIF([1]Opciones!$AF:$AF,$A6&amp;"_"&amp;APE$11,[1]Opciones!$AQ:$AQ)</f>
        <v>#VALUE!</v>
      </c>
      <c r="APF6" t="e">
        <f>+SUMIF([1]Cartera!$R:$R,$A6&amp;"_"&amp;APF$11,[1]Cartera!$I:$I)+SUMIF([1]Futuros!$AD:$AD,$A6&amp;"_"&amp;APF$11,[1]Futuros!$AK:$AK)+SUMIF([1]Opciones!$AF:$AF,$A6&amp;"_"&amp;APF$11,[1]Opciones!$AQ:$AQ)</f>
        <v>#VALUE!</v>
      </c>
      <c r="APG6" t="e">
        <f>+SUMIF([1]Cartera!$R:$R,$A6&amp;"_"&amp;APG$11,[1]Cartera!$I:$I)+SUMIF([1]Futuros!$AD:$AD,$A6&amp;"_"&amp;APG$11,[1]Futuros!$AK:$AK)+SUMIF([1]Opciones!$AF:$AF,$A6&amp;"_"&amp;APG$11,[1]Opciones!$AQ:$AQ)</f>
        <v>#VALUE!</v>
      </c>
      <c r="APH6" t="e">
        <f>+SUMIF([1]Cartera!$R:$R,$A6&amp;"_"&amp;APH$11,[1]Cartera!$I:$I)+SUMIF([1]Futuros!$AD:$AD,$A6&amp;"_"&amp;APH$11,[1]Futuros!$AK:$AK)+SUMIF([1]Opciones!$AF:$AF,$A6&amp;"_"&amp;APH$11,[1]Opciones!$AQ:$AQ)</f>
        <v>#VALUE!</v>
      </c>
      <c r="API6" t="e">
        <f>+SUMIF([1]Cartera!$R:$R,$A6&amp;"_"&amp;API$11,[1]Cartera!$I:$I)+SUMIF([1]Futuros!$AD:$AD,$A6&amp;"_"&amp;API$11,[1]Futuros!$AK:$AK)+SUMIF([1]Opciones!$AF:$AF,$A6&amp;"_"&amp;API$11,[1]Opciones!$AQ:$AQ)</f>
        <v>#VALUE!</v>
      </c>
      <c r="APJ6" t="e">
        <f>+SUMIF([1]Cartera!$R:$R,$A6&amp;"_"&amp;APJ$11,[1]Cartera!$I:$I)+SUMIF([1]Futuros!$AD:$AD,$A6&amp;"_"&amp;APJ$11,[1]Futuros!$AK:$AK)+SUMIF([1]Opciones!$AF:$AF,$A6&amp;"_"&amp;APJ$11,[1]Opciones!$AQ:$AQ)</f>
        <v>#VALUE!</v>
      </c>
      <c r="APK6" t="e">
        <f>+SUMIF([1]Cartera!$R:$R,$A6&amp;"_"&amp;APK$11,[1]Cartera!$I:$I)+SUMIF([1]Futuros!$AD:$AD,$A6&amp;"_"&amp;APK$11,[1]Futuros!$AK:$AK)+SUMIF([1]Opciones!$AF:$AF,$A6&amp;"_"&amp;APK$11,[1]Opciones!$AQ:$AQ)</f>
        <v>#VALUE!</v>
      </c>
      <c r="APL6" t="e">
        <f>+SUMIF([1]Cartera!$R:$R,$A6&amp;"_"&amp;APL$11,[1]Cartera!$I:$I)+SUMIF([1]Futuros!$AD:$AD,$A6&amp;"_"&amp;APL$11,[1]Futuros!$AK:$AK)+SUMIF([1]Opciones!$AF:$AF,$A6&amp;"_"&amp;APL$11,[1]Opciones!$AQ:$AQ)</f>
        <v>#VALUE!</v>
      </c>
      <c r="APM6" t="e">
        <f>+SUMIF([1]Cartera!$R:$R,$A6&amp;"_"&amp;APM$11,[1]Cartera!$I:$I)+SUMIF([1]Futuros!$AD:$AD,$A6&amp;"_"&amp;APM$11,[1]Futuros!$AK:$AK)+SUMIF([1]Opciones!$AF:$AF,$A6&amp;"_"&amp;APM$11,[1]Opciones!$AQ:$AQ)</f>
        <v>#VALUE!</v>
      </c>
      <c r="APN6" t="e">
        <f>+SUMIF([1]Cartera!$R:$R,$A6&amp;"_"&amp;APN$11,[1]Cartera!$I:$I)+SUMIF([1]Futuros!$AD:$AD,$A6&amp;"_"&amp;APN$11,[1]Futuros!$AK:$AK)+SUMIF([1]Opciones!$AF:$AF,$A6&amp;"_"&amp;APN$11,[1]Opciones!$AQ:$AQ)</f>
        <v>#VALUE!</v>
      </c>
      <c r="APO6" t="e">
        <f>+SUMIF([1]Cartera!$R:$R,$A6&amp;"_"&amp;APO$11,[1]Cartera!$I:$I)+SUMIF([1]Futuros!$AD:$AD,$A6&amp;"_"&amp;APO$11,[1]Futuros!$AK:$AK)+SUMIF([1]Opciones!$AF:$AF,$A6&amp;"_"&amp;APO$11,[1]Opciones!$AQ:$AQ)</f>
        <v>#VALUE!</v>
      </c>
      <c r="APP6" t="e">
        <f>+SUMIF([1]Cartera!$R:$R,$A6&amp;"_"&amp;APP$11,[1]Cartera!$I:$I)+SUMIF([1]Futuros!$AD:$AD,$A6&amp;"_"&amp;APP$11,[1]Futuros!$AK:$AK)+SUMIF([1]Opciones!$AF:$AF,$A6&amp;"_"&amp;APP$11,[1]Opciones!$AQ:$AQ)</f>
        <v>#VALUE!</v>
      </c>
      <c r="APQ6" t="e">
        <f>+SUMIF([1]Cartera!$R:$R,$A6&amp;"_"&amp;APQ$11,[1]Cartera!$I:$I)+SUMIF([1]Futuros!$AD:$AD,$A6&amp;"_"&amp;APQ$11,[1]Futuros!$AK:$AK)+SUMIF([1]Opciones!$AF:$AF,$A6&amp;"_"&amp;APQ$11,[1]Opciones!$AQ:$AQ)</f>
        <v>#VALUE!</v>
      </c>
      <c r="APR6" t="e">
        <f>+SUMIF([1]Cartera!$R:$R,$A6&amp;"_"&amp;APR$11,[1]Cartera!$I:$I)+SUMIF([1]Futuros!$AD:$AD,$A6&amp;"_"&amp;APR$11,[1]Futuros!$AK:$AK)+SUMIF([1]Opciones!$AF:$AF,$A6&amp;"_"&amp;APR$11,[1]Opciones!$AQ:$AQ)</f>
        <v>#VALUE!</v>
      </c>
      <c r="APS6" t="e">
        <f>+SUMIF([1]Cartera!$R:$R,$A6&amp;"_"&amp;APS$11,[1]Cartera!$I:$I)+SUMIF([1]Futuros!$AD:$AD,$A6&amp;"_"&amp;APS$11,[1]Futuros!$AK:$AK)+SUMIF([1]Opciones!$AF:$AF,$A6&amp;"_"&amp;APS$11,[1]Opciones!$AQ:$AQ)</f>
        <v>#VALUE!</v>
      </c>
      <c r="APT6" t="e">
        <f>+SUMIF([1]Cartera!$R:$R,$A6&amp;"_"&amp;APT$11,[1]Cartera!$I:$I)+SUMIF([1]Futuros!$AD:$AD,$A6&amp;"_"&amp;APT$11,[1]Futuros!$AK:$AK)+SUMIF([1]Opciones!$AF:$AF,$A6&amp;"_"&amp;APT$11,[1]Opciones!$AQ:$AQ)</f>
        <v>#VALUE!</v>
      </c>
      <c r="APU6" t="e">
        <f>+SUMIF([1]Cartera!$R:$R,$A6&amp;"_"&amp;APU$11,[1]Cartera!$I:$I)+SUMIF([1]Futuros!$AD:$AD,$A6&amp;"_"&amp;APU$11,[1]Futuros!$AK:$AK)+SUMIF([1]Opciones!$AF:$AF,$A6&amp;"_"&amp;APU$11,[1]Opciones!$AQ:$AQ)</f>
        <v>#VALUE!</v>
      </c>
      <c r="APV6" t="e">
        <f>+SUMIF([1]Cartera!$R:$R,$A6&amp;"_"&amp;APV$11,[1]Cartera!$I:$I)+SUMIF([1]Futuros!$AD:$AD,$A6&amp;"_"&amp;APV$11,[1]Futuros!$AK:$AK)+SUMIF([1]Opciones!$AF:$AF,$A6&amp;"_"&amp;APV$11,[1]Opciones!$AQ:$AQ)</f>
        <v>#VALUE!</v>
      </c>
      <c r="APW6" t="e">
        <f>+SUMIF([1]Cartera!$R:$R,$A6&amp;"_"&amp;APW$11,[1]Cartera!$I:$I)+SUMIF([1]Futuros!$AD:$AD,$A6&amp;"_"&amp;APW$11,[1]Futuros!$AK:$AK)+SUMIF([1]Opciones!$AF:$AF,$A6&amp;"_"&amp;APW$11,[1]Opciones!$AQ:$AQ)</f>
        <v>#VALUE!</v>
      </c>
      <c r="APX6" t="e">
        <f>+SUMIF([1]Cartera!$R:$R,$A6&amp;"_"&amp;APX$11,[1]Cartera!$I:$I)+SUMIF([1]Futuros!$AD:$AD,$A6&amp;"_"&amp;APX$11,[1]Futuros!$AK:$AK)+SUMIF([1]Opciones!$AF:$AF,$A6&amp;"_"&amp;APX$11,[1]Opciones!$AQ:$AQ)</f>
        <v>#VALUE!</v>
      </c>
      <c r="APY6" t="e">
        <f>+SUMIF([1]Cartera!$R:$R,$A6&amp;"_"&amp;APY$11,[1]Cartera!$I:$I)+SUMIF([1]Futuros!$AD:$AD,$A6&amp;"_"&amp;APY$11,[1]Futuros!$AK:$AK)+SUMIF([1]Opciones!$AF:$AF,$A6&amp;"_"&amp;APY$11,[1]Opciones!$AQ:$AQ)</f>
        <v>#VALUE!</v>
      </c>
      <c r="APZ6" t="e">
        <f>+SUMIF([1]Cartera!$R:$R,$A6&amp;"_"&amp;APZ$11,[1]Cartera!$I:$I)+SUMIF([1]Futuros!$AD:$AD,$A6&amp;"_"&amp;APZ$11,[1]Futuros!$AK:$AK)+SUMIF([1]Opciones!$AF:$AF,$A6&amp;"_"&amp;APZ$11,[1]Opciones!$AQ:$AQ)</f>
        <v>#VALUE!</v>
      </c>
      <c r="AQA6" t="e">
        <f>+SUMIF([1]Cartera!$R:$R,$A6&amp;"_"&amp;AQA$11,[1]Cartera!$I:$I)+SUMIF([1]Futuros!$AD:$AD,$A6&amp;"_"&amp;AQA$11,[1]Futuros!$AK:$AK)+SUMIF([1]Opciones!$AF:$AF,$A6&amp;"_"&amp;AQA$11,[1]Opciones!$AQ:$AQ)</f>
        <v>#VALUE!</v>
      </c>
      <c r="AQB6" t="e">
        <f>+SUMIF([1]Cartera!$R:$R,$A6&amp;"_"&amp;AQB$11,[1]Cartera!$I:$I)+SUMIF([1]Futuros!$AD:$AD,$A6&amp;"_"&amp;AQB$11,[1]Futuros!$AK:$AK)+SUMIF([1]Opciones!$AF:$AF,$A6&amp;"_"&amp;AQB$11,[1]Opciones!$AQ:$AQ)</f>
        <v>#VALUE!</v>
      </c>
      <c r="AQC6" t="e">
        <f>+SUMIF([1]Cartera!$R:$R,$A6&amp;"_"&amp;AQC$11,[1]Cartera!$I:$I)+SUMIF([1]Futuros!$AD:$AD,$A6&amp;"_"&amp;AQC$11,[1]Futuros!$AK:$AK)+SUMIF([1]Opciones!$AF:$AF,$A6&amp;"_"&amp;AQC$11,[1]Opciones!$AQ:$AQ)</f>
        <v>#VALUE!</v>
      </c>
      <c r="AQD6" t="e">
        <f>+SUMIF([1]Cartera!$R:$R,$A6&amp;"_"&amp;AQD$11,[1]Cartera!$I:$I)+SUMIF([1]Futuros!$AD:$AD,$A6&amp;"_"&amp;AQD$11,[1]Futuros!$AK:$AK)+SUMIF([1]Opciones!$AF:$AF,$A6&amp;"_"&amp;AQD$11,[1]Opciones!$AQ:$AQ)</f>
        <v>#VALUE!</v>
      </c>
      <c r="AQE6" t="e">
        <f>+SUMIF([1]Cartera!$R:$R,$A6&amp;"_"&amp;AQE$11,[1]Cartera!$I:$I)+SUMIF([1]Futuros!$AD:$AD,$A6&amp;"_"&amp;AQE$11,[1]Futuros!$AK:$AK)+SUMIF([1]Opciones!$AF:$AF,$A6&amp;"_"&amp;AQE$11,[1]Opciones!$AQ:$AQ)</f>
        <v>#VALUE!</v>
      </c>
      <c r="AQF6" t="e">
        <f>+SUMIF([1]Cartera!$R:$R,$A6&amp;"_"&amp;AQF$11,[1]Cartera!$I:$I)+SUMIF([1]Futuros!$AD:$AD,$A6&amp;"_"&amp;AQF$11,[1]Futuros!$AK:$AK)+SUMIF([1]Opciones!$AF:$AF,$A6&amp;"_"&amp;AQF$11,[1]Opciones!$AQ:$AQ)</f>
        <v>#VALUE!</v>
      </c>
      <c r="AQG6" t="e">
        <f>+SUMIF([1]Cartera!$R:$R,$A6&amp;"_"&amp;AQG$11,[1]Cartera!$I:$I)+SUMIF([1]Futuros!$AD:$AD,$A6&amp;"_"&amp;AQG$11,[1]Futuros!$AK:$AK)+SUMIF([1]Opciones!$AF:$AF,$A6&amp;"_"&amp;AQG$11,[1]Opciones!$AQ:$AQ)</f>
        <v>#VALUE!</v>
      </c>
      <c r="AQH6" t="e">
        <f>+SUMIF([1]Cartera!$R:$R,$A6&amp;"_"&amp;AQH$11,[1]Cartera!$I:$I)+SUMIF([1]Futuros!$AD:$AD,$A6&amp;"_"&amp;AQH$11,[1]Futuros!$AK:$AK)+SUMIF([1]Opciones!$AF:$AF,$A6&amp;"_"&amp;AQH$11,[1]Opciones!$AQ:$AQ)</f>
        <v>#VALUE!</v>
      </c>
      <c r="AQI6" t="e">
        <f>+SUMIF([1]Cartera!$R:$R,$A6&amp;"_"&amp;AQI$11,[1]Cartera!$I:$I)+SUMIF([1]Futuros!$AD:$AD,$A6&amp;"_"&amp;AQI$11,[1]Futuros!$AK:$AK)+SUMIF([1]Opciones!$AF:$AF,$A6&amp;"_"&amp;AQI$11,[1]Opciones!$AQ:$AQ)</f>
        <v>#VALUE!</v>
      </c>
      <c r="AQJ6" t="e">
        <f>+SUMIF([1]Cartera!$R:$R,$A6&amp;"_"&amp;AQJ$11,[1]Cartera!$I:$I)+SUMIF([1]Futuros!$AD:$AD,$A6&amp;"_"&amp;AQJ$11,[1]Futuros!$AK:$AK)+SUMIF([1]Opciones!$AF:$AF,$A6&amp;"_"&amp;AQJ$11,[1]Opciones!$AQ:$AQ)</f>
        <v>#VALUE!</v>
      </c>
      <c r="AQK6" t="e">
        <f>+SUMIF([1]Cartera!$R:$R,$A6&amp;"_"&amp;AQK$11,[1]Cartera!$I:$I)+SUMIF([1]Futuros!$AD:$AD,$A6&amp;"_"&amp;AQK$11,[1]Futuros!$AK:$AK)+SUMIF([1]Opciones!$AF:$AF,$A6&amp;"_"&amp;AQK$11,[1]Opciones!$AQ:$AQ)</f>
        <v>#VALUE!</v>
      </c>
      <c r="AQL6" t="e">
        <f>+SUMIF([1]Cartera!$R:$R,$A6&amp;"_"&amp;AQL$11,[1]Cartera!$I:$I)+SUMIF([1]Futuros!$AD:$AD,$A6&amp;"_"&amp;AQL$11,[1]Futuros!$AK:$AK)+SUMIF([1]Opciones!$AF:$AF,$A6&amp;"_"&amp;AQL$11,[1]Opciones!$AQ:$AQ)</f>
        <v>#VALUE!</v>
      </c>
      <c r="AQM6" t="e">
        <f>+SUMIF([1]Cartera!$R:$R,$A6&amp;"_"&amp;AQM$11,[1]Cartera!$I:$I)+SUMIF([1]Futuros!$AD:$AD,$A6&amp;"_"&amp;AQM$11,[1]Futuros!$AK:$AK)+SUMIF([1]Opciones!$AF:$AF,$A6&amp;"_"&amp;AQM$11,[1]Opciones!$AQ:$AQ)</f>
        <v>#VALUE!</v>
      </c>
      <c r="AQN6" t="e">
        <f>+SUMIF([1]Cartera!$R:$R,$A6&amp;"_"&amp;AQN$11,[1]Cartera!$I:$I)+SUMIF([1]Futuros!$AD:$AD,$A6&amp;"_"&amp;AQN$11,[1]Futuros!$AK:$AK)+SUMIF([1]Opciones!$AF:$AF,$A6&amp;"_"&amp;AQN$11,[1]Opciones!$AQ:$AQ)</f>
        <v>#VALUE!</v>
      </c>
      <c r="AQO6" t="e">
        <f>+SUMIF([1]Cartera!$R:$R,$A6&amp;"_"&amp;AQO$11,[1]Cartera!$I:$I)+SUMIF([1]Futuros!$AD:$AD,$A6&amp;"_"&amp;AQO$11,[1]Futuros!$AK:$AK)+SUMIF([1]Opciones!$AF:$AF,$A6&amp;"_"&amp;AQO$11,[1]Opciones!$AQ:$AQ)</f>
        <v>#VALUE!</v>
      </c>
      <c r="AQP6" t="e">
        <f>+SUMIF([1]Cartera!$R:$R,$A6&amp;"_"&amp;AQP$11,[1]Cartera!$I:$I)+SUMIF([1]Futuros!$AD:$AD,$A6&amp;"_"&amp;AQP$11,[1]Futuros!$AK:$AK)+SUMIF([1]Opciones!$AF:$AF,$A6&amp;"_"&amp;AQP$11,[1]Opciones!$AQ:$AQ)</f>
        <v>#VALUE!</v>
      </c>
      <c r="AQQ6" t="e">
        <f>+SUMIF([1]Cartera!$R:$R,$A6&amp;"_"&amp;AQQ$11,[1]Cartera!$I:$I)+SUMIF([1]Futuros!$AD:$AD,$A6&amp;"_"&amp;AQQ$11,[1]Futuros!$AK:$AK)+SUMIF([1]Opciones!$AF:$AF,$A6&amp;"_"&amp;AQQ$11,[1]Opciones!$AQ:$AQ)</f>
        <v>#VALUE!</v>
      </c>
      <c r="AQR6" t="e">
        <f>+SUMIF([1]Cartera!$R:$R,$A6&amp;"_"&amp;AQR$11,[1]Cartera!$I:$I)+SUMIF([1]Futuros!$AD:$AD,$A6&amp;"_"&amp;AQR$11,[1]Futuros!$AK:$AK)+SUMIF([1]Opciones!$AF:$AF,$A6&amp;"_"&amp;AQR$11,[1]Opciones!$AQ:$AQ)</f>
        <v>#VALUE!</v>
      </c>
      <c r="AQS6" t="e">
        <f>+SUMIF([1]Cartera!$R:$R,$A6&amp;"_"&amp;AQS$11,[1]Cartera!$I:$I)+SUMIF([1]Futuros!$AD:$AD,$A6&amp;"_"&amp;AQS$11,[1]Futuros!$AK:$AK)+SUMIF([1]Opciones!$AF:$AF,$A6&amp;"_"&amp;AQS$11,[1]Opciones!$AQ:$AQ)</f>
        <v>#VALUE!</v>
      </c>
      <c r="AQT6" t="e">
        <f>+SUMIF([1]Cartera!$R:$R,$A6&amp;"_"&amp;AQT$11,[1]Cartera!$I:$I)+SUMIF([1]Futuros!$AD:$AD,$A6&amp;"_"&amp;AQT$11,[1]Futuros!$AK:$AK)+SUMIF([1]Opciones!$AF:$AF,$A6&amp;"_"&amp;AQT$11,[1]Opciones!$AQ:$AQ)</f>
        <v>#VALUE!</v>
      </c>
      <c r="AQU6" t="e">
        <f>+SUMIF([1]Cartera!$R:$R,$A6&amp;"_"&amp;AQU$11,[1]Cartera!$I:$I)+SUMIF([1]Futuros!$AD:$AD,$A6&amp;"_"&amp;AQU$11,[1]Futuros!$AK:$AK)+SUMIF([1]Opciones!$AF:$AF,$A6&amp;"_"&amp;AQU$11,[1]Opciones!$AQ:$AQ)</f>
        <v>#VALUE!</v>
      </c>
      <c r="AQV6" t="e">
        <f>+SUMIF([1]Cartera!$R:$R,$A6&amp;"_"&amp;AQV$11,[1]Cartera!$I:$I)+SUMIF([1]Futuros!$AD:$AD,$A6&amp;"_"&amp;AQV$11,[1]Futuros!$AK:$AK)+SUMIF([1]Opciones!$AF:$AF,$A6&amp;"_"&amp;AQV$11,[1]Opciones!$AQ:$AQ)</f>
        <v>#VALUE!</v>
      </c>
      <c r="AQW6" t="e">
        <f>+SUMIF([1]Cartera!$R:$R,$A6&amp;"_"&amp;AQW$11,[1]Cartera!$I:$I)+SUMIF([1]Futuros!$AD:$AD,$A6&amp;"_"&amp;AQW$11,[1]Futuros!$AK:$AK)+SUMIF([1]Opciones!$AF:$AF,$A6&amp;"_"&amp;AQW$11,[1]Opciones!$AQ:$AQ)</f>
        <v>#VALUE!</v>
      </c>
      <c r="AQX6" t="e">
        <f>+SUMIF([1]Cartera!$R:$R,$A6&amp;"_"&amp;AQX$11,[1]Cartera!$I:$I)+SUMIF([1]Futuros!$AD:$AD,$A6&amp;"_"&amp;AQX$11,[1]Futuros!$AK:$AK)+SUMIF([1]Opciones!$AF:$AF,$A6&amp;"_"&amp;AQX$11,[1]Opciones!$AQ:$AQ)</f>
        <v>#VALUE!</v>
      </c>
      <c r="AQY6" t="e">
        <f>+SUMIF([1]Cartera!$R:$R,$A6&amp;"_"&amp;AQY$11,[1]Cartera!$I:$I)+SUMIF([1]Futuros!$AD:$AD,$A6&amp;"_"&amp;AQY$11,[1]Futuros!$AK:$AK)+SUMIF([1]Opciones!$AF:$AF,$A6&amp;"_"&amp;AQY$11,[1]Opciones!$AQ:$AQ)</f>
        <v>#VALUE!</v>
      </c>
      <c r="AQZ6" t="e">
        <f>+SUMIF([1]Cartera!$R:$R,$A6&amp;"_"&amp;AQZ$11,[1]Cartera!$I:$I)+SUMIF([1]Futuros!$AD:$AD,$A6&amp;"_"&amp;AQZ$11,[1]Futuros!$AK:$AK)+SUMIF([1]Opciones!$AF:$AF,$A6&amp;"_"&amp;AQZ$11,[1]Opciones!$AQ:$AQ)</f>
        <v>#VALUE!</v>
      </c>
      <c r="ARA6" t="e">
        <f>+SUMIF([1]Cartera!$R:$R,$A6&amp;"_"&amp;ARA$11,[1]Cartera!$I:$I)+SUMIF([1]Futuros!$AD:$AD,$A6&amp;"_"&amp;ARA$11,[1]Futuros!$AK:$AK)+SUMIF([1]Opciones!$AF:$AF,$A6&amp;"_"&amp;ARA$11,[1]Opciones!$AQ:$AQ)</f>
        <v>#VALUE!</v>
      </c>
      <c r="ARB6" t="e">
        <f>+SUMIF([1]Cartera!$R:$R,$A6&amp;"_"&amp;ARB$11,[1]Cartera!$I:$I)+SUMIF([1]Futuros!$AD:$AD,$A6&amp;"_"&amp;ARB$11,[1]Futuros!$AK:$AK)+SUMIF([1]Opciones!$AF:$AF,$A6&amp;"_"&amp;ARB$11,[1]Opciones!$AQ:$AQ)</f>
        <v>#VALUE!</v>
      </c>
      <c r="ARC6" t="e">
        <f>+SUMIF([1]Cartera!$R:$R,$A6&amp;"_"&amp;ARC$11,[1]Cartera!$I:$I)+SUMIF([1]Futuros!$AD:$AD,$A6&amp;"_"&amp;ARC$11,[1]Futuros!$AK:$AK)+SUMIF([1]Opciones!$AF:$AF,$A6&amp;"_"&amp;ARC$11,[1]Opciones!$AQ:$AQ)</f>
        <v>#VALUE!</v>
      </c>
      <c r="ARD6" t="e">
        <f>+SUMIF([1]Cartera!$R:$R,$A6&amp;"_"&amp;ARD$11,[1]Cartera!$I:$I)+SUMIF([1]Futuros!$AD:$AD,$A6&amp;"_"&amp;ARD$11,[1]Futuros!$AK:$AK)+SUMIF([1]Opciones!$AF:$AF,$A6&amp;"_"&amp;ARD$11,[1]Opciones!$AQ:$AQ)</f>
        <v>#VALUE!</v>
      </c>
      <c r="ARE6" t="e">
        <f>+SUMIF([1]Cartera!$R:$R,$A6&amp;"_"&amp;ARE$11,[1]Cartera!$I:$I)+SUMIF([1]Futuros!$AD:$AD,$A6&amp;"_"&amp;ARE$11,[1]Futuros!$AK:$AK)+SUMIF([1]Opciones!$AF:$AF,$A6&amp;"_"&amp;ARE$11,[1]Opciones!$AQ:$AQ)</f>
        <v>#VALUE!</v>
      </c>
      <c r="ARF6" t="e">
        <f>+SUMIF([1]Cartera!$R:$R,$A6&amp;"_"&amp;ARF$11,[1]Cartera!$I:$I)+SUMIF([1]Futuros!$AD:$AD,$A6&amp;"_"&amp;ARF$11,[1]Futuros!$AK:$AK)+SUMIF([1]Opciones!$AF:$AF,$A6&amp;"_"&amp;ARF$11,[1]Opciones!$AQ:$AQ)</f>
        <v>#VALUE!</v>
      </c>
      <c r="ARG6" t="e">
        <f>+SUMIF([1]Cartera!$R:$R,$A6&amp;"_"&amp;ARG$11,[1]Cartera!$I:$I)+SUMIF([1]Futuros!$AD:$AD,$A6&amp;"_"&amp;ARG$11,[1]Futuros!$AK:$AK)+SUMIF([1]Opciones!$AF:$AF,$A6&amp;"_"&amp;ARG$11,[1]Opciones!$AQ:$AQ)</f>
        <v>#VALUE!</v>
      </c>
      <c r="ARH6" t="e">
        <f>+SUMIF([1]Cartera!$R:$R,$A6&amp;"_"&amp;ARH$11,[1]Cartera!$I:$I)+SUMIF([1]Futuros!$AD:$AD,$A6&amp;"_"&amp;ARH$11,[1]Futuros!$AK:$AK)+SUMIF([1]Opciones!$AF:$AF,$A6&amp;"_"&amp;ARH$11,[1]Opciones!$AQ:$AQ)</f>
        <v>#VALUE!</v>
      </c>
      <c r="ARI6" t="e">
        <f>+SUMIF([1]Cartera!$R:$R,$A6&amp;"_"&amp;ARI$11,[1]Cartera!$I:$I)+SUMIF([1]Futuros!$AD:$AD,$A6&amp;"_"&amp;ARI$11,[1]Futuros!$AK:$AK)+SUMIF([1]Opciones!$AF:$AF,$A6&amp;"_"&amp;ARI$11,[1]Opciones!$AQ:$AQ)</f>
        <v>#VALUE!</v>
      </c>
      <c r="ARJ6" t="e">
        <f>+SUMIF([1]Cartera!$R:$R,$A6&amp;"_"&amp;ARJ$11,[1]Cartera!$I:$I)+SUMIF([1]Futuros!$AD:$AD,$A6&amp;"_"&amp;ARJ$11,[1]Futuros!$AK:$AK)+SUMIF([1]Opciones!$AF:$AF,$A6&amp;"_"&amp;ARJ$11,[1]Opciones!$AQ:$AQ)</f>
        <v>#VALUE!</v>
      </c>
      <c r="ARK6" t="e">
        <f>+SUMIF([1]Cartera!$R:$R,$A6&amp;"_"&amp;ARK$11,[1]Cartera!$I:$I)+SUMIF([1]Futuros!$AD:$AD,$A6&amp;"_"&amp;ARK$11,[1]Futuros!$AK:$AK)+SUMIF([1]Opciones!$AF:$AF,$A6&amp;"_"&amp;ARK$11,[1]Opciones!$AQ:$AQ)</f>
        <v>#VALUE!</v>
      </c>
      <c r="ARL6" t="e">
        <f>+SUMIF([1]Cartera!$R:$R,$A6&amp;"_"&amp;ARL$11,[1]Cartera!$I:$I)+SUMIF([1]Futuros!$AD:$AD,$A6&amp;"_"&amp;ARL$11,[1]Futuros!$AK:$AK)+SUMIF([1]Opciones!$AF:$AF,$A6&amp;"_"&amp;ARL$11,[1]Opciones!$AQ:$AQ)</f>
        <v>#VALUE!</v>
      </c>
      <c r="ARM6" t="e">
        <f>+SUMIF([1]Cartera!$R:$R,$A6&amp;"_"&amp;ARM$11,[1]Cartera!$I:$I)+SUMIF([1]Futuros!$AD:$AD,$A6&amp;"_"&amp;ARM$11,[1]Futuros!$AK:$AK)+SUMIF([1]Opciones!$AF:$AF,$A6&amp;"_"&amp;ARM$11,[1]Opciones!$AQ:$AQ)</f>
        <v>#VALUE!</v>
      </c>
      <c r="ARN6" t="e">
        <f>+SUMIF([1]Cartera!$R:$R,$A6&amp;"_"&amp;ARN$11,[1]Cartera!$I:$I)+SUMIF([1]Futuros!$AD:$AD,$A6&amp;"_"&amp;ARN$11,[1]Futuros!$AK:$AK)+SUMIF([1]Opciones!$AF:$AF,$A6&amp;"_"&amp;ARN$11,[1]Opciones!$AQ:$AQ)</f>
        <v>#VALUE!</v>
      </c>
      <c r="ARO6" t="e">
        <f>+SUMIF([1]Cartera!$R:$R,$A6&amp;"_"&amp;ARO$11,[1]Cartera!$I:$I)+SUMIF([1]Futuros!$AD:$AD,$A6&amp;"_"&amp;ARO$11,[1]Futuros!$AK:$AK)+SUMIF([1]Opciones!$AF:$AF,$A6&amp;"_"&amp;ARO$11,[1]Opciones!$AQ:$AQ)</f>
        <v>#VALUE!</v>
      </c>
      <c r="ARP6" t="e">
        <f>+SUMIF([1]Cartera!$R:$R,$A6&amp;"_"&amp;ARP$11,[1]Cartera!$I:$I)+SUMIF([1]Futuros!$AD:$AD,$A6&amp;"_"&amp;ARP$11,[1]Futuros!$AK:$AK)+SUMIF([1]Opciones!$AF:$AF,$A6&amp;"_"&amp;ARP$11,[1]Opciones!$AQ:$AQ)</f>
        <v>#VALUE!</v>
      </c>
      <c r="ARQ6" t="e">
        <f>+SUMIF([1]Cartera!$R:$R,$A6&amp;"_"&amp;ARQ$11,[1]Cartera!$I:$I)+SUMIF([1]Futuros!$AD:$AD,$A6&amp;"_"&amp;ARQ$11,[1]Futuros!$AK:$AK)+SUMIF([1]Opciones!$AF:$AF,$A6&amp;"_"&amp;ARQ$11,[1]Opciones!$AQ:$AQ)</f>
        <v>#VALUE!</v>
      </c>
      <c r="ARR6" t="e">
        <f>+SUMIF([1]Cartera!$R:$R,$A6&amp;"_"&amp;ARR$11,[1]Cartera!$I:$I)+SUMIF([1]Futuros!$AD:$AD,$A6&amp;"_"&amp;ARR$11,[1]Futuros!$AK:$AK)+SUMIF([1]Opciones!$AF:$AF,$A6&amp;"_"&amp;ARR$11,[1]Opciones!$AQ:$AQ)</f>
        <v>#VALUE!</v>
      </c>
      <c r="ARS6" t="e">
        <f>+SUMIF([1]Cartera!$R:$R,$A6&amp;"_"&amp;ARS$11,[1]Cartera!$I:$I)+SUMIF([1]Futuros!$AD:$AD,$A6&amp;"_"&amp;ARS$11,[1]Futuros!$AK:$AK)+SUMIF([1]Opciones!$AF:$AF,$A6&amp;"_"&amp;ARS$11,[1]Opciones!$AQ:$AQ)</f>
        <v>#VALUE!</v>
      </c>
      <c r="ART6" t="e">
        <f>+SUMIF([1]Cartera!$R:$R,$A6&amp;"_"&amp;ART$11,[1]Cartera!$I:$I)+SUMIF([1]Futuros!$AD:$AD,$A6&amp;"_"&amp;ART$11,[1]Futuros!$AK:$AK)+SUMIF([1]Opciones!$AF:$AF,$A6&amp;"_"&amp;ART$11,[1]Opciones!$AQ:$AQ)</f>
        <v>#VALUE!</v>
      </c>
      <c r="ARU6" t="e">
        <f>+SUMIF([1]Cartera!$R:$R,$A6&amp;"_"&amp;ARU$11,[1]Cartera!$I:$I)+SUMIF([1]Futuros!$AD:$AD,$A6&amp;"_"&amp;ARU$11,[1]Futuros!$AK:$AK)+SUMIF([1]Opciones!$AF:$AF,$A6&amp;"_"&amp;ARU$11,[1]Opciones!$AQ:$AQ)</f>
        <v>#VALUE!</v>
      </c>
      <c r="ARV6" t="e">
        <f>+SUMIF([1]Cartera!$R:$R,$A6&amp;"_"&amp;ARV$11,[1]Cartera!$I:$I)+SUMIF([1]Futuros!$AD:$AD,$A6&amp;"_"&amp;ARV$11,[1]Futuros!$AK:$AK)+SUMIF([1]Opciones!$AF:$AF,$A6&amp;"_"&amp;ARV$11,[1]Opciones!$AQ:$AQ)</f>
        <v>#VALUE!</v>
      </c>
      <c r="ARW6" t="e">
        <f>+SUMIF([1]Cartera!$R:$R,$A6&amp;"_"&amp;ARW$11,[1]Cartera!$I:$I)+SUMIF([1]Futuros!$AD:$AD,$A6&amp;"_"&amp;ARW$11,[1]Futuros!$AK:$AK)+SUMIF([1]Opciones!$AF:$AF,$A6&amp;"_"&amp;ARW$11,[1]Opciones!$AQ:$AQ)</f>
        <v>#VALUE!</v>
      </c>
      <c r="ARX6" t="e">
        <f>+SUMIF([1]Cartera!$R:$R,$A6&amp;"_"&amp;ARX$11,[1]Cartera!$I:$I)+SUMIF([1]Futuros!$AD:$AD,$A6&amp;"_"&amp;ARX$11,[1]Futuros!$AK:$AK)+SUMIF([1]Opciones!$AF:$AF,$A6&amp;"_"&amp;ARX$11,[1]Opciones!$AQ:$AQ)</f>
        <v>#VALUE!</v>
      </c>
      <c r="ARY6" t="e">
        <f>+SUMIF([1]Cartera!$R:$R,$A6&amp;"_"&amp;ARY$11,[1]Cartera!$I:$I)+SUMIF([1]Futuros!$AD:$AD,$A6&amp;"_"&amp;ARY$11,[1]Futuros!$AK:$AK)+SUMIF([1]Opciones!$AF:$AF,$A6&amp;"_"&amp;ARY$11,[1]Opciones!$AQ:$AQ)</f>
        <v>#VALUE!</v>
      </c>
      <c r="ARZ6" t="e">
        <f>+SUMIF([1]Cartera!$R:$R,$A6&amp;"_"&amp;ARZ$11,[1]Cartera!$I:$I)+SUMIF([1]Futuros!$AD:$AD,$A6&amp;"_"&amp;ARZ$11,[1]Futuros!$AK:$AK)+SUMIF([1]Opciones!$AF:$AF,$A6&amp;"_"&amp;ARZ$11,[1]Opciones!$AQ:$AQ)</f>
        <v>#VALUE!</v>
      </c>
      <c r="ASA6" t="e">
        <f>+SUMIF([1]Cartera!$R:$R,$A6&amp;"_"&amp;ASA$11,[1]Cartera!$I:$I)+SUMIF([1]Futuros!$AD:$AD,$A6&amp;"_"&amp;ASA$11,[1]Futuros!$AK:$AK)+SUMIF([1]Opciones!$AF:$AF,$A6&amp;"_"&amp;ASA$11,[1]Opciones!$AQ:$AQ)</f>
        <v>#VALUE!</v>
      </c>
      <c r="ASB6" t="e">
        <f>+SUMIF([1]Cartera!$R:$R,$A6&amp;"_"&amp;ASB$11,[1]Cartera!$I:$I)+SUMIF([1]Futuros!$AD:$AD,$A6&amp;"_"&amp;ASB$11,[1]Futuros!$AK:$AK)+SUMIF([1]Opciones!$AF:$AF,$A6&amp;"_"&amp;ASB$11,[1]Opciones!$AQ:$AQ)</f>
        <v>#VALUE!</v>
      </c>
      <c r="ASC6" t="e">
        <f>+SUMIF([1]Cartera!$R:$R,$A6&amp;"_"&amp;ASC$11,[1]Cartera!$I:$I)+SUMIF([1]Futuros!$AD:$AD,$A6&amp;"_"&amp;ASC$11,[1]Futuros!$AK:$AK)+SUMIF([1]Opciones!$AF:$AF,$A6&amp;"_"&amp;ASC$11,[1]Opciones!$AQ:$AQ)</f>
        <v>#VALUE!</v>
      </c>
      <c r="ASD6" t="e">
        <f>+SUMIF([1]Cartera!$R:$R,$A6&amp;"_"&amp;ASD$11,[1]Cartera!$I:$I)+SUMIF([1]Futuros!$AD:$AD,$A6&amp;"_"&amp;ASD$11,[1]Futuros!$AK:$AK)+SUMIF([1]Opciones!$AF:$AF,$A6&amp;"_"&amp;ASD$11,[1]Opciones!$AQ:$AQ)</f>
        <v>#VALUE!</v>
      </c>
      <c r="ASE6" t="e">
        <f>+SUMIF([1]Cartera!$R:$R,$A6&amp;"_"&amp;ASE$11,[1]Cartera!$I:$I)+SUMIF([1]Futuros!$AD:$AD,$A6&amp;"_"&amp;ASE$11,[1]Futuros!$AK:$AK)+SUMIF([1]Opciones!$AF:$AF,$A6&amp;"_"&amp;ASE$11,[1]Opciones!$AQ:$AQ)</f>
        <v>#VALUE!</v>
      </c>
      <c r="ASF6" t="e">
        <f>+SUMIF([1]Cartera!$R:$R,$A6&amp;"_"&amp;ASF$11,[1]Cartera!$I:$I)+SUMIF([1]Futuros!$AD:$AD,$A6&amp;"_"&amp;ASF$11,[1]Futuros!$AK:$AK)+SUMIF([1]Opciones!$AF:$AF,$A6&amp;"_"&amp;ASF$11,[1]Opciones!$AQ:$AQ)</f>
        <v>#VALUE!</v>
      </c>
      <c r="ASG6" t="e">
        <f>+SUMIF([1]Cartera!$R:$R,$A6&amp;"_"&amp;ASG$11,[1]Cartera!$I:$I)+SUMIF([1]Futuros!$AD:$AD,$A6&amp;"_"&amp;ASG$11,[1]Futuros!$AK:$AK)+SUMIF([1]Opciones!$AF:$AF,$A6&amp;"_"&amp;ASG$11,[1]Opciones!$AQ:$AQ)</f>
        <v>#VALUE!</v>
      </c>
      <c r="ASH6" t="e">
        <f>+SUMIF([1]Cartera!$R:$R,$A6&amp;"_"&amp;ASH$11,[1]Cartera!$I:$I)+SUMIF([1]Futuros!$AD:$AD,$A6&amp;"_"&amp;ASH$11,[1]Futuros!$AK:$AK)+SUMIF([1]Opciones!$AF:$AF,$A6&amp;"_"&amp;ASH$11,[1]Opciones!$AQ:$AQ)</f>
        <v>#VALUE!</v>
      </c>
      <c r="ASI6" t="e">
        <f>+SUMIF([1]Cartera!$R:$R,$A6&amp;"_"&amp;ASI$11,[1]Cartera!$I:$I)+SUMIF([1]Futuros!$AD:$AD,$A6&amp;"_"&amp;ASI$11,[1]Futuros!$AK:$AK)+SUMIF([1]Opciones!$AF:$AF,$A6&amp;"_"&amp;ASI$11,[1]Opciones!$AQ:$AQ)</f>
        <v>#VALUE!</v>
      </c>
      <c r="ASJ6" t="e">
        <f>+SUMIF([1]Cartera!$R:$R,$A6&amp;"_"&amp;ASJ$11,[1]Cartera!$I:$I)+SUMIF([1]Futuros!$AD:$AD,$A6&amp;"_"&amp;ASJ$11,[1]Futuros!$AK:$AK)+SUMIF([1]Opciones!$AF:$AF,$A6&amp;"_"&amp;ASJ$11,[1]Opciones!$AQ:$AQ)</f>
        <v>#VALUE!</v>
      </c>
      <c r="ASK6" t="e">
        <f>+SUMIF([1]Cartera!$R:$R,$A6&amp;"_"&amp;ASK$11,[1]Cartera!$I:$I)+SUMIF([1]Futuros!$AD:$AD,$A6&amp;"_"&amp;ASK$11,[1]Futuros!$AK:$AK)+SUMIF([1]Opciones!$AF:$AF,$A6&amp;"_"&amp;ASK$11,[1]Opciones!$AQ:$AQ)</f>
        <v>#VALUE!</v>
      </c>
      <c r="ASL6" t="e">
        <f>+SUMIF([1]Cartera!$R:$R,$A6&amp;"_"&amp;ASL$11,[1]Cartera!$I:$I)+SUMIF([1]Futuros!$AD:$AD,$A6&amp;"_"&amp;ASL$11,[1]Futuros!$AK:$AK)+SUMIF([1]Opciones!$AF:$AF,$A6&amp;"_"&amp;ASL$11,[1]Opciones!$AQ:$AQ)</f>
        <v>#VALUE!</v>
      </c>
      <c r="ASM6" t="e">
        <f>+SUMIF([1]Cartera!$R:$R,$A6&amp;"_"&amp;ASM$11,[1]Cartera!$I:$I)+SUMIF([1]Futuros!$AD:$AD,$A6&amp;"_"&amp;ASM$11,[1]Futuros!$AK:$AK)+SUMIF([1]Opciones!$AF:$AF,$A6&amp;"_"&amp;ASM$11,[1]Opciones!$AQ:$AQ)</f>
        <v>#VALUE!</v>
      </c>
      <c r="ASN6" t="e">
        <f>+SUMIF([1]Cartera!$R:$R,$A6&amp;"_"&amp;ASN$11,[1]Cartera!$I:$I)+SUMIF([1]Futuros!$AD:$AD,$A6&amp;"_"&amp;ASN$11,[1]Futuros!$AK:$AK)+SUMIF([1]Opciones!$AF:$AF,$A6&amp;"_"&amp;ASN$11,[1]Opciones!$AQ:$AQ)</f>
        <v>#VALUE!</v>
      </c>
      <c r="ASO6" t="e">
        <f>+SUMIF([1]Cartera!$R:$R,$A6&amp;"_"&amp;ASO$11,[1]Cartera!$I:$I)+SUMIF([1]Futuros!$AD:$AD,$A6&amp;"_"&amp;ASO$11,[1]Futuros!$AK:$AK)+SUMIF([1]Opciones!$AF:$AF,$A6&amp;"_"&amp;ASO$11,[1]Opciones!$AQ:$AQ)</f>
        <v>#VALUE!</v>
      </c>
      <c r="ASP6" t="e">
        <f>+SUMIF([1]Cartera!$R:$R,$A6&amp;"_"&amp;ASP$11,[1]Cartera!$I:$I)+SUMIF([1]Futuros!$AD:$AD,$A6&amp;"_"&amp;ASP$11,[1]Futuros!$AK:$AK)+SUMIF([1]Opciones!$AF:$AF,$A6&amp;"_"&amp;ASP$11,[1]Opciones!$AQ:$AQ)</f>
        <v>#VALUE!</v>
      </c>
      <c r="ASQ6" t="e">
        <f>+SUMIF([1]Cartera!$R:$R,$A6&amp;"_"&amp;ASQ$11,[1]Cartera!$I:$I)+SUMIF([1]Futuros!$AD:$AD,$A6&amp;"_"&amp;ASQ$11,[1]Futuros!$AK:$AK)+SUMIF([1]Opciones!$AF:$AF,$A6&amp;"_"&amp;ASQ$11,[1]Opciones!$AQ:$AQ)</f>
        <v>#VALUE!</v>
      </c>
      <c r="ASR6" t="e">
        <f>+SUMIF([1]Cartera!$R:$R,$A6&amp;"_"&amp;ASR$11,[1]Cartera!$I:$I)+SUMIF([1]Futuros!$AD:$AD,$A6&amp;"_"&amp;ASR$11,[1]Futuros!$AK:$AK)+SUMIF([1]Opciones!$AF:$AF,$A6&amp;"_"&amp;ASR$11,[1]Opciones!$AQ:$AQ)</f>
        <v>#VALUE!</v>
      </c>
      <c r="ASS6" t="e">
        <f>+SUMIF([1]Cartera!$R:$R,$A6&amp;"_"&amp;ASS$11,[1]Cartera!$I:$I)+SUMIF([1]Futuros!$AD:$AD,$A6&amp;"_"&amp;ASS$11,[1]Futuros!$AK:$AK)+SUMIF([1]Opciones!$AF:$AF,$A6&amp;"_"&amp;ASS$11,[1]Opciones!$AQ:$AQ)</f>
        <v>#VALUE!</v>
      </c>
      <c r="AST6" t="e">
        <f>+SUMIF([1]Cartera!$R:$R,$A6&amp;"_"&amp;AST$11,[1]Cartera!$I:$I)+SUMIF([1]Futuros!$AD:$AD,$A6&amp;"_"&amp;AST$11,[1]Futuros!$AK:$AK)+SUMIF([1]Opciones!$AF:$AF,$A6&amp;"_"&amp;AST$11,[1]Opciones!$AQ:$AQ)</f>
        <v>#VALUE!</v>
      </c>
      <c r="ASU6" t="e">
        <f>+SUMIF([1]Cartera!$R:$R,$A6&amp;"_"&amp;ASU$11,[1]Cartera!$I:$I)+SUMIF([1]Futuros!$AD:$AD,$A6&amp;"_"&amp;ASU$11,[1]Futuros!$AK:$AK)+SUMIF([1]Opciones!$AF:$AF,$A6&amp;"_"&amp;ASU$11,[1]Opciones!$AQ:$AQ)</f>
        <v>#VALUE!</v>
      </c>
      <c r="ASV6" t="e">
        <f>+SUMIF([1]Cartera!$R:$R,$A6&amp;"_"&amp;ASV$11,[1]Cartera!$I:$I)+SUMIF([1]Futuros!$AD:$AD,$A6&amp;"_"&amp;ASV$11,[1]Futuros!$AK:$AK)+SUMIF([1]Opciones!$AF:$AF,$A6&amp;"_"&amp;ASV$11,[1]Opciones!$AQ:$AQ)</f>
        <v>#VALUE!</v>
      </c>
      <c r="ASW6" t="e">
        <f>+SUMIF([1]Cartera!$R:$R,$A6&amp;"_"&amp;ASW$11,[1]Cartera!$I:$I)+SUMIF([1]Futuros!$AD:$AD,$A6&amp;"_"&amp;ASW$11,[1]Futuros!$AK:$AK)+SUMIF([1]Opciones!$AF:$AF,$A6&amp;"_"&amp;ASW$11,[1]Opciones!$AQ:$AQ)</f>
        <v>#VALUE!</v>
      </c>
      <c r="ASX6" t="e">
        <f>+SUMIF([1]Cartera!$R:$R,$A6&amp;"_"&amp;ASX$11,[1]Cartera!$I:$I)+SUMIF([1]Futuros!$AD:$AD,$A6&amp;"_"&amp;ASX$11,[1]Futuros!$AK:$AK)+SUMIF([1]Opciones!$AF:$AF,$A6&amp;"_"&amp;ASX$11,[1]Opciones!$AQ:$AQ)</f>
        <v>#VALUE!</v>
      </c>
      <c r="ASY6" t="e">
        <f>+SUMIF([1]Cartera!$R:$R,$A6&amp;"_"&amp;ASY$11,[1]Cartera!$I:$I)+SUMIF([1]Futuros!$AD:$AD,$A6&amp;"_"&amp;ASY$11,[1]Futuros!$AK:$AK)+SUMIF([1]Opciones!$AF:$AF,$A6&amp;"_"&amp;ASY$11,[1]Opciones!$AQ:$AQ)</f>
        <v>#VALUE!</v>
      </c>
      <c r="ASZ6" t="e">
        <f>+SUMIF([1]Cartera!$R:$R,$A6&amp;"_"&amp;ASZ$11,[1]Cartera!$I:$I)+SUMIF([1]Futuros!$AD:$AD,$A6&amp;"_"&amp;ASZ$11,[1]Futuros!$AK:$AK)+SUMIF([1]Opciones!$AF:$AF,$A6&amp;"_"&amp;ASZ$11,[1]Opciones!$AQ:$AQ)</f>
        <v>#VALUE!</v>
      </c>
      <c r="ATA6" t="e">
        <f>+SUMIF([1]Cartera!$R:$R,$A6&amp;"_"&amp;ATA$11,[1]Cartera!$I:$I)+SUMIF([1]Futuros!$AD:$AD,$A6&amp;"_"&amp;ATA$11,[1]Futuros!$AK:$AK)+SUMIF([1]Opciones!$AF:$AF,$A6&amp;"_"&amp;ATA$11,[1]Opciones!$AQ:$AQ)</f>
        <v>#VALUE!</v>
      </c>
      <c r="ATB6" t="e">
        <f>+SUMIF([1]Cartera!$R:$R,$A6&amp;"_"&amp;ATB$11,[1]Cartera!$I:$I)+SUMIF([1]Futuros!$AD:$AD,$A6&amp;"_"&amp;ATB$11,[1]Futuros!$AK:$AK)+SUMIF([1]Opciones!$AF:$AF,$A6&amp;"_"&amp;ATB$11,[1]Opciones!$AQ:$AQ)</f>
        <v>#VALUE!</v>
      </c>
      <c r="ATC6" t="e">
        <f>+SUMIF([1]Cartera!$R:$R,$A6&amp;"_"&amp;ATC$11,[1]Cartera!$I:$I)+SUMIF([1]Futuros!$AD:$AD,$A6&amp;"_"&amp;ATC$11,[1]Futuros!$AK:$AK)+SUMIF([1]Opciones!$AF:$AF,$A6&amp;"_"&amp;ATC$11,[1]Opciones!$AQ:$AQ)</f>
        <v>#VALUE!</v>
      </c>
      <c r="ATD6" t="e">
        <f>+SUMIF([1]Cartera!$R:$R,$A6&amp;"_"&amp;ATD$11,[1]Cartera!$I:$I)+SUMIF([1]Futuros!$AD:$AD,$A6&amp;"_"&amp;ATD$11,[1]Futuros!$AK:$AK)+SUMIF([1]Opciones!$AF:$AF,$A6&amp;"_"&amp;ATD$11,[1]Opciones!$AQ:$AQ)</f>
        <v>#VALUE!</v>
      </c>
      <c r="ATE6" t="e">
        <f>+SUMIF([1]Cartera!$R:$R,$A6&amp;"_"&amp;ATE$11,[1]Cartera!$I:$I)+SUMIF([1]Futuros!$AD:$AD,$A6&amp;"_"&amp;ATE$11,[1]Futuros!$AK:$AK)+SUMIF([1]Opciones!$AF:$AF,$A6&amp;"_"&amp;ATE$11,[1]Opciones!$AQ:$AQ)</f>
        <v>#VALUE!</v>
      </c>
      <c r="ATF6" t="e">
        <f>+SUMIF([1]Cartera!$R:$R,$A6&amp;"_"&amp;ATF$11,[1]Cartera!$I:$I)+SUMIF([1]Futuros!$AD:$AD,$A6&amp;"_"&amp;ATF$11,[1]Futuros!$AK:$AK)+SUMIF([1]Opciones!$AF:$AF,$A6&amp;"_"&amp;ATF$11,[1]Opciones!$AQ:$AQ)</f>
        <v>#VALUE!</v>
      </c>
      <c r="ATG6" t="e">
        <f>+SUMIF([1]Cartera!$R:$R,$A6&amp;"_"&amp;ATG$11,[1]Cartera!$I:$I)+SUMIF([1]Futuros!$AD:$AD,$A6&amp;"_"&amp;ATG$11,[1]Futuros!$AK:$AK)+SUMIF([1]Opciones!$AF:$AF,$A6&amp;"_"&amp;ATG$11,[1]Opciones!$AQ:$AQ)</f>
        <v>#VALUE!</v>
      </c>
      <c r="ATH6" t="e">
        <f>+SUMIF([1]Cartera!$R:$R,$A6&amp;"_"&amp;ATH$11,[1]Cartera!$I:$I)+SUMIF([1]Futuros!$AD:$AD,$A6&amp;"_"&amp;ATH$11,[1]Futuros!$AK:$AK)+SUMIF([1]Opciones!$AF:$AF,$A6&amp;"_"&amp;ATH$11,[1]Opciones!$AQ:$AQ)</f>
        <v>#VALUE!</v>
      </c>
      <c r="ATI6" t="e">
        <f>+SUMIF([1]Cartera!$R:$R,$A6&amp;"_"&amp;ATI$11,[1]Cartera!$I:$I)+SUMIF([1]Futuros!$AD:$AD,$A6&amp;"_"&amp;ATI$11,[1]Futuros!$AK:$AK)+SUMIF([1]Opciones!$AF:$AF,$A6&amp;"_"&amp;ATI$11,[1]Opciones!$AQ:$AQ)</f>
        <v>#VALUE!</v>
      </c>
      <c r="ATJ6" t="e">
        <f>+SUMIF([1]Cartera!$R:$R,$A6&amp;"_"&amp;ATJ$11,[1]Cartera!$I:$I)+SUMIF([1]Futuros!$AD:$AD,$A6&amp;"_"&amp;ATJ$11,[1]Futuros!$AK:$AK)+SUMIF([1]Opciones!$AF:$AF,$A6&amp;"_"&amp;ATJ$11,[1]Opciones!$AQ:$AQ)</f>
        <v>#VALUE!</v>
      </c>
      <c r="ATK6" t="e">
        <f>+SUMIF([1]Cartera!$R:$R,$A6&amp;"_"&amp;ATK$11,[1]Cartera!$I:$I)+SUMIF([1]Futuros!$AD:$AD,$A6&amp;"_"&amp;ATK$11,[1]Futuros!$AK:$AK)+SUMIF([1]Opciones!$AF:$AF,$A6&amp;"_"&amp;ATK$11,[1]Opciones!$AQ:$AQ)</f>
        <v>#VALUE!</v>
      </c>
      <c r="ATL6" t="e">
        <f>+SUMIF([1]Cartera!$R:$R,$A6&amp;"_"&amp;ATL$11,[1]Cartera!$I:$I)+SUMIF([1]Futuros!$AD:$AD,$A6&amp;"_"&amp;ATL$11,[1]Futuros!$AK:$AK)+SUMIF([1]Opciones!$AF:$AF,$A6&amp;"_"&amp;ATL$11,[1]Opciones!$AQ:$AQ)</f>
        <v>#VALUE!</v>
      </c>
      <c r="ATM6" t="e">
        <f>+SUMIF([1]Cartera!$R:$R,$A6&amp;"_"&amp;ATM$11,[1]Cartera!$I:$I)+SUMIF([1]Futuros!$AD:$AD,$A6&amp;"_"&amp;ATM$11,[1]Futuros!$AK:$AK)+SUMIF([1]Opciones!$AF:$AF,$A6&amp;"_"&amp;ATM$11,[1]Opciones!$AQ:$AQ)</f>
        <v>#VALUE!</v>
      </c>
      <c r="ATN6" t="e">
        <f>+SUMIF([1]Cartera!$R:$R,$A6&amp;"_"&amp;ATN$11,[1]Cartera!$I:$I)+SUMIF([1]Futuros!$AD:$AD,$A6&amp;"_"&amp;ATN$11,[1]Futuros!$AK:$AK)+SUMIF([1]Opciones!$AF:$AF,$A6&amp;"_"&amp;ATN$11,[1]Opciones!$AQ:$AQ)</f>
        <v>#VALUE!</v>
      </c>
      <c r="ATO6" t="e">
        <f>+SUMIF([1]Cartera!$R:$R,$A6&amp;"_"&amp;ATO$11,[1]Cartera!$I:$I)+SUMIF([1]Futuros!$AD:$AD,$A6&amp;"_"&amp;ATO$11,[1]Futuros!$AK:$AK)+SUMIF([1]Opciones!$AF:$AF,$A6&amp;"_"&amp;ATO$11,[1]Opciones!$AQ:$AQ)</f>
        <v>#VALUE!</v>
      </c>
      <c r="ATP6" t="e">
        <f>+SUMIF([1]Cartera!$R:$R,$A6&amp;"_"&amp;ATP$11,[1]Cartera!$I:$I)+SUMIF([1]Futuros!$AD:$AD,$A6&amp;"_"&amp;ATP$11,[1]Futuros!$AK:$AK)+SUMIF([1]Opciones!$AF:$AF,$A6&amp;"_"&amp;ATP$11,[1]Opciones!$AQ:$AQ)</f>
        <v>#VALUE!</v>
      </c>
      <c r="ATQ6" t="e">
        <f>+SUMIF([1]Cartera!$R:$R,$A6&amp;"_"&amp;ATQ$11,[1]Cartera!$I:$I)+SUMIF([1]Futuros!$AD:$AD,$A6&amp;"_"&amp;ATQ$11,[1]Futuros!$AK:$AK)+SUMIF([1]Opciones!$AF:$AF,$A6&amp;"_"&amp;ATQ$11,[1]Opciones!$AQ:$AQ)</f>
        <v>#VALUE!</v>
      </c>
    </row>
    <row r="7" spans="1:1213" x14ac:dyDescent="0.25">
      <c r="A7" s="8" t="s">
        <v>0</v>
      </c>
      <c r="B7" s="38" t="s">
        <v>11</v>
      </c>
      <c r="C7" s="1">
        <f t="shared" si="1"/>
        <v>46241</v>
      </c>
      <c r="D7" s="8" t="str">
        <f t="shared" si="0"/>
        <v>IN-FONDO1_%Fondo_07/08/2026</v>
      </c>
      <c r="E7">
        <f>+E1/$E4</f>
        <v>1</v>
      </c>
      <c r="F7">
        <f>+F4/$E4</f>
        <v>1.5259547226576988E-3</v>
      </c>
      <c r="G7">
        <f t="shared" ref="G7:BR9" si="2">+G4/$E4</f>
        <v>3.0458107966956159E-7</v>
      </c>
      <c r="H7">
        <f t="shared" si="2"/>
        <v>0</v>
      </c>
      <c r="I7">
        <f t="shared" si="2"/>
        <v>0</v>
      </c>
      <c r="J7">
        <f t="shared" si="2"/>
        <v>0</v>
      </c>
      <c r="K7">
        <f t="shared" si="2"/>
        <v>0</v>
      </c>
      <c r="L7">
        <f t="shared" si="2"/>
        <v>9.8582287478944392E-4</v>
      </c>
      <c r="M7">
        <f t="shared" si="2"/>
        <v>9.778799659482924E-7</v>
      </c>
      <c r="N7">
        <f t="shared" si="2"/>
        <v>5.7335830162294892E-7</v>
      </c>
      <c r="O7">
        <f t="shared" si="2"/>
        <v>2.9661602626773594E-9</v>
      </c>
      <c r="P7">
        <f t="shared" si="2"/>
        <v>6.0070555704939103E-8</v>
      </c>
      <c r="Q7">
        <f t="shared" si="2"/>
        <v>0</v>
      </c>
      <c r="R7">
        <f t="shared" si="2"/>
        <v>8.9424781540239303E-9</v>
      </c>
      <c r="S7">
        <f t="shared" si="2"/>
        <v>0</v>
      </c>
      <c r="T7">
        <f t="shared" si="2"/>
        <v>7.8926733152925529E-9</v>
      </c>
      <c r="U7">
        <f t="shared" si="2"/>
        <v>1.3463473118338945E-8</v>
      </c>
      <c r="V7">
        <f t="shared" si="2"/>
        <v>5.261392441285326E-10</v>
      </c>
      <c r="W7">
        <f t="shared" si="2"/>
        <v>1.2391184774380725E-8</v>
      </c>
      <c r="X7">
        <f t="shared" si="2"/>
        <v>6.4751928210981954E-2</v>
      </c>
      <c r="Y7">
        <f t="shared" si="2"/>
        <v>7.3216568582581271E-2</v>
      </c>
      <c r="Z7">
        <f t="shared" si="2"/>
        <v>5.3816977585644053E-4</v>
      </c>
      <c r="AA7" t="e">
        <f t="shared" si="2"/>
        <v>#VALUE!</v>
      </c>
      <c r="AB7" t="e">
        <f t="shared" si="2"/>
        <v>#VALUE!</v>
      </c>
      <c r="AC7" t="e">
        <f t="shared" si="2"/>
        <v>#VALUE!</v>
      </c>
      <c r="AD7" t="e">
        <f t="shared" si="2"/>
        <v>#VALUE!</v>
      </c>
      <c r="AE7" t="e">
        <f t="shared" si="2"/>
        <v>#VALUE!</v>
      </c>
      <c r="AF7" t="e">
        <f t="shared" si="2"/>
        <v>#VALUE!</v>
      </c>
      <c r="AG7" t="e">
        <f t="shared" si="2"/>
        <v>#VALUE!</v>
      </c>
      <c r="AH7" t="e">
        <f t="shared" si="2"/>
        <v>#VALUE!</v>
      </c>
      <c r="AI7" t="e">
        <f t="shared" si="2"/>
        <v>#VALUE!</v>
      </c>
      <c r="AJ7" t="e">
        <f t="shared" si="2"/>
        <v>#VALUE!</v>
      </c>
      <c r="AK7" t="e">
        <f t="shared" si="2"/>
        <v>#VALUE!</v>
      </c>
      <c r="AL7" t="e">
        <f t="shared" si="2"/>
        <v>#VALUE!</v>
      </c>
      <c r="AM7" t="e">
        <f t="shared" si="2"/>
        <v>#VALUE!</v>
      </c>
      <c r="AN7" t="e">
        <f t="shared" si="2"/>
        <v>#VALUE!</v>
      </c>
      <c r="AO7" t="e">
        <f t="shared" si="2"/>
        <v>#VALUE!</v>
      </c>
      <c r="AP7" t="e">
        <f t="shared" si="2"/>
        <v>#VALUE!</v>
      </c>
      <c r="AQ7" t="e">
        <f t="shared" si="2"/>
        <v>#VALUE!</v>
      </c>
      <c r="AR7" t="e">
        <f t="shared" si="2"/>
        <v>#VALUE!</v>
      </c>
      <c r="AS7" t="e">
        <f t="shared" si="2"/>
        <v>#VALUE!</v>
      </c>
      <c r="AT7" t="e">
        <f t="shared" si="2"/>
        <v>#VALUE!</v>
      </c>
      <c r="AU7" t="e">
        <f t="shared" si="2"/>
        <v>#VALUE!</v>
      </c>
      <c r="AV7" t="e">
        <f t="shared" si="2"/>
        <v>#VALUE!</v>
      </c>
      <c r="AW7" t="e">
        <f t="shared" si="2"/>
        <v>#VALUE!</v>
      </c>
      <c r="AX7" t="e">
        <f t="shared" si="2"/>
        <v>#VALUE!</v>
      </c>
      <c r="AY7" t="e">
        <f t="shared" si="2"/>
        <v>#VALUE!</v>
      </c>
      <c r="AZ7" t="e">
        <f t="shared" si="2"/>
        <v>#VALUE!</v>
      </c>
      <c r="BA7" t="e">
        <f t="shared" si="2"/>
        <v>#VALUE!</v>
      </c>
      <c r="BB7" t="e">
        <f t="shared" si="2"/>
        <v>#VALUE!</v>
      </c>
      <c r="BC7" t="e">
        <f t="shared" si="2"/>
        <v>#VALUE!</v>
      </c>
      <c r="BD7" t="e">
        <f t="shared" si="2"/>
        <v>#VALUE!</v>
      </c>
      <c r="BE7" t="e">
        <f t="shared" si="2"/>
        <v>#VALUE!</v>
      </c>
      <c r="BF7" t="e">
        <f t="shared" si="2"/>
        <v>#VALUE!</v>
      </c>
      <c r="BG7" t="e">
        <f t="shared" si="2"/>
        <v>#VALUE!</v>
      </c>
      <c r="BH7" t="e">
        <f t="shared" si="2"/>
        <v>#VALUE!</v>
      </c>
      <c r="BI7" t="e">
        <f t="shared" si="2"/>
        <v>#VALUE!</v>
      </c>
      <c r="BJ7" t="e">
        <f t="shared" si="2"/>
        <v>#VALUE!</v>
      </c>
      <c r="BK7" t="e">
        <f t="shared" si="2"/>
        <v>#VALUE!</v>
      </c>
      <c r="BL7" t="e">
        <f t="shared" si="2"/>
        <v>#VALUE!</v>
      </c>
      <c r="BM7" t="e">
        <f t="shared" si="2"/>
        <v>#VALUE!</v>
      </c>
      <c r="BN7" t="e">
        <f t="shared" si="2"/>
        <v>#VALUE!</v>
      </c>
      <c r="BO7" t="e">
        <f t="shared" si="2"/>
        <v>#VALUE!</v>
      </c>
      <c r="BP7" t="e">
        <f t="shared" si="2"/>
        <v>#VALUE!</v>
      </c>
      <c r="BQ7" t="e">
        <f t="shared" si="2"/>
        <v>#VALUE!</v>
      </c>
      <c r="BR7" t="e">
        <f t="shared" si="2"/>
        <v>#VALUE!</v>
      </c>
      <c r="BS7" t="e">
        <f t="shared" ref="BS7:ED9" si="3">+BS4/$E4</f>
        <v>#VALUE!</v>
      </c>
      <c r="BT7" t="e">
        <f t="shared" si="3"/>
        <v>#VALUE!</v>
      </c>
      <c r="BU7" t="e">
        <f t="shared" si="3"/>
        <v>#VALUE!</v>
      </c>
      <c r="BV7" t="e">
        <f t="shared" si="3"/>
        <v>#VALUE!</v>
      </c>
      <c r="BW7" t="e">
        <f t="shared" si="3"/>
        <v>#VALUE!</v>
      </c>
      <c r="BX7" t="e">
        <f t="shared" si="3"/>
        <v>#VALUE!</v>
      </c>
      <c r="BY7" t="e">
        <f t="shared" si="3"/>
        <v>#VALUE!</v>
      </c>
      <c r="BZ7" t="e">
        <f t="shared" si="3"/>
        <v>#VALUE!</v>
      </c>
      <c r="CA7" t="e">
        <f t="shared" si="3"/>
        <v>#VALUE!</v>
      </c>
      <c r="CB7" t="e">
        <f t="shared" si="3"/>
        <v>#VALUE!</v>
      </c>
      <c r="CC7" t="e">
        <f t="shared" si="3"/>
        <v>#VALUE!</v>
      </c>
      <c r="CD7" t="e">
        <f t="shared" si="3"/>
        <v>#VALUE!</v>
      </c>
      <c r="CE7" t="e">
        <f t="shared" si="3"/>
        <v>#VALUE!</v>
      </c>
      <c r="CF7" t="e">
        <f t="shared" si="3"/>
        <v>#VALUE!</v>
      </c>
      <c r="CG7" t="e">
        <f t="shared" si="3"/>
        <v>#VALUE!</v>
      </c>
      <c r="CH7" t="e">
        <f t="shared" si="3"/>
        <v>#VALUE!</v>
      </c>
      <c r="CI7" t="e">
        <f t="shared" si="3"/>
        <v>#VALUE!</v>
      </c>
      <c r="CJ7" t="e">
        <f t="shared" si="3"/>
        <v>#VALUE!</v>
      </c>
      <c r="CK7" t="e">
        <f t="shared" si="3"/>
        <v>#VALUE!</v>
      </c>
      <c r="CL7" t="e">
        <f t="shared" si="3"/>
        <v>#VALUE!</v>
      </c>
      <c r="CM7" t="e">
        <f t="shared" si="3"/>
        <v>#VALUE!</v>
      </c>
      <c r="CN7" t="e">
        <f t="shared" si="3"/>
        <v>#VALUE!</v>
      </c>
      <c r="CO7" t="e">
        <f t="shared" si="3"/>
        <v>#VALUE!</v>
      </c>
      <c r="CP7" t="e">
        <f t="shared" si="3"/>
        <v>#VALUE!</v>
      </c>
      <c r="CQ7" t="e">
        <f t="shared" si="3"/>
        <v>#VALUE!</v>
      </c>
      <c r="CR7" t="e">
        <f t="shared" si="3"/>
        <v>#VALUE!</v>
      </c>
      <c r="CS7" t="e">
        <f t="shared" si="3"/>
        <v>#VALUE!</v>
      </c>
      <c r="CT7" t="e">
        <f t="shared" si="3"/>
        <v>#VALUE!</v>
      </c>
      <c r="CU7" t="e">
        <f t="shared" si="3"/>
        <v>#VALUE!</v>
      </c>
      <c r="CV7" t="e">
        <f t="shared" si="3"/>
        <v>#VALUE!</v>
      </c>
      <c r="CW7" t="e">
        <f t="shared" si="3"/>
        <v>#VALUE!</v>
      </c>
      <c r="CX7" t="e">
        <f t="shared" si="3"/>
        <v>#VALUE!</v>
      </c>
      <c r="CY7" t="e">
        <f t="shared" si="3"/>
        <v>#VALUE!</v>
      </c>
      <c r="CZ7" t="e">
        <f t="shared" si="3"/>
        <v>#VALUE!</v>
      </c>
      <c r="DA7" t="e">
        <f t="shared" si="3"/>
        <v>#VALUE!</v>
      </c>
      <c r="DB7" t="e">
        <f t="shared" si="3"/>
        <v>#VALUE!</v>
      </c>
      <c r="DC7" t="e">
        <f t="shared" si="3"/>
        <v>#VALUE!</v>
      </c>
      <c r="DD7" t="e">
        <f t="shared" si="3"/>
        <v>#VALUE!</v>
      </c>
      <c r="DE7" t="e">
        <f t="shared" si="3"/>
        <v>#VALUE!</v>
      </c>
      <c r="DF7" t="e">
        <f t="shared" si="3"/>
        <v>#VALUE!</v>
      </c>
      <c r="DG7" t="e">
        <f t="shared" si="3"/>
        <v>#VALUE!</v>
      </c>
      <c r="DH7" t="e">
        <f t="shared" si="3"/>
        <v>#VALUE!</v>
      </c>
      <c r="DI7" t="e">
        <f t="shared" si="3"/>
        <v>#VALUE!</v>
      </c>
      <c r="DJ7" t="e">
        <f t="shared" si="3"/>
        <v>#VALUE!</v>
      </c>
      <c r="DK7" t="e">
        <f t="shared" si="3"/>
        <v>#VALUE!</v>
      </c>
      <c r="DL7" t="e">
        <f t="shared" si="3"/>
        <v>#VALUE!</v>
      </c>
      <c r="DM7" t="e">
        <f t="shared" si="3"/>
        <v>#VALUE!</v>
      </c>
      <c r="DN7" t="e">
        <f t="shared" si="3"/>
        <v>#VALUE!</v>
      </c>
      <c r="DO7" t="e">
        <f t="shared" si="3"/>
        <v>#VALUE!</v>
      </c>
      <c r="DP7" t="e">
        <f t="shared" si="3"/>
        <v>#VALUE!</v>
      </c>
      <c r="DQ7" t="e">
        <f t="shared" si="3"/>
        <v>#VALUE!</v>
      </c>
      <c r="DR7" t="e">
        <f t="shared" si="3"/>
        <v>#VALUE!</v>
      </c>
      <c r="DS7" t="e">
        <f t="shared" si="3"/>
        <v>#VALUE!</v>
      </c>
      <c r="DT7" t="e">
        <f t="shared" si="3"/>
        <v>#VALUE!</v>
      </c>
      <c r="DU7" t="e">
        <f t="shared" si="3"/>
        <v>#VALUE!</v>
      </c>
      <c r="DV7" t="e">
        <f t="shared" si="3"/>
        <v>#VALUE!</v>
      </c>
      <c r="DW7" t="e">
        <f t="shared" si="3"/>
        <v>#VALUE!</v>
      </c>
      <c r="DX7" t="e">
        <f t="shared" si="3"/>
        <v>#VALUE!</v>
      </c>
      <c r="DY7" t="e">
        <f t="shared" si="3"/>
        <v>#VALUE!</v>
      </c>
      <c r="DZ7" t="e">
        <f t="shared" si="3"/>
        <v>#VALUE!</v>
      </c>
      <c r="EA7" t="e">
        <f t="shared" si="3"/>
        <v>#VALUE!</v>
      </c>
      <c r="EB7" t="e">
        <f t="shared" si="3"/>
        <v>#VALUE!</v>
      </c>
      <c r="EC7" t="e">
        <f t="shared" si="3"/>
        <v>#VALUE!</v>
      </c>
      <c r="ED7" t="e">
        <f t="shared" si="3"/>
        <v>#VALUE!</v>
      </c>
      <c r="EE7" t="e">
        <f t="shared" ref="EE7:GP9" si="4">+EE4/$E4</f>
        <v>#VALUE!</v>
      </c>
      <c r="EF7" t="e">
        <f t="shared" si="4"/>
        <v>#VALUE!</v>
      </c>
      <c r="EG7" t="e">
        <f t="shared" si="4"/>
        <v>#VALUE!</v>
      </c>
      <c r="EH7" t="e">
        <f t="shared" si="4"/>
        <v>#VALUE!</v>
      </c>
      <c r="EI7" t="e">
        <f t="shared" si="4"/>
        <v>#VALUE!</v>
      </c>
      <c r="EJ7" t="e">
        <f t="shared" si="4"/>
        <v>#VALUE!</v>
      </c>
      <c r="EK7" t="e">
        <f t="shared" si="4"/>
        <v>#VALUE!</v>
      </c>
      <c r="EL7" t="e">
        <f t="shared" si="4"/>
        <v>#VALUE!</v>
      </c>
      <c r="EM7" t="e">
        <f t="shared" si="4"/>
        <v>#VALUE!</v>
      </c>
      <c r="EN7" t="e">
        <f t="shared" si="4"/>
        <v>#VALUE!</v>
      </c>
      <c r="EO7" t="e">
        <f t="shared" si="4"/>
        <v>#VALUE!</v>
      </c>
      <c r="EP7" t="e">
        <f t="shared" si="4"/>
        <v>#VALUE!</v>
      </c>
      <c r="EQ7" t="e">
        <f t="shared" si="4"/>
        <v>#VALUE!</v>
      </c>
      <c r="ER7" t="e">
        <f t="shared" si="4"/>
        <v>#VALUE!</v>
      </c>
      <c r="ES7" t="e">
        <f t="shared" si="4"/>
        <v>#VALUE!</v>
      </c>
      <c r="ET7" t="e">
        <f t="shared" si="4"/>
        <v>#VALUE!</v>
      </c>
      <c r="EU7" t="e">
        <f t="shared" si="4"/>
        <v>#VALUE!</v>
      </c>
      <c r="EV7" t="e">
        <f t="shared" si="4"/>
        <v>#VALUE!</v>
      </c>
      <c r="EW7" t="e">
        <f t="shared" si="4"/>
        <v>#VALUE!</v>
      </c>
      <c r="EX7" t="e">
        <f t="shared" si="4"/>
        <v>#VALUE!</v>
      </c>
      <c r="EY7" t="e">
        <f t="shared" si="4"/>
        <v>#VALUE!</v>
      </c>
      <c r="EZ7" t="e">
        <f t="shared" si="4"/>
        <v>#VALUE!</v>
      </c>
      <c r="FA7" t="e">
        <f t="shared" si="4"/>
        <v>#VALUE!</v>
      </c>
      <c r="FB7" t="e">
        <f t="shared" si="4"/>
        <v>#VALUE!</v>
      </c>
      <c r="FC7" t="e">
        <f t="shared" si="4"/>
        <v>#VALUE!</v>
      </c>
      <c r="FD7" t="e">
        <f t="shared" si="4"/>
        <v>#VALUE!</v>
      </c>
      <c r="FE7" t="e">
        <f t="shared" si="4"/>
        <v>#VALUE!</v>
      </c>
      <c r="FF7" t="e">
        <f t="shared" si="4"/>
        <v>#VALUE!</v>
      </c>
      <c r="FG7" t="e">
        <f t="shared" si="4"/>
        <v>#VALUE!</v>
      </c>
      <c r="FH7" t="e">
        <f t="shared" si="4"/>
        <v>#VALUE!</v>
      </c>
      <c r="FI7" t="e">
        <f t="shared" si="4"/>
        <v>#VALUE!</v>
      </c>
      <c r="FJ7" t="e">
        <f t="shared" si="4"/>
        <v>#VALUE!</v>
      </c>
      <c r="FK7" t="e">
        <f t="shared" si="4"/>
        <v>#VALUE!</v>
      </c>
      <c r="FL7" t="e">
        <f t="shared" si="4"/>
        <v>#VALUE!</v>
      </c>
      <c r="FM7" t="e">
        <f t="shared" si="4"/>
        <v>#VALUE!</v>
      </c>
      <c r="FN7" t="e">
        <f t="shared" si="4"/>
        <v>#VALUE!</v>
      </c>
      <c r="FO7" t="e">
        <f t="shared" si="4"/>
        <v>#VALUE!</v>
      </c>
      <c r="FP7" t="e">
        <f t="shared" si="4"/>
        <v>#VALUE!</v>
      </c>
      <c r="FQ7" t="e">
        <f t="shared" si="4"/>
        <v>#VALUE!</v>
      </c>
      <c r="FR7" t="e">
        <f t="shared" si="4"/>
        <v>#VALUE!</v>
      </c>
      <c r="FS7" t="e">
        <f t="shared" si="4"/>
        <v>#VALUE!</v>
      </c>
      <c r="FT7" t="e">
        <f t="shared" si="4"/>
        <v>#VALUE!</v>
      </c>
      <c r="FU7" t="e">
        <f t="shared" si="4"/>
        <v>#VALUE!</v>
      </c>
      <c r="FV7" t="e">
        <f t="shared" si="4"/>
        <v>#VALUE!</v>
      </c>
      <c r="FW7" t="e">
        <f t="shared" si="4"/>
        <v>#VALUE!</v>
      </c>
      <c r="FX7" t="e">
        <f t="shared" si="4"/>
        <v>#VALUE!</v>
      </c>
      <c r="FY7" t="e">
        <f t="shared" si="4"/>
        <v>#VALUE!</v>
      </c>
      <c r="FZ7" t="e">
        <f t="shared" si="4"/>
        <v>#VALUE!</v>
      </c>
      <c r="GA7" t="e">
        <f t="shared" si="4"/>
        <v>#VALUE!</v>
      </c>
      <c r="GB7" t="e">
        <f t="shared" si="4"/>
        <v>#VALUE!</v>
      </c>
      <c r="GC7" t="e">
        <f t="shared" si="4"/>
        <v>#VALUE!</v>
      </c>
      <c r="GD7" t="e">
        <f t="shared" si="4"/>
        <v>#VALUE!</v>
      </c>
      <c r="GE7" t="e">
        <f t="shared" si="4"/>
        <v>#VALUE!</v>
      </c>
      <c r="GF7" t="e">
        <f t="shared" si="4"/>
        <v>#VALUE!</v>
      </c>
      <c r="GG7" t="e">
        <f t="shared" si="4"/>
        <v>#VALUE!</v>
      </c>
      <c r="GH7" t="e">
        <f t="shared" si="4"/>
        <v>#VALUE!</v>
      </c>
      <c r="GI7" t="e">
        <f t="shared" si="4"/>
        <v>#VALUE!</v>
      </c>
      <c r="GJ7" t="e">
        <f t="shared" si="4"/>
        <v>#VALUE!</v>
      </c>
      <c r="GK7" t="e">
        <f t="shared" si="4"/>
        <v>#VALUE!</v>
      </c>
      <c r="GL7" t="e">
        <f t="shared" si="4"/>
        <v>#VALUE!</v>
      </c>
      <c r="GM7" t="e">
        <f t="shared" si="4"/>
        <v>#VALUE!</v>
      </c>
      <c r="GN7" t="e">
        <f t="shared" si="4"/>
        <v>#VALUE!</v>
      </c>
      <c r="GO7" t="e">
        <f t="shared" si="4"/>
        <v>#VALUE!</v>
      </c>
      <c r="GP7" t="e">
        <f t="shared" si="4"/>
        <v>#VALUE!</v>
      </c>
      <c r="GQ7" t="e">
        <f t="shared" ref="GQ7:JB9" si="5">+GQ4/$E4</f>
        <v>#VALUE!</v>
      </c>
      <c r="GR7" t="e">
        <f t="shared" si="5"/>
        <v>#VALUE!</v>
      </c>
      <c r="GS7" t="e">
        <f t="shared" si="5"/>
        <v>#VALUE!</v>
      </c>
      <c r="GT7" t="e">
        <f t="shared" si="5"/>
        <v>#VALUE!</v>
      </c>
      <c r="GU7" t="e">
        <f t="shared" si="5"/>
        <v>#VALUE!</v>
      </c>
      <c r="GV7" t="e">
        <f t="shared" si="5"/>
        <v>#VALUE!</v>
      </c>
      <c r="GW7" t="e">
        <f t="shared" si="5"/>
        <v>#VALUE!</v>
      </c>
      <c r="GX7" t="e">
        <f t="shared" si="5"/>
        <v>#VALUE!</v>
      </c>
      <c r="GY7" t="e">
        <f t="shared" si="5"/>
        <v>#VALUE!</v>
      </c>
      <c r="GZ7" t="e">
        <f t="shared" si="5"/>
        <v>#VALUE!</v>
      </c>
      <c r="HA7" t="e">
        <f t="shared" si="5"/>
        <v>#VALUE!</v>
      </c>
      <c r="HB7" t="e">
        <f t="shared" si="5"/>
        <v>#VALUE!</v>
      </c>
      <c r="HC7" t="e">
        <f t="shared" si="5"/>
        <v>#VALUE!</v>
      </c>
      <c r="HD7" t="e">
        <f t="shared" si="5"/>
        <v>#VALUE!</v>
      </c>
      <c r="HE7" t="e">
        <f t="shared" si="5"/>
        <v>#VALUE!</v>
      </c>
      <c r="HF7" t="e">
        <f t="shared" si="5"/>
        <v>#VALUE!</v>
      </c>
      <c r="HG7" t="e">
        <f t="shared" si="5"/>
        <v>#VALUE!</v>
      </c>
      <c r="HH7" t="e">
        <f t="shared" si="5"/>
        <v>#VALUE!</v>
      </c>
      <c r="HI7" t="e">
        <f t="shared" si="5"/>
        <v>#VALUE!</v>
      </c>
      <c r="HJ7" t="e">
        <f t="shared" si="5"/>
        <v>#VALUE!</v>
      </c>
      <c r="HK7" t="e">
        <f t="shared" si="5"/>
        <v>#VALUE!</v>
      </c>
      <c r="HL7" t="e">
        <f t="shared" si="5"/>
        <v>#VALUE!</v>
      </c>
      <c r="HM7" t="e">
        <f t="shared" si="5"/>
        <v>#VALUE!</v>
      </c>
      <c r="HN7" t="e">
        <f t="shared" si="5"/>
        <v>#VALUE!</v>
      </c>
      <c r="HO7" t="e">
        <f t="shared" si="5"/>
        <v>#VALUE!</v>
      </c>
      <c r="HP7" t="e">
        <f t="shared" si="5"/>
        <v>#VALUE!</v>
      </c>
      <c r="HQ7" t="e">
        <f t="shared" si="5"/>
        <v>#VALUE!</v>
      </c>
      <c r="HR7" t="e">
        <f t="shared" si="5"/>
        <v>#VALUE!</v>
      </c>
      <c r="HS7" t="e">
        <f t="shared" si="5"/>
        <v>#VALUE!</v>
      </c>
      <c r="HT7" t="e">
        <f t="shared" si="5"/>
        <v>#VALUE!</v>
      </c>
      <c r="HU7" t="e">
        <f t="shared" si="5"/>
        <v>#VALUE!</v>
      </c>
      <c r="HV7" t="e">
        <f t="shared" si="5"/>
        <v>#VALUE!</v>
      </c>
      <c r="HW7" t="e">
        <f t="shared" si="5"/>
        <v>#VALUE!</v>
      </c>
      <c r="HX7" t="e">
        <f t="shared" si="5"/>
        <v>#VALUE!</v>
      </c>
      <c r="HY7" t="e">
        <f t="shared" si="5"/>
        <v>#VALUE!</v>
      </c>
      <c r="HZ7" t="e">
        <f t="shared" si="5"/>
        <v>#VALUE!</v>
      </c>
      <c r="IA7" t="e">
        <f t="shared" si="5"/>
        <v>#VALUE!</v>
      </c>
      <c r="IB7" t="e">
        <f t="shared" si="5"/>
        <v>#VALUE!</v>
      </c>
      <c r="IC7" t="e">
        <f t="shared" si="5"/>
        <v>#VALUE!</v>
      </c>
      <c r="ID7" t="e">
        <f t="shared" si="5"/>
        <v>#VALUE!</v>
      </c>
      <c r="IE7" t="e">
        <f t="shared" si="5"/>
        <v>#VALUE!</v>
      </c>
      <c r="IF7" t="e">
        <f t="shared" si="5"/>
        <v>#VALUE!</v>
      </c>
      <c r="IG7" t="e">
        <f t="shared" si="5"/>
        <v>#VALUE!</v>
      </c>
      <c r="IH7" t="e">
        <f t="shared" si="5"/>
        <v>#VALUE!</v>
      </c>
      <c r="II7" t="e">
        <f t="shared" si="5"/>
        <v>#VALUE!</v>
      </c>
      <c r="IJ7" t="e">
        <f t="shared" si="5"/>
        <v>#VALUE!</v>
      </c>
      <c r="IK7" t="e">
        <f t="shared" si="5"/>
        <v>#VALUE!</v>
      </c>
      <c r="IL7" t="e">
        <f t="shared" si="5"/>
        <v>#VALUE!</v>
      </c>
      <c r="IM7" t="e">
        <f t="shared" si="5"/>
        <v>#VALUE!</v>
      </c>
      <c r="IN7" t="e">
        <f t="shared" si="5"/>
        <v>#VALUE!</v>
      </c>
      <c r="IO7" t="e">
        <f t="shared" si="5"/>
        <v>#VALUE!</v>
      </c>
      <c r="IP7" t="e">
        <f t="shared" si="5"/>
        <v>#VALUE!</v>
      </c>
      <c r="IQ7" t="e">
        <f t="shared" si="5"/>
        <v>#VALUE!</v>
      </c>
      <c r="IR7" t="e">
        <f t="shared" si="5"/>
        <v>#VALUE!</v>
      </c>
      <c r="IS7" t="e">
        <f t="shared" si="5"/>
        <v>#VALUE!</v>
      </c>
      <c r="IT7" t="e">
        <f t="shared" si="5"/>
        <v>#VALUE!</v>
      </c>
      <c r="IU7" t="e">
        <f t="shared" si="5"/>
        <v>#VALUE!</v>
      </c>
      <c r="IV7" t="e">
        <f t="shared" si="5"/>
        <v>#VALUE!</v>
      </c>
      <c r="IW7" t="e">
        <f t="shared" si="5"/>
        <v>#VALUE!</v>
      </c>
      <c r="IX7" t="e">
        <f t="shared" si="5"/>
        <v>#VALUE!</v>
      </c>
      <c r="IY7" t="e">
        <f t="shared" si="5"/>
        <v>#VALUE!</v>
      </c>
      <c r="IZ7" t="e">
        <f t="shared" si="5"/>
        <v>#VALUE!</v>
      </c>
      <c r="JA7" t="e">
        <f t="shared" si="5"/>
        <v>#VALUE!</v>
      </c>
      <c r="JB7" t="e">
        <f t="shared" si="5"/>
        <v>#VALUE!</v>
      </c>
      <c r="JC7" t="e">
        <f t="shared" ref="JC7:LN9" si="6">+JC4/$E4</f>
        <v>#VALUE!</v>
      </c>
      <c r="JD7" t="e">
        <f t="shared" si="6"/>
        <v>#VALUE!</v>
      </c>
      <c r="JE7" t="e">
        <f t="shared" si="6"/>
        <v>#VALUE!</v>
      </c>
      <c r="JF7" t="e">
        <f t="shared" si="6"/>
        <v>#VALUE!</v>
      </c>
      <c r="JG7" t="e">
        <f t="shared" si="6"/>
        <v>#VALUE!</v>
      </c>
      <c r="JH7" t="e">
        <f t="shared" si="6"/>
        <v>#VALUE!</v>
      </c>
      <c r="JI7" t="e">
        <f t="shared" si="6"/>
        <v>#VALUE!</v>
      </c>
      <c r="JJ7" t="e">
        <f t="shared" si="6"/>
        <v>#VALUE!</v>
      </c>
      <c r="JK7" t="e">
        <f t="shared" si="6"/>
        <v>#VALUE!</v>
      </c>
      <c r="JL7" t="e">
        <f t="shared" si="6"/>
        <v>#VALUE!</v>
      </c>
      <c r="JM7" t="e">
        <f t="shared" si="6"/>
        <v>#VALUE!</v>
      </c>
      <c r="JN7" t="e">
        <f t="shared" si="6"/>
        <v>#VALUE!</v>
      </c>
      <c r="JO7" t="e">
        <f t="shared" si="6"/>
        <v>#VALUE!</v>
      </c>
      <c r="JP7" t="e">
        <f t="shared" si="6"/>
        <v>#VALUE!</v>
      </c>
      <c r="JQ7" t="e">
        <f t="shared" si="6"/>
        <v>#VALUE!</v>
      </c>
      <c r="JR7" t="e">
        <f t="shared" si="6"/>
        <v>#VALUE!</v>
      </c>
      <c r="JS7" t="e">
        <f t="shared" si="6"/>
        <v>#VALUE!</v>
      </c>
      <c r="JT7" t="e">
        <f t="shared" si="6"/>
        <v>#VALUE!</v>
      </c>
      <c r="JU7" t="e">
        <f t="shared" si="6"/>
        <v>#VALUE!</v>
      </c>
      <c r="JV7" t="e">
        <f t="shared" si="6"/>
        <v>#VALUE!</v>
      </c>
      <c r="JW7" t="e">
        <f t="shared" si="6"/>
        <v>#VALUE!</v>
      </c>
      <c r="JX7" t="e">
        <f t="shared" si="6"/>
        <v>#VALUE!</v>
      </c>
      <c r="JY7" t="e">
        <f t="shared" si="6"/>
        <v>#VALUE!</v>
      </c>
      <c r="JZ7" t="e">
        <f t="shared" si="6"/>
        <v>#VALUE!</v>
      </c>
      <c r="KA7" t="e">
        <f t="shared" si="6"/>
        <v>#VALUE!</v>
      </c>
      <c r="KB7" t="e">
        <f t="shared" si="6"/>
        <v>#VALUE!</v>
      </c>
      <c r="KC7" t="e">
        <f t="shared" si="6"/>
        <v>#VALUE!</v>
      </c>
      <c r="KD7" t="e">
        <f t="shared" si="6"/>
        <v>#VALUE!</v>
      </c>
      <c r="KE7" t="e">
        <f t="shared" si="6"/>
        <v>#VALUE!</v>
      </c>
      <c r="KF7" t="e">
        <f t="shared" si="6"/>
        <v>#VALUE!</v>
      </c>
      <c r="KG7" t="e">
        <f t="shared" si="6"/>
        <v>#VALUE!</v>
      </c>
      <c r="KH7" t="e">
        <f t="shared" si="6"/>
        <v>#VALUE!</v>
      </c>
      <c r="KI7" t="e">
        <f t="shared" si="6"/>
        <v>#VALUE!</v>
      </c>
      <c r="KJ7" t="e">
        <f t="shared" si="6"/>
        <v>#VALUE!</v>
      </c>
      <c r="KK7" t="e">
        <f t="shared" si="6"/>
        <v>#VALUE!</v>
      </c>
      <c r="KL7" t="e">
        <f t="shared" si="6"/>
        <v>#VALUE!</v>
      </c>
      <c r="KM7" t="e">
        <f t="shared" si="6"/>
        <v>#VALUE!</v>
      </c>
      <c r="KN7" t="e">
        <f t="shared" si="6"/>
        <v>#VALUE!</v>
      </c>
      <c r="KO7" t="e">
        <f t="shared" si="6"/>
        <v>#VALUE!</v>
      </c>
      <c r="KP7" t="e">
        <f t="shared" si="6"/>
        <v>#VALUE!</v>
      </c>
      <c r="KQ7" t="e">
        <f t="shared" si="6"/>
        <v>#VALUE!</v>
      </c>
      <c r="KR7" t="e">
        <f t="shared" si="6"/>
        <v>#VALUE!</v>
      </c>
      <c r="KS7" t="e">
        <f t="shared" si="6"/>
        <v>#VALUE!</v>
      </c>
      <c r="KT7" t="e">
        <f t="shared" si="6"/>
        <v>#VALUE!</v>
      </c>
      <c r="KU7" t="e">
        <f t="shared" si="6"/>
        <v>#VALUE!</v>
      </c>
      <c r="KV7" t="e">
        <f t="shared" si="6"/>
        <v>#VALUE!</v>
      </c>
      <c r="KW7" t="e">
        <f t="shared" si="6"/>
        <v>#VALUE!</v>
      </c>
      <c r="KX7" t="e">
        <f t="shared" si="6"/>
        <v>#VALUE!</v>
      </c>
      <c r="KY7" t="e">
        <f t="shared" si="6"/>
        <v>#VALUE!</v>
      </c>
      <c r="KZ7" t="e">
        <f t="shared" si="6"/>
        <v>#VALUE!</v>
      </c>
      <c r="LA7" t="e">
        <f t="shared" si="6"/>
        <v>#VALUE!</v>
      </c>
      <c r="LB7" t="e">
        <f t="shared" si="6"/>
        <v>#VALUE!</v>
      </c>
      <c r="LC7" t="e">
        <f t="shared" si="6"/>
        <v>#VALUE!</v>
      </c>
      <c r="LD7" t="e">
        <f t="shared" si="6"/>
        <v>#VALUE!</v>
      </c>
      <c r="LE7" t="e">
        <f t="shared" si="6"/>
        <v>#VALUE!</v>
      </c>
      <c r="LF7" t="e">
        <f t="shared" si="6"/>
        <v>#VALUE!</v>
      </c>
      <c r="LG7" t="e">
        <f t="shared" si="6"/>
        <v>#VALUE!</v>
      </c>
      <c r="LH7" t="e">
        <f t="shared" si="6"/>
        <v>#VALUE!</v>
      </c>
      <c r="LI7" t="e">
        <f t="shared" si="6"/>
        <v>#VALUE!</v>
      </c>
      <c r="LJ7" t="e">
        <f t="shared" si="6"/>
        <v>#VALUE!</v>
      </c>
      <c r="LK7" t="e">
        <f t="shared" si="6"/>
        <v>#VALUE!</v>
      </c>
      <c r="LL7" t="e">
        <f t="shared" si="6"/>
        <v>#VALUE!</v>
      </c>
      <c r="LM7" t="e">
        <f t="shared" si="6"/>
        <v>#VALUE!</v>
      </c>
      <c r="LN7" t="e">
        <f t="shared" si="6"/>
        <v>#VALUE!</v>
      </c>
      <c r="LO7" t="e">
        <f t="shared" ref="LO7:NZ9" si="7">+LO4/$E4</f>
        <v>#VALUE!</v>
      </c>
      <c r="LP7" t="e">
        <f t="shared" si="7"/>
        <v>#VALUE!</v>
      </c>
      <c r="LQ7" t="e">
        <f t="shared" si="7"/>
        <v>#VALUE!</v>
      </c>
      <c r="LR7" t="e">
        <f t="shared" si="7"/>
        <v>#VALUE!</v>
      </c>
      <c r="LS7" t="e">
        <f t="shared" si="7"/>
        <v>#VALUE!</v>
      </c>
      <c r="LT7" t="e">
        <f t="shared" si="7"/>
        <v>#VALUE!</v>
      </c>
      <c r="LU7" t="e">
        <f t="shared" si="7"/>
        <v>#VALUE!</v>
      </c>
      <c r="LV7" t="e">
        <f t="shared" si="7"/>
        <v>#VALUE!</v>
      </c>
      <c r="LW7" t="e">
        <f t="shared" si="7"/>
        <v>#VALUE!</v>
      </c>
      <c r="LX7" t="e">
        <f t="shared" si="7"/>
        <v>#VALUE!</v>
      </c>
      <c r="LY7" t="e">
        <f t="shared" si="7"/>
        <v>#VALUE!</v>
      </c>
      <c r="LZ7" t="e">
        <f t="shared" si="7"/>
        <v>#VALUE!</v>
      </c>
      <c r="MA7" t="e">
        <f t="shared" si="7"/>
        <v>#VALUE!</v>
      </c>
      <c r="MB7" t="e">
        <f t="shared" si="7"/>
        <v>#VALUE!</v>
      </c>
      <c r="MC7" t="e">
        <f t="shared" si="7"/>
        <v>#VALUE!</v>
      </c>
      <c r="MD7" t="e">
        <f t="shared" si="7"/>
        <v>#VALUE!</v>
      </c>
      <c r="ME7" t="e">
        <f t="shared" si="7"/>
        <v>#VALUE!</v>
      </c>
      <c r="MF7" t="e">
        <f t="shared" si="7"/>
        <v>#VALUE!</v>
      </c>
      <c r="MG7" t="e">
        <f t="shared" si="7"/>
        <v>#VALUE!</v>
      </c>
      <c r="MH7" t="e">
        <f t="shared" si="7"/>
        <v>#VALUE!</v>
      </c>
      <c r="MI7" t="e">
        <f t="shared" si="7"/>
        <v>#VALUE!</v>
      </c>
      <c r="MJ7" t="e">
        <f t="shared" si="7"/>
        <v>#VALUE!</v>
      </c>
      <c r="MK7" t="e">
        <f t="shared" si="7"/>
        <v>#VALUE!</v>
      </c>
      <c r="ML7" t="e">
        <f t="shared" si="7"/>
        <v>#VALUE!</v>
      </c>
      <c r="MM7" t="e">
        <f t="shared" si="7"/>
        <v>#VALUE!</v>
      </c>
      <c r="MN7" t="e">
        <f t="shared" si="7"/>
        <v>#VALUE!</v>
      </c>
      <c r="MO7" t="e">
        <f t="shared" si="7"/>
        <v>#VALUE!</v>
      </c>
      <c r="MP7" t="e">
        <f t="shared" si="7"/>
        <v>#VALUE!</v>
      </c>
      <c r="MQ7" t="e">
        <f t="shared" si="7"/>
        <v>#VALUE!</v>
      </c>
      <c r="MR7" t="e">
        <f t="shared" si="7"/>
        <v>#VALUE!</v>
      </c>
      <c r="MS7" t="e">
        <f t="shared" si="7"/>
        <v>#VALUE!</v>
      </c>
      <c r="MT7" t="e">
        <f t="shared" si="7"/>
        <v>#VALUE!</v>
      </c>
      <c r="MU7" t="e">
        <f t="shared" si="7"/>
        <v>#VALUE!</v>
      </c>
      <c r="MV7" t="e">
        <f t="shared" si="7"/>
        <v>#VALUE!</v>
      </c>
      <c r="MW7" t="e">
        <f t="shared" si="7"/>
        <v>#VALUE!</v>
      </c>
      <c r="MX7" t="e">
        <f t="shared" si="7"/>
        <v>#VALUE!</v>
      </c>
      <c r="MY7" t="e">
        <f t="shared" si="7"/>
        <v>#VALUE!</v>
      </c>
      <c r="MZ7" t="e">
        <f t="shared" si="7"/>
        <v>#VALUE!</v>
      </c>
      <c r="NA7" t="e">
        <f t="shared" si="7"/>
        <v>#VALUE!</v>
      </c>
      <c r="NB7" t="e">
        <f t="shared" si="7"/>
        <v>#VALUE!</v>
      </c>
      <c r="NC7" t="e">
        <f t="shared" si="7"/>
        <v>#VALUE!</v>
      </c>
      <c r="ND7" t="e">
        <f t="shared" si="7"/>
        <v>#VALUE!</v>
      </c>
      <c r="NE7" t="e">
        <f t="shared" si="7"/>
        <v>#VALUE!</v>
      </c>
      <c r="NF7" t="e">
        <f t="shared" si="7"/>
        <v>#VALUE!</v>
      </c>
      <c r="NG7" t="e">
        <f t="shared" si="7"/>
        <v>#VALUE!</v>
      </c>
      <c r="NH7" t="e">
        <f t="shared" si="7"/>
        <v>#VALUE!</v>
      </c>
      <c r="NI7" t="e">
        <f t="shared" si="7"/>
        <v>#VALUE!</v>
      </c>
      <c r="NJ7" t="e">
        <f t="shared" si="7"/>
        <v>#VALUE!</v>
      </c>
      <c r="NK7" t="e">
        <f t="shared" si="7"/>
        <v>#VALUE!</v>
      </c>
      <c r="NL7" t="e">
        <f t="shared" si="7"/>
        <v>#VALUE!</v>
      </c>
      <c r="NM7" t="e">
        <f t="shared" si="7"/>
        <v>#VALUE!</v>
      </c>
      <c r="NN7" t="e">
        <f t="shared" si="7"/>
        <v>#VALUE!</v>
      </c>
      <c r="NO7" t="e">
        <f t="shared" si="7"/>
        <v>#VALUE!</v>
      </c>
      <c r="NP7" t="e">
        <f t="shared" si="7"/>
        <v>#VALUE!</v>
      </c>
      <c r="NQ7" t="e">
        <f t="shared" si="7"/>
        <v>#VALUE!</v>
      </c>
      <c r="NR7" t="e">
        <f t="shared" si="7"/>
        <v>#VALUE!</v>
      </c>
      <c r="NS7" t="e">
        <f t="shared" si="7"/>
        <v>#VALUE!</v>
      </c>
      <c r="NT7" t="e">
        <f t="shared" si="7"/>
        <v>#VALUE!</v>
      </c>
      <c r="NU7" t="e">
        <f t="shared" si="7"/>
        <v>#VALUE!</v>
      </c>
      <c r="NV7" t="e">
        <f t="shared" si="7"/>
        <v>#VALUE!</v>
      </c>
      <c r="NW7" t="e">
        <f t="shared" si="7"/>
        <v>#VALUE!</v>
      </c>
      <c r="NX7" t="e">
        <f t="shared" si="7"/>
        <v>#VALUE!</v>
      </c>
      <c r="NY7" t="e">
        <f t="shared" si="7"/>
        <v>#VALUE!</v>
      </c>
      <c r="NZ7" t="e">
        <f t="shared" si="7"/>
        <v>#VALUE!</v>
      </c>
      <c r="OA7" t="e">
        <f t="shared" ref="OA7:QL9" si="8">+OA4/$E4</f>
        <v>#VALUE!</v>
      </c>
      <c r="OB7" t="e">
        <f t="shared" si="8"/>
        <v>#VALUE!</v>
      </c>
      <c r="OC7" t="e">
        <f t="shared" si="8"/>
        <v>#VALUE!</v>
      </c>
      <c r="OD7" t="e">
        <f t="shared" si="8"/>
        <v>#VALUE!</v>
      </c>
      <c r="OE7" t="e">
        <f t="shared" si="8"/>
        <v>#VALUE!</v>
      </c>
      <c r="OF7" t="e">
        <f t="shared" si="8"/>
        <v>#VALUE!</v>
      </c>
      <c r="OG7" t="e">
        <f t="shared" si="8"/>
        <v>#VALUE!</v>
      </c>
      <c r="OH7" t="e">
        <f t="shared" si="8"/>
        <v>#VALUE!</v>
      </c>
      <c r="OI7" t="e">
        <f t="shared" si="8"/>
        <v>#VALUE!</v>
      </c>
      <c r="OJ7" t="e">
        <f t="shared" si="8"/>
        <v>#VALUE!</v>
      </c>
      <c r="OK7" t="e">
        <f t="shared" si="8"/>
        <v>#VALUE!</v>
      </c>
      <c r="OL7" t="e">
        <f t="shared" si="8"/>
        <v>#VALUE!</v>
      </c>
      <c r="OM7" t="e">
        <f t="shared" si="8"/>
        <v>#VALUE!</v>
      </c>
      <c r="ON7" t="e">
        <f t="shared" si="8"/>
        <v>#VALUE!</v>
      </c>
      <c r="OO7" t="e">
        <f t="shared" si="8"/>
        <v>#VALUE!</v>
      </c>
      <c r="OP7" t="e">
        <f t="shared" si="8"/>
        <v>#VALUE!</v>
      </c>
      <c r="OQ7" t="e">
        <f t="shared" si="8"/>
        <v>#VALUE!</v>
      </c>
      <c r="OR7" t="e">
        <f t="shared" si="8"/>
        <v>#VALUE!</v>
      </c>
      <c r="OS7" t="e">
        <f t="shared" si="8"/>
        <v>#VALUE!</v>
      </c>
      <c r="OT7" t="e">
        <f t="shared" si="8"/>
        <v>#VALUE!</v>
      </c>
      <c r="OU7" t="e">
        <f t="shared" si="8"/>
        <v>#VALUE!</v>
      </c>
      <c r="OV7" t="e">
        <f t="shared" si="8"/>
        <v>#VALUE!</v>
      </c>
      <c r="OW7" t="e">
        <f t="shared" si="8"/>
        <v>#VALUE!</v>
      </c>
      <c r="OX7" t="e">
        <f t="shared" si="8"/>
        <v>#VALUE!</v>
      </c>
      <c r="OY7" t="e">
        <f t="shared" si="8"/>
        <v>#VALUE!</v>
      </c>
      <c r="OZ7" t="e">
        <f t="shared" si="8"/>
        <v>#VALUE!</v>
      </c>
      <c r="PA7" t="e">
        <f t="shared" si="8"/>
        <v>#VALUE!</v>
      </c>
      <c r="PB7" t="e">
        <f t="shared" si="8"/>
        <v>#VALUE!</v>
      </c>
      <c r="PC7" t="e">
        <f t="shared" si="8"/>
        <v>#VALUE!</v>
      </c>
      <c r="PD7" t="e">
        <f t="shared" si="8"/>
        <v>#VALUE!</v>
      </c>
      <c r="PE7" t="e">
        <f t="shared" si="8"/>
        <v>#VALUE!</v>
      </c>
      <c r="PF7" t="e">
        <f t="shared" si="8"/>
        <v>#VALUE!</v>
      </c>
      <c r="PG7" t="e">
        <f t="shared" si="8"/>
        <v>#VALUE!</v>
      </c>
      <c r="PH7" t="e">
        <f t="shared" si="8"/>
        <v>#VALUE!</v>
      </c>
      <c r="PI7" t="e">
        <f t="shared" si="8"/>
        <v>#VALUE!</v>
      </c>
      <c r="PJ7" t="e">
        <f t="shared" si="8"/>
        <v>#VALUE!</v>
      </c>
      <c r="PK7" t="e">
        <f t="shared" si="8"/>
        <v>#VALUE!</v>
      </c>
      <c r="PL7" t="e">
        <f t="shared" si="8"/>
        <v>#VALUE!</v>
      </c>
      <c r="PM7" t="e">
        <f t="shared" si="8"/>
        <v>#VALUE!</v>
      </c>
      <c r="PN7" t="e">
        <f t="shared" si="8"/>
        <v>#VALUE!</v>
      </c>
      <c r="PO7" t="e">
        <f t="shared" si="8"/>
        <v>#VALUE!</v>
      </c>
      <c r="PP7" t="e">
        <f t="shared" si="8"/>
        <v>#VALUE!</v>
      </c>
      <c r="PQ7" t="e">
        <f t="shared" si="8"/>
        <v>#VALUE!</v>
      </c>
      <c r="PR7" t="e">
        <f t="shared" si="8"/>
        <v>#VALUE!</v>
      </c>
      <c r="PS7" t="e">
        <f t="shared" si="8"/>
        <v>#VALUE!</v>
      </c>
      <c r="PT7" t="e">
        <f t="shared" si="8"/>
        <v>#VALUE!</v>
      </c>
      <c r="PU7" t="e">
        <f t="shared" si="8"/>
        <v>#VALUE!</v>
      </c>
      <c r="PV7" t="e">
        <f t="shared" si="8"/>
        <v>#VALUE!</v>
      </c>
      <c r="PW7" t="e">
        <f t="shared" si="8"/>
        <v>#VALUE!</v>
      </c>
      <c r="PX7" t="e">
        <f t="shared" si="8"/>
        <v>#VALUE!</v>
      </c>
      <c r="PY7" t="e">
        <f t="shared" si="8"/>
        <v>#VALUE!</v>
      </c>
      <c r="PZ7" t="e">
        <f t="shared" si="8"/>
        <v>#VALUE!</v>
      </c>
      <c r="QA7" t="e">
        <f t="shared" si="8"/>
        <v>#VALUE!</v>
      </c>
      <c r="QB7" t="e">
        <f t="shared" si="8"/>
        <v>#VALUE!</v>
      </c>
      <c r="QC7" t="e">
        <f t="shared" si="8"/>
        <v>#VALUE!</v>
      </c>
      <c r="QD7" t="e">
        <f t="shared" si="8"/>
        <v>#VALUE!</v>
      </c>
      <c r="QE7" t="e">
        <f t="shared" si="8"/>
        <v>#VALUE!</v>
      </c>
      <c r="QF7" t="e">
        <f t="shared" si="8"/>
        <v>#VALUE!</v>
      </c>
      <c r="QG7" t="e">
        <f t="shared" si="8"/>
        <v>#VALUE!</v>
      </c>
      <c r="QH7" t="e">
        <f t="shared" si="8"/>
        <v>#VALUE!</v>
      </c>
      <c r="QI7" t="e">
        <f t="shared" si="8"/>
        <v>#VALUE!</v>
      </c>
      <c r="QJ7" t="e">
        <f t="shared" si="8"/>
        <v>#VALUE!</v>
      </c>
      <c r="QK7" t="e">
        <f t="shared" si="8"/>
        <v>#VALUE!</v>
      </c>
      <c r="QL7" t="e">
        <f t="shared" si="8"/>
        <v>#VALUE!</v>
      </c>
      <c r="QM7" t="e">
        <f t="shared" ref="QM7:SX9" si="9">+QM4/$E4</f>
        <v>#VALUE!</v>
      </c>
      <c r="QN7" t="e">
        <f t="shared" si="9"/>
        <v>#VALUE!</v>
      </c>
      <c r="QO7" t="e">
        <f t="shared" si="9"/>
        <v>#VALUE!</v>
      </c>
      <c r="QP7" t="e">
        <f t="shared" si="9"/>
        <v>#VALUE!</v>
      </c>
      <c r="QQ7" t="e">
        <f t="shared" si="9"/>
        <v>#VALUE!</v>
      </c>
      <c r="QR7" t="e">
        <f t="shared" si="9"/>
        <v>#VALUE!</v>
      </c>
      <c r="QS7" t="e">
        <f t="shared" si="9"/>
        <v>#VALUE!</v>
      </c>
      <c r="QT7" t="e">
        <f t="shared" si="9"/>
        <v>#VALUE!</v>
      </c>
      <c r="QU7" t="e">
        <f t="shared" si="9"/>
        <v>#VALUE!</v>
      </c>
      <c r="QV7" t="e">
        <f t="shared" si="9"/>
        <v>#VALUE!</v>
      </c>
      <c r="QW7" t="e">
        <f t="shared" si="9"/>
        <v>#VALUE!</v>
      </c>
      <c r="QX7" t="e">
        <f t="shared" si="9"/>
        <v>#VALUE!</v>
      </c>
      <c r="QY7" t="e">
        <f t="shared" si="9"/>
        <v>#VALUE!</v>
      </c>
      <c r="QZ7" t="e">
        <f t="shared" si="9"/>
        <v>#VALUE!</v>
      </c>
      <c r="RA7" t="e">
        <f t="shared" si="9"/>
        <v>#VALUE!</v>
      </c>
      <c r="RB7" t="e">
        <f t="shared" si="9"/>
        <v>#VALUE!</v>
      </c>
      <c r="RC7" t="e">
        <f t="shared" si="9"/>
        <v>#VALUE!</v>
      </c>
      <c r="RD7" t="e">
        <f t="shared" si="9"/>
        <v>#VALUE!</v>
      </c>
      <c r="RE7" t="e">
        <f t="shared" si="9"/>
        <v>#VALUE!</v>
      </c>
      <c r="RF7" t="e">
        <f t="shared" si="9"/>
        <v>#VALUE!</v>
      </c>
      <c r="RG7" t="e">
        <f t="shared" si="9"/>
        <v>#VALUE!</v>
      </c>
      <c r="RH7" t="e">
        <f t="shared" si="9"/>
        <v>#VALUE!</v>
      </c>
      <c r="RI7" t="e">
        <f t="shared" si="9"/>
        <v>#VALUE!</v>
      </c>
      <c r="RJ7" t="e">
        <f t="shared" si="9"/>
        <v>#VALUE!</v>
      </c>
      <c r="RK7" t="e">
        <f t="shared" si="9"/>
        <v>#VALUE!</v>
      </c>
      <c r="RL7" t="e">
        <f t="shared" si="9"/>
        <v>#VALUE!</v>
      </c>
      <c r="RM7" t="e">
        <f t="shared" si="9"/>
        <v>#VALUE!</v>
      </c>
      <c r="RN7" t="e">
        <f t="shared" si="9"/>
        <v>#VALUE!</v>
      </c>
      <c r="RO7" t="e">
        <f t="shared" si="9"/>
        <v>#VALUE!</v>
      </c>
      <c r="RP7" t="e">
        <f t="shared" si="9"/>
        <v>#VALUE!</v>
      </c>
      <c r="RQ7" t="e">
        <f t="shared" si="9"/>
        <v>#VALUE!</v>
      </c>
      <c r="RR7" t="e">
        <f t="shared" si="9"/>
        <v>#VALUE!</v>
      </c>
      <c r="RS7" t="e">
        <f t="shared" si="9"/>
        <v>#VALUE!</v>
      </c>
      <c r="RT7" t="e">
        <f t="shared" si="9"/>
        <v>#VALUE!</v>
      </c>
      <c r="RU7" t="e">
        <f t="shared" si="9"/>
        <v>#VALUE!</v>
      </c>
      <c r="RV7" t="e">
        <f t="shared" si="9"/>
        <v>#VALUE!</v>
      </c>
      <c r="RW7" t="e">
        <f t="shared" si="9"/>
        <v>#VALUE!</v>
      </c>
      <c r="RX7" t="e">
        <f t="shared" si="9"/>
        <v>#VALUE!</v>
      </c>
      <c r="RY7" t="e">
        <f t="shared" si="9"/>
        <v>#VALUE!</v>
      </c>
      <c r="RZ7" t="e">
        <f t="shared" si="9"/>
        <v>#VALUE!</v>
      </c>
      <c r="SA7" t="e">
        <f t="shared" si="9"/>
        <v>#VALUE!</v>
      </c>
      <c r="SB7" t="e">
        <f t="shared" si="9"/>
        <v>#VALUE!</v>
      </c>
      <c r="SC7" t="e">
        <f t="shared" si="9"/>
        <v>#VALUE!</v>
      </c>
      <c r="SD7" t="e">
        <f t="shared" si="9"/>
        <v>#VALUE!</v>
      </c>
      <c r="SE7" t="e">
        <f t="shared" si="9"/>
        <v>#VALUE!</v>
      </c>
      <c r="SF7" t="e">
        <f t="shared" si="9"/>
        <v>#VALUE!</v>
      </c>
      <c r="SG7" t="e">
        <f t="shared" si="9"/>
        <v>#VALUE!</v>
      </c>
      <c r="SH7" t="e">
        <f t="shared" si="9"/>
        <v>#VALUE!</v>
      </c>
      <c r="SI7" t="e">
        <f t="shared" si="9"/>
        <v>#VALUE!</v>
      </c>
      <c r="SJ7" t="e">
        <f t="shared" si="9"/>
        <v>#VALUE!</v>
      </c>
      <c r="SK7" t="e">
        <f t="shared" si="9"/>
        <v>#VALUE!</v>
      </c>
      <c r="SL7" t="e">
        <f t="shared" si="9"/>
        <v>#VALUE!</v>
      </c>
      <c r="SM7" t="e">
        <f t="shared" si="9"/>
        <v>#VALUE!</v>
      </c>
      <c r="SN7" t="e">
        <f t="shared" si="9"/>
        <v>#VALUE!</v>
      </c>
      <c r="SO7" t="e">
        <f t="shared" si="9"/>
        <v>#VALUE!</v>
      </c>
      <c r="SP7" t="e">
        <f t="shared" si="9"/>
        <v>#VALUE!</v>
      </c>
      <c r="SQ7" t="e">
        <f t="shared" si="9"/>
        <v>#VALUE!</v>
      </c>
      <c r="SR7" t="e">
        <f t="shared" si="9"/>
        <v>#VALUE!</v>
      </c>
      <c r="SS7" t="e">
        <f t="shared" si="9"/>
        <v>#VALUE!</v>
      </c>
      <c r="ST7" t="e">
        <f t="shared" si="9"/>
        <v>#VALUE!</v>
      </c>
      <c r="SU7" t="e">
        <f t="shared" si="9"/>
        <v>#VALUE!</v>
      </c>
      <c r="SV7" t="e">
        <f t="shared" si="9"/>
        <v>#VALUE!</v>
      </c>
      <c r="SW7" t="e">
        <f t="shared" si="9"/>
        <v>#VALUE!</v>
      </c>
      <c r="SX7" t="e">
        <f t="shared" si="9"/>
        <v>#VALUE!</v>
      </c>
      <c r="SY7" t="e">
        <f t="shared" ref="SY7:VJ9" si="10">+SY4/$E4</f>
        <v>#VALUE!</v>
      </c>
      <c r="SZ7" t="e">
        <f t="shared" si="10"/>
        <v>#VALUE!</v>
      </c>
      <c r="TA7" t="e">
        <f t="shared" si="10"/>
        <v>#VALUE!</v>
      </c>
      <c r="TB7" t="e">
        <f t="shared" si="10"/>
        <v>#VALUE!</v>
      </c>
      <c r="TC7" t="e">
        <f t="shared" si="10"/>
        <v>#VALUE!</v>
      </c>
      <c r="TD7" t="e">
        <f t="shared" si="10"/>
        <v>#VALUE!</v>
      </c>
      <c r="TE7" t="e">
        <f t="shared" si="10"/>
        <v>#VALUE!</v>
      </c>
      <c r="TF7" t="e">
        <f t="shared" si="10"/>
        <v>#VALUE!</v>
      </c>
      <c r="TG7" t="e">
        <f t="shared" si="10"/>
        <v>#VALUE!</v>
      </c>
      <c r="TH7" t="e">
        <f t="shared" si="10"/>
        <v>#VALUE!</v>
      </c>
      <c r="TI7" t="e">
        <f t="shared" si="10"/>
        <v>#VALUE!</v>
      </c>
      <c r="TJ7" t="e">
        <f t="shared" si="10"/>
        <v>#VALUE!</v>
      </c>
      <c r="TK7" t="e">
        <f t="shared" si="10"/>
        <v>#VALUE!</v>
      </c>
      <c r="TL7" t="e">
        <f t="shared" si="10"/>
        <v>#VALUE!</v>
      </c>
      <c r="TM7" t="e">
        <f t="shared" si="10"/>
        <v>#VALUE!</v>
      </c>
      <c r="TN7" t="e">
        <f t="shared" si="10"/>
        <v>#VALUE!</v>
      </c>
      <c r="TO7" t="e">
        <f t="shared" si="10"/>
        <v>#VALUE!</v>
      </c>
      <c r="TP7" t="e">
        <f t="shared" si="10"/>
        <v>#VALUE!</v>
      </c>
      <c r="TQ7" t="e">
        <f t="shared" si="10"/>
        <v>#VALUE!</v>
      </c>
      <c r="TR7" t="e">
        <f t="shared" si="10"/>
        <v>#VALUE!</v>
      </c>
      <c r="TS7" t="e">
        <f t="shared" si="10"/>
        <v>#VALUE!</v>
      </c>
      <c r="TT7" t="e">
        <f t="shared" si="10"/>
        <v>#VALUE!</v>
      </c>
      <c r="TU7" t="e">
        <f t="shared" si="10"/>
        <v>#VALUE!</v>
      </c>
      <c r="TV7" t="e">
        <f t="shared" si="10"/>
        <v>#VALUE!</v>
      </c>
      <c r="TW7" t="e">
        <f t="shared" si="10"/>
        <v>#VALUE!</v>
      </c>
      <c r="TX7" t="e">
        <f t="shared" si="10"/>
        <v>#VALUE!</v>
      </c>
      <c r="TY7" t="e">
        <f t="shared" si="10"/>
        <v>#VALUE!</v>
      </c>
      <c r="TZ7" t="e">
        <f t="shared" si="10"/>
        <v>#VALUE!</v>
      </c>
      <c r="UA7" t="e">
        <f t="shared" si="10"/>
        <v>#VALUE!</v>
      </c>
      <c r="UB7" t="e">
        <f t="shared" si="10"/>
        <v>#VALUE!</v>
      </c>
      <c r="UC7" t="e">
        <f t="shared" si="10"/>
        <v>#VALUE!</v>
      </c>
      <c r="UD7" t="e">
        <f t="shared" si="10"/>
        <v>#VALUE!</v>
      </c>
      <c r="UE7" t="e">
        <f t="shared" si="10"/>
        <v>#VALUE!</v>
      </c>
      <c r="UF7" t="e">
        <f t="shared" si="10"/>
        <v>#VALUE!</v>
      </c>
      <c r="UG7" t="e">
        <f t="shared" si="10"/>
        <v>#VALUE!</v>
      </c>
      <c r="UH7" t="e">
        <f t="shared" si="10"/>
        <v>#VALUE!</v>
      </c>
      <c r="UI7" t="e">
        <f t="shared" si="10"/>
        <v>#VALUE!</v>
      </c>
      <c r="UJ7" t="e">
        <f t="shared" si="10"/>
        <v>#VALUE!</v>
      </c>
      <c r="UK7" t="e">
        <f t="shared" si="10"/>
        <v>#VALUE!</v>
      </c>
      <c r="UL7" t="e">
        <f t="shared" si="10"/>
        <v>#VALUE!</v>
      </c>
      <c r="UM7" t="e">
        <f t="shared" si="10"/>
        <v>#VALUE!</v>
      </c>
      <c r="UN7" t="e">
        <f t="shared" si="10"/>
        <v>#VALUE!</v>
      </c>
      <c r="UO7" t="e">
        <f t="shared" si="10"/>
        <v>#VALUE!</v>
      </c>
      <c r="UP7" t="e">
        <f t="shared" si="10"/>
        <v>#VALUE!</v>
      </c>
      <c r="UQ7" t="e">
        <f t="shared" si="10"/>
        <v>#VALUE!</v>
      </c>
      <c r="UR7" t="e">
        <f t="shared" si="10"/>
        <v>#VALUE!</v>
      </c>
      <c r="US7" t="e">
        <f t="shared" si="10"/>
        <v>#VALUE!</v>
      </c>
      <c r="UT7" t="e">
        <f t="shared" si="10"/>
        <v>#VALUE!</v>
      </c>
      <c r="UU7" t="e">
        <f t="shared" si="10"/>
        <v>#VALUE!</v>
      </c>
      <c r="UV7" t="e">
        <f t="shared" si="10"/>
        <v>#VALUE!</v>
      </c>
      <c r="UW7" t="e">
        <f t="shared" si="10"/>
        <v>#VALUE!</v>
      </c>
      <c r="UX7" t="e">
        <f t="shared" si="10"/>
        <v>#VALUE!</v>
      </c>
      <c r="UY7" t="e">
        <f t="shared" si="10"/>
        <v>#VALUE!</v>
      </c>
      <c r="UZ7" t="e">
        <f t="shared" si="10"/>
        <v>#VALUE!</v>
      </c>
      <c r="VA7" t="e">
        <f t="shared" si="10"/>
        <v>#VALUE!</v>
      </c>
      <c r="VB7" t="e">
        <f t="shared" si="10"/>
        <v>#VALUE!</v>
      </c>
      <c r="VC7" t="e">
        <f t="shared" si="10"/>
        <v>#VALUE!</v>
      </c>
      <c r="VD7" t="e">
        <f t="shared" si="10"/>
        <v>#VALUE!</v>
      </c>
      <c r="VE7" t="e">
        <f t="shared" si="10"/>
        <v>#VALUE!</v>
      </c>
      <c r="VF7" t="e">
        <f t="shared" si="10"/>
        <v>#VALUE!</v>
      </c>
      <c r="VG7" t="e">
        <f t="shared" si="10"/>
        <v>#VALUE!</v>
      </c>
      <c r="VH7" t="e">
        <f t="shared" si="10"/>
        <v>#VALUE!</v>
      </c>
      <c r="VI7" t="e">
        <f t="shared" si="10"/>
        <v>#VALUE!</v>
      </c>
      <c r="VJ7" t="e">
        <f t="shared" si="10"/>
        <v>#VALUE!</v>
      </c>
      <c r="VK7" t="e">
        <f t="shared" ref="VK7:XV9" si="11">+VK4/$E4</f>
        <v>#VALUE!</v>
      </c>
      <c r="VL7" t="e">
        <f t="shared" si="11"/>
        <v>#VALUE!</v>
      </c>
      <c r="VM7" t="e">
        <f t="shared" si="11"/>
        <v>#VALUE!</v>
      </c>
      <c r="VN7" t="e">
        <f t="shared" si="11"/>
        <v>#VALUE!</v>
      </c>
      <c r="VO7" t="e">
        <f t="shared" si="11"/>
        <v>#VALUE!</v>
      </c>
      <c r="VP7" t="e">
        <f t="shared" si="11"/>
        <v>#VALUE!</v>
      </c>
      <c r="VQ7" t="e">
        <f t="shared" si="11"/>
        <v>#VALUE!</v>
      </c>
      <c r="VR7" t="e">
        <f t="shared" si="11"/>
        <v>#VALUE!</v>
      </c>
      <c r="VS7" t="e">
        <f t="shared" si="11"/>
        <v>#VALUE!</v>
      </c>
      <c r="VT7" t="e">
        <f t="shared" si="11"/>
        <v>#VALUE!</v>
      </c>
      <c r="VU7" t="e">
        <f t="shared" si="11"/>
        <v>#VALUE!</v>
      </c>
      <c r="VV7" t="e">
        <f t="shared" si="11"/>
        <v>#VALUE!</v>
      </c>
      <c r="VW7" t="e">
        <f t="shared" si="11"/>
        <v>#VALUE!</v>
      </c>
      <c r="VX7" t="e">
        <f t="shared" si="11"/>
        <v>#VALUE!</v>
      </c>
      <c r="VY7" t="e">
        <f t="shared" si="11"/>
        <v>#VALUE!</v>
      </c>
      <c r="VZ7" t="e">
        <f t="shared" si="11"/>
        <v>#VALUE!</v>
      </c>
      <c r="WA7" t="e">
        <f t="shared" si="11"/>
        <v>#VALUE!</v>
      </c>
      <c r="WB7" t="e">
        <f t="shared" si="11"/>
        <v>#VALUE!</v>
      </c>
      <c r="WC7" t="e">
        <f t="shared" si="11"/>
        <v>#VALUE!</v>
      </c>
      <c r="WD7" t="e">
        <f t="shared" si="11"/>
        <v>#VALUE!</v>
      </c>
      <c r="WE7" t="e">
        <f t="shared" si="11"/>
        <v>#VALUE!</v>
      </c>
      <c r="WF7" t="e">
        <f t="shared" si="11"/>
        <v>#VALUE!</v>
      </c>
      <c r="WG7" t="e">
        <f t="shared" si="11"/>
        <v>#VALUE!</v>
      </c>
      <c r="WH7" t="e">
        <f t="shared" si="11"/>
        <v>#VALUE!</v>
      </c>
      <c r="WI7" t="e">
        <f t="shared" si="11"/>
        <v>#VALUE!</v>
      </c>
      <c r="WJ7" t="e">
        <f t="shared" si="11"/>
        <v>#VALUE!</v>
      </c>
      <c r="WK7" t="e">
        <f t="shared" si="11"/>
        <v>#VALUE!</v>
      </c>
      <c r="WL7" t="e">
        <f t="shared" si="11"/>
        <v>#VALUE!</v>
      </c>
      <c r="WM7" t="e">
        <f t="shared" si="11"/>
        <v>#VALUE!</v>
      </c>
      <c r="WN7" t="e">
        <f t="shared" si="11"/>
        <v>#VALUE!</v>
      </c>
      <c r="WO7" t="e">
        <f t="shared" si="11"/>
        <v>#VALUE!</v>
      </c>
      <c r="WP7" t="e">
        <f t="shared" si="11"/>
        <v>#VALUE!</v>
      </c>
      <c r="WQ7" t="e">
        <f t="shared" si="11"/>
        <v>#VALUE!</v>
      </c>
      <c r="WR7" t="e">
        <f t="shared" si="11"/>
        <v>#VALUE!</v>
      </c>
      <c r="WS7" t="e">
        <f t="shared" si="11"/>
        <v>#VALUE!</v>
      </c>
      <c r="WT7" t="e">
        <f t="shared" si="11"/>
        <v>#VALUE!</v>
      </c>
      <c r="WU7" t="e">
        <f t="shared" si="11"/>
        <v>#VALUE!</v>
      </c>
      <c r="WV7" t="e">
        <f t="shared" si="11"/>
        <v>#VALUE!</v>
      </c>
      <c r="WW7" t="e">
        <f t="shared" si="11"/>
        <v>#VALUE!</v>
      </c>
      <c r="WX7" t="e">
        <f t="shared" si="11"/>
        <v>#VALUE!</v>
      </c>
      <c r="WY7" t="e">
        <f t="shared" si="11"/>
        <v>#VALUE!</v>
      </c>
      <c r="WZ7" t="e">
        <f t="shared" si="11"/>
        <v>#VALUE!</v>
      </c>
      <c r="XA7" t="e">
        <f t="shared" si="11"/>
        <v>#VALUE!</v>
      </c>
      <c r="XB7" t="e">
        <f t="shared" si="11"/>
        <v>#VALUE!</v>
      </c>
      <c r="XC7" t="e">
        <f t="shared" si="11"/>
        <v>#VALUE!</v>
      </c>
      <c r="XD7" t="e">
        <f t="shared" si="11"/>
        <v>#VALUE!</v>
      </c>
      <c r="XE7" t="e">
        <f t="shared" si="11"/>
        <v>#VALUE!</v>
      </c>
      <c r="XF7" t="e">
        <f t="shared" si="11"/>
        <v>#VALUE!</v>
      </c>
      <c r="XG7" t="e">
        <f t="shared" si="11"/>
        <v>#VALUE!</v>
      </c>
      <c r="XH7" t="e">
        <f t="shared" si="11"/>
        <v>#VALUE!</v>
      </c>
      <c r="XI7" t="e">
        <f t="shared" si="11"/>
        <v>#VALUE!</v>
      </c>
      <c r="XJ7" t="e">
        <f t="shared" si="11"/>
        <v>#VALUE!</v>
      </c>
      <c r="XK7" t="e">
        <f t="shared" si="11"/>
        <v>#VALUE!</v>
      </c>
      <c r="XL7" t="e">
        <f t="shared" si="11"/>
        <v>#VALUE!</v>
      </c>
      <c r="XM7" t="e">
        <f t="shared" si="11"/>
        <v>#VALUE!</v>
      </c>
      <c r="XN7" t="e">
        <f t="shared" si="11"/>
        <v>#VALUE!</v>
      </c>
      <c r="XO7" t="e">
        <f t="shared" si="11"/>
        <v>#VALUE!</v>
      </c>
      <c r="XP7" t="e">
        <f t="shared" si="11"/>
        <v>#VALUE!</v>
      </c>
      <c r="XQ7" t="e">
        <f t="shared" si="11"/>
        <v>#VALUE!</v>
      </c>
      <c r="XR7" t="e">
        <f t="shared" si="11"/>
        <v>#VALUE!</v>
      </c>
      <c r="XS7" t="e">
        <f t="shared" si="11"/>
        <v>#VALUE!</v>
      </c>
      <c r="XT7" t="e">
        <f t="shared" si="11"/>
        <v>#VALUE!</v>
      </c>
      <c r="XU7" t="e">
        <f t="shared" si="11"/>
        <v>#VALUE!</v>
      </c>
      <c r="XV7" t="e">
        <f t="shared" si="11"/>
        <v>#VALUE!</v>
      </c>
      <c r="XW7" t="e">
        <f t="shared" ref="XW7:AAH9" si="12">+XW4/$E4</f>
        <v>#VALUE!</v>
      </c>
      <c r="XX7" t="e">
        <f t="shared" si="12"/>
        <v>#VALUE!</v>
      </c>
      <c r="XY7" t="e">
        <f t="shared" si="12"/>
        <v>#VALUE!</v>
      </c>
      <c r="XZ7" t="e">
        <f t="shared" si="12"/>
        <v>#VALUE!</v>
      </c>
      <c r="YA7" t="e">
        <f t="shared" si="12"/>
        <v>#VALUE!</v>
      </c>
      <c r="YB7" t="e">
        <f t="shared" si="12"/>
        <v>#VALUE!</v>
      </c>
      <c r="YC7" t="e">
        <f t="shared" si="12"/>
        <v>#VALUE!</v>
      </c>
      <c r="YD7" t="e">
        <f t="shared" si="12"/>
        <v>#VALUE!</v>
      </c>
      <c r="YE7" t="e">
        <f t="shared" si="12"/>
        <v>#VALUE!</v>
      </c>
      <c r="YF7" t="e">
        <f t="shared" si="12"/>
        <v>#VALUE!</v>
      </c>
      <c r="YG7" t="e">
        <f t="shared" si="12"/>
        <v>#VALUE!</v>
      </c>
      <c r="YH7" t="e">
        <f t="shared" si="12"/>
        <v>#VALUE!</v>
      </c>
      <c r="YI7" t="e">
        <f t="shared" si="12"/>
        <v>#VALUE!</v>
      </c>
      <c r="YJ7" t="e">
        <f t="shared" si="12"/>
        <v>#VALUE!</v>
      </c>
      <c r="YK7" t="e">
        <f t="shared" si="12"/>
        <v>#VALUE!</v>
      </c>
      <c r="YL7" t="e">
        <f t="shared" si="12"/>
        <v>#VALUE!</v>
      </c>
      <c r="YM7" t="e">
        <f t="shared" si="12"/>
        <v>#VALUE!</v>
      </c>
      <c r="YN7" t="e">
        <f t="shared" si="12"/>
        <v>#VALUE!</v>
      </c>
      <c r="YO7" t="e">
        <f t="shared" si="12"/>
        <v>#VALUE!</v>
      </c>
      <c r="YP7" t="e">
        <f t="shared" si="12"/>
        <v>#VALUE!</v>
      </c>
      <c r="YQ7" t="e">
        <f t="shared" si="12"/>
        <v>#VALUE!</v>
      </c>
      <c r="YR7" t="e">
        <f t="shared" si="12"/>
        <v>#VALUE!</v>
      </c>
      <c r="YS7" t="e">
        <f t="shared" si="12"/>
        <v>#VALUE!</v>
      </c>
      <c r="YT7" t="e">
        <f t="shared" si="12"/>
        <v>#VALUE!</v>
      </c>
      <c r="YU7" t="e">
        <f t="shared" si="12"/>
        <v>#VALUE!</v>
      </c>
      <c r="YV7" t="e">
        <f t="shared" si="12"/>
        <v>#VALUE!</v>
      </c>
      <c r="YW7" t="e">
        <f t="shared" si="12"/>
        <v>#VALUE!</v>
      </c>
      <c r="YX7" t="e">
        <f t="shared" si="12"/>
        <v>#VALUE!</v>
      </c>
      <c r="YY7" t="e">
        <f t="shared" si="12"/>
        <v>#VALUE!</v>
      </c>
      <c r="YZ7" t="e">
        <f t="shared" si="12"/>
        <v>#VALUE!</v>
      </c>
      <c r="ZA7" t="e">
        <f t="shared" si="12"/>
        <v>#VALUE!</v>
      </c>
      <c r="ZB7" t="e">
        <f t="shared" si="12"/>
        <v>#VALUE!</v>
      </c>
      <c r="ZC7" t="e">
        <f t="shared" si="12"/>
        <v>#VALUE!</v>
      </c>
      <c r="ZD7" t="e">
        <f t="shared" si="12"/>
        <v>#VALUE!</v>
      </c>
      <c r="ZE7" t="e">
        <f t="shared" si="12"/>
        <v>#VALUE!</v>
      </c>
      <c r="ZF7" t="e">
        <f t="shared" si="12"/>
        <v>#VALUE!</v>
      </c>
      <c r="ZG7" t="e">
        <f t="shared" si="12"/>
        <v>#VALUE!</v>
      </c>
      <c r="ZH7" t="e">
        <f t="shared" si="12"/>
        <v>#VALUE!</v>
      </c>
      <c r="ZI7" t="e">
        <f t="shared" si="12"/>
        <v>#VALUE!</v>
      </c>
      <c r="ZJ7" t="e">
        <f t="shared" si="12"/>
        <v>#VALUE!</v>
      </c>
      <c r="ZK7" t="e">
        <f t="shared" si="12"/>
        <v>#VALUE!</v>
      </c>
      <c r="ZL7" t="e">
        <f t="shared" si="12"/>
        <v>#VALUE!</v>
      </c>
      <c r="ZM7" t="e">
        <f t="shared" si="12"/>
        <v>#VALUE!</v>
      </c>
      <c r="ZN7" t="e">
        <f t="shared" si="12"/>
        <v>#VALUE!</v>
      </c>
      <c r="ZO7" t="e">
        <f t="shared" si="12"/>
        <v>#VALUE!</v>
      </c>
      <c r="ZP7" t="e">
        <f t="shared" si="12"/>
        <v>#VALUE!</v>
      </c>
      <c r="ZQ7" t="e">
        <f t="shared" si="12"/>
        <v>#VALUE!</v>
      </c>
      <c r="ZR7" t="e">
        <f t="shared" si="12"/>
        <v>#VALUE!</v>
      </c>
      <c r="ZS7" t="e">
        <f t="shared" si="12"/>
        <v>#VALUE!</v>
      </c>
      <c r="ZT7" t="e">
        <f t="shared" si="12"/>
        <v>#VALUE!</v>
      </c>
      <c r="ZU7" t="e">
        <f t="shared" si="12"/>
        <v>#VALUE!</v>
      </c>
      <c r="ZV7" t="e">
        <f t="shared" si="12"/>
        <v>#VALUE!</v>
      </c>
      <c r="ZW7" t="e">
        <f t="shared" si="12"/>
        <v>#VALUE!</v>
      </c>
      <c r="ZX7" t="e">
        <f t="shared" si="12"/>
        <v>#VALUE!</v>
      </c>
      <c r="ZY7" t="e">
        <f t="shared" si="12"/>
        <v>#VALUE!</v>
      </c>
      <c r="ZZ7" t="e">
        <f t="shared" si="12"/>
        <v>#VALUE!</v>
      </c>
      <c r="AAA7" t="e">
        <f t="shared" si="12"/>
        <v>#VALUE!</v>
      </c>
      <c r="AAB7" t="e">
        <f t="shared" si="12"/>
        <v>#VALUE!</v>
      </c>
      <c r="AAC7" t="e">
        <f t="shared" si="12"/>
        <v>#VALUE!</v>
      </c>
      <c r="AAD7" t="e">
        <f t="shared" si="12"/>
        <v>#VALUE!</v>
      </c>
      <c r="AAE7" t="e">
        <f t="shared" si="12"/>
        <v>#VALUE!</v>
      </c>
      <c r="AAF7" t="e">
        <f t="shared" si="12"/>
        <v>#VALUE!</v>
      </c>
      <c r="AAG7" t="e">
        <f t="shared" si="12"/>
        <v>#VALUE!</v>
      </c>
      <c r="AAH7" t="e">
        <f t="shared" si="12"/>
        <v>#VALUE!</v>
      </c>
      <c r="AAI7" t="e">
        <f t="shared" ref="AAI7:ACT9" si="13">+AAI4/$E4</f>
        <v>#VALUE!</v>
      </c>
      <c r="AAJ7" t="e">
        <f t="shared" si="13"/>
        <v>#VALUE!</v>
      </c>
      <c r="AAK7" t="e">
        <f t="shared" si="13"/>
        <v>#VALUE!</v>
      </c>
      <c r="AAL7" t="e">
        <f t="shared" si="13"/>
        <v>#VALUE!</v>
      </c>
      <c r="AAM7" t="e">
        <f t="shared" si="13"/>
        <v>#VALUE!</v>
      </c>
      <c r="AAN7" t="e">
        <f t="shared" si="13"/>
        <v>#VALUE!</v>
      </c>
      <c r="AAO7" t="e">
        <f t="shared" si="13"/>
        <v>#VALUE!</v>
      </c>
      <c r="AAP7" t="e">
        <f t="shared" si="13"/>
        <v>#VALUE!</v>
      </c>
      <c r="AAQ7" t="e">
        <f t="shared" si="13"/>
        <v>#VALUE!</v>
      </c>
      <c r="AAR7" t="e">
        <f t="shared" si="13"/>
        <v>#VALUE!</v>
      </c>
      <c r="AAS7" t="e">
        <f t="shared" si="13"/>
        <v>#VALUE!</v>
      </c>
      <c r="AAT7" t="e">
        <f t="shared" si="13"/>
        <v>#VALUE!</v>
      </c>
      <c r="AAU7" t="e">
        <f t="shared" si="13"/>
        <v>#VALUE!</v>
      </c>
      <c r="AAV7" t="e">
        <f t="shared" si="13"/>
        <v>#VALUE!</v>
      </c>
      <c r="AAW7" t="e">
        <f t="shared" si="13"/>
        <v>#VALUE!</v>
      </c>
      <c r="AAX7" t="e">
        <f t="shared" si="13"/>
        <v>#VALUE!</v>
      </c>
      <c r="AAY7" t="e">
        <f t="shared" si="13"/>
        <v>#VALUE!</v>
      </c>
      <c r="AAZ7" t="e">
        <f t="shared" si="13"/>
        <v>#VALUE!</v>
      </c>
      <c r="ABA7" t="e">
        <f t="shared" si="13"/>
        <v>#VALUE!</v>
      </c>
      <c r="ABB7" t="e">
        <f t="shared" si="13"/>
        <v>#VALUE!</v>
      </c>
      <c r="ABC7" t="e">
        <f t="shared" si="13"/>
        <v>#VALUE!</v>
      </c>
      <c r="ABD7" t="e">
        <f t="shared" si="13"/>
        <v>#VALUE!</v>
      </c>
      <c r="ABE7" t="e">
        <f t="shared" si="13"/>
        <v>#VALUE!</v>
      </c>
      <c r="ABF7" t="e">
        <f t="shared" si="13"/>
        <v>#VALUE!</v>
      </c>
      <c r="ABG7" t="e">
        <f t="shared" si="13"/>
        <v>#VALUE!</v>
      </c>
      <c r="ABH7" t="e">
        <f t="shared" si="13"/>
        <v>#VALUE!</v>
      </c>
      <c r="ABI7" t="e">
        <f t="shared" si="13"/>
        <v>#VALUE!</v>
      </c>
      <c r="ABJ7" t="e">
        <f t="shared" si="13"/>
        <v>#VALUE!</v>
      </c>
      <c r="ABK7" t="e">
        <f t="shared" si="13"/>
        <v>#VALUE!</v>
      </c>
      <c r="ABL7" t="e">
        <f t="shared" si="13"/>
        <v>#VALUE!</v>
      </c>
      <c r="ABM7" t="e">
        <f t="shared" si="13"/>
        <v>#VALUE!</v>
      </c>
      <c r="ABN7" t="e">
        <f t="shared" si="13"/>
        <v>#VALUE!</v>
      </c>
      <c r="ABO7" t="e">
        <f t="shared" si="13"/>
        <v>#VALUE!</v>
      </c>
      <c r="ABP7" t="e">
        <f t="shared" si="13"/>
        <v>#VALUE!</v>
      </c>
      <c r="ABQ7" t="e">
        <f t="shared" si="13"/>
        <v>#VALUE!</v>
      </c>
      <c r="ABR7" t="e">
        <f t="shared" si="13"/>
        <v>#VALUE!</v>
      </c>
      <c r="ABS7" t="e">
        <f t="shared" si="13"/>
        <v>#VALUE!</v>
      </c>
      <c r="ABT7" t="e">
        <f t="shared" si="13"/>
        <v>#VALUE!</v>
      </c>
      <c r="ABU7" t="e">
        <f t="shared" si="13"/>
        <v>#VALUE!</v>
      </c>
      <c r="ABV7" t="e">
        <f t="shared" si="13"/>
        <v>#VALUE!</v>
      </c>
      <c r="ABW7" t="e">
        <f t="shared" si="13"/>
        <v>#VALUE!</v>
      </c>
      <c r="ABX7" t="e">
        <f t="shared" si="13"/>
        <v>#VALUE!</v>
      </c>
      <c r="ABY7" t="e">
        <f t="shared" si="13"/>
        <v>#VALUE!</v>
      </c>
      <c r="ABZ7" t="e">
        <f t="shared" si="13"/>
        <v>#VALUE!</v>
      </c>
      <c r="ACA7" t="e">
        <f t="shared" si="13"/>
        <v>#VALUE!</v>
      </c>
      <c r="ACB7" t="e">
        <f t="shared" si="13"/>
        <v>#VALUE!</v>
      </c>
      <c r="ACC7" t="e">
        <f t="shared" si="13"/>
        <v>#VALUE!</v>
      </c>
      <c r="ACD7" t="e">
        <f t="shared" si="13"/>
        <v>#VALUE!</v>
      </c>
      <c r="ACE7" t="e">
        <f t="shared" si="13"/>
        <v>#VALUE!</v>
      </c>
      <c r="ACF7" t="e">
        <f t="shared" si="13"/>
        <v>#VALUE!</v>
      </c>
      <c r="ACG7" t="e">
        <f t="shared" si="13"/>
        <v>#VALUE!</v>
      </c>
      <c r="ACH7" t="e">
        <f t="shared" si="13"/>
        <v>#VALUE!</v>
      </c>
      <c r="ACI7" t="e">
        <f t="shared" si="13"/>
        <v>#VALUE!</v>
      </c>
      <c r="ACJ7" t="e">
        <f t="shared" si="13"/>
        <v>#VALUE!</v>
      </c>
      <c r="ACK7" t="e">
        <f t="shared" si="13"/>
        <v>#VALUE!</v>
      </c>
      <c r="ACL7" t="e">
        <f t="shared" si="13"/>
        <v>#VALUE!</v>
      </c>
      <c r="ACM7" t="e">
        <f t="shared" si="13"/>
        <v>#VALUE!</v>
      </c>
      <c r="ACN7" t="e">
        <f t="shared" si="13"/>
        <v>#VALUE!</v>
      </c>
      <c r="ACO7" t="e">
        <f t="shared" si="13"/>
        <v>#VALUE!</v>
      </c>
      <c r="ACP7" t="e">
        <f t="shared" si="13"/>
        <v>#VALUE!</v>
      </c>
      <c r="ACQ7" t="e">
        <f t="shared" si="13"/>
        <v>#VALUE!</v>
      </c>
      <c r="ACR7" t="e">
        <f t="shared" si="13"/>
        <v>#VALUE!</v>
      </c>
      <c r="ACS7" t="e">
        <f t="shared" si="13"/>
        <v>#VALUE!</v>
      </c>
      <c r="ACT7" t="e">
        <f t="shared" si="13"/>
        <v>#VALUE!</v>
      </c>
      <c r="ACU7" t="e">
        <f t="shared" ref="ACU7:AFF9" si="14">+ACU4/$E4</f>
        <v>#VALUE!</v>
      </c>
      <c r="ACV7" t="e">
        <f t="shared" si="14"/>
        <v>#VALUE!</v>
      </c>
      <c r="ACW7" t="e">
        <f t="shared" si="14"/>
        <v>#VALUE!</v>
      </c>
      <c r="ACX7" t="e">
        <f t="shared" si="14"/>
        <v>#VALUE!</v>
      </c>
      <c r="ACY7" t="e">
        <f t="shared" si="14"/>
        <v>#VALUE!</v>
      </c>
      <c r="ACZ7" t="e">
        <f t="shared" si="14"/>
        <v>#VALUE!</v>
      </c>
      <c r="ADA7" t="e">
        <f t="shared" si="14"/>
        <v>#VALUE!</v>
      </c>
      <c r="ADB7" t="e">
        <f t="shared" si="14"/>
        <v>#VALUE!</v>
      </c>
      <c r="ADC7" t="e">
        <f t="shared" si="14"/>
        <v>#VALUE!</v>
      </c>
      <c r="ADD7" t="e">
        <f t="shared" si="14"/>
        <v>#VALUE!</v>
      </c>
      <c r="ADE7" t="e">
        <f t="shared" si="14"/>
        <v>#VALUE!</v>
      </c>
      <c r="ADF7" t="e">
        <f t="shared" si="14"/>
        <v>#VALUE!</v>
      </c>
      <c r="ADG7" t="e">
        <f t="shared" si="14"/>
        <v>#VALUE!</v>
      </c>
      <c r="ADH7" t="e">
        <f t="shared" si="14"/>
        <v>#VALUE!</v>
      </c>
      <c r="ADI7" t="e">
        <f t="shared" si="14"/>
        <v>#VALUE!</v>
      </c>
      <c r="ADJ7" t="e">
        <f t="shared" si="14"/>
        <v>#VALUE!</v>
      </c>
      <c r="ADK7" t="e">
        <f t="shared" si="14"/>
        <v>#VALUE!</v>
      </c>
      <c r="ADL7" t="e">
        <f t="shared" si="14"/>
        <v>#VALUE!</v>
      </c>
      <c r="ADM7" t="e">
        <f t="shared" si="14"/>
        <v>#VALUE!</v>
      </c>
      <c r="ADN7" t="e">
        <f t="shared" si="14"/>
        <v>#VALUE!</v>
      </c>
      <c r="ADO7" t="e">
        <f t="shared" si="14"/>
        <v>#VALUE!</v>
      </c>
      <c r="ADP7" t="e">
        <f t="shared" si="14"/>
        <v>#VALUE!</v>
      </c>
      <c r="ADQ7" t="e">
        <f t="shared" si="14"/>
        <v>#VALUE!</v>
      </c>
      <c r="ADR7" t="e">
        <f t="shared" si="14"/>
        <v>#VALUE!</v>
      </c>
      <c r="ADS7" t="e">
        <f t="shared" si="14"/>
        <v>#VALUE!</v>
      </c>
      <c r="ADT7" t="e">
        <f t="shared" si="14"/>
        <v>#VALUE!</v>
      </c>
      <c r="ADU7" t="e">
        <f t="shared" si="14"/>
        <v>#VALUE!</v>
      </c>
      <c r="ADV7" t="e">
        <f t="shared" si="14"/>
        <v>#VALUE!</v>
      </c>
      <c r="ADW7" t="e">
        <f t="shared" si="14"/>
        <v>#VALUE!</v>
      </c>
      <c r="ADX7" t="e">
        <f t="shared" si="14"/>
        <v>#VALUE!</v>
      </c>
      <c r="ADY7" t="e">
        <f t="shared" si="14"/>
        <v>#VALUE!</v>
      </c>
      <c r="ADZ7" t="e">
        <f t="shared" si="14"/>
        <v>#VALUE!</v>
      </c>
      <c r="AEA7" t="e">
        <f t="shared" si="14"/>
        <v>#VALUE!</v>
      </c>
      <c r="AEB7" t="e">
        <f t="shared" si="14"/>
        <v>#VALUE!</v>
      </c>
      <c r="AEC7" t="e">
        <f t="shared" si="14"/>
        <v>#VALUE!</v>
      </c>
      <c r="AED7" t="e">
        <f t="shared" si="14"/>
        <v>#VALUE!</v>
      </c>
      <c r="AEE7" t="e">
        <f t="shared" si="14"/>
        <v>#VALUE!</v>
      </c>
      <c r="AEF7" t="e">
        <f t="shared" si="14"/>
        <v>#VALUE!</v>
      </c>
      <c r="AEG7" t="e">
        <f t="shared" si="14"/>
        <v>#VALUE!</v>
      </c>
      <c r="AEH7" t="e">
        <f t="shared" si="14"/>
        <v>#VALUE!</v>
      </c>
      <c r="AEI7" t="e">
        <f t="shared" si="14"/>
        <v>#VALUE!</v>
      </c>
      <c r="AEJ7" t="e">
        <f t="shared" si="14"/>
        <v>#VALUE!</v>
      </c>
      <c r="AEK7" t="e">
        <f t="shared" si="14"/>
        <v>#VALUE!</v>
      </c>
      <c r="AEL7" t="e">
        <f t="shared" si="14"/>
        <v>#VALUE!</v>
      </c>
      <c r="AEM7" t="e">
        <f t="shared" si="14"/>
        <v>#VALUE!</v>
      </c>
      <c r="AEN7" t="e">
        <f t="shared" si="14"/>
        <v>#VALUE!</v>
      </c>
      <c r="AEO7" t="e">
        <f t="shared" si="14"/>
        <v>#VALUE!</v>
      </c>
      <c r="AEP7" t="e">
        <f t="shared" si="14"/>
        <v>#VALUE!</v>
      </c>
      <c r="AEQ7" t="e">
        <f t="shared" si="14"/>
        <v>#VALUE!</v>
      </c>
      <c r="AER7" t="e">
        <f t="shared" si="14"/>
        <v>#VALUE!</v>
      </c>
      <c r="AES7" t="e">
        <f t="shared" si="14"/>
        <v>#VALUE!</v>
      </c>
      <c r="AET7" t="e">
        <f t="shared" si="14"/>
        <v>#VALUE!</v>
      </c>
      <c r="AEU7" t="e">
        <f t="shared" si="14"/>
        <v>#VALUE!</v>
      </c>
      <c r="AEV7" t="e">
        <f t="shared" si="14"/>
        <v>#VALUE!</v>
      </c>
      <c r="AEW7" t="e">
        <f t="shared" si="14"/>
        <v>#VALUE!</v>
      </c>
      <c r="AEX7" t="e">
        <f t="shared" si="14"/>
        <v>#VALUE!</v>
      </c>
      <c r="AEY7" t="e">
        <f t="shared" si="14"/>
        <v>#VALUE!</v>
      </c>
      <c r="AEZ7" t="e">
        <f t="shared" si="14"/>
        <v>#VALUE!</v>
      </c>
      <c r="AFA7" t="e">
        <f t="shared" si="14"/>
        <v>#VALUE!</v>
      </c>
      <c r="AFB7" t="e">
        <f t="shared" si="14"/>
        <v>#VALUE!</v>
      </c>
      <c r="AFC7" t="e">
        <f t="shared" si="14"/>
        <v>#VALUE!</v>
      </c>
      <c r="AFD7" t="e">
        <f t="shared" si="14"/>
        <v>#VALUE!</v>
      </c>
      <c r="AFE7" t="e">
        <f t="shared" si="14"/>
        <v>#VALUE!</v>
      </c>
      <c r="AFF7" t="e">
        <f t="shared" si="14"/>
        <v>#VALUE!</v>
      </c>
      <c r="AFG7" t="e">
        <f t="shared" ref="AFG7:AHR9" si="15">+AFG4/$E4</f>
        <v>#VALUE!</v>
      </c>
      <c r="AFH7" t="e">
        <f t="shared" si="15"/>
        <v>#VALUE!</v>
      </c>
      <c r="AFI7" t="e">
        <f t="shared" si="15"/>
        <v>#VALUE!</v>
      </c>
      <c r="AFJ7" t="e">
        <f t="shared" si="15"/>
        <v>#VALUE!</v>
      </c>
      <c r="AFK7" t="e">
        <f t="shared" si="15"/>
        <v>#VALUE!</v>
      </c>
      <c r="AFL7" t="e">
        <f t="shared" si="15"/>
        <v>#VALUE!</v>
      </c>
      <c r="AFM7" t="e">
        <f t="shared" si="15"/>
        <v>#VALUE!</v>
      </c>
      <c r="AFN7" t="e">
        <f t="shared" si="15"/>
        <v>#VALUE!</v>
      </c>
      <c r="AFO7" t="e">
        <f t="shared" si="15"/>
        <v>#VALUE!</v>
      </c>
      <c r="AFP7" t="e">
        <f t="shared" si="15"/>
        <v>#VALUE!</v>
      </c>
      <c r="AFQ7" t="e">
        <f t="shared" si="15"/>
        <v>#VALUE!</v>
      </c>
      <c r="AFR7" t="e">
        <f t="shared" si="15"/>
        <v>#VALUE!</v>
      </c>
      <c r="AFS7" t="e">
        <f t="shared" si="15"/>
        <v>#VALUE!</v>
      </c>
      <c r="AFT7" t="e">
        <f t="shared" si="15"/>
        <v>#VALUE!</v>
      </c>
      <c r="AFU7" t="e">
        <f t="shared" si="15"/>
        <v>#VALUE!</v>
      </c>
      <c r="AFV7" t="e">
        <f t="shared" si="15"/>
        <v>#VALUE!</v>
      </c>
      <c r="AFW7" t="e">
        <f t="shared" si="15"/>
        <v>#VALUE!</v>
      </c>
      <c r="AFX7" t="e">
        <f t="shared" si="15"/>
        <v>#VALUE!</v>
      </c>
      <c r="AFY7" t="e">
        <f t="shared" si="15"/>
        <v>#VALUE!</v>
      </c>
      <c r="AFZ7" t="e">
        <f t="shared" si="15"/>
        <v>#VALUE!</v>
      </c>
      <c r="AGA7" t="e">
        <f t="shared" si="15"/>
        <v>#VALUE!</v>
      </c>
      <c r="AGB7" t="e">
        <f t="shared" si="15"/>
        <v>#VALUE!</v>
      </c>
      <c r="AGC7" t="e">
        <f t="shared" si="15"/>
        <v>#VALUE!</v>
      </c>
      <c r="AGD7" t="e">
        <f t="shared" si="15"/>
        <v>#VALUE!</v>
      </c>
      <c r="AGE7" t="e">
        <f t="shared" si="15"/>
        <v>#VALUE!</v>
      </c>
      <c r="AGF7" t="e">
        <f t="shared" si="15"/>
        <v>#VALUE!</v>
      </c>
      <c r="AGG7" t="e">
        <f t="shared" si="15"/>
        <v>#VALUE!</v>
      </c>
      <c r="AGH7" t="e">
        <f t="shared" si="15"/>
        <v>#VALUE!</v>
      </c>
      <c r="AGI7" t="e">
        <f t="shared" si="15"/>
        <v>#VALUE!</v>
      </c>
      <c r="AGJ7" t="e">
        <f t="shared" si="15"/>
        <v>#VALUE!</v>
      </c>
      <c r="AGK7" t="e">
        <f t="shared" si="15"/>
        <v>#VALUE!</v>
      </c>
      <c r="AGL7" t="e">
        <f t="shared" si="15"/>
        <v>#VALUE!</v>
      </c>
      <c r="AGM7" t="e">
        <f t="shared" si="15"/>
        <v>#VALUE!</v>
      </c>
      <c r="AGN7" t="e">
        <f t="shared" si="15"/>
        <v>#VALUE!</v>
      </c>
      <c r="AGO7" t="e">
        <f t="shared" si="15"/>
        <v>#VALUE!</v>
      </c>
      <c r="AGP7" t="e">
        <f t="shared" si="15"/>
        <v>#VALUE!</v>
      </c>
      <c r="AGQ7" t="e">
        <f t="shared" si="15"/>
        <v>#VALUE!</v>
      </c>
      <c r="AGR7" t="e">
        <f t="shared" si="15"/>
        <v>#VALUE!</v>
      </c>
      <c r="AGS7" t="e">
        <f t="shared" si="15"/>
        <v>#VALUE!</v>
      </c>
      <c r="AGT7" t="e">
        <f t="shared" si="15"/>
        <v>#VALUE!</v>
      </c>
      <c r="AGU7" t="e">
        <f t="shared" si="15"/>
        <v>#VALUE!</v>
      </c>
      <c r="AGV7" t="e">
        <f t="shared" si="15"/>
        <v>#VALUE!</v>
      </c>
      <c r="AGW7" t="e">
        <f t="shared" si="15"/>
        <v>#VALUE!</v>
      </c>
      <c r="AGX7" t="e">
        <f t="shared" si="15"/>
        <v>#VALUE!</v>
      </c>
      <c r="AGY7" t="e">
        <f t="shared" si="15"/>
        <v>#VALUE!</v>
      </c>
      <c r="AGZ7" t="e">
        <f t="shared" si="15"/>
        <v>#VALUE!</v>
      </c>
      <c r="AHA7" t="e">
        <f t="shared" si="15"/>
        <v>#VALUE!</v>
      </c>
      <c r="AHB7" t="e">
        <f t="shared" si="15"/>
        <v>#VALUE!</v>
      </c>
      <c r="AHC7" t="e">
        <f t="shared" si="15"/>
        <v>#VALUE!</v>
      </c>
      <c r="AHD7" t="e">
        <f t="shared" si="15"/>
        <v>#VALUE!</v>
      </c>
      <c r="AHE7" t="e">
        <f t="shared" si="15"/>
        <v>#VALUE!</v>
      </c>
      <c r="AHF7" t="e">
        <f t="shared" si="15"/>
        <v>#VALUE!</v>
      </c>
      <c r="AHG7" t="e">
        <f t="shared" si="15"/>
        <v>#VALUE!</v>
      </c>
      <c r="AHH7" t="e">
        <f t="shared" si="15"/>
        <v>#VALUE!</v>
      </c>
      <c r="AHI7" t="e">
        <f t="shared" si="15"/>
        <v>#VALUE!</v>
      </c>
      <c r="AHJ7" t="e">
        <f t="shared" si="15"/>
        <v>#VALUE!</v>
      </c>
      <c r="AHK7" t="e">
        <f t="shared" si="15"/>
        <v>#VALUE!</v>
      </c>
      <c r="AHL7" t="e">
        <f t="shared" si="15"/>
        <v>#VALUE!</v>
      </c>
      <c r="AHM7" t="e">
        <f t="shared" si="15"/>
        <v>#VALUE!</v>
      </c>
      <c r="AHN7" t="e">
        <f t="shared" si="15"/>
        <v>#VALUE!</v>
      </c>
      <c r="AHO7" t="e">
        <f t="shared" si="15"/>
        <v>#VALUE!</v>
      </c>
      <c r="AHP7" t="e">
        <f t="shared" si="15"/>
        <v>#VALUE!</v>
      </c>
      <c r="AHQ7" t="e">
        <f t="shared" si="15"/>
        <v>#VALUE!</v>
      </c>
      <c r="AHR7" t="e">
        <f t="shared" si="15"/>
        <v>#VALUE!</v>
      </c>
      <c r="AHS7" t="e">
        <f t="shared" ref="AHS7:AKD9" si="16">+AHS4/$E4</f>
        <v>#VALUE!</v>
      </c>
      <c r="AHT7" t="e">
        <f t="shared" si="16"/>
        <v>#VALUE!</v>
      </c>
      <c r="AHU7" t="e">
        <f t="shared" si="16"/>
        <v>#VALUE!</v>
      </c>
      <c r="AHV7" t="e">
        <f t="shared" si="16"/>
        <v>#VALUE!</v>
      </c>
      <c r="AHW7" t="e">
        <f t="shared" si="16"/>
        <v>#VALUE!</v>
      </c>
      <c r="AHX7" t="e">
        <f t="shared" si="16"/>
        <v>#VALUE!</v>
      </c>
      <c r="AHY7" t="e">
        <f t="shared" si="16"/>
        <v>#VALUE!</v>
      </c>
      <c r="AHZ7" t="e">
        <f t="shared" si="16"/>
        <v>#VALUE!</v>
      </c>
      <c r="AIA7" t="e">
        <f t="shared" si="16"/>
        <v>#VALUE!</v>
      </c>
      <c r="AIB7" t="e">
        <f t="shared" si="16"/>
        <v>#VALUE!</v>
      </c>
      <c r="AIC7" t="e">
        <f t="shared" si="16"/>
        <v>#VALUE!</v>
      </c>
      <c r="AID7" t="e">
        <f t="shared" si="16"/>
        <v>#VALUE!</v>
      </c>
      <c r="AIE7" t="e">
        <f t="shared" si="16"/>
        <v>#VALUE!</v>
      </c>
      <c r="AIF7" t="e">
        <f t="shared" si="16"/>
        <v>#VALUE!</v>
      </c>
      <c r="AIG7" t="e">
        <f t="shared" si="16"/>
        <v>#VALUE!</v>
      </c>
      <c r="AIH7" t="e">
        <f t="shared" si="16"/>
        <v>#VALUE!</v>
      </c>
      <c r="AII7" t="e">
        <f t="shared" si="16"/>
        <v>#VALUE!</v>
      </c>
      <c r="AIJ7" t="e">
        <f t="shared" si="16"/>
        <v>#VALUE!</v>
      </c>
      <c r="AIK7" t="e">
        <f t="shared" si="16"/>
        <v>#VALUE!</v>
      </c>
      <c r="AIL7" t="e">
        <f t="shared" si="16"/>
        <v>#VALUE!</v>
      </c>
      <c r="AIM7" t="e">
        <f t="shared" si="16"/>
        <v>#VALUE!</v>
      </c>
      <c r="AIN7" t="e">
        <f t="shared" si="16"/>
        <v>#VALUE!</v>
      </c>
      <c r="AIO7" t="e">
        <f t="shared" si="16"/>
        <v>#VALUE!</v>
      </c>
      <c r="AIP7" t="e">
        <f t="shared" si="16"/>
        <v>#VALUE!</v>
      </c>
      <c r="AIQ7" t="e">
        <f t="shared" si="16"/>
        <v>#VALUE!</v>
      </c>
      <c r="AIR7" s="2" t="e">
        <f t="shared" si="16"/>
        <v>#VALUE!</v>
      </c>
      <c r="AIS7" t="e">
        <f t="shared" si="16"/>
        <v>#VALUE!</v>
      </c>
      <c r="AIT7" t="e">
        <f t="shared" si="16"/>
        <v>#VALUE!</v>
      </c>
      <c r="AIU7" t="e">
        <f t="shared" si="16"/>
        <v>#VALUE!</v>
      </c>
      <c r="AIV7" t="e">
        <f t="shared" si="16"/>
        <v>#VALUE!</v>
      </c>
      <c r="AIW7" t="e">
        <f t="shared" si="16"/>
        <v>#VALUE!</v>
      </c>
      <c r="AIX7" t="e">
        <f t="shared" si="16"/>
        <v>#VALUE!</v>
      </c>
      <c r="AIY7" t="e">
        <f t="shared" si="16"/>
        <v>#VALUE!</v>
      </c>
      <c r="AIZ7" t="e">
        <f t="shared" si="16"/>
        <v>#VALUE!</v>
      </c>
      <c r="AJA7" t="e">
        <f t="shared" si="16"/>
        <v>#VALUE!</v>
      </c>
      <c r="AJB7" t="e">
        <f t="shared" si="16"/>
        <v>#VALUE!</v>
      </c>
      <c r="AJC7" t="e">
        <f t="shared" si="16"/>
        <v>#VALUE!</v>
      </c>
      <c r="AJD7" t="e">
        <f t="shared" si="16"/>
        <v>#VALUE!</v>
      </c>
      <c r="AJE7" t="e">
        <f t="shared" si="16"/>
        <v>#VALUE!</v>
      </c>
      <c r="AJF7" t="e">
        <f t="shared" si="16"/>
        <v>#VALUE!</v>
      </c>
      <c r="AJG7" t="e">
        <f t="shared" si="16"/>
        <v>#VALUE!</v>
      </c>
      <c r="AJH7" t="e">
        <f t="shared" si="16"/>
        <v>#VALUE!</v>
      </c>
      <c r="AJI7" t="e">
        <f t="shared" si="16"/>
        <v>#VALUE!</v>
      </c>
      <c r="AJJ7" t="e">
        <f t="shared" si="16"/>
        <v>#VALUE!</v>
      </c>
      <c r="AJK7" t="e">
        <f t="shared" si="16"/>
        <v>#VALUE!</v>
      </c>
      <c r="AJL7" t="e">
        <f t="shared" si="16"/>
        <v>#VALUE!</v>
      </c>
      <c r="AJM7" t="e">
        <f t="shared" si="16"/>
        <v>#VALUE!</v>
      </c>
      <c r="AJN7" t="e">
        <f t="shared" si="16"/>
        <v>#VALUE!</v>
      </c>
      <c r="AJO7" t="e">
        <f t="shared" si="16"/>
        <v>#VALUE!</v>
      </c>
      <c r="AJP7" t="e">
        <f t="shared" si="16"/>
        <v>#VALUE!</v>
      </c>
      <c r="AJQ7" t="e">
        <f t="shared" si="16"/>
        <v>#VALUE!</v>
      </c>
      <c r="AJR7" t="e">
        <f t="shared" si="16"/>
        <v>#VALUE!</v>
      </c>
      <c r="AJS7" t="e">
        <f t="shared" si="16"/>
        <v>#VALUE!</v>
      </c>
      <c r="AJT7" t="e">
        <f t="shared" si="16"/>
        <v>#VALUE!</v>
      </c>
      <c r="AJU7" t="e">
        <f t="shared" si="16"/>
        <v>#VALUE!</v>
      </c>
      <c r="AJV7" t="e">
        <f t="shared" si="16"/>
        <v>#VALUE!</v>
      </c>
      <c r="AJW7" t="e">
        <f t="shared" si="16"/>
        <v>#VALUE!</v>
      </c>
      <c r="AJX7" t="e">
        <f t="shared" si="16"/>
        <v>#VALUE!</v>
      </c>
      <c r="AJY7" t="e">
        <f t="shared" si="16"/>
        <v>#VALUE!</v>
      </c>
      <c r="AJZ7" t="e">
        <f t="shared" si="16"/>
        <v>#VALUE!</v>
      </c>
      <c r="AKA7" t="e">
        <f t="shared" si="16"/>
        <v>#VALUE!</v>
      </c>
      <c r="AKB7" t="e">
        <f t="shared" si="16"/>
        <v>#VALUE!</v>
      </c>
      <c r="AKC7" t="e">
        <f t="shared" si="16"/>
        <v>#VALUE!</v>
      </c>
      <c r="AKD7" t="e">
        <f t="shared" si="16"/>
        <v>#VALUE!</v>
      </c>
      <c r="AKE7" t="e">
        <f t="shared" ref="AKE7:AMP9" si="17">+AKE4/$E4</f>
        <v>#VALUE!</v>
      </c>
      <c r="AKF7" t="e">
        <f t="shared" si="17"/>
        <v>#VALUE!</v>
      </c>
      <c r="AKG7" t="e">
        <f t="shared" si="17"/>
        <v>#VALUE!</v>
      </c>
      <c r="AKH7" t="e">
        <f t="shared" si="17"/>
        <v>#VALUE!</v>
      </c>
      <c r="AKI7" t="e">
        <f t="shared" si="17"/>
        <v>#VALUE!</v>
      </c>
      <c r="AKJ7" t="e">
        <f t="shared" si="17"/>
        <v>#VALUE!</v>
      </c>
      <c r="AKK7" t="e">
        <f t="shared" si="17"/>
        <v>#VALUE!</v>
      </c>
      <c r="AKL7" t="e">
        <f t="shared" si="17"/>
        <v>#VALUE!</v>
      </c>
      <c r="AKM7" t="e">
        <f t="shared" si="17"/>
        <v>#VALUE!</v>
      </c>
      <c r="AKN7" t="e">
        <f t="shared" si="17"/>
        <v>#VALUE!</v>
      </c>
      <c r="AKO7" t="e">
        <f t="shared" si="17"/>
        <v>#VALUE!</v>
      </c>
      <c r="AKP7" t="e">
        <f t="shared" si="17"/>
        <v>#VALUE!</v>
      </c>
      <c r="AKQ7" t="e">
        <f t="shared" si="17"/>
        <v>#VALUE!</v>
      </c>
      <c r="AKR7" t="e">
        <f t="shared" si="17"/>
        <v>#VALUE!</v>
      </c>
      <c r="AKS7" t="e">
        <f t="shared" si="17"/>
        <v>#VALUE!</v>
      </c>
      <c r="AKT7" t="e">
        <f t="shared" si="17"/>
        <v>#VALUE!</v>
      </c>
      <c r="AKU7" t="e">
        <f t="shared" si="17"/>
        <v>#VALUE!</v>
      </c>
      <c r="AKV7" t="e">
        <f t="shared" si="17"/>
        <v>#VALUE!</v>
      </c>
      <c r="AKW7" t="e">
        <f t="shared" si="17"/>
        <v>#VALUE!</v>
      </c>
      <c r="AKX7" t="e">
        <f t="shared" si="17"/>
        <v>#VALUE!</v>
      </c>
      <c r="AKY7" t="e">
        <f t="shared" si="17"/>
        <v>#VALUE!</v>
      </c>
      <c r="AKZ7" t="e">
        <f t="shared" si="17"/>
        <v>#VALUE!</v>
      </c>
      <c r="ALA7" t="e">
        <f t="shared" si="17"/>
        <v>#VALUE!</v>
      </c>
      <c r="ALB7" t="e">
        <f t="shared" si="17"/>
        <v>#VALUE!</v>
      </c>
      <c r="ALC7" t="e">
        <f t="shared" si="17"/>
        <v>#VALUE!</v>
      </c>
      <c r="ALD7" t="e">
        <f t="shared" si="17"/>
        <v>#VALUE!</v>
      </c>
      <c r="ALE7" t="e">
        <f t="shared" si="17"/>
        <v>#VALUE!</v>
      </c>
      <c r="ALF7" t="e">
        <f t="shared" si="17"/>
        <v>#VALUE!</v>
      </c>
      <c r="ALG7" t="e">
        <f t="shared" si="17"/>
        <v>#VALUE!</v>
      </c>
      <c r="ALH7" t="e">
        <f t="shared" si="17"/>
        <v>#VALUE!</v>
      </c>
      <c r="ALI7" t="e">
        <f t="shared" si="17"/>
        <v>#VALUE!</v>
      </c>
      <c r="ALJ7" t="e">
        <f t="shared" si="17"/>
        <v>#VALUE!</v>
      </c>
      <c r="ALK7" t="e">
        <f t="shared" si="17"/>
        <v>#VALUE!</v>
      </c>
      <c r="ALL7" t="e">
        <f t="shared" si="17"/>
        <v>#VALUE!</v>
      </c>
      <c r="ALM7" t="e">
        <f t="shared" si="17"/>
        <v>#VALUE!</v>
      </c>
      <c r="ALN7" t="e">
        <f t="shared" si="17"/>
        <v>#VALUE!</v>
      </c>
      <c r="ALO7" t="e">
        <f t="shared" si="17"/>
        <v>#VALUE!</v>
      </c>
      <c r="ALP7" t="e">
        <f t="shared" si="17"/>
        <v>#VALUE!</v>
      </c>
      <c r="ALQ7" t="e">
        <f t="shared" si="17"/>
        <v>#VALUE!</v>
      </c>
      <c r="ALR7" t="e">
        <f t="shared" si="17"/>
        <v>#VALUE!</v>
      </c>
      <c r="ALS7" t="e">
        <f t="shared" si="17"/>
        <v>#VALUE!</v>
      </c>
      <c r="ALT7" t="e">
        <f t="shared" si="17"/>
        <v>#VALUE!</v>
      </c>
      <c r="ALU7" t="e">
        <f t="shared" si="17"/>
        <v>#VALUE!</v>
      </c>
      <c r="ALV7" t="e">
        <f t="shared" si="17"/>
        <v>#VALUE!</v>
      </c>
      <c r="ALW7" t="e">
        <f t="shared" si="17"/>
        <v>#VALUE!</v>
      </c>
      <c r="ALX7" t="e">
        <f t="shared" si="17"/>
        <v>#VALUE!</v>
      </c>
      <c r="ALY7" t="e">
        <f t="shared" si="17"/>
        <v>#VALUE!</v>
      </c>
      <c r="ALZ7" t="e">
        <f t="shared" si="17"/>
        <v>#VALUE!</v>
      </c>
      <c r="AMA7" t="e">
        <f t="shared" si="17"/>
        <v>#VALUE!</v>
      </c>
      <c r="AMB7" t="e">
        <f t="shared" si="17"/>
        <v>#VALUE!</v>
      </c>
      <c r="AMC7" t="e">
        <f t="shared" si="17"/>
        <v>#VALUE!</v>
      </c>
      <c r="AMD7" t="e">
        <f t="shared" si="17"/>
        <v>#VALUE!</v>
      </c>
      <c r="AME7" t="e">
        <f t="shared" si="17"/>
        <v>#VALUE!</v>
      </c>
      <c r="AMF7" t="e">
        <f t="shared" si="17"/>
        <v>#VALUE!</v>
      </c>
      <c r="AMG7" t="e">
        <f t="shared" si="17"/>
        <v>#VALUE!</v>
      </c>
      <c r="AMH7" t="e">
        <f t="shared" si="17"/>
        <v>#VALUE!</v>
      </c>
      <c r="AMI7" t="e">
        <f t="shared" si="17"/>
        <v>#VALUE!</v>
      </c>
      <c r="AMJ7" t="e">
        <f t="shared" si="17"/>
        <v>#VALUE!</v>
      </c>
      <c r="AMK7" t="e">
        <f t="shared" si="17"/>
        <v>#VALUE!</v>
      </c>
      <c r="AML7" t="e">
        <f t="shared" si="17"/>
        <v>#VALUE!</v>
      </c>
      <c r="AMM7" t="e">
        <f t="shared" si="17"/>
        <v>#VALUE!</v>
      </c>
      <c r="AMN7" t="e">
        <f t="shared" si="17"/>
        <v>#VALUE!</v>
      </c>
      <c r="AMO7" t="e">
        <f t="shared" si="17"/>
        <v>#VALUE!</v>
      </c>
      <c r="AMP7" t="e">
        <f t="shared" si="17"/>
        <v>#VALUE!</v>
      </c>
      <c r="AMQ7" t="e">
        <f t="shared" ref="AMQ7:APB9" si="18">+AMQ4/$E4</f>
        <v>#VALUE!</v>
      </c>
      <c r="AMR7" t="e">
        <f t="shared" si="18"/>
        <v>#VALUE!</v>
      </c>
      <c r="AMS7" t="e">
        <f t="shared" si="18"/>
        <v>#VALUE!</v>
      </c>
      <c r="AMT7" t="e">
        <f t="shared" si="18"/>
        <v>#VALUE!</v>
      </c>
      <c r="AMU7" t="e">
        <f t="shared" si="18"/>
        <v>#VALUE!</v>
      </c>
      <c r="AMV7" t="e">
        <f t="shared" si="18"/>
        <v>#VALUE!</v>
      </c>
      <c r="AMW7" t="e">
        <f t="shared" si="18"/>
        <v>#VALUE!</v>
      </c>
      <c r="AMX7" t="e">
        <f t="shared" si="18"/>
        <v>#VALUE!</v>
      </c>
      <c r="AMY7" t="e">
        <f t="shared" si="18"/>
        <v>#VALUE!</v>
      </c>
      <c r="AMZ7" t="e">
        <f t="shared" si="18"/>
        <v>#VALUE!</v>
      </c>
      <c r="ANA7" t="e">
        <f t="shared" si="18"/>
        <v>#VALUE!</v>
      </c>
      <c r="ANB7" t="e">
        <f t="shared" si="18"/>
        <v>#VALUE!</v>
      </c>
      <c r="ANC7" t="e">
        <f t="shared" si="18"/>
        <v>#VALUE!</v>
      </c>
      <c r="AND7" t="e">
        <f t="shared" si="18"/>
        <v>#VALUE!</v>
      </c>
      <c r="ANE7" t="e">
        <f t="shared" si="18"/>
        <v>#VALUE!</v>
      </c>
      <c r="ANF7" t="e">
        <f t="shared" si="18"/>
        <v>#VALUE!</v>
      </c>
      <c r="ANG7" t="e">
        <f t="shared" si="18"/>
        <v>#VALUE!</v>
      </c>
      <c r="ANH7" t="e">
        <f t="shared" si="18"/>
        <v>#VALUE!</v>
      </c>
      <c r="ANI7" t="e">
        <f t="shared" si="18"/>
        <v>#VALUE!</v>
      </c>
      <c r="ANJ7" t="e">
        <f t="shared" si="18"/>
        <v>#VALUE!</v>
      </c>
      <c r="ANK7" t="e">
        <f t="shared" si="18"/>
        <v>#VALUE!</v>
      </c>
      <c r="ANL7" t="e">
        <f t="shared" si="18"/>
        <v>#VALUE!</v>
      </c>
      <c r="ANM7" t="e">
        <f t="shared" si="18"/>
        <v>#VALUE!</v>
      </c>
      <c r="ANN7" t="e">
        <f t="shared" si="18"/>
        <v>#VALUE!</v>
      </c>
      <c r="ANO7" t="e">
        <f t="shared" si="18"/>
        <v>#VALUE!</v>
      </c>
      <c r="ANP7" t="e">
        <f t="shared" si="18"/>
        <v>#VALUE!</v>
      </c>
      <c r="ANQ7" t="e">
        <f t="shared" si="18"/>
        <v>#VALUE!</v>
      </c>
      <c r="ANR7" t="e">
        <f t="shared" si="18"/>
        <v>#VALUE!</v>
      </c>
      <c r="ANS7" t="e">
        <f t="shared" si="18"/>
        <v>#VALUE!</v>
      </c>
      <c r="ANT7" t="e">
        <f t="shared" si="18"/>
        <v>#VALUE!</v>
      </c>
      <c r="ANU7" t="e">
        <f t="shared" si="18"/>
        <v>#VALUE!</v>
      </c>
      <c r="ANV7" t="e">
        <f t="shared" si="18"/>
        <v>#VALUE!</v>
      </c>
      <c r="ANW7" t="e">
        <f t="shared" si="18"/>
        <v>#VALUE!</v>
      </c>
      <c r="ANX7" t="e">
        <f t="shared" si="18"/>
        <v>#VALUE!</v>
      </c>
      <c r="ANY7" t="e">
        <f t="shared" si="18"/>
        <v>#VALUE!</v>
      </c>
      <c r="ANZ7" t="e">
        <f t="shared" si="18"/>
        <v>#VALUE!</v>
      </c>
      <c r="AOA7" t="e">
        <f t="shared" si="18"/>
        <v>#VALUE!</v>
      </c>
      <c r="AOB7" t="e">
        <f t="shared" si="18"/>
        <v>#VALUE!</v>
      </c>
      <c r="AOC7" t="e">
        <f t="shared" si="18"/>
        <v>#VALUE!</v>
      </c>
      <c r="AOD7" t="e">
        <f t="shared" si="18"/>
        <v>#VALUE!</v>
      </c>
      <c r="AOE7" t="e">
        <f t="shared" si="18"/>
        <v>#VALUE!</v>
      </c>
      <c r="AOF7" t="e">
        <f t="shared" si="18"/>
        <v>#VALUE!</v>
      </c>
      <c r="AOG7" t="e">
        <f t="shared" si="18"/>
        <v>#VALUE!</v>
      </c>
      <c r="AOH7" t="e">
        <f t="shared" si="18"/>
        <v>#VALUE!</v>
      </c>
      <c r="AOI7" t="e">
        <f t="shared" si="18"/>
        <v>#VALUE!</v>
      </c>
      <c r="AOJ7" t="e">
        <f t="shared" si="18"/>
        <v>#VALUE!</v>
      </c>
      <c r="AOK7" t="e">
        <f t="shared" si="18"/>
        <v>#VALUE!</v>
      </c>
      <c r="AOL7" t="e">
        <f t="shared" si="18"/>
        <v>#VALUE!</v>
      </c>
      <c r="AOM7" t="e">
        <f t="shared" si="18"/>
        <v>#VALUE!</v>
      </c>
      <c r="AON7" t="e">
        <f t="shared" si="18"/>
        <v>#VALUE!</v>
      </c>
      <c r="AOO7" t="e">
        <f t="shared" si="18"/>
        <v>#VALUE!</v>
      </c>
      <c r="AOP7" t="e">
        <f t="shared" si="18"/>
        <v>#VALUE!</v>
      </c>
      <c r="AOQ7" t="e">
        <f t="shared" si="18"/>
        <v>#VALUE!</v>
      </c>
      <c r="AOR7" t="e">
        <f t="shared" si="18"/>
        <v>#VALUE!</v>
      </c>
      <c r="AOS7" t="e">
        <f t="shared" si="18"/>
        <v>#VALUE!</v>
      </c>
      <c r="AOT7" t="e">
        <f t="shared" si="18"/>
        <v>#VALUE!</v>
      </c>
      <c r="AOU7" t="e">
        <f t="shared" si="18"/>
        <v>#VALUE!</v>
      </c>
      <c r="AOV7" t="e">
        <f t="shared" si="18"/>
        <v>#VALUE!</v>
      </c>
      <c r="AOW7" t="e">
        <f t="shared" si="18"/>
        <v>#VALUE!</v>
      </c>
      <c r="AOX7" t="e">
        <f t="shared" si="18"/>
        <v>#VALUE!</v>
      </c>
      <c r="AOY7" t="e">
        <f t="shared" si="18"/>
        <v>#VALUE!</v>
      </c>
      <c r="AOZ7" t="e">
        <f t="shared" si="18"/>
        <v>#VALUE!</v>
      </c>
      <c r="APA7" t="e">
        <f t="shared" si="18"/>
        <v>#VALUE!</v>
      </c>
      <c r="APB7" t="e">
        <f t="shared" si="18"/>
        <v>#VALUE!</v>
      </c>
      <c r="APC7" t="e">
        <f t="shared" ref="APC7:ARN9" si="19">+APC4/$E4</f>
        <v>#VALUE!</v>
      </c>
      <c r="APD7" t="e">
        <f t="shared" si="19"/>
        <v>#VALUE!</v>
      </c>
      <c r="APE7" t="e">
        <f t="shared" si="19"/>
        <v>#VALUE!</v>
      </c>
      <c r="APF7" t="e">
        <f t="shared" si="19"/>
        <v>#VALUE!</v>
      </c>
      <c r="APG7" t="e">
        <f t="shared" si="19"/>
        <v>#VALUE!</v>
      </c>
      <c r="APH7" t="e">
        <f t="shared" si="19"/>
        <v>#VALUE!</v>
      </c>
      <c r="API7" t="e">
        <f t="shared" si="19"/>
        <v>#VALUE!</v>
      </c>
      <c r="APJ7" t="e">
        <f t="shared" si="19"/>
        <v>#VALUE!</v>
      </c>
      <c r="APK7" t="e">
        <f t="shared" si="19"/>
        <v>#VALUE!</v>
      </c>
      <c r="APL7" t="e">
        <f t="shared" si="19"/>
        <v>#VALUE!</v>
      </c>
      <c r="APM7" t="e">
        <f t="shared" si="19"/>
        <v>#VALUE!</v>
      </c>
      <c r="APN7" t="e">
        <f t="shared" si="19"/>
        <v>#VALUE!</v>
      </c>
      <c r="APO7" t="e">
        <f t="shared" si="19"/>
        <v>#VALUE!</v>
      </c>
      <c r="APP7" t="e">
        <f t="shared" si="19"/>
        <v>#VALUE!</v>
      </c>
      <c r="APQ7" t="e">
        <f t="shared" si="19"/>
        <v>#VALUE!</v>
      </c>
      <c r="APR7" t="e">
        <f t="shared" si="19"/>
        <v>#VALUE!</v>
      </c>
      <c r="APS7" t="e">
        <f t="shared" si="19"/>
        <v>#VALUE!</v>
      </c>
      <c r="APT7" t="e">
        <f t="shared" si="19"/>
        <v>#VALUE!</v>
      </c>
      <c r="APU7" t="e">
        <f t="shared" si="19"/>
        <v>#VALUE!</v>
      </c>
      <c r="APV7" t="e">
        <f t="shared" si="19"/>
        <v>#VALUE!</v>
      </c>
      <c r="APW7" t="e">
        <f t="shared" si="19"/>
        <v>#VALUE!</v>
      </c>
      <c r="APX7" t="e">
        <f t="shared" si="19"/>
        <v>#VALUE!</v>
      </c>
      <c r="APY7" t="e">
        <f t="shared" si="19"/>
        <v>#VALUE!</v>
      </c>
      <c r="APZ7" t="e">
        <f t="shared" si="19"/>
        <v>#VALUE!</v>
      </c>
      <c r="AQA7" t="e">
        <f t="shared" si="19"/>
        <v>#VALUE!</v>
      </c>
      <c r="AQB7" t="e">
        <f t="shared" si="19"/>
        <v>#VALUE!</v>
      </c>
      <c r="AQC7" t="e">
        <f t="shared" si="19"/>
        <v>#VALUE!</v>
      </c>
      <c r="AQD7" t="e">
        <f t="shared" si="19"/>
        <v>#VALUE!</v>
      </c>
      <c r="AQE7" t="e">
        <f t="shared" si="19"/>
        <v>#VALUE!</v>
      </c>
      <c r="AQF7" t="e">
        <f t="shared" si="19"/>
        <v>#VALUE!</v>
      </c>
      <c r="AQG7" t="e">
        <f t="shared" si="19"/>
        <v>#VALUE!</v>
      </c>
      <c r="AQH7" t="e">
        <f t="shared" si="19"/>
        <v>#VALUE!</v>
      </c>
      <c r="AQI7" t="e">
        <f t="shared" si="19"/>
        <v>#VALUE!</v>
      </c>
      <c r="AQJ7" t="e">
        <f t="shared" si="19"/>
        <v>#VALUE!</v>
      </c>
      <c r="AQK7" t="e">
        <f t="shared" si="19"/>
        <v>#VALUE!</v>
      </c>
      <c r="AQL7" t="e">
        <f t="shared" si="19"/>
        <v>#VALUE!</v>
      </c>
      <c r="AQM7" t="e">
        <f t="shared" si="19"/>
        <v>#VALUE!</v>
      </c>
      <c r="AQN7" t="e">
        <f t="shared" si="19"/>
        <v>#VALUE!</v>
      </c>
      <c r="AQO7" t="e">
        <f t="shared" si="19"/>
        <v>#VALUE!</v>
      </c>
      <c r="AQP7" t="e">
        <f t="shared" si="19"/>
        <v>#VALUE!</v>
      </c>
      <c r="AQQ7" t="e">
        <f t="shared" si="19"/>
        <v>#VALUE!</v>
      </c>
      <c r="AQR7" t="e">
        <f t="shared" si="19"/>
        <v>#VALUE!</v>
      </c>
      <c r="AQS7" t="e">
        <f t="shared" si="19"/>
        <v>#VALUE!</v>
      </c>
      <c r="AQT7" t="e">
        <f t="shared" si="19"/>
        <v>#VALUE!</v>
      </c>
      <c r="AQU7" t="e">
        <f t="shared" si="19"/>
        <v>#VALUE!</v>
      </c>
      <c r="AQV7" t="e">
        <f t="shared" si="19"/>
        <v>#VALUE!</v>
      </c>
      <c r="AQW7" t="e">
        <f t="shared" si="19"/>
        <v>#VALUE!</v>
      </c>
      <c r="AQX7" t="e">
        <f t="shared" si="19"/>
        <v>#VALUE!</v>
      </c>
      <c r="AQY7" t="e">
        <f t="shared" si="19"/>
        <v>#VALUE!</v>
      </c>
      <c r="AQZ7" t="e">
        <f t="shared" si="19"/>
        <v>#VALUE!</v>
      </c>
      <c r="ARA7" t="e">
        <f t="shared" si="19"/>
        <v>#VALUE!</v>
      </c>
      <c r="ARB7" t="e">
        <f t="shared" si="19"/>
        <v>#VALUE!</v>
      </c>
      <c r="ARC7" t="e">
        <f t="shared" si="19"/>
        <v>#VALUE!</v>
      </c>
      <c r="ARD7" t="e">
        <f t="shared" si="19"/>
        <v>#VALUE!</v>
      </c>
      <c r="ARE7" t="e">
        <f t="shared" si="19"/>
        <v>#VALUE!</v>
      </c>
      <c r="ARF7" t="e">
        <f t="shared" si="19"/>
        <v>#VALUE!</v>
      </c>
      <c r="ARG7" t="e">
        <f t="shared" si="19"/>
        <v>#VALUE!</v>
      </c>
      <c r="ARH7" t="e">
        <f t="shared" si="19"/>
        <v>#VALUE!</v>
      </c>
      <c r="ARI7" t="e">
        <f t="shared" si="19"/>
        <v>#VALUE!</v>
      </c>
      <c r="ARJ7" t="e">
        <f t="shared" si="19"/>
        <v>#VALUE!</v>
      </c>
      <c r="ARK7" t="e">
        <f t="shared" si="19"/>
        <v>#VALUE!</v>
      </c>
      <c r="ARL7" t="e">
        <f t="shared" si="19"/>
        <v>#VALUE!</v>
      </c>
      <c r="ARM7" t="e">
        <f t="shared" si="19"/>
        <v>#VALUE!</v>
      </c>
      <c r="ARN7" t="e">
        <f t="shared" si="19"/>
        <v>#VALUE!</v>
      </c>
      <c r="ARO7" t="e">
        <f t="shared" ref="ARO7:ATQ9" si="20">+ARO4/$E4</f>
        <v>#VALUE!</v>
      </c>
      <c r="ARP7" t="e">
        <f t="shared" si="20"/>
        <v>#VALUE!</v>
      </c>
      <c r="ARQ7" t="e">
        <f t="shared" si="20"/>
        <v>#VALUE!</v>
      </c>
      <c r="ARR7" t="e">
        <f t="shared" si="20"/>
        <v>#VALUE!</v>
      </c>
      <c r="ARS7" t="e">
        <f t="shared" si="20"/>
        <v>#VALUE!</v>
      </c>
      <c r="ART7" t="e">
        <f t="shared" si="20"/>
        <v>#VALUE!</v>
      </c>
      <c r="ARU7" t="e">
        <f t="shared" si="20"/>
        <v>#VALUE!</v>
      </c>
      <c r="ARV7" t="e">
        <f t="shared" si="20"/>
        <v>#VALUE!</v>
      </c>
      <c r="ARW7" t="e">
        <f t="shared" si="20"/>
        <v>#VALUE!</v>
      </c>
      <c r="ARX7" t="e">
        <f t="shared" si="20"/>
        <v>#VALUE!</v>
      </c>
      <c r="ARY7" t="e">
        <f t="shared" si="20"/>
        <v>#VALUE!</v>
      </c>
      <c r="ARZ7" t="e">
        <f t="shared" si="20"/>
        <v>#VALUE!</v>
      </c>
      <c r="ASA7" t="e">
        <f t="shared" si="20"/>
        <v>#VALUE!</v>
      </c>
      <c r="ASB7" t="e">
        <f t="shared" si="20"/>
        <v>#VALUE!</v>
      </c>
      <c r="ASC7" t="e">
        <f t="shared" si="20"/>
        <v>#VALUE!</v>
      </c>
      <c r="ASD7" t="e">
        <f t="shared" si="20"/>
        <v>#VALUE!</v>
      </c>
      <c r="ASE7" t="e">
        <f t="shared" si="20"/>
        <v>#VALUE!</v>
      </c>
      <c r="ASF7" t="e">
        <f t="shared" si="20"/>
        <v>#VALUE!</v>
      </c>
      <c r="ASG7" t="e">
        <f t="shared" si="20"/>
        <v>#VALUE!</v>
      </c>
      <c r="ASH7" t="e">
        <f t="shared" si="20"/>
        <v>#VALUE!</v>
      </c>
      <c r="ASI7" t="e">
        <f t="shared" si="20"/>
        <v>#VALUE!</v>
      </c>
      <c r="ASJ7" t="e">
        <f t="shared" si="20"/>
        <v>#VALUE!</v>
      </c>
      <c r="ASK7" t="e">
        <f t="shared" si="20"/>
        <v>#VALUE!</v>
      </c>
      <c r="ASL7" t="e">
        <f t="shared" si="20"/>
        <v>#VALUE!</v>
      </c>
      <c r="ASM7" t="e">
        <f t="shared" si="20"/>
        <v>#VALUE!</v>
      </c>
      <c r="ASN7" t="e">
        <f t="shared" si="20"/>
        <v>#VALUE!</v>
      </c>
      <c r="ASO7" t="e">
        <f t="shared" si="20"/>
        <v>#VALUE!</v>
      </c>
      <c r="ASP7" t="e">
        <f t="shared" si="20"/>
        <v>#VALUE!</v>
      </c>
      <c r="ASQ7" t="e">
        <f t="shared" si="20"/>
        <v>#VALUE!</v>
      </c>
      <c r="ASR7" t="e">
        <f t="shared" si="20"/>
        <v>#VALUE!</v>
      </c>
      <c r="ASS7" t="e">
        <f t="shared" si="20"/>
        <v>#VALUE!</v>
      </c>
      <c r="AST7" t="e">
        <f t="shared" si="20"/>
        <v>#VALUE!</v>
      </c>
      <c r="ASU7" t="e">
        <f t="shared" si="20"/>
        <v>#VALUE!</v>
      </c>
      <c r="ASV7" t="e">
        <f t="shared" si="20"/>
        <v>#VALUE!</v>
      </c>
      <c r="ASW7" t="e">
        <f t="shared" si="20"/>
        <v>#VALUE!</v>
      </c>
      <c r="ASX7" t="e">
        <f t="shared" si="20"/>
        <v>#VALUE!</v>
      </c>
      <c r="ASY7" t="e">
        <f t="shared" si="20"/>
        <v>#VALUE!</v>
      </c>
      <c r="ASZ7" t="e">
        <f t="shared" si="20"/>
        <v>#VALUE!</v>
      </c>
      <c r="ATA7" t="e">
        <f t="shared" si="20"/>
        <v>#VALUE!</v>
      </c>
      <c r="ATB7" t="e">
        <f t="shared" si="20"/>
        <v>#VALUE!</v>
      </c>
      <c r="ATC7" t="e">
        <f t="shared" si="20"/>
        <v>#VALUE!</v>
      </c>
      <c r="ATD7" t="e">
        <f t="shared" si="20"/>
        <v>#VALUE!</v>
      </c>
      <c r="ATE7" t="e">
        <f t="shared" si="20"/>
        <v>#VALUE!</v>
      </c>
      <c r="ATF7" t="e">
        <f t="shared" si="20"/>
        <v>#VALUE!</v>
      </c>
      <c r="ATG7" t="e">
        <f t="shared" si="20"/>
        <v>#VALUE!</v>
      </c>
      <c r="ATH7" t="e">
        <f t="shared" si="20"/>
        <v>#VALUE!</v>
      </c>
      <c r="ATI7" t="e">
        <f t="shared" si="20"/>
        <v>#VALUE!</v>
      </c>
      <c r="ATJ7" t="e">
        <f t="shared" si="20"/>
        <v>#VALUE!</v>
      </c>
      <c r="ATK7" t="e">
        <f t="shared" si="20"/>
        <v>#VALUE!</v>
      </c>
      <c r="ATL7" t="e">
        <f t="shared" si="20"/>
        <v>#VALUE!</v>
      </c>
      <c r="ATM7" t="e">
        <f t="shared" si="20"/>
        <v>#VALUE!</v>
      </c>
      <c r="ATN7" t="e">
        <f t="shared" si="20"/>
        <v>#VALUE!</v>
      </c>
      <c r="ATO7" t="e">
        <f t="shared" si="20"/>
        <v>#VALUE!</v>
      </c>
      <c r="ATP7" t="e">
        <f t="shared" si="20"/>
        <v>#VALUE!</v>
      </c>
      <c r="ATQ7" t="e">
        <f t="shared" si="20"/>
        <v>#VALUE!</v>
      </c>
    </row>
    <row r="8" spans="1:1213" x14ac:dyDescent="0.25">
      <c r="A8" s="8" t="s">
        <v>3</v>
      </c>
      <c r="B8" s="38" t="s">
        <v>11</v>
      </c>
      <c r="C8" s="1">
        <f t="shared" si="1"/>
        <v>46241</v>
      </c>
      <c r="D8" s="8" t="str">
        <f t="shared" si="0"/>
        <v>IN-FONDO2_%Fondo_07/08/2026</v>
      </c>
      <c r="E8">
        <f>+E2/$E5</f>
        <v>1</v>
      </c>
      <c r="F8">
        <f>+F5/$E5</f>
        <v>5.70785440459666E-3</v>
      </c>
      <c r="G8">
        <f t="shared" si="2"/>
        <v>8.7670695066362024E-8</v>
      </c>
      <c r="H8">
        <f t="shared" si="2"/>
        <v>0</v>
      </c>
      <c r="I8">
        <f t="shared" si="2"/>
        <v>0</v>
      </c>
      <c r="J8">
        <f t="shared" si="2"/>
        <v>0</v>
      </c>
      <c r="K8">
        <f t="shared" si="2"/>
        <v>0</v>
      </c>
      <c r="L8">
        <f t="shared" si="2"/>
        <v>1.63718031612001E-3</v>
      </c>
      <c r="M8">
        <f t="shared" si="2"/>
        <v>1.0978675410039263E-5</v>
      </c>
      <c r="N8">
        <f t="shared" si="2"/>
        <v>2.1754221290239999E-6</v>
      </c>
      <c r="O8">
        <f t="shared" si="2"/>
        <v>7.6186374538557259E-10</v>
      </c>
      <c r="P8">
        <f t="shared" si="2"/>
        <v>1.6972156577606082E-8</v>
      </c>
      <c r="Q8">
        <f t="shared" si="2"/>
        <v>0</v>
      </c>
      <c r="R8">
        <f t="shared" si="2"/>
        <v>2.52658124501813E-9</v>
      </c>
      <c r="S8">
        <f t="shared" si="2"/>
        <v>0</v>
      </c>
      <c r="T8">
        <f t="shared" si="2"/>
        <v>2.2299725006876281E-9</v>
      </c>
      <c r="U8">
        <f t="shared" si="2"/>
        <v>3.8039297482984833E-9</v>
      </c>
      <c r="V8">
        <f t="shared" si="2"/>
        <v>1.4865382096404597E-10</v>
      </c>
      <c r="W8">
        <f t="shared" si="2"/>
        <v>7.002077197512683E-9</v>
      </c>
      <c r="X8">
        <f t="shared" si="2"/>
        <v>0.14974840804652317</v>
      </c>
      <c r="Y8">
        <f t="shared" si="2"/>
        <v>0.16148809235914632</v>
      </c>
      <c r="Z8">
        <f t="shared" si="2"/>
        <v>4.0573988750076846E-3</v>
      </c>
      <c r="AA8" t="e">
        <f t="shared" si="2"/>
        <v>#VALUE!</v>
      </c>
      <c r="AB8" t="e">
        <f t="shared" si="2"/>
        <v>#VALUE!</v>
      </c>
      <c r="AC8" t="e">
        <f t="shared" si="2"/>
        <v>#VALUE!</v>
      </c>
      <c r="AD8" t="e">
        <f t="shared" si="2"/>
        <v>#VALUE!</v>
      </c>
      <c r="AE8" t="e">
        <f t="shared" si="2"/>
        <v>#VALUE!</v>
      </c>
      <c r="AF8" t="e">
        <f t="shared" si="2"/>
        <v>#VALUE!</v>
      </c>
      <c r="AG8" t="e">
        <f t="shared" si="2"/>
        <v>#VALUE!</v>
      </c>
      <c r="AH8" t="e">
        <f t="shared" si="2"/>
        <v>#VALUE!</v>
      </c>
      <c r="AI8" t="e">
        <f t="shared" si="2"/>
        <v>#VALUE!</v>
      </c>
      <c r="AJ8" t="e">
        <f t="shared" si="2"/>
        <v>#VALUE!</v>
      </c>
      <c r="AK8" t="e">
        <f t="shared" si="2"/>
        <v>#VALUE!</v>
      </c>
      <c r="AL8" t="e">
        <f t="shared" si="2"/>
        <v>#VALUE!</v>
      </c>
      <c r="AM8" t="e">
        <f t="shared" si="2"/>
        <v>#VALUE!</v>
      </c>
      <c r="AN8" t="e">
        <f t="shared" si="2"/>
        <v>#VALUE!</v>
      </c>
      <c r="AO8" t="e">
        <f t="shared" si="2"/>
        <v>#VALUE!</v>
      </c>
      <c r="AP8" t="e">
        <f t="shared" si="2"/>
        <v>#VALUE!</v>
      </c>
      <c r="AQ8" t="e">
        <f t="shared" si="2"/>
        <v>#VALUE!</v>
      </c>
      <c r="AR8" t="e">
        <f t="shared" si="2"/>
        <v>#VALUE!</v>
      </c>
      <c r="AS8" t="e">
        <f t="shared" si="2"/>
        <v>#VALUE!</v>
      </c>
      <c r="AT8" t="e">
        <f t="shared" si="2"/>
        <v>#VALUE!</v>
      </c>
      <c r="AU8" t="e">
        <f t="shared" si="2"/>
        <v>#VALUE!</v>
      </c>
      <c r="AV8" t="e">
        <f t="shared" si="2"/>
        <v>#VALUE!</v>
      </c>
      <c r="AW8" t="e">
        <f t="shared" si="2"/>
        <v>#VALUE!</v>
      </c>
      <c r="AX8" t="e">
        <f t="shared" si="2"/>
        <v>#VALUE!</v>
      </c>
      <c r="AY8" t="e">
        <f t="shared" si="2"/>
        <v>#VALUE!</v>
      </c>
      <c r="AZ8" t="e">
        <f t="shared" si="2"/>
        <v>#VALUE!</v>
      </c>
      <c r="BA8" t="e">
        <f t="shared" si="2"/>
        <v>#VALUE!</v>
      </c>
      <c r="BB8" t="e">
        <f t="shared" si="2"/>
        <v>#VALUE!</v>
      </c>
      <c r="BC8" t="e">
        <f t="shared" si="2"/>
        <v>#VALUE!</v>
      </c>
      <c r="BD8" t="e">
        <f t="shared" si="2"/>
        <v>#VALUE!</v>
      </c>
      <c r="BE8" t="e">
        <f t="shared" si="2"/>
        <v>#VALUE!</v>
      </c>
      <c r="BF8" t="e">
        <f t="shared" si="2"/>
        <v>#VALUE!</v>
      </c>
      <c r="BG8" t="e">
        <f t="shared" si="2"/>
        <v>#VALUE!</v>
      </c>
      <c r="BH8" t="e">
        <f t="shared" si="2"/>
        <v>#VALUE!</v>
      </c>
      <c r="BI8" t="e">
        <f t="shared" si="2"/>
        <v>#VALUE!</v>
      </c>
      <c r="BJ8" t="e">
        <f t="shared" si="2"/>
        <v>#VALUE!</v>
      </c>
      <c r="BK8" t="e">
        <f t="shared" si="2"/>
        <v>#VALUE!</v>
      </c>
      <c r="BL8" t="e">
        <f t="shared" si="2"/>
        <v>#VALUE!</v>
      </c>
      <c r="BM8" t="e">
        <f t="shared" si="2"/>
        <v>#VALUE!</v>
      </c>
      <c r="BN8" t="e">
        <f t="shared" si="2"/>
        <v>#VALUE!</v>
      </c>
      <c r="BO8" t="e">
        <f t="shared" si="2"/>
        <v>#VALUE!</v>
      </c>
      <c r="BP8" t="e">
        <f t="shared" si="2"/>
        <v>#VALUE!</v>
      </c>
      <c r="BQ8" t="e">
        <f t="shared" si="2"/>
        <v>#VALUE!</v>
      </c>
      <c r="BR8" t="e">
        <f t="shared" si="2"/>
        <v>#VALUE!</v>
      </c>
      <c r="BS8" t="e">
        <f t="shared" si="3"/>
        <v>#VALUE!</v>
      </c>
      <c r="BT8" t="e">
        <f t="shared" si="3"/>
        <v>#VALUE!</v>
      </c>
      <c r="BU8" t="e">
        <f t="shared" si="3"/>
        <v>#VALUE!</v>
      </c>
      <c r="BV8" t="e">
        <f t="shared" si="3"/>
        <v>#VALUE!</v>
      </c>
      <c r="BW8" t="e">
        <f t="shared" si="3"/>
        <v>#VALUE!</v>
      </c>
      <c r="BX8" t="e">
        <f t="shared" si="3"/>
        <v>#VALUE!</v>
      </c>
      <c r="BY8" t="e">
        <f t="shared" si="3"/>
        <v>#VALUE!</v>
      </c>
      <c r="BZ8" t="e">
        <f t="shared" si="3"/>
        <v>#VALUE!</v>
      </c>
      <c r="CA8" t="e">
        <f t="shared" si="3"/>
        <v>#VALUE!</v>
      </c>
      <c r="CB8" t="e">
        <f t="shared" si="3"/>
        <v>#VALUE!</v>
      </c>
      <c r="CC8" t="e">
        <f t="shared" si="3"/>
        <v>#VALUE!</v>
      </c>
      <c r="CD8" t="e">
        <f t="shared" si="3"/>
        <v>#VALUE!</v>
      </c>
      <c r="CE8" t="e">
        <f t="shared" si="3"/>
        <v>#VALUE!</v>
      </c>
      <c r="CF8" t="e">
        <f t="shared" si="3"/>
        <v>#VALUE!</v>
      </c>
      <c r="CG8" t="e">
        <f t="shared" si="3"/>
        <v>#VALUE!</v>
      </c>
      <c r="CH8" t="e">
        <f t="shared" si="3"/>
        <v>#VALUE!</v>
      </c>
      <c r="CI8" t="e">
        <f t="shared" si="3"/>
        <v>#VALUE!</v>
      </c>
      <c r="CJ8" t="e">
        <f t="shared" si="3"/>
        <v>#VALUE!</v>
      </c>
      <c r="CK8" t="e">
        <f t="shared" si="3"/>
        <v>#VALUE!</v>
      </c>
      <c r="CL8" t="e">
        <f t="shared" si="3"/>
        <v>#VALUE!</v>
      </c>
      <c r="CM8" t="e">
        <f t="shared" si="3"/>
        <v>#VALUE!</v>
      </c>
      <c r="CN8" t="e">
        <f t="shared" si="3"/>
        <v>#VALUE!</v>
      </c>
      <c r="CO8" t="e">
        <f t="shared" si="3"/>
        <v>#VALUE!</v>
      </c>
      <c r="CP8" t="e">
        <f t="shared" si="3"/>
        <v>#VALUE!</v>
      </c>
      <c r="CQ8" t="e">
        <f t="shared" si="3"/>
        <v>#VALUE!</v>
      </c>
      <c r="CR8" t="e">
        <f t="shared" si="3"/>
        <v>#VALUE!</v>
      </c>
      <c r="CS8" t="e">
        <f t="shared" si="3"/>
        <v>#VALUE!</v>
      </c>
      <c r="CT8" t="e">
        <f t="shared" si="3"/>
        <v>#VALUE!</v>
      </c>
      <c r="CU8" t="e">
        <f t="shared" si="3"/>
        <v>#VALUE!</v>
      </c>
      <c r="CV8" t="e">
        <f t="shared" si="3"/>
        <v>#VALUE!</v>
      </c>
      <c r="CW8" t="e">
        <f t="shared" si="3"/>
        <v>#VALUE!</v>
      </c>
      <c r="CX8" t="e">
        <f t="shared" si="3"/>
        <v>#VALUE!</v>
      </c>
      <c r="CY8" t="e">
        <f t="shared" si="3"/>
        <v>#VALUE!</v>
      </c>
      <c r="CZ8" t="e">
        <f t="shared" si="3"/>
        <v>#VALUE!</v>
      </c>
      <c r="DA8" t="e">
        <f t="shared" si="3"/>
        <v>#VALUE!</v>
      </c>
      <c r="DB8" t="e">
        <f t="shared" si="3"/>
        <v>#VALUE!</v>
      </c>
      <c r="DC8" t="e">
        <f t="shared" si="3"/>
        <v>#VALUE!</v>
      </c>
      <c r="DD8" t="e">
        <f t="shared" si="3"/>
        <v>#VALUE!</v>
      </c>
      <c r="DE8" t="e">
        <f t="shared" si="3"/>
        <v>#VALUE!</v>
      </c>
      <c r="DF8" t="e">
        <f t="shared" si="3"/>
        <v>#VALUE!</v>
      </c>
      <c r="DG8" t="e">
        <f t="shared" si="3"/>
        <v>#VALUE!</v>
      </c>
      <c r="DH8" t="e">
        <f t="shared" si="3"/>
        <v>#VALUE!</v>
      </c>
      <c r="DI8" t="e">
        <f t="shared" si="3"/>
        <v>#VALUE!</v>
      </c>
      <c r="DJ8" t="e">
        <f t="shared" si="3"/>
        <v>#VALUE!</v>
      </c>
      <c r="DK8" t="e">
        <f t="shared" si="3"/>
        <v>#VALUE!</v>
      </c>
      <c r="DL8" t="e">
        <f t="shared" si="3"/>
        <v>#VALUE!</v>
      </c>
      <c r="DM8" t="e">
        <f t="shared" si="3"/>
        <v>#VALUE!</v>
      </c>
      <c r="DN8" t="e">
        <f t="shared" si="3"/>
        <v>#VALUE!</v>
      </c>
      <c r="DO8" t="e">
        <f t="shared" si="3"/>
        <v>#VALUE!</v>
      </c>
      <c r="DP8" t="e">
        <f t="shared" si="3"/>
        <v>#VALUE!</v>
      </c>
      <c r="DQ8" t="e">
        <f t="shared" si="3"/>
        <v>#VALUE!</v>
      </c>
      <c r="DR8" t="e">
        <f t="shared" si="3"/>
        <v>#VALUE!</v>
      </c>
      <c r="DS8" t="e">
        <f t="shared" si="3"/>
        <v>#VALUE!</v>
      </c>
      <c r="DT8" t="e">
        <f t="shared" si="3"/>
        <v>#VALUE!</v>
      </c>
      <c r="DU8" t="e">
        <f t="shared" si="3"/>
        <v>#VALUE!</v>
      </c>
      <c r="DV8" t="e">
        <f t="shared" si="3"/>
        <v>#VALUE!</v>
      </c>
      <c r="DW8" t="e">
        <f t="shared" si="3"/>
        <v>#VALUE!</v>
      </c>
      <c r="DX8" t="e">
        <f t="shared" si="3"/>
        <v>#VALUE!</v>
      </c>
      <c r="DY8" t="e">
        <f t="shared" si="3"/>
        <v>#VALUE!</v>
      </c>
      <c r="DZ8" t="e">
        <f t="shared" si="3"/>
        <v>#VALUE!</v>
      </c>
      <c r="EA8" t="e">
        <f t="shared" si="3"/>
        <v>#VALUE!</v>
      </c>
      <c r="EB8" t="e">
        <f t="shared" si="3"/>
        <v>#VALUE!</v>
      </c>
      <c r="EC8" t="e">
        <f t="shared" si="3"/>
        <v>#VALUE!</v>
      </c>
      <c r="ED8" t="e">
        <f t="shared" si="3"/>
        <v>#VALUE!</v>
      </c>
      <c r="EE8" t="e">
        <f t="shared" si="4"/>
        <v>#VALUE!</v>
      </c>
      <c r="EF8" t="e">
        <f t="shared" si="4"/>
        <v>#VALUE!</v>
      </c>
      <c r="EG8" t="e">
        <f t="shared" si="4"/>
        <v>#VALUE!</v>
      </c>
      <c r="EH8" t="e">
        <f t="shared" si="4"/>
        <v>#VALUE!</v>
      </c>
      <c r="EI8" t="e">
        <f t="shared" si="4"/>
        <v>#VALUE!</v>
      </c>
      <c r="EJ8" t="e">
        <f t="shared" si="4"/>
        <v>#VALUE!</v>
      </c>
      <c r="EK8" t="e">
        <f t="shared" si="4"/>
        <v>#VALUE!</v>
      </c>
      <c r="EL8" t="e">
        <f t="shared" si="4"/>
        <v>#VALUE!</v>
      </c>
      <c r="EM8" t="e">
        <f t="shared" si="4"/>
        <v>#VALUE!</v>
      </c>
      <c r="EN8" t="e">
        <f t="shared" si="4"/>
        <v>#VALUE!</v>
      </c>
      <c r="EO8" t="e">
        <f t="shared" si="4"/>
        <v>#VALUE!</v>
      </c>
      <c r="EP8" t="e">
        <f t="shared" si="4"/>
        <v>#VALUE!</v>
      </c>
      <c r="EQ8" t="e">
        <f t="shared" si="4"/>
        <v>#VALUE!</v>
      </c>
      <c r="ER8" t="e">
        <f t="shared" si="4"/>
        <v>#VALUE!</v>
      </c>
      <c r="ES8" t="e">
        <f t="shared" si="4"/>
        <v>#VALUE!</v>
      </c>
      <c r="ET8" t="e">
        <f t="shared" si="4"/>
        <v>#VALUE!</v>
      </c>
      <c r="EU8" t="e">
        <f t="shared" si="4"/>
        <v>#VALUE!</v>
      </c>
      <c r="EV8" t="e">
        <f t="shared" si="4"/>
        <v>#VALUE!</v>
      </c>
      <c r="EW8" t="e">
        <f t="shared" si="4"/>
        <v>#VALUE!</v>
      </c>
      <c r="EX8" t="e">
        <f t="shared" si="4"/>
        <v>#VALUE!</v>
      </c>
      <c r="EY8" t="e">
        <f t="shared" si="4"/>
        <v>#VALUE!</v>
      </c>
      <c r="EZ8" t="e">
        <f t="shared" si="4"/>
        <v>#VALUE!</v>
      </c>
      <c r="FA8" t="e">
        <f t="shared" si="4"/>
        <v>#VALUE!</v>
      </c>
      <c r="FB8" t="e">
        <f t="shared" si="4"/>
        <v>#VALUE!</v>
      </c>
      <c r="FC8" t="e">
        <f t="shared" si="4"/>
        <v>#VALUE!</v>
      </c>
      <c r="FD8" t="e">
        <f t="shared" si="4"/>
        <v>#VALUE!</v>
      </c>
      <c r="FE8" t="e">
        <f t="shared" si="4"/>
        <v>#VALUE!</v>
      </c>
      <c r="FF8" t="e">
        <f t="shared" si="4"/>
        <v>#VALUE!</v>
      </c>
      <c r="FG8" t="e">
        <f t="shared" si="4"/>
        <v>#VALUE!</v>
      </c>
      <c r="FH8" t="e">
        <f t="shared" si="4"/>
        <v>#VALUE!</v>
      </c>
      <c r="FI8" t="e">
        <f t="shared" si="4"/>
        <v>#VALUE!</v>
      </c>
      <c r="FJ8" t="e">
        <f t="shared" si="4"/>
        <v>#VALUE!</v>
      </c>
      <c r="FK8" t="e">
        <f t="shared" si="4"/>
        <v>#VALUE!</v>
      </c>
      <c r="FL8" t="e">
        <f t="shared" si="4"/>
        <v>#VALUE!</v>
      </c>
      <c r="FM8" t="e">
        <f t="shared" si="4"/>
        <v>#VALUE!</v>
      </c>
      <c r="FN8" t="e">
        <f t="shared" si="4"/>
        <v>#VALUE!</v>
      </c>
      <c r="FO8" t="e">
        <f t="shared" si="4"/>
        <v>#VALUE!</v>
      </c>
      <c r="FP8" t="e">
        <f t="shared" si="4"/>
        <v>#VALUE!</v>
      </c>
      <c r="FQ8" t="e">
        <f t="shared" si="4"/>
        <v>#VALUE!</v>
      </c>
      <c r="FR8" t="e">
        <f t="shared" si="4"/>
        <v>#VALUE!</v>
      </c>
      <c r="FS8" t="e">
        <f t="shared" si="4"/>
        <v>#VALUE!</v>
      </c>
      <c r="FT8" t="e">
        <f t="shared" si="4"/>
        <v>#VALUE!</v>
      </c>
      <c r="FU8" t="e">
        <f t="shared" si="4"/>
        <v>#VALUE!</v>
      </c>
      <c r="FV8" t="e">
        <f t="shared" si="4"/>
        <v>#VALUE!</v>
      </c>
      <c r="FW8" t="e">
        <f t="shared" si="4"/>
        <v>#VALUE!</v>
      </c>
      <c r="FX8" t="e">
        <f t="shared" si="4"/>
        <v>#VALUE!</v>
      </c>
      <c r="FY8" t="e">
        <f t="shared" si="4"/>
        <v>#VALUE!</v>
      </c>
      <c r="FZ8" t="e">
        <f t="shared" si="4"/>
        <v>#VALUE!</v>
      </c>
      <c r="GA8" t="e">
        <f t="shared" si="4"/>
        <v>#VALUE!</v>
      </c>
      <c r="GB8" t="e">
        <f t="shared" si="4"/>
        <v>#VALUE!</v>
      </c>
      <c r="GC8" t="e">
        <f t="shared" si="4"/>
        <v>#VALUE!</v>
      </c>
      <c r="GD8" t="e">
        <f t="shared" si="4"/>
        <v>#VALUE!</v>
      </c>
      <c r="GE8" t="e">
        <f t="shared" si="4"/>
        <v>#VALUE!</v>
      </c>
      <c r="GF8" t="e">
        <f t="shared" si="4"/>
        <v>#VALUE!</v>
      </c>
      <c r="GG8" t="e">
        <f t="shared" si="4"/>
        <v>#VALUE!</v>
      </c>
      <c r="GH8" t="e">
        <f t="shared" si="4"/>
        <v>#VALUE!</v>
      </c>
      <c r="GI8" t="e">
        <f t="shared" si="4"/>
        <v>#VALUE!</v>
      </c>
      <c r="GJ8" t="e">
        <f t="shared" si="4"/>
        <v>#VALUE!</v>
      </c>
      <c r="GK8" t="e">
        <f t="shared" si="4"/>
        <v>#VALUE!</v>
      </c>
      <c r="GL8" t="e">
        <f t="shared" si="4"/>
        <v>#VALUE!</v>
      </c>
      <c r="GM8" t="e">
        <f t="shared" si="4"/>
        <v>#VALUE!</v>
      </c>
      <c r="GN8" t="e">
        <f t="shared" si="4"/>
        <v>#VALUE!</v>
      </c>
      <c r="GO8" t="e">
        <f t="shared" si="4"/>
        <v>#VALUE!</v>
      </c>
      <c r="GP8" t="e">
        <f t="shared" si="4"/>
        <v>#VALUE!</v>
      </c>
      <c r="GQ8" t="e">
        <f t="shared" si="5"/>
        <v>#VALUE!</v>
      </c>
      <c r="GR8" t="e">
        <f t="shared" si="5"/>
        <v>#VALUE!</v>
      </c>
      <c r="GS8" t="e">
        <f t="shared" si="5"/>
        <v>#VALUE!</v>
      </c>
      <c r="GT8" t="e">
        <f t="shared" si="5"/>
        <v>#VALUE!</v>
      </c>
      <c r="GU8" t="e">
        <f t="shared" si="5"/>
        <v>#VALUE!</v>
      </c>
      <c r="GV8" t="e">
        <f t="shared" si="5"/>
        <v>#VALUE!</v>
      </c>
      <c r="GW8" t="e">
        <f t="shared" si="5"/>
        <v>#VALUE!</v>
      </c>
      <c r="GX8" t="e">
        <f t="shared" si="5"/>
        <v>#VALUE!</v>
      </c>
      <c r="GY8" t="e">
        <f t="shared" si="5"/>
        <v>#VALUE!</v>
      </c>
      <c r="GZ8" t="e">
        <f t="shared" si="5"/>
        <v>#VALUE!</v>
      </c>
      <c r="HA8" t="e">
        <f t="shared" si="5"/>
        <v>#VALUE!</v>
      </c>
      <c r="HB8" t="e">
        <f t="shared" si="5"/>
        <v>#VALUE!</v>
      </c>
      <c r="HC8" t="e">
        <f t="shared" si="5"/>
        <v>#VALUE!</v>
      </c>
      <c r="HD8" t="e">
        <f t="shared" si="5"/>
        <v>#VALUE!</v>
      </c>
      <c r="HE8" t="e">
        <f t="shared" si="5"/>
        <v>#VALUE!</v>
      </c>
      <c r="HF8" t="e">
        <f t="shared" si="5"/>
        <v>#VALUE!</v>
      </c>
      <c r="HG8" t="e">
        <f t="shared" si="5"/>
        <v>#VALUE!</v>
      </c>
      <c r="HH8" t="e">
        <f t="shared" si="5"/>
        <v>#VALUE!</v>
      </c>
      <c r="HI8" t="e">
        <f t="shared" si="5"/>
        <v>#VALUE!</v>
      </c>
      <c r="HJ8" t="e">
        <f t="shared" si="5"/>
        <v>#VALUE!</v>
      </c>
      <c r="HK8" t="e">
        <f t="shared" si="5"/>
        <v>#VALUE!</v>
      </c>
      <c r="HL8" t="e">
        <f t="shared" si="5"/>
        <v>#VALUE!</v>
      </c>
      <c r="HM8" t="e">
        <f t="shared" si="5"/>
        <v>#VALUE!</v>
      </c>
      <c r="HN8" t="e">
        <f t="shared" si="5"/>
        <v>#VALUE!</v>
      </c>
      <c r="HO8" t="e">
        <f t="shared" si="5"/>
        <v>#VALUE!</v>
      </c>
      <c r="HP8" t="e">
        <f t="shared" si="5"/>
        <v>#VALUE!</v>
      </c>
      <c r="HQ8" t="e">
        <f t="shared" si="5"/>
        <v>#VALUE!</v>
      </c>
      <c r="HR8" t="e">
        <f t="shared" si="5"/>
        <v>#VALUE!</v>
      </c>
      <c r="HS8" t="e">
        <f t="shared" si="5"/>
        <v>#VALUE!</v>
      </c>
      <c r="HT8" t="e">
        <f t="shared" si="5"/>
        <v>#VALUE!</v>
      </c>
      <c r="HU8" t="e">
        <f t="shared" si="5"/>
        <v>#VALUE!</v>
      </c>
      <c r="HV8" t="e">
        <f t="shared" si="5"/>
        <v>#VALUE!</v>
      </c>
      <c r="HW8" t="e">
        <f t="shared" si="5"/>
        <v>#VALUE!</v>
      </c>
      <c r="HX8" t="e">
        <f t="shared" si="5"/>
        <v>#VALUE!</v>
      </c>
      <c r="HY8" t="e">
        <f t="shared" si="5"/>
        <v>#VALUE!</v>
      </c>
      <c r="HZ8" t="e">
        <f t="shared" si="5"/>
        <v>#VALUE!</v>
      </c>
      <c r="IA8" t="e">
        <f t="shared" si="5"/>
        <v>#VALUE!</v>
      </c>
      <c r="IB8" t="e">
        <f t="shared" si="5"/>
        <v>#VALUE!</v>
      </c>
      <c r="IC8" t="e">
        <f t="shared" si="5"/>
        <v>#VALUE!</v>
      </c>
      <c r="ID8" t="e">
        <f t="shared" si="5"/>
        <v>#VALUE!</v>
      </c>
      <c r="IE8" t="e">
        <f t="shared" si="5"/>
        <v>#VALUE!</v>
      </c>
      <c r="IF8" t="e">
        <f t="shared" si="5"/>
        <v>#VALUE!</v>
      </c>
      <c r="IG8" t="e">
        <f t="shared" si="5"/>
        <v>#VALUE!</v>
      </c>
      <c r="IH8" t="e">
        <f t="shared" si="5"/>
        <v>#VALUE!</v>
      </c>
      <c r="II8" t="e">
        <f t="shared" si="5"/>
        <v>#VALUE!</v>
      </c>
      <c r="IJ8" t="e">
        <f t="shared" si="5"/>
        <v>#VALUE!</v>
      </c>
      <c r="IK8" t="e">
        <f t="shared" si="5"/>
        <v>#VALUE!</v>
      </c>
      <c r="IL8" t="e">
        <f t="shared" si="5"/>
        <v>#VALUE!</v>
      </c>
      <c r="IM8" t="e">
        <f t="shared" si="5"/>
        <v>#VALUE!</v>
      </c>
      <c r="IN8" t="e">
        <f t="shared" si="5"/>
        <v>#VALUE!</v>
      </c>
      <c r="IO8" t="e">
        <f t="shared" si="5"/>
        <v>#VALUE!</v>
      </c>
      <c r="IP8" t="e">
        <f t="shared" si="5"/>
        <v>#VALUE!</v>
      </c>
      <c r="IQ8" t="e">
        <f t="shared" si="5"/>
        <v>#VALUE!</v>
      </c>
      <c r="IR8" t="e">
        <f t="shared" si="5"/>
        <v>#VALUE!</v>
      </c>
      <c r="IS8" t="e">
        <f t="shared" si="5"/>
        <v>#VALUE!</v>
      </c>
      <c r="IT8" t="e">
        <f t="shared" si="5"/>
        <v>#VALUE!</v>
      </c>
      <c r="IU8" t="e">
        <f t="shared" si="5"/>
        <v>#VALUE!</v>
      </c>
      <c r="IV8" t="e">
        <f t="shared" si="5"/>
        <v>#VALUE!</v>
      </c>
      <c r="IW8" t="e">
        <f t="shared" si="5"/>
        <v>#VALUE!</v>
      </c>
      <c r="IX8" t="e">
        <f t="shared" si="5"/>
        <v>#VALUE!</v>
      </c>
      <c r="IY8" t="e">
        <f t="shared" si="5"/>
        <v>#VALUE!</v>
      </c>
      <c r="IZ8" t="e">
        <f t="shared" si="5"/>
        <v>#VALUE!</v>
      </c>
      <c r="JA8" t="e">
        <f t="shared" si="5"/>
        <v>#VALUE!</v>
      </c>
      <c r="JB8" t="e">
        <f t="shared" si="5"/>
        <v>#VALUE!</v>
      </c>
      <c r="JC8" t="e">
        <f t="shared" si="6"/>
        <v>#VALUE!</v>
      </c>
      <c r="JD8" t="e">
        <f t="shared" si="6"/>
        <v>#VALUE!</v>
      </c>
      <c r="JE8" t="e">
        <f t="shared" si="6"/>
        <v>#VALUE!</v>
      </c>
      <c r="JF8" t="e">
        <f t="shared" si="6"/>
        <v>#VALUE!</v>
      </c>
      <c r="JG8" t="e">
        <f t="shared" si="6"/>
        <v>#VALUE!</v>
      </c>
      <c r="JH8" t="e">
        <f t="shared" si="6"/>
        <v>#VALUE!</v>
      </c>
      <c r="JI8" t="e">
        <f t="shared" si="6"/>
        <v>#VALUE!</v>
      </c>
      <c r="JJ8" t="e">
        <f t="shared" si="6"/>
        <v>#VALUE!</v>
      </c>
      <c r="JK8" t="e">
        <f t="shared" si="6"/>
        <v>#VALUE!</v>
      </c>
      <c r="JL8" t="e">
        <f t="shared" si="6"/>
        <v>#VALUE!</v>
      </c>
      <c r="JM8" t="e">
        <f t="shared" si="6"/>
        <v>#VALUE!</v>
      </c>
      <c r="JN8" t="e">
        <f t="shared" si="6"/>
        <v>#VALUE!</v>
      </c>
      <c r="JO8" t="e">
        <f t="shared" si="6"/>
        <v>#VALUE!</v>
      </c>
      <c r="JP8" t="e">
        <f t="shared" si="6"/>
        <v>#VALUE!</v>
      </c>
      <c r="JQ8" t="e">
        <f t="shared" si="6"/>
        <v>#VALUE!</v>
      </c>
      <c r="JR8" t="e">
        <f t="shared" si="6"/>
        <v>#VALUE!</v>
      </c>
      <c r="JS8" t="e">
        <f t="shared" si="6"/>
        <v>#VALUE!</v>
      </c>
      <c r="JT8" t="e">
        <f t="shared" si="6"/>
        <v>#VALUE!</v>
      </c>
      <c r="JU8" t="e">
        <f t="shared" si="6"/>
        <v>#VALUE!</v>
      </c>
      <c r="JV8" t="e">
        <f t="shared" si="6"/>
        <v>#VALUE!</v>
      </c>
      <c r="JW8" t="e">
        <f t="shared" si="6"/>
        <v>#VALUE!</v>
      </c>
      <c r="JX8" t="e">
        <f t="shared" si="6"/>
        <v>#VALUE!</v>
      </c>
      <c r="JY8" t="e">
        <f t="shared" si="6"/>
        <v>#VALUE!</v>
      </c>
      <c r="JZ8" t="e">
        <f t="shared" si="6"/>
        <v>#VALUE!</v>
      </c>
      <c r="KA8" t="e">
        <f t="shared" si="6"/>
        <v>#VALUE!</v>
      </c>
      <c r="KB8" t="e">
        <f t="shared" si="6"/>
        <v>#VALUE!</v>
      </c>
      <c r="KC8" t="e">
        <f t="shared" si="6"/>
        <v>#VALUE!</v>
      </c>
      <c r="KD8" t="e">
        <f t="shared" si="6"/>
        <v>#VALUE!</v>
      </c>
      <c r="KE8" t="e">
        <f t="shared" si="6"/>
        <v>#VALUE!</v>
      </c>
      <c r="KF8" t="e">
        <f t="shared" si="6"/>
        <v>#VALUE!</v>
      </c>
      <c r="KG8" t="e">
        <f t="shared" si="6"/>
        <v>#VALUE!</v>
      </c>
      <c r="KH8" t="e">
        <f t="shared" si="6"/>
        <v>#VALUE!</v>
      </c>
      <c r="KI8" t="e">
        <f t="shared" si="6"/>
        <v>#VALUE!</v>
      </c>
      <c r="KJ8" t="e">
        <f t="shared" si="6"/>
        <v>#VALUE!</v>
      </c>
      <c r="KK8" t="e">
        <f t="shared" si="6"/>
        <v>#VALUE!</v>
      </c>
      <c r="KL8" t="e">
        <f t="shared" si="6"/>
        <v>#VALUE!</v>
      </c>
      <c r="KM8" t="e">
        <f t="shared" si="6"/>
        <v>#VALUE!</v>
      </c>
      <c r="KN8" t="e">
        <f t="shared" si="6"/>
        <v>#VALUE!</v>
      </c>
      <c r="KO8" t="e">
        <f t="shared" si="6"/>
        <v>#VALUE!</v>
      </c>
      <c r="KP8" t="e">
        <f t="shared" si="6"/>
        <v>#VALUE!</v>
      </c>
      <c r="KQ8" t="e">
        <f t="shared" si="6"/>
        <v>#VALUE!</v>
      </c>
      <c r="KR8" t="e">
        <f t="shared" si="6"/>
        <v>#VALUE!</v>
      </c>
      <c r="KS8" t="e">
        <f t="shared" si="6"/>
        <v>#VALUE!</v>
      </c>
      <c r="KT8" t="e">
        <f t="shared" si="6"/>
        <v>#VALUE!</v>
      </c>
      <c r="KU8" t="e">
        <f t="shared" si="6"/>
        <v>#VALUE!</v>
      </c>
      <c r="KV8" t="e">
        <f t="shared" si="6"/>
        <v>#VALUE!</v>
      </c>
      <c r="KW8" t="e">
        <f t="shared" si="6"/>
        <v>#VALUE!</v>
      </c>
      <c r="KX8" t="e">
        <f t="shared" si="6"/>
        <v>#VALUE!</v>
      </c>
      <c r="KY8" t="e">
        <f t="shared" si="6"/>
        <v>#VALUE!</v>
      </c>
      <c r="KZ8" t="e">
        <f t="shared" si="6"/>
        <v>#VALUE!</v>
      </c>
      <c r="LA8" t="e">
        <f t="shared" si="6"/>
        <v>#VALUE!</v>
      </c>
      <c r="LB8" t="e">
        <f t="shared" si="6"/>
        <v>#VALUE!</v>
      </c>
      <c r="LC8" t="e">
        <f t="shared" si="6"/>
        <v>#VALUE!</v>
      </c>
      <c r="LD8" t="e">
        <f t="shared" si="6"/>
        <v>#VALUE!</v>
      </c>
      <c r="LE8" t="e">
        <f t="shared" si="6"/>
        <v>#VALUE!</v>
      </c>
      <c r="LF8" t="e">
        <f t="shared" si="6"/>
        <v>#VALUE!</v>
      </c>
      <c r="LG8" t="e">
        <f t="shared" si="6"/>
        <v>#VALUE!</v>
      </c>
      <c r="LH8" t="e">
        <f t="shared" si="6"/>
        <v>#VALUE!</v>
      </c>
      <c r="LI8" t="e">
        <f t="shared" si="6"/>
        <v>#VALUE!</v>
      </c>
      <c r="LJ8" t="e">
        <f t="shared" si="6"/>
        <v>#VALUE!</v>
      </c>
      <c r="LK8" t="e">
        <f t="shared" si="6"/>
        <v>#VALUE!</v>
      </c>
      <c r="LL8" t="e">
        <f t="shared" si="6"/>
        <v>#VALUE!</v>
      </c>
      <c r="LM8" t="e">
        <f t="shared" si="6"/>
        <v>#VALUE!</v>
      </c>
      <c r="LN8" t="e">
        <f t="shared" si="6"/>
        <v>#VALUE!</v>
      </c>
      <c r="LO8" t="e">
        <f t="shared" si="7"/>
        <v>#VALUE!</v>
      </c>
      <c r="LP8" t="e">
        <f t="shared" si="7"/>
        <v>#VALUE!</v>
      </c>
      <c r="LQ8" t="e">
        <f t="shared" si="7"/>
        <v>#VALUE!</v>
      </c>
      <c r="LR8" t="e">
        <f t="shared" si="7"/>
        <v>#VALUE!</v>
      </c>
      <c r="LS8" t="e">
        <f t="shared" si="7"/>
        <v>#VALUE!</v>
      </c>
      <c r="LT8" t="e">
        <f t="shared" si="7"/>
        <v>#VALUE!</v>
      </c>
      <c r="LU8" t="e">
        <f t="shared" si="7"/>
        <v>#VALUE!</v>
      </c>
      <c r="LV8" t="e">
        <f t="shared" si="7"/>
        <v>#VALUE!</v>
      </c>
      <c r="LW8" t="e">
        <f t="shared" si="7"/>
        <v>#VALUE!</v>
      </c>
      <c r="LX8" t="e">
        <f t="shared" si="7"/>
        <v>#VALUE!</v>
      </c>
      <c r="LY8" t="e">
        <f t="shared" si="7"/>
        <v>#VALUE!</v>
      </c>
      <c r="LZ8" t="e">
        <f t="shared" si="7"/>
        <v>#VALUE!</v>
      </c>
      <c r="MA8" t="e">
        <f t="shared" si="7"/>
        <v>#VALUE!</v>
      </c>
      <c r="MB8" t="e">
        <f t="shared" si="7"/>
        <v>#VALUE!</v>
      </c>
      <c r="MC8" t="e">
        <f t="shared" si="7"/>
        <v>#VALUE!</v>
      </c>
      <c r="MD8" t="e">
        <f t="shared" si="7"/>
        <v>#VALUE!</v>
      </c>
      <c r="ME8" t="e">
        <f t="shared" si="7"/>
        <v>#VALUE!</v>
      </c>
      <c r="MF8" t="e">
        <f t="shared" si="7"/>
        <v>#VALUE!</v>
      </c>
      <c r="MG8" t="e">
        <f t="shared" si="7"/>
        <v>#VALUE!</v>
      </c>
      <c r="MH8" t="e">
        <f t="shared" si="7"/>
        <v>#VALUE!</v>
      </c>
      <c r="MI8" t="e">
        <f t="shared" si="7"/>
        <v>#VALUE!</v>
      </c>
      <c r="MJ8" t="e">
        <f t="shared" si="7"/>
        <v>#VALUE!</v>
      </c>
      <c r="MK8" t="e">
        <f t="shared" si="7"/>
        <v>#VALUE!</v>
      </c>
      <c r="ML8" t="e">
        <f t="shared" si="7"/>
        <v>#VALUE!</v>
      </c>
      <c r="MM8" t="e">
        <f t="shared" si="7"/>
        <v>#VALUE!</v>
      </c>
      <c r="MN8" t="e">
        <f t="shared" si="7"/>
        <v>#VALUE!</v>
      </c>
      <c r="MO8" t="e">
        <f t="shared" si="7"/>
        <v>#VALUE!</v>
      </c>
      <c r="MP8" t="e">
        <f t="shared" si="7"/>
        <v>#VALUE!</v>
      </c>
      <c r="MQ8" t="e">
        <f t="shared" si="7"/>
        <v>#VALUE!</v>
      </c>
      <c r="MR8" t="e">
        <f t="shared" si="7"/>
        <v>#VALUE!</v>
      </c>
      <c r="MS8" t="e">
        <f t="shared" si="7"/>
        <v>#VALUE!</v>
      </c>
      <c r="MT8" t="e">
        <f t="shared" si="7"/>
        <v>#VALUE!</v>
      </c>
      <c r="MU8" t="e">
        <f t="shared" si="7"/>
        <v>#VALUE!</v>
      </c>
      <c r="MV8" t="e">
        <f t="shared" si="7"/>
        <v>#VALUE!</v>
      </c>
      <c r="MW8" t="e">
        <f t="shared" si="7"/>
        <v>#VALUE!</v>
      </c>
      <c r="MX8" t="e">
        <f t="shared" si="7"/>
        <v>#VALUE!</v>
      </c>
      <c r="MY8" t="e">
        <f t="shared" si="7"/>
        <v>#VALUE!</v>
      </c>
      <c r="MZ8" t="e">
        <f t="shared" si="7"/>
        <v>#VALUE!</v>
      </c>
      <c r="NA8" t="e">
        <f t="shared" si="7"/>
        <v>#VALUE!</v>
      </c>
      <c r="NB8" t="e">
        <f t="shared" si="7"/>
        <v>#VALUE!</v>
      </c>
      <c r="NC8" t="e">
        <f t="shared" si="7"/>
        <v>#VALUE!</v>
      </c>
      <c r="ND8" t="e">
        <f t="shared" si="7"/>
        <v>#VALUE!</v>
      </c>
      <c r="NE8" t="e">
        <f t="shared" si="7"/>
        <v>#VALUE!</v>
      </c>
      <c r="NF8" t="e">
        <f t="shared" si="7"/>
        <v>#VALUE!</v>
      </c>
      <c r="NG8" t="e">
        <f t="shared" si="7"/>
        <v>#VALUE!</v>
      </c>
      <c r="NH8" t="e">
        <f t="shared" si="7"/>
        <v>#VALUE!</v>
      </c>
      <c r="NI8" t="e">
        <f t="shared" si="7"/>
        <v>#VALUE!</v>
      </c>
      <c r="NJ8" t="e">
        <f t="shared" si="7"/>
        <v>#VALUE!</v>
      </c>
      <c r="NK8" t="e">
        <f t="shared" si="7"/>
        <v>#VALUE!</v>
      </c>
      <c r="NL8" t="e">
        <f t="shared" si="7"/>
        <v>#VALUE!</v>
      </c>
      <c r="NM8" t="e">
        <f t="shared" si="7"/>
        <v>#VALUE!</v>
      </c>
      <c r="NN8" t="e">
        <f t="shared" si="7"/>
        <v>#VALUE!</v>
      </c>
      <c r="NO8" t="e">
        <f t="shared" si="7"/>
        <v>#VALUE!</v>
      </c>
      <c r="NP8" t="e">
        <f t="shared" si="7"/>
        <v>#VALUE!</v>
      </c>
      <c r="NQ8" t="e">
        <f t="shared" si="7"/>
        <v>#VALUE!</v>
      </c>
      <c r="NR8" t="e">
        <f t="shared" si="7"/>
        <v>#VALUE!</v>
      </c>
      <c r="NS8" t="e">
        <f t="shared" si="7"/>
        <v>#VALUE!</v>
      </c>
      <c r="NT8" t="e">
        <f t="shared" si="7"/>
        <v>#VALUE!</v>
      </c>
      <c r="NU8" t="e">
        <f t="shared" si="7"/>
        <v>#VALUE!</v>
      </c>
      <c r="NV8" t="e">
        <f t="shared" si="7"/>
        <v>#VALUE!</v>
      </c>
      <c r="NW8" t="e">
        <f t="shared" si="7"/>
        <v>#VALUE!</v>
      </c>
      <c r="NX8" t="e">
        <f t="shared" si="7"/>
        <v>#VALUE!</v>
      </c>
      <c r="NY8" t="e">
        <f t="shared" si="7"/>
        <v>#VALUE!</v>
      </c>
      <c r="NZ8" t="e">
        <f t="shared" si="7"/>
        <v>#VALUE!</v>
      </c>
      <c r="OA8" t="e">
        <f t="shared" si="8"/>
        <v>#VALUE!</v>
      </c>
      <c r="OB8" t="e">
        <f t="shared" si="8"/>
        <v>#VALUE!</v>
      </c>
      <c r="OC8" t="e">
        <f t="shared" si="8"/>
        <v>#VALUE!</v>
      </c>
      <c r="OD8" t="e">
        <f t="shared" si="8"/>
        <v>#VALUE!</v>
      </c>
      <c r="OE8" t="e">
        <f t="shared" si="8"/>
        <v>#VALUE!</v>
      </c>
      <c r="OF8" t="e">
        <f t="shared" si="8"/>
        <v>#VALUE!</v>
      </c>
      <c r="OG8" t="e">
        <f t="shared" si="8"/>
        <v>#VALUE!</v>
      </c>
      <c r="OH8" t="e">
        <f t="shared" si="8"/>
        <v>#VALUE!</v>
      </c>
      <c r="OI8" t="e">
        <f t="shared" si="8"/>
        <v>#VALUE!</v>
      </c>
      <c r="OJ8" t="e">
        <f t="shared" si="8"/>
        <v>#VALUE!</v>
      </c>
      <c r="OK8" t="e">
        <f t="shared" si="8"/>
        <v>#VALUE!</v>
      </c>
      <c r="OL8" t="e">
        <f t="shared" si="8"/>
        <v>#VALUE!</v>
      </c>
      <c r="OM8" t="e">
        <f t="shared" si="8"/>
        <v>#VALUE!</v>
      </c>
      <c r="ON8" t="e">
        <f t="shared" si="8"/>
        <v>#VALUE!</v>
      </c>
      <c r="OO8" t="e">
        <f t="shared" si="8"/>
        <v>#VALUE!</v>
      </c>
      <c r="OP8" t="e">
        <f t="shared" si="8"/>
        <v>#VALUE!</v>
      </c>
      <c r="OQ8" t="e">
        <f t="shared" si="8"/>
        <v>#VALUE!</v>
      </c>
      <c r="OR8" t="e">
        <f t="shared" si="8"/>
        <v>#VALUE!</v>
      </c>
      <c r="OS8" t="e">
        <f t="shared" si="8"/>
        <v>#VALUE!</v>
      </c>
      <c r="OT8" t="e">
        <f t="shared" si="8"/>
        <v>#VALUE!</v>
      </c>
      <c r="OU8" t="e">
        <f t="shared" si="8"/>
        <v>#VALUE!</v>
      </c>
      <c r="OV8" t="e">
        <f t="shared" si="8"/>
        <v>#VALUE!</v>
      </c>
      <c r="OW8" t="e">
        <f t="shared" si="8"/>
        <v>#VALUE!</v>
      </c>
      <c r="OX8" t="e">
        <f t="shared" si="8"/>
        <v>#VALUE!</v>
      </c>
      <c r="OY8" t="e">
        <f t="shared" si="8"/>
        <v>#VALUE!</v>
      </c>
      <c r="OZ8" t="e">
        <f t="shared" si="8"/>
        <v>#VALUE!</v>
      </c>
      <c r="PA8" t="e">
        <f t="shared" si="8"/>
        <v>#VALUE!</v>
      </c>
      <c r="PB8" t="e">
        <f t="shared" si="8"/>
        <v>#VALUE!</v>
      </c>
      <c r="PC8" t="e">
        <f t="shared" si="8"/>
        <v>#VALUE!</v>
      </c>
      <c r="PD8" t="e">
        <f t="shared" si="8"/>
        <v>#VALUE!</v>
      </c>
      <c r="PE8" t="e">
        <f t="shared" si="8"/>
        <v>#VALUE!</v>
      </c>
      <c r="PF8" t="e">
        <f t="shared" si="8"/>
        <v>#VALUE!</v>
      </c>
      <c r="PG8" t="e">
        <f t="shared" si="8"/>
        <v>#VALUE!</v>
      </c>
      <c r="PH8" t="e">
        <f t="shared" si="8"/>
        <v>#VALUE!</v>
      </c>
      <c r="PI8" t="e">
        <f t="shared" si="8"/>
        <v>#VALUE!</v>
      </c>
      <c r="PJ8" t="e">
        <f t="shared" si="8"/>
        <v>#VALUE!</v>
      </c>
      <c r="PK8" t="e">
        <f t="shared" si="8"/>
        <v>#VALUE!</v>
      </c>
      <c r="PL8" t="e">
        <f t="shared" si="8"/>
        <v>#VALUE!</v>
      </c>
      <c r="PM8" t="e">
        <f t="shared" si="8"/>
        <v>#VALUE!</v>
      </c>
      <c r="PN8" t="e">
        <f t="shared" si="8"/>
        <v>#VALUE!</v>
      </c>
      <c r="PO8" t="e">
        <f t="shared" si="8"/>
        <v>#VALUE!</v>
      </c>
      <c r="PP8" t="e">
        <f t="shared" si="8"/>
        <v>#VALUE!</v>
      </c>
      <c r="PQ8" t="e">
        <f t="shared" si="8"/>
        <v>#VALUE!</v>
      </c>
      <c r="PR8" t="e">
        <f t="shared" si="8"/>
        <v>#VALUE!</v>
      </c>
      <c r="PS8" t="e">
        <f t="shared" si="8"/>
        <v>#VALUE!</v>
      </c>
      <c r="PT8" t="e">
        <f t="shared" si="8"/>
        <v>#VALUE!</v>
      </c>
      <c r="PU8" t="e">
        <f t="shared" si="8"/>
        <v>#VALUE!</v>
      </c>
      <c r="PV8" t="e">
        <f t="shared" si="8"/>
        <v>#VALUE!</v>
      </c>
      <c r="PW8" t="e">
        <f t="shared" si="8"/>
        <v>#VALUE!</v>
      </c>
      <c r="PX8" t="e">
        <f t="shared" si="8"/>
        <v>#VALUE!</v>
      </c>
      <c r="PY8" t="e">
        <f t="shared" si="8"/>
        <v>#VALUE!</v>
      </c>
      <c r="PZ8" t="e">
        <f t="shared" si="8"/>
        <v>#VALUE!</v>
      </c>
      <c r="QA8" t="e">
        <f t="shared" si="8"/>
        <v>#VALUE!</v>
      </c>
      <c r="QB8" t="e">
        <f t="shared" si="8"/>
        <v>#VALUE!</v>
      </c>
      <c r="QC8" t="e">
        <f t="shared" si="8"/>
        <v>#VALUE!</v>
      </c>
      <c r="QD8" t="e">
        <f t="shared" si="8"/>
        <v>#VALUE!</v>
      </c>
      <c r="QE8" t="e">
        <f t="shared" si="8"/>
        <v>#VALUE!</v>
      </c>
      <c r="QF8" t="e">
        <f t="shared" si="8"/>
        <v>#VALUE!</v>
      </c>
      <c r="QG8" t="e">
        <f t="shared" si="8"/>
        <v>#VALUE!</v>
      </c>
      <c r="QH8" t="e">
        <f t="shared" si="8"/>
        <v>#VALUE!</v>
      </c>
      <c r="QI8" t="e">
        <f t="shared" si="8"/>
        <v>#VALUE!</v>
      </c>
      <c r="QJ8" t="e">
        <f t="shared" si="8"/>
        <v>#VALUE!</v>
      </c>
      <c r="QK8" t="e">
        <f t="shared" si="8"/>
        <v>#VALUE!</v>
      </c>
      <c r="QL8" t="e">
        <f t="shared" si="8"/>
        <v>#VALUE!</v>
      </c>
      <c r="QM8" t="e">
        <f t="shared" si="9"/>
        <v>#VALUE!</v>
      </c>
      <c r="QN8" t="e">
        <f t="shared" si="9"/>
        <v>#VALUE!</v>
      </c>
      <c r="QO8" t="e">
        <f t="shared" si="9"/>
        <v>#VALUE!</v>
      </c>
      <c r="QP8" t="e">
        <f t="shared" si="9"/>
        <v>#VALUE!</v>
      </c>
      <c r="QQ8" t="e">
        <f t="shared" si="9"/>
        <v>#VALUE!</v>
      </c>
      <c r="QR8" t="e">
        <f t="shared" si="9"/>
        <v>#VALUE!</v>
      </c>
      <c r="QS8" t="e">
        <f t="shared" si="9"/>
        <v>#VALUE!</v>
      </c>
      <c r="QT8" t="e">
        <f t="shared" si="9"/>
        <v>#VALUE!</v>
      </c>
      <c r="QU8" t="e">
        <f t="shared" si="9"/>
        <v>#VALUE!</v>
      </c>
      <c r="QV8" t="e">
        <f t="shared" si="9"/>
        <v>#VALUE!</v>
      </c>
      <c r="QW8" t="e">
        <f t="shared" si="9"/>
        <v>#VALUE!</v>
      </c>
      <c r="QX8" t="e">
        <f t="shared" si="9"/>
        <v>#VALUE!</v>
      </c>
      <c r="QY8" t="e">
        <f t="shared" si="9"/>
        <v>#VALUE!</v>
      </c>
      <c r="QZ8" t="e">
        <f t="shared" si="9"/>
        <v>#VALUE!</v>
      </c>
      <c r="RA8" t="e">
        <f t="shared" si="9"/>
        <v>#VALUE!</v>
      </c>
      <c r="RB8" t="e">
        <f t="shared" si="9"/>
        <v>#VALUE!</v>
      </c>
      <c r="RC8" t="e">
        <f t="shared" si="9"/>
        <v>#VALUE!</v>
      </c>
      <c r="RD8" t="e">
        <f t="shared" si="9"/>
        <v>#VALUE!</v>
      </c>
      <c r="RE8" t="e">
        <f t="shared" si="9"/>
        <v>#VALUE!</v>
      </c>
      <c r="RF8" t="e">
        <f t="shared" si="9"/>
        <v>#VALUE!</v>
      </c>
      <c r="RG8" t="e">
        <f t="shared" si="9"/>
        <v>#VALUE!</v>
      </c>
      <c r="RH8" t="e">
        <f t="shared" si="9"/>
        <v>#VALUE!</v>
      </c>
      <c r="RI8" t="e">
        <f t="shared" si="9"/>
        <v>#VALUE!</v>
      </c>
      <c r="RJ8" t="e">
        <f t="shared" si="9"/>
        <v>#VALUE!</v>
      </c>
      <c r="RK8" t="e">
        <f t="shared" si="9"/>
        <v>#VALUE!</v>
      </c>
      <c r="RL8" t="e">
        <f t="shared" si="9"/>
        <v>#VALUE!</v>
      </c>
      <c r="RM8" t="e">
        <f t="shared" si="9"/>
        <v>#VALUE!</v>
      </c>
      <c r="RN8" t="e">
        <f t="shared" si="9"/>
        <v>#VALUE!</v>
      </c>
      <c r="RO8" t="e">
        <f t="shared" si="9"/>
        <v>#VALUE!</v>
      </c>
      <c r="RP8" t="e">
        <f t="shared" si="9"/>
        <v>#VALUE!</v>
      </c>
      <c r="RQ8" t="e">
        <f t="shared" si="9"/>
        <v>#VALUE!</v>
      </c>
      <c r="RR8" t="e">
        <f t="shared" si="9"/>
        <v>#VALUE!</v>
      </c>
      <c r="RS8" t="e">
        <f t="shared" si="9"/>
        <v>#VALUE!</v>
      </c>
      <c r="RT8" t="e">
        <f t="shared" si="9"/>
        <v>#VALUE!</v>
      </c>
      <c r="RU8" t="e">
        <f t="shared" si="9"/>
        <v>#VALUE!</v>
      </c>
      <c r="RV8" t="e">
        <f t="shared" si="9"/>
        <v>#VALUE!</v>
      </c>
      <c r="RW8" t="e">
        <f t="shared" si="9"/>
        <v>#VALUE!</v>
      </c>
      <c r="RX8" t="e">
        <f t="shared" si="9"/>
        <v>#VALUE!</v>
      </c>
      <c r="RY8" t="e">
        <f t="shared" si="9"/>
        <v>#VALUE!</v>
      </c>
      <c r="RZ8" t="e">
        <f t="shared" si="9"/>
        <v>#VALUE!</v>
      </c>
      <c r="SA8" t="e">
        <f t="shared" si="9"/>
        <v>#VALUE!</v>
      </c>
      <c r="SB8" t="e">
        <f t="shared" si="9"/>
        <v>#VALUE!</v>
      </c>
      <c r="SC8" t="e">
        <f t="shared" si="9"/>
        <v>#VALUE!</v>
      </c>
      <c r="SD8" t="e">
        <f t="shared" si="9"/>
        <v>#VALUE!</v>
      </c>
      <c r="SE8" t="e">
        <f t="shared" si="9"/>
        <v>#VALUE!</v>
      </c>
      <c r="SF8" t="e">
        <f t="shared" si="9"/>
        <v>#VALUE!</v>
      </c>
      <c r="SG8" t="e">
        <f t="shared" si="9"/>
        <v>#VALUE!</v>
      </c>
      <c r="SH8" t="e">
        <f t="shared" si="9"/>
        <v>#VALUE!</v>
      </c>
      <c r="SI8" t="e">
        <f t="shared" si="9"/>
        <v>#VALUE!</v>
      </c>
      <c r="SJ8" t="e">
        <f t="shared" si="9"/>
        <v>#VALUE!</v>
      </c>
      <c r="SK8" t="e">
        <f t="shared" si="9"/>
        <v>#VALUE!</v>
      </c>
      <c r="SL8" t="e">
        <f t="shared" si="9"/>
        <v>#VALUE!</v>
      </c>
      <c r="SM8" t="e">
        <f t="shared" si="9"/>
        <v>#VALUE!</v>
      </c>
      <c r="SN8" t="e">
        <f t="shared" si="9"/>
        <v>#VALUE!</v>
      </c>
      <c r="SO8" t="e">
        <f t="shared" si="9"/>
        <v>#VALUE!</v>
      </c>
      <c r="SP8" t="e">
        <f t="shared" si="9"/>
        <v>#VALUE!</v>
      </c>
      <c r="SQ8" t="e">
        <f t="shared" si="9"/>
        <v>#VALUE!</v>
      </c>
      <c r="SR8" t="e">
        <f t="shared" si="9"/>
        <v>#VALUE!</v>
      </c>
      <c r="SS8" t="e">
        <f t="shared" si="9"/>
        <v>#VALUE!</v>
      </c>
      <c r="ST8" t="e">
        <f t="shared" si="9"/>
        <v>#VALUE!</v>
      </c>
      <c r="SU8" t="e">
        <f t="shared" si="9"/>
        <v>#VALUE!</v>
      </c>
      <c r="SV8" t="e">
        <f t="shared" si="9"/>
        <v>#VALUE!</v>
      </c>
      <c r="SW8" t="e">
        <f t="shared" si="9"/>
        <v>#VALUE!</v>
      </c>
      <c r="SX8" t="e">
        <f t="shared" si="9"/>
        <v>#VALUE!</v>
      </c>
      <c r="SY8" t="e">
        <f t="shared" si="10"/>
        <v>#VALUE!</v>
      </c>
      <c r="SZ8" t="e">
        <f t="shared" si="10"/>
        <v>#VALUE!</v>
      </c>
      <c r="TA8" t="e">
        <f t="shared" si="10"/>
        <v>#VALUE!</v>
      </c>
      <c r="TB8" t="e">
        <f t="shared" si="10"/>
        <v>#VALUE!</v>
      </c>
      <c r="TC8" t="e">
        <f t="shared" si="10"/>
        <v>#VALUE!</v>
      </c>
      <c r="TD8" t="e">
        <f t="shared" si="10"/>
        <v>#VALUE!</v>
      </c>
      <c r="TE8" t="e">
        <f t="shared" si="10"/>
        <v>#VALUE!</v>
      </c>
      <c r="TF8" t="e">
        <f t="shared" si="10"/>
        <v>#VALUE!</v>
      </c>
      <c r="TG8" t="e">
        <f t="shared" si="10"/>
        <v>#VALUE!</v>
      </c>
      <c r="TH8" t="e">
        <f t="shared" si="10"/>
        <v>#VALUE!</v>
      </c>
      <c r="TI8" t="e">
        <f t="shared" si="10"/>
        <v>#VALUE!</v>
      </c>
      <c r="TJ8" t="e">
        <f t="shared" si="10"/>
        <v>#VALUE!</v>
      </c>
      <c r="TK8" t="e">
        <f t="shared" si="10"/>
        <v>#VALUE!</v>
      </c>
      <c r="TL8" t="e">
        <f t="shared" si="10"/>
        <v>#VALUE!</v>
      </c>
      <c r="TM8" t="e">
        <f t="shared" si="10"/>
        <v>#VALUE!</v>
      </c>
      <c r="TN8" t="e">
        <f t="shared" si="10"/>
        <v>#VALUE!</v>
      </c>
      <c r="TO8" t="e">
        <f t="shared" si="10"/>
        <v>#VALUE!</v>
      </c>
      <c r="TP8" t="e">
        <f t="shared" si="10"/>
        <v>#VALUE!</v>
      </c>
      <c r="TQ8" t="e">
        <f t="shared" si="10"/>
        <v>#VALUE!</v>
      </c>
      <c r="TR8" t="e">
        <f t="shared" si="10"/>
        <v>#VALUE!</v>
      </c>
      <c r="TS8" t="e">
        <f t="shared" si="10"/>
        <v>#VALUE!</v>
      </c>
      <c r="TT8" t="e">
        <f t="shared" si="10"/>
        <v>#VALUE!</v>
      </c>
      <c r="TU8" t="e">
        <f t="shared" si="10"/>
        <v>#VALUE!</v>
      </c>
      <c r="TV8" t="e">
        <f t="shared" si="10"/>
        <v>#VALUE!</v>
      </c>
      <c r="TW8" t="e">
        <f t="shared" si="10"/>
        <v>#VALUE!</v>
      </c>
      <c r="TX8" t="e">
        <f t="shared" si="10"/>
        <v>#VALUE!</v>
      </c>
      <c r="TY8" t="e">
        <f t="shared" si="10"/>
        <v>#VALUE!</v>
      </c>
      <c r="TZ8" t="e">
        <f t="shared" si="10"/>
        <v>#VALUE!</v>
      </c>
      <c r="UA8" t="e">
        <f t="shared" si="10"/>
        <v>#VALUE!</v>
      </c>
      <c r="UB8" t="e">
        <f t="shared" si="10"/>
        <v>#VALUE!</v>
      </c>
      <c r="UC8" t="e">
        <f t="shared" si="10"/>
        <v>#VALUE!</v>
      </c>
      <c r="UD8" t="e">
        <f t="shared" si="10"/>
        <v>#VALUE!</v>
      </c>
      <c r="UE8" t="e">
        <f t="shared" si="10"/>
        <v>#VALUE!</v>
      </c>
      <c r="UF8" t="e">
        <f t="shared" si="10"/>
        <v>#VALUE!</v>
      </c>
      <c r="UG8" t="e">
        <f t="shared" si="10"/>
        <v>#VALUE!</v>
      </c>
      <c r="UH8" t="e">
        <f t="shared" si="10"/>
        <v>#VALUE!</v>
      </c>
      <c r="UI8" t="e">
        <f t="shared" si="10"/>
        <v>#VALUE!</v>
      </c>
      <c r="UJ8" t="e">
        <f t="shared" si="10"/>
        <v>#VALUE!</v>
      </c>
      <c r="UK8" t="e">
        <f t="shared" si="10"/>
        <v>#VALUE!</v>
      </c>
      <c r="UL8" t="e">
        <f t="shared" si="10"/>
        <v>#VALUE!</v>
      </c>
      <c r="UM8" t="e">
        <f t="shared" si="10"/>
        <v>#VALUE!</v>
      </c>
      <c r="UN8" t="e">
        <f t="shared" si="10"/>
        <v>#VALUE!</v>
      </c>
      <c r="UO8" t="e">
        <f t="shared" si="10"/>
        <v>#VALUE!</v>
      </c>
      <c r="UP8" t="e">
        <f t="shared" si="10"/>
        <v>#VALUE!</v>
      </c>
      <c r="UQ8" t="e">
        <f t="shared" si="10"/>
        <v>#VALUE!</v>
      </c>
      <c r="UR8" t="e">
        <f t="shared" si="10"/>
        <v>#VALUE!</v>
      </c>
      <c r="US8" t="e">
        <f t="shared" si="10"/>
        <v>#VALUE!</v>
      </c>
      <c r="UT8" t="e">
        <f t="shared" si="10"/>
        <v>#VALUE!</v>
      </c>
      <c r="UU8" t="e">
        <f t="shared" si="10"/>
        <v>#VALUE!</v>
      </c>
      <c r="UV8" t="e">
        <f t="shared" si="10"/>
        <v>#VALUE!</v>
      </c>
      <c r="UW8" t="e">
        <f t="shared" si="10"/>
        <v>#VALUE!</v>
      </c>
      <c r="UX8" t="e">
        <f t="shared" si="10"/>
        <v>#VALUE!</v>
      </c>
      <c r="UY8" t="e">
        <f t="shared" si="10"/>
        <v>#VALUE!</v>
      </c>
      <c r="UZ8" t="e">
        <f t="shared" si="10"/>
        <v>#VALUE!</v>
      </c>
      <c r="VA8" t="e">
        <f t="shared" si="10"/>
        <v>#VALUE!</v>
      </c>
      <c r="VB8" t="e">
        <f t="shared" si="10"/>
        <v>#VALUE!</v>
      </c>
      <c r="VC8" t="e">
        <f t="shared" si="10"/>
        <v>#VALUE!</v>
      </c>
      <c r="VD8" t="e">
        <f t="shared" si="10"/>
        <v>#VALUE!</v>
      </c>
      <c r="VE8" t="e">
        <f t="shared" si="10"/>
        <v>#VALUE!</v>
      </c>
      <c r="VF8" t="e">
        <f t="shared" si="10"/>
        <v>#VALUE!</v>
      </c>
      <c r="VG8" t="e">
        <f t="shared" si="10"/>
        <v>#VALUE!</v>
      </c>
      <c r="VH8" t="e">
        <f t="shared" si="10"/>
        <v>#VALUE!</v>
      </c>
      <c r="VI8" t="e">
        <f t="shared" si="10"/>
        <v>#VALUE!</v>
      </c>
      <c r="VJ8" t="e">
        <f t="shared" si="10"/>
        <v>#VALUE!</v>
      </c>
      <c r="VK8" t="e">
        <f t="shared" si="11"/>
        <v>#VALUE!</v>
      </c>
      <c r="VL8" t="e">
        <f t="shared" si="11"/>
        <v>#VALUE!</v>
      </c>
      <c r="VM8" t="e">
        <f t="shared" si="11"/>
        <v>#VALUE!</v>
      </c>
      <c r="VN8" t="e">
        <f t="shared" si="11"/>
        <v>#VALUE!</v>
      </c>
      <c r="VO8" t="e">
        <f t="shared" si="11"/>
        <v>#VALUE!</v>
      </c>
      <c r="VP8" t="e">
        <f t="shared" si="11"/>
        <v>#VALUE!</v>
      </c>
      <c r="VQ8" t="e">
        <f t="shared" si="11"/>
        <v>#VALUE!</v>
      </c>
      <c r="VR8" t="e">
        <f t="shared" si="11"/>
        <v>#VALUE!</v>
      </c>
      <c r="VS8" t="e">
        <f t="shared" si="11"/>
        <v>#VALUE!</v>
      </c>
      <c r="VT8" t="e">
        <f t="shared" si="11"/>
        <v>#VALUE!</v>
      </c>
      <c r="VU8" t="e">
        <f t="shared" si="11"/>
        <v>#VALUE!</v>
      </c>
      <c r="VV8" t="e">
        <f t="shared" si="11"/>
        <v>#VALUE!</v>
      </c>
      <c r="VW8" t="e">
        <f t="shared" si="11"/>
        <v>#VALUE!</v>
      </c>
      <c r="VX8" t="e">
        <f t="shared" si="11"/>
        <v>#VALUE!</v>
      </c>
      <c r="VY8" t="e">
        <f t="shared" si="11"/>
        <v>#VALUE!</v>
      </c>
      <c r="VZ8" t="e">
        <f t="shared" si="11"/>
        <v>#VALUE!</v>
      </c>
      <c r="WA8" t="e">
        <f t="shared" si="11"/>
        <v>#VALUE!</v>
      </c>
      <c r="WB8" t="e">
        <f t="shared" si="11"/>
        <v>#VALUE!</v>
      </c>
      <c r="WC8" t="e">
        <f t="shared" si="11"/>
        <v>#VALUE!</v>
      </c>
      <c r="WD8" t="e">
        <f t="shared" si="11"/>
        <v>#VALUE!</v>
      </c>
      <c r="WE8" t="e">
        <f t="shared" si="11"/>
        <v>#VALUE!</v>
      </c>
      <c r="WF8" t="e">
        <f t="shared" si="11"/>
        <v>#VALUE!</v>
      </c>
      <c r="WG8" t="e">
        <f t="shared" si="11"/>
        <v>#VALUE!</v>
      </c>
      <c r="WH8" t="e">
        <f t="shared" si="11"/>
        <v>#VALUE!</v>
      </c>
      <c r="WI8" t="e">
        <f t="shared" si="11"/>
        <v>#VALUE!</v>
      </c>
      <c r="WJ8" t="e">
        <f t="shared" si="11"/>
        <v>#VALUE!</v>
      </c>
      <c r="WK8" t="e">
        <f t="shared" si="11"/>
        <v>#VALUE!</v>
      </c>
      <c r="WL8" t="e">
        <f t="shared" si="11"/>
        <v>#VALUE!</v>
      </c>
      <c r="WM8" t="e">
        <f t="shared" si="11"/>
        <v>#VALUE!</v>
      </c>
      <c r="WN8" t="e">
        <f t="shared" si="11"/>
        <v>#VALUE!</v>
      </c>
      <c r="WO8" t="e">
        <f t="shared" si="11"/>
        <v>#VALUE!</v>
      </c>
      <c r="WP8" t="e">
        <f t="shared" si="11"/>
        <v>#VALUE!</v>
      </c>
      <c r="WQ8" t="e">
        <f t="shared" si="11"/>
        <v>#VALUE!</v>
      </c>
      <c r="WR8" t="e">
        <f t="shared" si="11"/>
        <v>#VALUE!</v>
      </c>
      <c r="WS8" t="e">
        <f t="shared" si="11"/>
        <v>#VALUE!</v>
      </c>
      <c r="WT8" t="e">
        <f t="shared" si="11"/>
        <v>#VALUE!</v>
      </c>
      <c r="WU8" t="e">
        <f t="shared" si="11"/>
        <v>#VALUE!</v>
      </c>
      <c r="WV8" t="e">
        <f t="shared" si="11"/>
        <v>#VALUE!</v>
      </c>
      <c r="WW8" t="e">
        <f t="shared" si="11"/>
        <v>#VALUE!</v>
      </c>
      <c r="WX8" t="e">
        <f t="shared" si="11"/>
        <v>#VALUE!</v>
      </c>
      <c r="WY8" t="e">
        <f t="shared" si="11"/>
        <v>#VALUE!</v>
      </c>
      <c r="WZ8" t="e">
        <f t="shared" si="11"/>
        <v>#VALUE!</v>
      </c>
      <c r="XA8" t="e">
        <f t="shared" si="11"/>
        <v>#VALUE!</v>
      </c>
      <c r="XB8" t="e">
        <f t="shared" si="11"/>
        <v>#VALUE!</v>
      </c>
      <c r="XC8" t="e">
        <f t="shared" si="11"/>
        <v>#VALUE!</v>
      </c>
      <c r="XD8" t="e">
        <f t="shared" si="11"/>
        <v>#VALUE!</v>
      </c>
      <c r="XE8" t="e">
        <f t="shared" si="11"/>
        <v>#VALUE!</v>
      </c>
      <c r="XF8" t="e">
        <f t="shared" si="11"/>
        <v>#VALUE!</v>
      </c>
      <c r="XG8" t="e">
        <f t="shared" si="11"/>
        <v>#VALUE!</v>
      </c>
      <c r="XH8" t="e">
        <f t="shared" si="11"/>
        <v>#VALUE!</v>
      </c>
      <c r="XI8" t="e">
        <f t="shared" si="11"/>
        <v>#VALUE!</v>
      </c>
      <c r="XJ8" t="e">
        <f t="shared" si="11"/>
        <v>#VALUE!</v>
      </c>
      <c r="XK8" t="e">
        <f t="shared" si="11"/>
        <v>#VALUE!</v>
      </c>
      <c r="XL8" t="e">
        <f t="shared" si="11"/>
        <v>#VALUE!</v>
      </c>
      <c r="XM8" t="e">
        <f t="shared" si="11"/>
        <v>#VALUE!</v>
      </c>
      <c r="XN8" t="e">
        <f t="shared" si="11"/>
        <v>#VALUE!</v>
      </c>
      <c r="XO8" t="e">
        <f t="shared" si="11"/>
        <v>#VALUE!</v>
      </c>
      <c r="XP8" t="e">
        <f t="shared" si="11"/>
        <v>#VALUE!</v>
      </c>
      <c r="XQ8" t="e">
        <f t="shared" si="11"/>
        <v>#VALUE!</v>
      </c>
      <c r="XR8" t="e">
        <f t="shared" si="11"/>
        <v>#VALUE!</v>
      </c>
      <c r="XS8" t="e">
        <f t="shared" si="11"/>
        <v>#VALUE!</v>
      </c>
      <c r="XT8" t="e">
        <f t="shared" si="11"/>
        <v>#VALUE!</v>
      </c>
      <c r="XU8" t="e">
        <f t="shared" si="11"/>
        <v>#VALUE!</v>
      </c>
      <c r="XV8" t="e">
        <f t="shared" si="11"/>
        <v>#VALUE!</v>
      </c>
      <c r="XW8" t="e">
        <f t="shared" si="12"/>
        <v>#VALUE!</v>
      </c>
      <c r="XX8" t="e">
        <f t="shared" si="12"/>
        <v>#VALUE!</v>
      </c>
      <c r="XY8" t="e">
        <f t="shared" si="12"/>
        <v>#VALUE!</v>
      </c>
      <c r="XZ8" t="e">
        <f t="shared" si="12"/>
        <v>#VALUE!</v>
      </c>
      <c r="YA8" t="e">
        <f t="shared" si="12"/>
        <v>#VALUE!</v>
      </c>
      <c r="YB8" t="e">
        <f t="shared" si="12"/>
        <v>#VALUE!</v>
      </c>
      <c r="YC8" t="e">
        <f t="shared" si="12"/>
        <v>#VALUE!</v>
      </c>
      <c r="YD8" t="e">
        <f t="shared" si="12"/>
        <v>#VALUE!</v>
      </c>
      <c r="YE8" t="e">
        <f t="shared" si="12"/>
        <v>#VALUE!</v>
      </c>
      <c r="YF8" t="e">
        <f t="shared" si="12"/>
        <v>#VALUE!</v>
      </c>
      <c r="YG8" t="e">
        <f t="shared" si="12"/>
        <v>#VALUE!</v>
      </c>
      <c r="YH8" t="e">
        <f t="shared" si="12"/>
        <v>#VALUE!</v>
      </c>
      <c r="YI8" t="e">
        <f t="shared" si="12"/>
        <v>#VALUE!</v>
      </c>
      <c r="YJ8" t="e">
        <f t="shared" si="12"/>
        <v>#VALUE!</v>
      </c>
      <c r="YK8" t="e">
        <f t="shared" si="12"/>
        <v>#VALUE!</v>
      </c>
      <c r="YL8" t="e">
        <f t="shared" si="12"/>
        <v>#VALUE!</v>
      </c>
      <c r="YM8" t="e">
        <f t="shared" si="12"/>
        <v>#VALUE!</v>
      </c>
      <c r="YN8" t="e">
        <f t="shared" si="12"/>
        <v>#VALUE!</v>
      </c>
      <c r="YO8" t="e">
        <f t="shared" si="12"/>
        <v>#VALUE!</v>
      </c>
      <c r="YP8" t="e">
        <f t="shared" si="12"/>
        <v>#VALUE!</v>
      </c>
      <c r="YQ8" t="e">
        <f t="shared" si="12"/>
        <v>#VALUE!</v>
      </c>
      <c r="YR8" t="e">
        <f t="shared" si="12"/>
        <v>#VALUE!</v>
      </c>
      <c r="YS8" t="e">
        <f t="shared" si="12"/>
        <v>#VALUE!</v>
      </c>
      <c r="YT8" t="e">
        <f t="shared" si="12"/>
        <v>#VALUE!</v>
      </c>
      <c r="YU8" t="e">
        <f t="shared" si="12"/>
        <v>#VALUE!</v>
      </c>
      <c r="YV8" t="e">
        <f t="shared" si="12"/>
        <v>#VALUE!</v>
      </c>
      <c r="YW8" t="e">
        <f t="shared" si="12"/>
        <v>#VALUE!</v>
      </c>
      <c r="YX8" t="e">
        <f t="shared" si="12"/>
        <v>#VALUE!</v>
      </c>
      <c r="YY8" t="e">
        <f t="shared" si="12"/>
        <v>#VALUE!</v>
      </c>
      <c r="YZ8" t="e">
        <f t="shared" si="12"/>
        <v>#VALUE!</v>
      </c>
      <c r="ZA8" t="e">
        <f t="shared" si="12"/>
        <v>#VALUE!</v>
      </c>
      <c r="ZB8" t="e">
        <f t="shared" si="12"/>
        <v>#VALUE!</v>
      </c>
      <c r="ZC8" t="e">
        <f t="shared" si="12"/>
        <v>#VALUE!</v>
      </c>
      <c r="ZD8" t="e">
        <f t="shared" si="12"/>
        <v>#VALUE!</v>
      </c>
      <c r="ZE8" t="e">
        <f t="shared" si="12"/>
        <v>#VALUE!</v>
      </c>
      <c r="ZF8" t="e">
        <f t="shared" si="12"/>
        <v>#VALUE!</v>
      </c>
      <c r="ZG8" t="e">
        <f t="shared" si="12"/>
        <v>#VALUE!</v>
      </c>
      <c r="ZH8" t="e">
        <f t="shared" si="12"/>
        <v>#VALUE!</v>
      </c>
      <c r="ZI8" t="e">
        <f t="shared" si="12"/>
        <v>#VALUE!</v>
      </c>
      <c r="ZJ8" t="e">
        <f t="shared" si="12"/>
        <v>#VALUE!</v>
      </c>
      <c r="ZK8" t="e">
        <f t="shared" si="12"/>
        <v>#VALUE!</v>
      </c>
      <c r="ZL8" t="e">
        <f t="shared" si="12"/>
        <v>#VALUE!</v>
      </c>
      <c r="ZM8" t="e">
        <f t="shared" si="12"/>
        <v>#VALUE!</v>
      </c>
      <c r="ZN8" t="e">
        <f t="shared" si="12"/>
        <v>#VALUE!</v>
      </c>
      <c r="ZO8" t="e">
        <f t="shared" si="12"/>
        <v>#VALUE!</v>
      </c>
      <c r="ZP8" t="e">
        <f t="shared" si="12"/>
        <v>#VALUE!</v>
      </c>
      <c r="ZQ8" t="e">
        <f t="shared" si="12"/>
        <v>#VALUE!</v>
      </c>
      <c r="ZR8" t="e">
        <f t="shared" si="12"/>
        <v>#VALUE!</v>
      </c>
      <c r="ZS8" t="e">
        <f t="shared" si="12"/>
        <v>#VALUE!</v>
      </c>
      <c r="ZT8" t="e">
        <f t="shared" si="12"/>
        <v>#VALUE!</v>
      </c>
      <c r="ZU8" t="e">
        <f t="shared" si="12"/>
        <v>#VALUE!</v>
      </c>
      <c r="ZV8" t="e">
        <f t="shared" si="12"/>
        <v>#VALUE!</v>
      </c>
      <c r="ZW8" t="e">
        <f t="shared" si="12"/>
        <v>#VALUE!</v>
      </c>
      <c r="ZX8" t="e">
        <f t="shared" si="12"/>
        <v>#VALUE!</v>
      </c>
      <c r="ZY8" t="e">
        <f t="shared" si="12"/>
        <v>#VALUE!</v>
      </c>
      <c r="ZZ8" t="e">
        <f t="shared" si="12"/>
        <v>#VALUE!</v>
      </c>
      <c r="AAA8" t="e">
        <f t="shared" si="12"/>
        <v>#VALUE!</v>
      </c>
      <c r="AAB8" t="e">
        <f t="shared" si="12"/>
        <v>#VALUE!</v>
      </c>
      <c r="AAC8" t="e">
        <f t="shared" si="12"/>
        <v>#VALUE!</v>
      </c>
      <c r="AAD8" t="e">
        <f t="shared" si="12"/>
        <v>#VALUE!</v>
      </c>
      <c r="AAE8" t="e">
        <f t="shared" si="12"/>
        <v>#VALUE!</v>
      </c>
      <c r="AAF8" t="e">
        <f t="shared" si="12"/>
        <v>#VALUE!</v>
      </c>
      <c r="AAG8" t="e">
        <f t="shared" si="12"/>
        <v>#VALUE!</v>
      </c>
      <c r="AAH8" t="e">
        <f t="shared" si="12"/>
        <v>#VALUE!</v>
      </c>
      <c r="AAI8" t="e">
        <f t="shared" si="13"/>
        <v>#VALUE!</v>
      </c>
      <c r="AAJ8" t="e">
        <f t="shared" si="13"/>
        <v>#VALUE!</v>
      </c>
      <c r="AAK8" t="e">
        <f t="shared" si="13"/>
        <v>#VALUE!</v>
      </c>
      <c r="AAL8" t="e">
        <f t="shared" si="13"/>
        <v>#VALUE!</v>
      </c>
      <c r="AAM8" t="e">
        <f t="shared" si="13"/>
        <v>#VALUE!</v>
      </c>
      <c r="AAN8" t="e">
        <f t="shared" si="13"/>
        <v>#VALUE!</v>
      </c>
      <c r="AAO8" t="e">
        <f t="shared" si="13"/>
        <v>#VALUE!</v>
      </c>
      <c r="AAP8" t="e">
        <f t="shared" si="13"/>
        <v>#VALUE!</v>
      </c>
      <c r="AAQ8" t="e">
        <f t="shared" si="13"/>
        <v>#VALUE!</v>
      </c>
      <c r="AAR8" t="e">
        <f t="shared" si="13"/>
        <v>#VALUE!</v>
      </c>
      <c r="AAS8" t="e">
        <f t="shared" si="13"/>
        <v>#VALUE!</v>
      </c>
      <c r="AAT8" t="e">
        <f t="shared" si="13"/>
        <v>#VALUE!</v>
      </c>
      <c r="AAU8" t="e">
        <f t="shared" si="13"/>
        <v>#VALUE!</v>
      </c>
      <c r="AAV8" t="e">
        <f t="shared" si="13"/>
        <v>#VALUE!</v>
      </c>
      <c r="AAW8" t="e">
        <f t="shared" si="13"/>
        <v>#VALUE!</v>
      </c>
      <c r="AAX8" t="e">
        <f t="shared" si="13"/>
        <v>#VALUE!</v>
      </c>
      <c r="AAY8" t="e">
        <f t="shared" si="13"/>
        <v>#VALUE!</v>
      </c>
      <c r="AAZ8" t="e">
        <f t="shared" si="13"/>
        <v>#VALUE!</v>
      </c>
      <c r="ABA8" t="e">
        <f t="shared" si="13"/>
        <v>#VALUE!</v>
      </c>
      <c r="ABB8" t="e">
        <f t="shared" si="13"/>
        <v>#VALUE!</v>
      </c>
      <c r="ABC8" t="e">
        <f t="shared" si="13"/>
        <v>#VALUE!</v>
      </c>
      <c r="ABD8" t="e">
        <f t="shared" si="13"/>
        <v>#VALUE!</v>
      </c>
      <c r="ABE8" t="e">
        <f t="shared" si="13"/>
        <v>#VALUE!</v>
      </c>
      <c r="ABF8" t="e">
        <f t="shared" si="13"/>
        <v>#VALUE!</v>
      </c>
      <c r="ABG8" t="e">
        <f t="shared" si="13"/>
        <v>#VALUE!</v>
      </c>
      <c r="ABH8" t="e">
        <f t="shared" si="13"/>
        <v>#VALUE!</v>
      </c>
      <c r="ABI8" t="e">
        <f t="shared" si="13"/>
        <v>#VALUE!</v>
      </c>
      <c r="ABJ8" t="e">
        <f t="shared" si="13"/>
        <v>#VALUE!</v>
      </c>
      <c r="ABK8" t="e">
        <f t="shared" si="13"/>
        <v>#VALUE!</v>
      </c>
      <c r="ABL8" t="e">
        <f t="shared" si="13"/>
        <v>#VALUE!</v>
      </c>
      <c r="ABM8" t="e">
        <f t="shared" si="13"/>
        <v>#VALUE!</v>
      </c>
      <c r="ABN8" t="e">
        <f t="shared" si="13"/>
        <v>#VALUE!</v>
      </c>
      <c r="ABO8" t="e">
        <f t="shared" si="13"/>
        <v>#VALUE!</v>
      </c>
      <c r="ABP8" t="e">
        <f t="shared" si="13"/>
        <v>#VALUE!</v>
      </c>
      <c r="ABQ8" t="e">
        <f t="shared" si="13"/>
        <v>#VALUE!</v>
      </c>
      <c r="ABR8" t="e">
        <f t="shared" si="13"/>
        <v>#VALUE!</v>
      </c>
      <c r="ABS8" t="e">
        <f t="shared" si="13"/>
        <v>#VALUE!</v>
      </c>
      <c r="ABT8" t="e">
        <f t="shared" si="13"/>
        <v>#VALUE!</v>
      </c>
      <c r="ABU8" t="e">
        <f t="shared" si="13"/>
        <v>#VALUE!</v>
      </c>
      <c r="ABV8" t="e">
        <f t="shared" si="13"/>
        <v>#VALUE!</v>
      </c>
      <c r="ABW8" t="e">
        <f t="shared" si="13"/>
        <v>#VALUE!</v>
      </c>
      <c r="ABX8" t="e">
        <f t="shared" si="13"/>
        <v>#VALUE!</v>
      </c>
      <c r="ABY8" t="e">
        <f t="shared" si="13"/>
        <v>#VALUE!</v>
      </c>
      <c r="ABZ8" t="e">
        <f t="shared" si="13"/>
        <v>#VALUE!</v>
      </c>
      <c r="ACA8" t="e">
        <f t="shared" si="13"/>
        <v>#VALUE!</v>
      </c>
      <c r="ACB8" t="e">
        <f t="shared" si="13"/>
        <v>#VALUE!</v>
      </c>
      <c r="ACC8" t="e">
        <f t="shared" si="13"/>
        <v>#VALUE!</v>
      </c>
      <c r="ACD8" t="e">
        <f t="shared" si="13"/>
        <v>#VALUE!</v>
      </c>
      <c r="ACE8" t="e">
        <f t="shared" si="13"/>
        <v>#VALUE!</v>
      </c>
      <c r="ACF8" t="e">
        <f t="shared" si="13"/>
        <v>#VALUE!</v>
      </c>
      <c r="ACG8" t="e">
        <f t="shared" si="13"/>
        <v>#VALUE!</v>
      </c>
      <c r="ACH8" t="e">
        <f t="shared" si="13"/>
        <v>#VALUE!</v>
      </c>
      <c r="ACI8" t="e">
        <f t="shared" si="13"/>
        <v>#VALUE!</v>
      </c>
      <c r="ACJ8" t="e">
        <f t="shared" si="13"/>
        <v>#VALUE!</v>
      </c>
      <c r="ACK8" t="e">
        <f t="shared" si="13"/>
        <v>#VALUE!</v>
      </c>
      <c r="ACL8" t="e">
        <f t="shared" si="13"/>
        <v>#VALUE!</v>
      </c>
      <c r="ACM8" t="e">
        <f t="shared" si="13"/>
        <v>#VALUE!</v>
      </c>
      <c r="ACN8" t="e">
        <f t="shared" si="13"/>
        <v>#VALUE!</v>
      </c>
      <c r="ACO8" t="e">
        <f t="shared" si="13"/>
        <v>#VALUE!</v>
      </c>
      <c r="ACP8" t="e">
        <f t="shared" si="13"/>
        <v>#VALUE!</v>
      </c>
      <c r="ACQ8" t="e">
        <f t="shared" si="13"/>
        <v>#VALUE!</v>
      </c>
      <c r="ACR8" t="e">
        <f t="shared" si="13"/>
        <v>#VALUE!</v>
      </c>
      <c r="ACS8" t="e">
        <f t="shared" si="13"/>
        <v>#VALUE!</v>
      </c>
      <c r="ACT8" t="e">
        <f t="shared" si="13"/>
        <v>#VALUE!</v>
      </c>
      <c r="ACU8" t="e">
        <f t="shared" si="14"/>
        <v>#VALUE!</v>
      </c>
      <c r="ACV8" t="e">
        <f t="shared" si="14"/>
        <v>#VALUE!</v>
      </c>
      <c r="ACW8" t="e">
        <f t="shared" si="14"/>
        <v>#VALUE!</v>
      </c>
      <c r="ACX8" t="e">
        <f t="shared" si="14"/>
        <v>#VALUE!</v>
      </c>
      <c r="ACY8" t="e">
        <f t="shared" si="14"/>
        <v>#VALUE!</v>
      </c>
      <c r="ACZ8" t="e">
        <f t="shared" si="14"/>
        <v>#VALUE!</v>
      </c>
      <c r="ADA8" t="e">
        <f t="shared" si="14"/>
        <v>#VALUE!</v>
      </c>
      <c r="ADB8" t="e">
        <f t="shared" si="14"/>
        <v>#VALUE!</v>
      </c>
      <c r="ADC8" t="e">
        <f t="shared" si="14"/>
        <v>#VALUE!</v>
      </c>
      <c r="ADD8" t="e">
        <f t="shared" si="14"/>
        <v>#VALUE!</v>
      </c>
      <c r="ADE8" t="e">
        <f t="shared" si="14"/>
        <v>#VALUE!</v>
      </c>
      <c r="ADF8" t="e">
        <f t="shared" si="14"/>
        <v>#VALUE!</v>
      </c>
      <c r="ADG8" t="e">
        <f t="shared" si="14"/>
        <v>#VALUE!</v>
      </c>
      <c r="ADH8" t="e">
        <f t="shared" si="14"/>
        <v>#VALUE!</v>
      </c>
      <c r="ADI8" t="e">
        <f t="shared" si="14"/>
        <v>#VALUE!</v>
      </c>
      <c r="ADJ8" t="e">
        <f t="shared" si="14"/>
        <v>#VALUE!</v>
      </c>
      <c r="ADK8" t="e">
        <f t="shared" si="14"/>
        <v>#VALUE!</v>
      </c>
      <c r="ADL8" t="e">
        <f t="shared" si="14"/>
        <v>#VALUE!</v>
      </c>
      <c r="ADM8" t="e">
        <f t="shared" si="14"/>
        <v>#VALUE!</v>
      </c>
      <c r="ADN8" t="e">
        <f t="shared" si="14"/>
        <v>#VALUE!</v>
      </c>
      <c r="ADO8" t="e">
        <f t="shared" si="14"/>
        <v>#VALUE!</v>
      </c>
      <c r="ADP8" t="e">
        <f t="shared" si="14"/>
        <v>#VALUE!</v>
      </c>
      <c r="ADQ8" t="e">
        <f t="shared" si="14"/>
        <v>#VALUE!</v>
      </c>
      <c r="ADR8" t="e">
        <f t="shared" si="14"/>
        <v>#VALUE!</v>
      </c>
      <c r="ADS8" t="e">
        <f t="shared" si="14"/>
        <v>#VALUE!</v>
      </c>
      <c r="ADT8" t="e">
        <f t="shared" si="14"/>
        <v>#VALUE!</v>
      </c>
      <c r="ADU8" t="e">
        <f t="shared" si="14"/>
        <v>#VALUE!</v>
      </c>
      <c r="ADV8" t="e">
        <f t="shared" si="14"/>
        <v>#VALUE!</v>
      </c>
      <c r="ADW8" t="e">
        <f t="shared" si="14"/>
        <v>#VALUE!</v>
      </c>
      <c r="ADX8" t="e">
        <f t="shared" si="14"/>
        <v>#VALUE!</v>
      </c>
      <c r="ADY8" t="e">
        <f t="shared" si="14"/>
        <v>#VALUE!</v>
      </c>
      <c r="ADZ8" t="e">
        <f t="shared" si="14"/>
        <v>#VALUE!</v>
      </c>
      <c r="AEA8" t="e">
        <f t="shared" si="14"/>
        <v>#VALUE!</v>
      </c>
      <c r="AEB8" t="e">
        <f t="shared" si="14"/>
        <v>#VALUE!</v>
      </c>
      <c r="AEC8" t="e">
        <f t="shared" si="14"/>
        <v>#VALUE!</v>
      </c>
      <c r="AED8" t="e">
        <f t="shared" si="14"/>
        <v>#VALUE!</v>
      </c>
      <c r="AEE8" t="e">
        <f t="shared" si="14"/>
        <v>#VALUE!</v>
      </c>
      <c r="AEF8" t="e">
        <f t="shared" si="14"/>
        <v>#VALUE!</v>
      </c>
      <c r="AEG8" t="e">
        <f t="shared" si="14"/>
        <v>#VALUE!</v>
      </c>
      <c r="AEH8" t="e">
        <f t="shared" si="14"/>
        <v>#VALUE!</v>
      </c>
      <c r="AEI8" t="e">
        <f t="shared" si="14"/>
        <v>#VALUE!</v>
      </c>
      <c r="AEJ8" t="e">
        <f t="shared" si="14"/>
        <v>#VALUE!</v>
      </c>
      <c r="AEK8" t="e">
        <f t="shared" si="14"/>
        <v>#VALUE!</v>
      </c>
      <c r="AEL8" t="e">
        <f t="shared" si="14"/>
        <v>#VALUE!</v>
      </c>
      <c r="AEM8" t="e">
        <f t="shared" si="14"/>
        <v>#VALUE!</v>
      </c>
      <c r="AEN8" t="e">
        <f t="shared" si="14"/>
        <v>#VALUE!</v>
      </c>
      <c r="AEO8" t="e">
        <f t="shared" si="14"/>
        <v>#VALUE!</v>
      </c>
      <c r="AEP8" t="e">
        <f t="shared" si="14"/>
        <v>#VALUE!</v>
      </c>
      <c r="AEQ8" t="e">
        <f t="shared" si="14"/>
        <v>#VALUE!</v>
      </c>
      <c r="AER8" t="e">
        <f t="shared" si="14"/>
        <v>#VALUE!</v>
      </c>
      <c r="AES8" t="e">
        <f t="shared" si="14"/>
        <v>#VALUE!</v>
      </c>
      <c r="AET8" t="e">
        <f t="shared" si="14"/>
        <v>#VALUE!</v>
      </c>
      <c r="AEU8" t="e">
        <f t="shared" si="14"/>
        <v>#VALUE!</v>
      </c>
      <c r="AEV8" t="e">
        <f t="shared" si="14"/>
        <v>#VALUE!</v>
      </c>
      <c r="AEW8" t="e">
        <f t="shared" si="14"/>
        <v>#VALUE!</v>
      </c>
      <c r="AEX8" t="e">
        <f t="shared" si="14"/>
        <v>#VALUE!</v>
      </c>
      <c r="AEY8" t="e">
        <f t="shared" si="14"/>
        <v>#VALUE!</v>
      </c>
      <c r="AEZ8" t="e">
        <f t="shared" si="14"/>
        <v>#VALUE!</v>
      </c>
      <c r="AFA8" t="e">
        <f t="shared" si="14"/>
        <v>#VALUE!</v>
      </c>
      <c r="AFB8" t="e">
        <f t="shared" si="14"/>
        <v>#VALUE!</v>
      </c>
      <c r="AFC8" t="e">
        <f t="shared" si="14"/>
        <v>#VALUE!</v>
      </c>
      <c r="AFD8" t="e">
        <f t="shared" si="14"/>
        <v>#VALUE!</v>
      </c>
      <c r="AFE8" t="e">
        <f t="shared" si="14"/>
        <v>#VALUE!</v>
      </c>
      <c r="AFF8" t="e">
        <f t="shared" si="14"/>
        <v>#VALUE!</v>
      </c>
      <c r="AFG8" t="e">
        <f t="shared" si="15"/>
        <v>#VALUE!</v>
      </c>
      <c r="AFH8" t="e">
        <f t="shared" si="15"/>
        <v>#VALUE!</v>
      </c>
      <c r="AFI8" t="e">
        <f t="shared" si="15"/>
        <v>#VALUE!</v>
      </c>
      <c r="AFJ8" t="e">
        <f t="shared" si="15"/>
        <v>#VALUE!</v>
      </c>
      <c r="AFK8" t="e">
        <f t="shared" si="15"/>
        <v>#VALUE!</v>
      </c>
      <c r="AFL8" t="e">
        <f t="shared" si="15"/>
        <v>#VALUE!</v>
      </c>
      <c r="AFM8" t="e">
        <f t="shared" si="15"/>
        <v>#VALUE!</v>
      </c>
      <c r="AFN8" t="e">
        <f t="shared" si="15"/>
        <v>#VALUE!</v>
      </c>
      <c r="AFO8" t="e">
        <f t="shared" si="15"/>
        <v>#VALUE!</v>
      </c>
      <c r="AFP8" t="e">
        <f t="shared" si="15"/>
        <v>#VALUE!</v>
      </c>
      <c r="AFQ8" t="e">
        <f t="shared" si="15"/>
        <v>#VALUE!</v>
      </c>
      <c r="AFR8" t="e">
        <f t="shared" si="15"/>
        <v>#VALUE!</v>
      </c>
      <c r="AFS8" t="e">
        <f t="shared" si="15"/>
        <v>#VALUE!</v>
      </c>
      <c r="AFT8" t="e">
        <f t="shared" si="15"/>
        <v>#VALUE!</v>
      </c>
      <c r="AFU8" t="e">
        <f t="shared" si="15"/>
        <v>#VALUE!</v>
      </c>
      <c r="AFV8" t="e">
        <f t="shared" si="15"/>
        <v>#VALUE!</v>
      </c>
      <c r="AFW8" t="e">
        <f t="shared" si="15"/>
        <v>#VALUE!</v>
      </c>
      <c r="AFX8" t="e">
        <f t="shared" si="15"/>
        <v>#VALUE!</v>
      </c>
      <c r="AFY8" t="e">
        <f t="shared" si="15"/>
        <v>#VALUE!</v>
      </c>
      <c r="AFZ8" t="e">
        <f t="shared" si="15"/>
        <v>#VALUE!</v>
      </c>
      <c r="AGA8" t="e">
        <f t="shared" si="15"/>
        <v>#VALUE!</v>
      </c>
      <c r="AGB8" t="e">
        <f t="shared" si="15"/>
        <v>#VALUE!</v>
      </c>
      <c r="AGC8" t="e">
        <f t="shared" si="15"/>
        <v>#VALUE!</v>
      </c>
      <c r="AGD8" t="e">
        <f t="shared" si="15"/>
        <v>#VALUE!</v>
      </c>
      <c r="AGE8" t="e">
        <f t="shared" si="15"/>
        <v>#VALUE!</v>
      </c>
      <c r="AGF8" t="e">
        <f t="shared" si="15"/>
        <v>#VALUE!</v>
      </c>
      <c r="AGG8" t="e">
        <f t="shared" si="15"/>
        <v>#VALUE!</v>
      </c>
      <c r="AGH8" t="e">
        <f t="shared" si="15"/>
        <v>#VALUE!</v>
      </c>
      <c r="AGI8" t="e">
        <f t="shared" si="15"/>
        <v>#VALUE!</v>
      </c>
      <c r="AGJ8" t="e">
        <f t="shared" si="15"/>
        <v>#VALUE!</v>
      </c>
      <c r="AGK8" t="e">
        <f t="shared" si="15"/>
        <v>#VALUE!</v>
      </c>
      <c r="AGL8" t="e">
        <f t="shared" si="15"/>
        <v>#VALUE!</v>
      </c>
      <c r="AGM8" t="e">
        <f t="shared" si="15"/>
        <v>#VALUE!</v>
      </c>
      <c r="AGN8" t="e">
        <f t="shared" si="15"/>
        <v>#VALUE!</v>
      </c>
      <c r="AGO8" t="e">
        <f t="shared" si="15"/>
        <v>#VALUE!</v>
      </c>
      <c r="AGP8" t="e">
        <f t="shared" si="15"/>
        <v>#VALUE!</v>
      </c>
      <c r="AGQ8" t="e">
        <f t="shared" si="15"/>
        <v>#VALUE!</v>
      </c>
      <c r="AGR8" t="e">
        <f t="shared" si="15"/>
        <v>#VALUE!</v>
      </c>
      <c r="AGS8" t="e">
        <f t="shared" si="15"/>
        <v>#VALUE!</v>
      </c>
      <c r="AGT8" t="e">
        <f t="shared" si="15"/>
        <v>#VALUE!</v>
      </c>
      <c r="AGU8" t="e">
        <f t="shared" si="15"/>
        <v>#VALUE!</v>
      </c>
      <c r="AGV8" t="e">
        <f t="shared" si="15"/>
        <v>#VALUE!</v>
      </c>
      <c r="AGW8" t="e">
        <f t="shared" si="15"/>
        <v>#VALUE!</v>
      </c>
      <c r="AGX8" t="e">
        <f t="shared" si="15"/>
        <v>#VALUE!</v>
      </c>
      <c r="AGY8" t="e">
        <f t="shared" si="15"/>
        <v>#VALUE!</v>
      </c>
      <c r="AGZ8" t="e">
        <f t="shared" si="15"/>
        <v>#VALUE!</v>
      </c>
      <c r="AHA8" t="e">
        <f t="shared" si="15"/>
        <v>#VALUE!</v>
      </c>
      <c r="AHB8" t="e">
        <f t="shared" si="15"/>
        <v>#VALUE!</v>
      </c>
      <c r="AHC8" t="e">
        <f t="shared" si="15"/>
        <v>#VALUE!</v>
      </c>
      <c r="AHD8" t="e">
        <f t="shared" si="15"/>
        <v>#VALUE!</v>
      </c>
      <c r="AHE8" t="e">
        <f t="shared" si="15"/>
        <v>#VALUE!</v>
      </c>
      <c r="AHF8" t="e">
        <f t="shared" si="15"/>
        <v>#VALUE!</v>
      </c>
      <c r="AHG8" t="e">
        <f t="shared" si="15"/>
        <v>#VALUE!</v>
      </c>
      <c r="AHH8" t="e">
        <f t="shared" si="15"/>
        <v>#VALUE!</v>
      </c>
      <c r="AHI8" t="e">
        <f t="shared" si="15"/>
        <v>#VALUE!</v>
      </c>
      <c r="AHJ8" t="e">
        <f t="shared" si="15"/>
        <v>#VALUE!</v>
      </c>
      <c r="AHK8" t="e">
        <f t="shared" si="15"/>
        <v>#VALUE!</v>
      </c>
      <c r="AHL8" t="e">
        <f t="shared" si="15"/>
        <v>#VALUE!</v>
      </c>
      <c r="AHM8" t="e">
        <f t="shared" si="15"/>
        <v>#VALUE!</v>
      </c>
      <c r="AHN8" t="e">
        <f t="shared" si="15"/>
        <v>#VALUE!</v>
      </c>
      <c r="AHO8" t="e">
        <f t="shared" si="15"/>
        <v>#VALUE!</v>
      </c>
      <c r="AHP8" t="e">
        <f t="shared" si="15"/>
        <v>#VALUE!</v>
      </c>
      <c r="AHQ8" t="e">
        <f t="shared" si="15"/>
        <v>#VALUE!</v>
      </c>
      <c r="AHR8" t="e">
        <f t="shared" si="15"/>
        <v>#VALUE!</v>
      </c>
      <c r="AHS8" t="e">
        <f t="shared" si="16"/>
        <v>#VALUE!</v>
      </c>
      <c r="AHT8" t="e">
        <f t="shared" si="16"/>
        <v>#VALUE!</v>
      </c>
      <c r="AHU8" t="e">
        <f t="shared" si="16"/>
        <v>#VALUE!</v>
      </c>
      <c r="AHV8" t="e">
        <f t="shared" si="16"/>
        <v>#VALUE!</v>
      </c>
      <c r="AHW8" t="e">
        <f t="shared" si="16"/>
        <v>#VALUE!</v>
      </c>
      <c r="AHX8" t="e">
        <f t="shared" si="16"/>
        <v>#VALUE!</v>
      </c>
      <c r="AHY8" t="e">
        <f t="shared" si="16"/>
        <v>#VALUE!</v>
      </c>
      <c r="AHZ8" t="e">
        <f t="shared" si="16"/>
        <v>#VALUE!</v>
      </c>
      <c r="AIA8" t="e">
        <f t="shared" si="16"/>
        <v>#VALUE!</v>
      </c>
      <c r="AIB8" t="e">
        <f t="shared" si="16"/>
        <v>#VALUE!</v>
      </c>
      <c r="AIC8" t="e">
        <f t="shared" si="16"/>
        <v>#VALUE!</v>
      </c>
      <c r="AID8" t="e">
        <f t="shared" si="16"/>
        <v>#VALUE!</v>
      </c>
      <c r="AIE8" t="e">
        <f t="shared" si="16"/>
        <v>#VALUE!</v>
      </c>
      <c r="AIF8" t="e">
        <f t="shared" si="16"/>
        <v>#VALUE!</v>
      </c>
      <c r="AIG8" t="e">
        <f t="shared" si="16"/>
        <v>#VALUE!</v>
      </c>
      <c r="AIH8" t="e">
        <f t="shared" si="16"/>
        <v>#VALUE!</v>
      </c>
      <c r="AII8" t="e">
        <f t="shared" si="16"/>
        <v>#VALUE!</v>
      </c>
      <c r="AIJ8" t="e">
        <f t="shared" si="16"/>
        <v>#VALUE!</v>
      </c>
      <c r="AIK8" t="e">
        <f t="shared" si="16"/>
        <v>#VALUE!</v>
      </c>
      <c r="AIL8" t="e">
        <f t="shared" si="16"/>
        <v>#VALUE!</v>
      </c>
      <c r="AIM8" t="e">
        <f t="shared" si="16"/>
        <v>#VALUE!</v>
      </c>
      <c r="AIN8" t="e">
        <f t="shared" si="16"/>
        <v>#VALUE!</v>
      </c>
      <c r="AIO8" t="e">
        <f t="shared" si="16"/>
        <v>#VALUE!</v>
      </c>
      <c r="AIP8" t="e">
        <f t="shared" si="16"/>
        <v>#VALUE!</v>
      </c>
      <c r="AIQ8" t="e">
        <f t="shared" si="16"/>
        <v>#VALUE!</v>
      </c>
      <c r="AIR8" s="2" t="e">
        <f t="shared" si="16"/>
        <v>#VALUE!</v>
      </c>
      <c r="AIS8" t="e">
        <f t="shared" si="16"/>
        <v>#VALUE!</v>
      </c>
      <c r="AIT8" t="e">
        <f t="shared" si="16"/>
        <v>#VALUE!</v>
      </c>
      <c r="AIU8" t="e">
        <f t="shared" si="16"/>
        <v>#VALUE!</v>
      </c>
      <c r="AIV8" t="e">
        <f t="shared" si="16"/>
        <v>#VALUE!</v>
      </c>
      <c r="AIW8" t="e">
        <f t="shared" si="16"/>
        <v>#VALUE!</v>
      </c>
      <c r="AIX8" t="e">
        <f t="shared" si="16"/>
        <v>#VALUE!</v>
      </c>
      <c r="AIY8" t="e">
        <f t="shared" si="16"/>
        <v>#VALUE!</v>
      </c>
      <c r="AIZ8" t="e">
        <f t="shared" si="16"/>
        <v>#VALUE!</v>
      </c>
      <c r="AJA8" t="e">
        <f t="shared" si="16"/>
        <v>#VALUE!</v>
      </c>
      <c r="AJB8" t="e">
        <f t="shared" si="16"/>
        <v>#VALUE!</v>
      </c>
      <c r="AJC8" t="e">
        <f t="shared" si="16"/>
        <v>#VALUE!</v>
      </c>
      <c r="AJD8" t="e">
        <f t="shared" si="16"/>
        <v>#VALUE!</v>
      </c>
      <c r="AJE8" t="e">
        <f t="shared" si="16"/>
        <v>#VALUE!</v>
      </c>
      <c r="AJF8" t="e">
        <f t="shared" si="16"/>
        <v>#VALUE!</v>
      </c>
      <c r="AJG8" t="e">
        <f t="shared" si="16"/>
        <v>#VALUE!</v>
      </c>
      <c r="AJH8" t="e">
        <f t="shared" si="16"/>
        <v>#VALUE!</v>
      </c>
      <c r="AJI8" t="e">
        <f t="shared" si="16"/>
        <v>#VALUE!</v>
      </c>
      <c r="AJJ8" t="e">
        <f t="shared" si="16"/>
        <v>#VALUE!</v>
      </c>
      <c r="AJK8" t="e">
        <f t="shared" si="16"/>
        <v>#VALUE!</v>
      </c>
      <c r="AJL8" t="e">
        <f t="shared" si="16"/>
        <v>#VALUE!</v>
      </c>
      <c r="AJM8" t="e">
        <f t="shared" si="16"/>
        <v>#VALUE!</v>
      </c>
      <c r="AJN8" t="e">
        <f t="shared" si="16"/>
        <v>#VALUE!</v>
      </c>
      <c r="AJO8" t="e">
        <f t="shared" si="16"/>
        <v>#VALUE!</v>
      </c>
      <c r="AJP8" t="e">
        <f t="shared" si="16"/>
        <v>#VALUE!</v>
      </c>
      <c r="AJQ8" t="e">
        <f t="shared" si="16"/>
        <v>#VALUE!</v>
      </c>
      <c r="AJR8" t="e">
        <f t="shared" si="16"/>
        <v>#VALUE!</v>
      </c>
      <c r="AJS8" t="e">
        <f t="shared" si="16"/>
        <v>#VALUE!</v>
      </c>
      <c r="AJT8" t="e">
        <f t="shared" si="16"/>
        <v>#VALUE!</v>
      </c>
      <c r="AJU8" t="e">
        <f t="shared" si="16"/>
        <v>#VALUE!</v>
      </c>
      <c r="AJV8" t="e">
        <f t="shared" si="16"/>
        <v>#VALUE!</v>
      </c>
      <c r="AJW8" t="e">
        <f t="shared" si="16"/>
        <v>#VALUE!</v>
      </c>
      <c r="AJX8" t="e">
        <f t="shared" si="16"/>
        <v>#VALUE!</v>
      </c>
      <c r="AJY8" t="e">
        <f t="shared" si="16"/>
        <v>#VALUE!</v>
      </c>
      <c r="AJZ8" t="e">
        <f t="shared" si="16"/>
        <v>#VALUE!</v>
      </c>
      <c r="AKA8" t="e">
        <f t="shared" si="16"/>
        <v>#VALUE!</v>
      </c>
      <c r="AKB8" t="e">
        <f t="shared" si="16"/>
        <v>#VALUE!</v>
      </c>
      <c r="AKC8" t="e">
        <f t="shared" si="16"/>
        <v>#VALUE!</v>
      </c>
      <c r="AKD8" t="e">
        <f t="shared" si="16"/>
        <v>#VALUE!</v>
      </c>
      <c r="AKE8" t="e">
        <f t="shared" si="17"/>
        <v>#VALUE!</v>
      </c>
      <c r="AKF8" t="e">
        <f t="shared" si="17"/>
        <v>#VALUE!</v>
      </c>
      <c r="AKG8" t="e">
        <f t="shared" si="17"/>
        <v>#VALUE!</v>
      </c>
      <c r="AKH8" t="e">
        <f t="shared" si="17"/>
        <v>#VALUE!</v>
      </c>
      <c r="AKI8" t="e">
        <f t="shared" si="17"/>
        <v>#VALUE!</v>
      </c>
      <c r="AKJ8" t="e">
        <f t="shared" si="17"/>
        <v>#VALUE!</v>
      </c>
      <c r="AKK8" t="e">
        <f t="shared" si="17"/>
        <v>#VALUE!</v>
      </c>
      <c r="AKL8" t="e">
        <f t="shared" si="17"/>
        <v>#VALUE!</v>
      </c>
      <c r="AKM8" t="e">
        <f t="shared" si="17"/>
        <v>#VALUE!</v>
      </c>
      <c r="AKN8" t="e">
        <f t="shared" si="17"/>
        <v>#VALUE!</v>
      </c>
      <c r="AKO8" t="e">
        <f t="shared" si="17"/>
        <v>#VALUE!</v>
      </c>
      <c r="AKP8" t="e">
        <f t="shared" si="17"/>
        <v>#VALUE!</v>
      </c>
      <c r="AKQ8" t="e">
        <f t="shared" si="17"/>
        <v>#VALUE!</v>
      </c>
      <c r="AKR8" t="e">
        <f t="shared" si="17"/>
        <v>#VALUE!</v>
      </c>
      <c r="AKS8" t="e">
        <f t="shared" si="17"/>
        <v>#VALUE!</v>
      </c>
      <c r="AKT8" t="e">
        <f t="shared" si="17"/>
        <v>#VALUE!</v>
      </c>
      <c r="AKU8" t="e">
        <f t="shared" si="17"/>
        <v>#VALUE!</v>
      </c>
      <c r="AKV8" t="e">
        <f t="shared" si="17"/>
        <v>#VALUE!</v>
      </c>
      <c r="AKW8" t="e">
        <f t="shared" si="17"/>
        <v>#VALUE!</v>
      </c>
      <c r="AKX8" t="e">
        <f t="shared" si="17"/>
        <v>#VALUE!</v>
      </c>
      <c r="AKY8" t="e">
        <f t="shared" si="17"/>
        <v>#VALUE!</v>
      </c>
      <c r="AKZ8" t="e">
        <f t="shared" si="17"/>
        <v>#VALUE!</v>
      </c>
      <c r="ALA8" t="e">
        <f t="shared" si="17"/>
        <v>#VALUE!</v>
      </c>
      <c r="ALB8" t="e">
        <f t="shared" si="17"/>
        <v>#VALUE!</v>
      </c>
      <c r="ALC8" t="e">
        <f t="shared" si="17"/>
        <v>#VALUE!</v>
      </c>
      <c r="ALD8" t="e">
        <f t="shared" si="17"/>
        <v>#VALUE!</v>
      </c>
      <c r="ALE8" t="e">
        <f t="shared" si="17"/>
        <v>#VALUE!</v>
      </c>
      <c r="ALF8" t="e">
        <f t="shared" si="17"/>
        <v>#VALUE!</v>
      </c>
      <c r="ALG8" t="e">
        <f t="shared" si="17"/>
        <v>#VALUE!</v>
      </c>
      <c r="ALH8" t="e">
        <f t="shared" si="17"/>
        <v>#VALUE!</v>
      </c>
      <c r="ALI8" t="e">
        <f t="shared" si="17"/>
        <v>#VALUE!</v>
      </c>
      <c r="ALJ8" t="e">
        <f t="shared" si="17"/>
        <v>#VALUE!</v>
      </c>
      <c r="ALK8" t="e">
        <f t="shared" si="17"/>
        <v>#VALUE!</v>
      </c>
      <c r="ALL8" t="e">
        <f t="shared" si="17"/>
        <v>#VALUE!</v>
      </c>
      <c r="ALM8" t="e">
        <f t="shared" si="17"/>
        <v>#VALUE!</v>
      </c>
      <c r="ALN8" t="e">
        <f t="shared" si="17"/>
        <v>#VALUE!</v>
      </c>
      <c r="ALO8" t="e">
        <f t="shared" si="17"/>
        <v>#VALUE!</v>
      </c>
      <c r="ALP8" t="e">
        <f t="shared" si="17"/>
        <v>#VALUE!</v>
      </c>
      <c r="ALQ8" t="e">
        <f t="shared" si="17"/>
        <v>#VALUE!</v>
      </c>
      <c r="ALR8" t="e">
        <f t="shared" si="17"/>
        <v>#VALUE!</v>
      </c>
      <c r="ALS8" t="e">
        <f t="shared" si="17"/>
        <v>#VALUE!</v>
      </c>
      <c r="ALT8" t="e">
        <f t="shared" si="17"/>
        <v>#VALUE!</v>
      </c>
      <c r="ALU8" t="e">
        <f t="shared" si="17"/>
        <v>#VALUE!</v>
      </c>
      <c r="ALV8" t="e">
        <f t="shared" si="17"/>
        <v>#VALUE!</v>
      </c>
      <c r="ALW8" t="e">
        <f t="shared" si="17"/>
        <v>#VALUE!</v>
      </c>
      <c r="ALX8" t="e">
        <f t="shared" si="17"/>
        <v>#VALUE!</v>
      </c>
      <c r="ALY8" t="e">
        <f t="shared" si="17"/>
        <v>#VALUE!</v>
      </c>
      <c r="ALZ8" t="e">
        <f t="shared" si="17"/>
        <v>#VALUE!</v>
      </c>
      <c r="AMA8" t="e">
        <f t="shared" si="17"/>
        <v>#VALUE!</v>
      </c>
      <c r="AMB8" t="e">
        <f t="shared" si="17"/>
        <v>#VALUE!</v>
      </c>
      <c r="AMC8" t="e">
        <f t="shared" si="17"/>
        <v>#VALUE!</v>
      </c>
      <c r="AMD8" t="e">
        <f t="shared" si="17"/>
        <v>#VALUE!</v>
      </c>
      <c r="AME8" t="e">
        <f t="shared" si="17"/>
        <v>#VALUE!</v>
      </c>
      <c r="AMF8" t="e">
        <f t="shared" si="17"/>
        <v>#VALUE!</v>
      </c>
      <c r="AMG8" t="e">
        <f t="shared" si="17"/>
        <v>#VALUE!</v>
      </c>
      <c r="AMH8" t="e">
        <f t="shared" si="17"/>
        <v>#VALUE!</v>
      </c>
      <c r="AMI8" t="e">
        <f t="shared" si="17"/>
        <v>#VALUE!</v>
      </c>
      <c r="AMJ8" t="e">
        <f t="shared" si="17"/>
        <v>#VALUE!</v>
      </c>
      <c r="AMK8" t="e">
        <f t="shared" si="17"/>
        <v>#VALUE!</v>
      </c>
      <c r="AML8" t="e">
        <f t="shared" si="17"/>
        <v>#VALUE!</v>
      </c>
      <c r="AMM8" t="e">
        <f t="shared" si="17"/>
        <v>#VALUE!</v>
      </c>
      <c r="AMN8" t="e">
        <f t="shared" si="17"/>
        <v>#VALUE!</v>
      </c>
      <c r="AMO8" t="e">
        <f t="shared" si="17"/>
        <v>#VALUE!</v>
      </c>
      <c r="AMP8" t="e">
        <f t="shared" si="17"/>
        <v>#VALUE!</v>
      </c>
      <c r="AMQ8" t="e">
        <f t="shared" si="18"/>
        <v>#VALUE!</v>
      </c>
      <c r="AMR8" t="e">
        <f t="shared" si="18"/>
        <v>#VALUE!</v>
      </c>
      <c r="AMS8" t="e">
        <f t="shared" si="18"/>
        <v>#VALUE!</v>
      </c>
      <c r="AMT8" t="e">
        <f t="shared" si="18"/>
        <v>#VALUE!</v>
      </c>
      <c r="AMU8" t="e">
        <f t="shared" si="18"/>
        <v>#VALUE!</v>
      </c>
      <c r="AMV8" t="e">
        <f t="shared" si="18"/>
        <v>#VALUE!</v>
      </c>
      <c r="AMW8" t="e">
        <f t="shared" si="18"/>
        <v>#VALUE!</v>
      </c>
      <c r="AMX8" t="e">
        <f t="shared" si="18"/>
        <v>#VALUE!</v>
      </c>
      <c r="AMY8" t="e">
        <f t="shared" si="18"/>
        <v>#VALUE!</v>
      </c>
      <c r="AMZ8" t="e">
        <f t="shared" si="18"/>
        <v>#VALUE!</v>
      </c>
      <c r="ANA8" t="e">
        <f t="shared" si="18"/>
        <v>#VALUE!</v>
      </c>
      <c r="ANB8" t="e">
        <f t="shared" si="18"/>
        <v>#VALUE!</v>
      </c>
      <c r="ANC8" t="e">
        <f t="shared" si="18"/>
        <v>#VALUE!</v>
      </c>
      <c r="AND8" t="e">
        <f t="shared" si="18"/>
        <v>#VALUE!</v>
      </c>
      <c r="ANE8" t="e">
        <f t="shared" si="18"/>
        <v>#VALUE!</v>
      </c>
      <c r="ANF8" t="e">
        <f t="shared" si="18"/>
        <v>#VALUE!</v>
      </c>
      <c r="ANG8" t="e">
        <f t="shared" si="18"/>
        <v>#VALUE!</v>
      </c>
      <c r="ANH8" t="e">
        <f t="shared" si="18"/>
        <v>#VALUE!</v>
      </c>
      <c r="ANI8" t="e">
        <f t="shared" si="18"/>
        <v>#VALUE!</v>
      </c>
      <c r="ANJ8" t="e">
        <f t="shared" si="18"/>
        <v>#VALUE!</v>
      </c>
      <c r="ANK8" t="e">
        <f t="shared" si="18"/>
        <v>#VALUE!</v>
      </c>
      <c r="ANL8" t="e">
        <f t="shared" si="18"/>
        <v>#VALUE!</v>
      </c>
      <c r="ANM8" t="e">
        <f t="shared" si="18"/>
        <v>#VALUE!</v>
      </c>
      <c r="ANN8" t="e">
        <f t="shared" si="18"/>
        <v>#VALUE!</v>
      </c>
      <c r="ANO8" t="e">
        <f t="shared" si="18"/>
        <v>#VALUE!</v>
      </c>
      <c r="ANP8" t="e">
        <f t="shared" si="18"/>
        <v>#VALUE!</v>
      </c>
      <c r="ANQ8" t="e">
        <f t="shared" si="18"/>
        <v>#VALUE!</v>
      </c>
      <c r="ANR8" t="e">
        <f t="shared" si="18"/>
        <v>#VALUE!</v>
      </c>
      <c r="ANS8" t="e">
        <f t="shared" si="18"/>
        <v>#VALUE!</v>
      </c>
      <c r="ANT8" t="e">
        <f t="shared" si="18"/>
        <v>#VALUE!</v>
      </c>
      <c r="ANU8" t="e">
        <f t="shared" si="18"/>
        <v>#VALUE!</v>
      </c>
      <c r="ANV8" t="e">
        <f t="shared" si="18"/>
        <v>#VALUE!</v>
      </c>
      <c r="ANW8" t="e">
        <f t="shared" si="18"/>
        <v>#VALUE!</v>
      </c>
      <c r="ANX8" t="e">
        <f t="shared" si="18"/>
        <v>#VALUE!</v>
      </c>
      <c r="ANY8" t="e">
        <f t="shared" si="18"/>
        <v>#VALUE!</v>
      </c>
      <c r="ANZ8" t="e">
        <f t="shared" si="18"/>
        <v>#VALUE!</v>
      </c>
      <c r="AOA8" t="e">
        <f t="shared" si="18"/>
        <v>#VALUE!</v>
      </c>
      <c r="AOB8" t="e">
        <f t="shared" si="18"/>
        <v>#VALUE!</v>
      </c>
      <c r="AOC8" t="e">
        <f t="shared" si="18"/>
        <v>#VALUE!</v>
      </c>
      <c r="AOD8" t="e">
        <f t="shared" si="18"/>
        <v>#VALUE!</v>
      </c>
      <c r="AOE8" t="e">
        <f t="shared" si="18"/>
        <v>#VALUE!</v>
      </c>
      <c r="AOF8" t="e">
        <f t="shared" si="18"/>
        <v>#VALUE!</v>
      </c>
      <c r="AOG8" t="e">
        <f t="shared" si="18"/>
        <v>#VALUE!</v>
      </c>
      <c r="AOH8" t="e">
        <f t="shared" si="18"/>
        <v>#VALUE!</v>
      </c>
      <c r="AOI8" t="e">
        <f t="shared" si="18"/>
        <v>#VALUE!</v>
      </c>
      <c r="AOJ8" t="e">
        <f t="shared" si="18"/>
        <v>#VALUE!</v>
      </c>
      <c r="AOK8" t="e">
        <f t="shared" si="18"/>
        <v>#VALUE!</v>
      </c>
      <c r="AOL8" t="e">
        <f t="shared" si="18"/>
        <v>#VALUE!</v>
      </c>
      <c r="AOM8" t="e">
        <f t="shared" si="18"/>
        <v>#VALUE!</v>
      </c>
      <c r="AON8" t="e">
        <f t="shared" si="18"/>
        <v>#VALUE!</v>
      </c>
      <c r="AOO8" t="e">
        <f t="shared" si="18"/>
        <v>#VALUE!</v>
      </c>
      <c r="AOP8" t="e">
        <f t="shared" si="18"/>
        <v>#VALUE!</v>
      </c>
      <c r="AOQ8" t="e">
        <f t="shared" si="18"/>
        <v>#VALUE!</v>
      </c>
      <c r="AOR8" t="e">
        <f t="shared" si="18"/>
        <v>#VALUE!</v>
      </c>
      <c r="AOS8" t="e">
        <f t="shared" si="18"/>
        <v>#VALUE!</v>
      </c>
      <c r="AOT8" t="e">
        <f t="shared" si="18"/>
        <v>#VALUE!</v>
      </c>
      <c r="AOU8" t="e">
        <f t="shared" si="18"/>
        <v>#VALUE!</v>
      </c>
      <c r="AOV8" t="e">
        <f t="shared" si="18"/>
        <v>#VALUE!</v>
      </c>
      <c r="AOW8" t="e">
        <f t="shared" si="18"/>
        <v>#VALUE!</v>
      </c>
      <c r="AOX8" t="e">
        <f t="shared" si="18"/>
        <v>#VALUE!</v>
      </c>
      <c r="AOY8" t="e">
        <f t="shared" si="18"/>
        <v>#VALUE!</v>
      </c>
      <c r="AOZ8" t="e">
        <f t="shared" si="18"/>
        <v>#VALUE!</v>
      </c>
      <c r="APA8" t="e">
        <f t="shared" si="18"/>
        <v>#VALUE!</v>
      </c>
      <c r="APB8" t="e">
        <f t="shared" si="18"/>
        <v>#VALUE!</v>
      </c>
      <c r="APC8" t="e">
        <f t="shared" si="19"/>
        <v>#VALUE!</v>
      </c>
      <c r="APD8" t="e">
        <f t="shared" si="19"/>
        <v>#VALUE!</v>
      </c>
      <c r="APE8" t="e">
        <f t="shared" si="19"/>
        <v>#VALUE!</v>
      </c>
      <c r="APF8" t="e">
        <f t="shared" si="19"/>
        <v>#VALUE!</v>
      </c>
      <c r="APG8" t="e">
        <f t="shared" si="19"/>
        <v>#VALUE!</v>
      </c>
      <c r="APH8" t="e">
        <f t="shared" si="19"/>
        <v>#VALUE!</v>
      </c>
      <c r="API8" t="e">
        <f t="shared" si="19"/>
        <v>#VALUE!</v>
      </c>
      <c r="APJ8" t="e">
        <f t="shared" si="19"/>
        <v>#VALUE!</v>
      </c>
      <c r="APK8" t="e">
        <f t="shared" si="19"/>
        <v>#VALUE!</v>
      </c>
      <c r="APL8" t="e">
        <f t="shared" si="19"/>
        <v>#VALUE!</v>
      </c>
      <c r="APM8" t="e">
        <f t="shared" si="19"/>
        <v>#VALUE!</v>
      </c>
      <c r="APN8" t="e">
        <f t="shared" si="19"/>
        <v>#VALUE!</v>
      </c>
      <c r="APO8" t="e">
        <f t="shared" si="19"/>
        <v>#VALUE!</v>
      </c>
      <c r="APP8" t="e">
        <f t="shared" si="19"/>
        <v>#VALUE!</v>
      </c>
      <c r="APQ8" t="e">
        <f t="shared" si="19"/>
        <v>#VALUE!</v>
      </c>
      <c r="APR8" t="e">
        <f t="shared" si="19"/>
        <v>#VALUE!</v>
      </c>
      <c r="APS8" t="e">
        <f t="shared" si="19"/>
        <v>#VALUE!</v>
      </c>
      <c r="APT8" t="e">
        <f t="shared" si="19"/>
        <v>#VALUE!</v>
      </c>
      <c r="APU8" t="e">
        <f t="shared" si="19"/>
        <v>#VALUE!</v>
      </c>
      <c r="APV8" t="e">
        <f t="shared" si="19"/>
        <v>#VALUE!</v>
      </c>
      <c r="APW8" t="e">
        <f t="shared" si="19"/>
        <v>#VALUE!</v>
      </c>
      <c r="APX8" t="e">
        <f t="shared" si="19"/>
        <v>#VALUE!</v>
      </c>
      <c r="APY8" t="e">
        <f t="shared" si="19"/>
        <v>#VALUE!</v>
      </c>
      <c r="APZ8" t="e">
        <f t="shared" si="19"/>
        <v>#VALUE!</v>
      </c>
      <c r="AQA8" t="e">
        <f t="shared" si="19"/>
        <v>#VALUE!</v>
      </c>
      <c r="AQB8" t="e">
        <f t="shared" si="19"/>
        <v>#VALUE!</v>
      </c>
      <c r="AQC8" t="e">
        <f t="shared" si="19"/>
        <v>#VALUE!</v>
      </c>
      <c r="AQD8" t="e">
        <f t="shared" si="19"/>
        <v>#VALUE!</v>
      </c>
      <c r="AQE8" t="e">
        <f t="shared" si="19"/>
        <v>#VALUE!</v>
      </c>
      <c r="AQF8" t="e">
        <f t="shared" si="19"/>
        <v>#VALUE!</v>
      </c>
      <c r="AQG8" t="e">
        <f t="shared" si="19"/>
        <v>#VALUE!</v>
      </c>
      <c r="AQH8" t="e">
        <f t="shared" si="19"/>
        <v>#VALUE!</v>
      </c>
      <c r="AQI8" t="e">
        <f t="shared" si="19"/>
        <v>#VALUE!</v>
      </c>
      <c r="AQJ8" t="e">
        <f t="shared" si="19"/>
        <v>#VALUE!</v>
      </c>
      <c r="AQK8" t="e">
        <f t="shared" si="19"/>
        <v>#VALUE!</v>
      </c>
      <c r="AQL8" t="e">
        <f t="shared" si="19"/>
        <v>#VALUE!</v>
      </c>
      <c r="AQM8" t="e">
        <f t="shared" si="19"/>
        <v>#VALUE!</v>
      </c>
      <c r="AQN8" t="e">
        <f t="shared" si="19"/>
        <v>#VALUE!</v>
      </c>
      <c r="AQO8" t="e">
        <f t="shared" si="19"/>
        <v>#VALUE!</v>
      </c>
      <c r="AQP8" t="e">
        <f t="shared" si="19"/>
        <v>#VALUE!</v>
      </c>
      <c r="AQQ8" t="e">
        <f t="shared" si="19"/>
        <v>#VALUE!</v>
      </c>
      <c r="AQR8" t="e">
        <f t="shared" si="19"/>
        <v>#VALUE!</v>
      </c>
      <c r="AQS8" t="e">
        <f t="shared" si="19"/>
        <v>#VALUE!</v>
      </c>
      <c r="AQT8" t="e">
        <f t="shared" si="19"/>
        <v>#VALUE!</v>
      </c>
      <c r="AQU8" t="e">
        <f t="shared" si="19"/>
        <v>#VALUE!</v>
      </c>
      <c r="AQV8" t="e">
        <f t="shared" si="19"/>
        <v>#VALUE!</v>
      </c>
      <c r="AQW8" t="e">
        <f t="shared" si="19"/>
        <v>#VALUE!</v>
      </c>
      <c r="AQX8" t="e">
        <f t="shared" si="19"/>
        <v>#VALUE!</v>
      </c>
      <c r="AQY8" t="e">
        <f t="shared" si="19"/>
        <v>#VALUE!</v>
      </c>
      <c r="AQZ8" t="e">
        <f t="shared" si="19"/>
        <v>#VALUE!</v>
      </c>
      <c r="ARA8" t="e">
        <f t="shared" si="19"/>
        <v>#VALUE!</v>
      </c>
      <c r="ARB8" t="e">
        <f t="shared" si="19"/>
        <v>#VALUE!</v>
      </c>
      <c r="ARC8" t="e">
        <f t="shared" si="19"/>
        <v>#VALUE!</v>
      </c>
      <c r="ARD8" t="e">
        <f t="shared" si="19"/>
        <v>#VALUE!</v>
      </c>
      <c r="ARE8" t="e">
        <f t="shared" si="19"/>
        <v>#VALUE!</v>
      </c>
      <c r="ARF8" t="e">
        <f t="shared" si="19"/>
        <v>#VALUE!</v>
      </c>
      <c r="ARG8" t="e">
        <f t="shared" si="19"/>
        <v>#VALUE!</v>
      </c>
      <c r="ARH8" t="e">
        <f t="shared" si="19"/>
        <v>#VALUE!</v>
      </c>
      <c r="ARI8" t="e">
        <f t="shared" si="19"/>
        <v>#VALUE!</v>
      </c>
      <c r="ARJ8" t="e">
        <f t="shared" si="19"/>
        <v>#VALUE!</v>
      </c>
      <c r="ARK8" t="e">
        <f t="shared" si="19"/>
        <v>#VALUE!</v>
      </c>
      <c r="ARL8" t="e">
        <f t="shared" si="19"/>
        <v>#VALUE!</v>
      </c>
      <c r="ARM8" t="e">
        <f t="shared" si="19"/>
        <v>#VALUE!</v>
      </c>
      <c r="ARN8" t="e">
        <f t="shared" si="19"/>
        <v>#VALUE!</v>
      </c>
      <c r="ARO8" t="e">
        <f t="shared" si="20"/>
        <v>#VALUE!</v>
      </c>
      <c r="ARP8" t="e">
        <f t="shared" si="20"/>
        <v>#VALUE!</v>
      </c>
      <c r="ARQ8" t="e">
        <f t="shared" si="20"/>
        <v>#VALUE!</v>
      </c>
      <c r="ARR8" t="e">
        <f t="shared" si="20"/>
        <v>#VALUE!</v>
      </c>
      <c r="ARS8" t="e">
        <f t="shared" si="20"/>
        <v>#VALUE!</v>
      </c>
      <c r="ART8" t="e">
        <f t="shared" si="20"/>
        <v>#VALUE!</v>
      </c>
      <c r="ARU8" t="e">
        <f t="shared" si="20"/>
        <v>#VALUE!</v>
      </c>
      <c r="ARV8" t="e">
        <f t="shared" si="20"/>
        <v>#VALUE!</v>
      </c>
      <c r="ARW8" t="e">
        <f t="shared" si="20"/>
        <v>#VALUE!</v>
      </c>
      <c r="ARX8" t="e">
        <f t="shared" si="20"/>
        <v>#VALUE!</v>
      </c>
      <c r="ARY8" t="e">
        <f t="shared" si="20"/>
        <v>#VALUE!</v>
      </c>
      <c r="ARZ8" t="e">
        <f t="shared" si="20"/>
        <v>#VALUE!</v>
      </c>
      <c r="ASA8" t="e">
        <f t="shared" si="20"/>
        <v>#VALUE!</v>
      </c>
      <c r="ASB8" t="e">
        <f t="shared" si="20"/>
        <v>#VALUE!</v>
      </c>
      <c r="ASC8" t="e">
        <f t="shared" si="20"/>
        <v>#VALUE!</v>
      </c>
      <c r="ASD8" t="e">
        <f t="shared" si="20"/>
        <v>#VALUE!</v>
      </c>
      <c r="ASE8" t="e">
        <f t="shared" si="20"/>
        <v>#VALUE!</v>
      </c>
      <c r="ASF8" t="e">
        <f t="shared" si="20"/>
        <v>#VALUE!</v>
      </c>
      <c r="ASG8" t="e">
        <f t="shared" si="20"/>
        <v>#VALUE!</v>
      </c>
      <c r="ASH8" t="e">
        <f t="shared" si="20"/>
        <v>#VALUE!</v>
      </c>
      <c r="ASI8" t="e">
        <f t="shared" si="20"/>
        <v>#VALUE!</v>
      </c>
      <c r="ASJ8" t="e">
        <f t="shared" si="20"/>
        <v>#VALUE!</v>
      </c>
      <c r="ASK8" t="e">
        <f t="shared" si="20"/>
        <v>#VALUE!</v>
      </c>
      <c r="ASL8" t="e">
        <f t="shared" si="20"/>
        <v>#VALUE!</v>
      </c>
      <c r="ASM8" t="e">
        <f t="shared" si="20"/>
        <v>#VALUE!</v>
      </c>
      <c r="ASN8" t="e">
        <f t="shared" si="20"/>
        <v>#VALUE!</v>
      </c>
      <c r="ASO8" t="e">
        <f t="shared" si="20"/>
        <v>#VALUE!</v>
      </c>
      <c r="ASP8" t="e">
        <f t="shared" si="20"/>
        <v>#VALUE!</v>
      </c>
      <c r="ASQ8" t="e">
        <f t="shared" si="20"/>
        <v>#VALUE!</v>
      </c>
      <c r="ASR8" t="e">
        <f t="shared" si="20"/>
        <v>#VALUE!</v>
      </c>
      <c r="ASS8" t="e">
        <f t="shared" si="20"/>
        <v>#VALUE!</v>
      </c>
      <c r="AST8" t="e">
        <f t="shared" si="20"/>
        <v>#VALUE!</v>
      </c>
      <c r="ASU8" t="e">
        <f t="shared" si="20"/>
        <v>#VALUE!</v>
      </c>
      <c r="ASV8" t="e">
        <f t="shared" si="20"/>
        <v>#VALUE!</v>
      </c>
      <c r="ASW8" t="e">
        <f t="shared" si="20"/>
        <v>#VALUE!</v>
      </c>
      <c r="ASX8" t="e">
        <f t="shared" si="20"/>
        <v>#VALUE!</v>
      </c>
      <c r="ASY8" t="e">
        <f t="shared" si="20"/>
        <v>#VALUE!</v>
      </c>
      <c r="ASZ8" t="e">
        <f t="shared" si="20"/>
        <v>#VALUE!</v>
      </c>
      <c r="ATA8" t="e">
        <f t="shared" si="20"/>
        <v>#VALUE!</v>
      </c>
      <c r="ATB8" t="e">
        <f t="shared" si="20"/>
        <v>#VALUE!</v>
      </c>
      <c r="ATC8" t="e">
        <f t="shared" si="20"/>
        <v>#VALUE!</v>
      </c>
      <c r="ATD8" t="e">
        <f t="shared" si="20"/>
        <v>#VALUE!</v>
      </c>
      <c r="ATE8" t="e">
        <f t="shared" si="20"/>
        <v>#VALUE!</v>
      </c>
      <c r="ATF8" t="e">
        <f t="shared" si="20"/>
        <v>#VALUE!</v>
      </c>
      <c r="ATG8" t="e">
        <f t="shared" si="20"/>
        <v>#VALUE!</v>
      </c>
      <c r="ATH8" t="e">
        <f t="shared" si="20"/>
        <v>#VALUE!</v>
      </c>
      <c r="ATI8" t="e">
        <f t="shared" si="20"/>
        <v>#VALUE!</v>
      </c>
      <c r="ATJ8" t="e">
        <f t="shared" si="20"/>
        <v>#VALUE!</v>
      </c>
      <c r="ATK8" t="e">
        <f t="shared" si="20"/>
        <v>#VALUE!</v>
      </c>
      <c r="ATL8" t="e">
        <f t="shared" si="20"/>
        <v>#VALUE!</v>
      </c>
      <c r="ATM8" t="e">
        <f t="shared" si="20"/>
        <v>#VALUE!</v>
      </c>
      <c r="ATN8" t="e">
        <f t="shared" si="20"/>
        <v>#VALUE!</v>
      </c>
      <c r="ATO8" t="e">
        <f t="shared" si="20"/>
        <v>#VALUE!</v>
      </c>
      <c r="ATP8" t="e">
        <f t="shared" si="20"/>
        <v>#VALUE!</v>
      </c>
      <c r="ATQ8" t="e">
        <f t="shared" si="20"/>
        <v>#VALUE!</v>
      </c>
    </row>
    <row r="9" spans="1:1213" x14ac:dyDescent="0.25">
      <c r="A9" s="8" t="s">
        <v>5</v>
      </c>
      <c r="B9" s="38" t="s">
        <v>11</v>
      </c>
      <c r="C9" s="1">
        <f t="shared" si="1"/>
        <v>46241</v>
      </c>
      <c r="D9" s="8" t="str">
        <f t="shared" si="0"/>
        <v>IN-FONDO3_%Fondo_07/08/2026</v>
      </c>
      <c r="E9">
        <f>+E3/$E6</f>
        <v>1</v>
      </c>
      <c r="F9">
        <f>+F6/$E6</f>
        <v>4.7378604437860669E-3</v>
      </c>
      <c r="G9">
        <f t="shared" si="2"/>
        <v>6.9633840282148937E-7</v>
      </c>
      <c r="H9">
        <f t="shared" si="2"/>
        <v>0</v>
      </c>
      <c r="I9">
        <f t="shared" si="2"/>
        <v>0</v>
      </c>
      <c r="J9">
        <f t="shared" si="2"/>
        <v>0</v>
      </c>
      <c r="K9">
        <f t="shared" si="2"/>
        <v>0</v>
      </c>
      <c r="L9">
        <f t="shared" si="2"/>
        <v>3.9764409095627571E-3</v>
      </c>
      <c r="M9">
        <f t="shared" si="2"/>
        <v>1.6645349965372099E-6</v>
      </c>
      <c r="N9">
        <f t="shared" si="2"/>
        <v>4.6032246961939503E-6</v>
      </c>
      <c r="O9">
        <f t="shared" si="2"/>
        <v>6.7812856335860356E-9</v>
      </c>
      <c r="P9">
        <f t="shared" si="2"/>
        <v>1.3733431788198115E-7</v>
      </c>
      <c r="Q9">
        <f t="shared" si="2"/>
        <v>0</v>
      </c>
      <c r="R9">
        <f t="shared" si="2"/>
        <v>2.0444444421152861E-8</v>
      </c>
      <c r="S9">
        <f t="shared" si="2"/>
        <v>0</v>
      </c>
      <c r="T9">
        <f t="shared" si="2"/>
        <v>1.8044362887954679E-8</v>
      </c>
      <c r="U9">
        <f t="shared" si="2"/>
        <v>3.0780419380695709E-8</v>
      </c>
      <c r="V9">
        <f t="shared" si="2"/>
        <v>1.2028684162379422E-9</v>
      </c>
      <c r="W9">
        <f t="shared" si="2"/>
        <v>5.6659004486571584E-8</v>
      </c>
      <c r="X9">
        <f t="shared" si="2"/>
        <v>0.16908344417290225</v>
      </c>
      <c r="Y9">
        <f t="shared" si="2"/>
        <v>0.17065238790375817</v>
      </c>
      <c r="Z9">
        <f t="shared" si="2"/>
        <v>7.5418418942464803E-4</v>
      </c>
      <c r="AA9" t="e">
        <f t="shared" si="2"/>
        <v>#VALUE!</v>
      </c>
      <c r="AB9" t="e">
        <f t="shared" si="2"/>
        <v>#VALUE!</v>
      </c>
      <c r="AC9" t="e">
        <f t="shared" si="2"/>
        <v>#VALUE!</v>
      </c>
      <c r="AD9" t="e">
        <f t="shared" si="2"/>
        <v>#VALUE!</v>
      </c>
      <c r="AE9" t="e">
        <f t="shared" si="2"/>
        <v>#VALUE!</v>
      </c>
      <c r="AF9" t="e">
        <f t="shared" si="2"/>
        <v>#VALUE!</v>
      </c>
      <c r="AG9" t="e">
        <f t="shared" si="2"/>
        <v>#VALUE!</v>
      </c>
      <c r="AH9" t="e">
        <f t="shared" si="2"/>
        <v>#VALUE!</v>
      </c>
      <c r="AI9" t="e">
        <f t="shared" si="2"/>
        <v>#VALUE!</v>
      </c>
      <c r="AJ9" t="e">
        <f t="shared" si="2"/>
        <v>#VALUE!</v>
      </c>
      <c r="AK9" t="e">
        <f t="shared" si="2"/>
        <v>#VALUE!</v>
      </c>
      <c r="AL9" t="e">
        <f t="shared" si="2"/>
        <v>#VALUE!</v>
      </c>
      <c r="AM9" t="e">
        <f t="shared" si="2"/>
        <v>#VALUE!</v>
      </c>
      <c r="AN9" t="e">
        <f t="shared" si="2"/>
        <v>#VALUE!</v>
      </c>
      <c r="AO9" t="e">
        <f t="shared" si="2"/>
        <v>#VALUE!</v>
      </c>
      <c r="AP9" t="e">
        <f t="shared" si="2"/>
        <v>#VALUE!</v>
      </c>
      <c r="AQ9" t="e">
        <f t="shared" si="2"/>
        <v>#VALUE!</v>
      </c>
      <c r="AR9" t="e">
        <f t="shared" si="2"/>
        <v>#VALUE!</v>
      </c>
      <c r="AS9" t="e">
        <f t="shared" si="2"/>
        <v>#VALUE!</v>
      </c>
      <c r="AT9" t="e">
        <f t="shared" si="2"/>
        <v>#VALUE!</v>
      </c>
      <c r="AU9" t="e">
        <f t="shared" si="2"/>
        <v>#VALUE!</v>
      </c>
      <c r="AV9" t="e">
        <f t="shared" si="2"/>
        <v>#VALUE!</v>
      </c>
      <c r="AW9" t="e">
        <f t="shared" si="2"/>
        <v>#VALUE!</v>
      </c>
      <c r="AX9" t="e">
        <f t="shared" si="2"/>
        <v>#VALUE!</v>
      </c>
      <c r="AY9" t="e">
        <f t="shared" si="2"/>
        <v>#VALUE!</v>
      </c>
      <c r="AZ9" t="e">
        <f t="shared" si="2"/>
        <v>#VALUE!</v>
      </c>
      <c r="BA9" t="e">
        <f t="shared" si="2"/>
        <v>#VALUE!</v>
      </c>
      <c r="BB9" t="e">
        <f t="shared" si="2"/>
        <v>#VALUE!</v>
      </c>
      <c r="BC9" t="e">
        <f t="shared" si="2"/>
        <v>#VALUE!</v>
      </c>
      <c r="BD9" t="e">
        <f t="shared" si="2"/>
        <v>#VALUE!</v>
      </c>
      <c r="BE9" t="e">
        <f t="shared" si="2"/>
        <v>#VALUE!</v>
      </c>
      <c r="BF9" t="e">
        <f t="shared" si="2"/>
        <v>#VALUE!</v>
      </c>
      <c r="BG9" t="e">
        <f t="shared" si="2"/>
        <v>#VALUE!</v>
      </c>
      <c r="BH9" t="e">
        <f t="shared" si="2"/>
        <v>#VALUE!</v>
      </c>
      <c r="BI9" t="e">
        <f t="shared" si="2"/>
        <v>#VALUE!</v>
      </c>
      <c r="BJ9" t="e">
        <f t="shared" si="2"/>
        <v>#VALUE!</v>
      </c>
      <c r="BK9" t="e">
        <f t="shared" si="2"/>
        <v>#VALUE!</v>
      </c>
      <c r="BL9" t="e">
        <f t="shared" si="2"/>
        <v>#VALUE!</v>
      </c>
      <c r="BM9" t="e">
        <f t="shared" si="2"/>
        <v>#VALUE!</v>
      </c>
      <c r="BN9" t="e">
        <f t="shared" si="2"/>
        <v>#VALUE!</v>
      </c>
      <c r="BO9" t="e">
        <f t="shared" si="2"/>
        <v>#VALUE!</v>
      </c>
      <c r="BP9" t="e">
        <f t="shared" si="2"/>
        <v>#VALUE!</v>
      </c>
      <c r="BQ9" t="e">
        <f t="shared" si="2"/>
        <v>#VALUE!</v>
      </c>
      <c r="BR9" t="e">
        <f t="shared" si="2"/>
        <v>#VALUE!</v>
      </c>
      <c r="BS9" t="e">
        <f t="shared" si="3"/>
        <v>#VALUE!</v>
      </c>
      <c r="BT9" t="e">
        <f t="shared" si="3"/>
        <v>#VALUE!</v>
      </c>
      <c r="BU9" t="e">
        <f t="shared" si="3"/>
        <v>#VALUE!</v>
      </c>
      <c r="BV9" t="e">
        <f t="shared" si="3"/>
        <v>#VALUE!</v>
      </c>
      <c r="BW9" t="e">
        <f t="shared" si="3"/>
        <v>#VALUE!</v>
      </c>
      <c r="BX9" t="e">
        <f t="shared" si="3"/>
        <v>#VALUE!</v>
      </c>
      <c r="BY9" t="e">
        <f t="shared" si="3"/>
        <v>#VALUE!</v>
      </c>
      <c r="BZ9" t="e">
        <f t="shared" si="3"/>
        <v>#VALUE!</v>
      </c>
      <c r="CA9" t="e">
        <f t="shared" si="3"/>
        <v>#VALUE!</v>
      </c>
      <c r="CB9" t="e">
        <f t="shared" si="3"/>
        <v>#VALUE!</v>
      </c>
      <c r="CC9" t="e">
        <f t="shared" si="3"/>
        <v>#VALUE!</v>
      </c>
      <c r="CD9" t="e">
        <f t="shared" si="3"/>
        <v>#VALUE!</v>
      </c>
      <c r="CE9" t="e">
        <f t="shared" si="3"/>
        <v>#VALUE!</v>
      </c>
      <c r="CF9" t="e">
        <f t="shared" si="3"/>
        <v>#VALUE!</v>
      </c>
      <c r="CG9" t="e">
        <f t="shared" si="3"/>
        <v>#VALUE!</v>
      </c>
      <c r="CH9" t="e">
        <f t="shared" si="3"/>
        <v>#VALUE!</v>
      </c>
      <c r="CI9" t="e">
        <f t="shared" si="3"/>
        <v>#VALUE!</v>
      </c>
      <c r="CJ9" t="e">
        <f t="shared" si="3"/>
        <v>#VALUE!</v>
      </c>
      <c r="CK9" t="e">
        <f t="shared" si="3"/>
        <v>#VALUE!</v>
      </c>
      <c r="CL9" t="e">
        <f t="shared" si="3"/>
        <v>#VALUE!</v>
      </c>
      <c r="CM9" t="e">
        <f t="shared" si="3"/>
        <v>#VALUE!</v>
      </c>
      <c r="CN9" t="e">
        <f t="shared" si="3"/>
        <v>#VALUE!</v>
      </c>
      <c r="CO9" t="e">
        <f t="shared" si="3"/>
        <v>#VALUE!</v>
      </c>
      <c r="CP9" t="e">
        <f t="shared" si="3"/>
        <v>#VALUE!</v>
      </c>
      <c r="CQ9" t="e">
        <f t="shared" si="3"/>
        <v>#VALUE!</v>
      </c>
      <c r="CR9" t="e">
        <f t="shared" si="3"/>
        <v>#VALUE!</v>
      </c>
      <c r="CS9" t="e">
        <f t="shared" si="3"/>
        <v>#VALUE!</v>
      </c>
      <c r="CT9" t="e">
        <f t="shared" si="3"/>
        <v>#VALUE!</v>
      </c>
      <c r="CU9" t="e">
        <f t="shared" si="3"/>
        <v>#VALUE!</v>
      </c>
      <c r="CV9" t="e">
        <f t="shared" si="3"/>
        <v>#VALUE!</v>
      </c>
      <c r="CW9" t="e">
        <f t="shared" si="3"/>
        <v>#VALUE!</v>
      </c>
      <c r="CX9" t="e">
        <f t="shared" si="3"/>
        <v>#VALUE!</v>
      </c>
      <c r="CY9" t="e">
        <f t="shared" si="3"/>
        <v>#VALUE!</v>
      </c>
      <c r="CZ9" t="e">
        <f t="shared" si="3"/>
        <v>#VALUE!</v>
      </c>
      <c r="DA9" t="e">
        <f t="shared" si="3"/>
        <v>#VALUE!</v>
      </c>
      <c r="DB9" t="e">
        <f t="shared" si="3"/>
        <v>#VALUE!</v>
      </c>
      <c r="DC9" t="e">
        <f t="shared" si="3"/>
        <v>#VALUE!</v>
      </c>
      <c r="DD9" t="e">
        <f t="shared" si="3"/>
        <v>#VALUE!</v>
      </c>
      <c r="DE9" t="e">
        <f t="shared" si="3"/>
        <v>#VALUE!</v>
      </c>
      <c r="DF9" t="e">
        <f t="shared" si="3"/>
        <v>#VALUE!</v>
      </c>
      <c r="DG9" t="e">
        <f t="shared" si="3"/>
        <v>#VALUE!</v>
      </c>
      <c r="DH9" t="e">
        <f t="shared" si="3"/>
        <v>#VALUE!</v>
      </c>
      <c r="DI9" t="e">
        <f t="shared" si="3"/>
        <v>#VALUE!</v>
      </c>
      <c r="DJ9" t="e">
        <f t="shared" si="3"/>
        <v>#VALUE!</v>
      </c>
      <c r="DK9" t="e">
        <f t="shared" si="3"/>
        <v>#VALUE!</v>
      </c>
      <c r="DL9" t="e">
        <f t="shared" si="3"/>
        <v>#VALUE!</v>
      </c>
      <c r="DM9" t="e">
        <f t="shared" si="3"/>
        <v>#VALUE!</v>
      </c>
      <c r="DN9" t="e">
        <f t="shared" si="3"/>
        <v>#VALUE!</v>
      </c>
      <c r="DO9" t="e">
        <f t="shared" si="3"/>
        <v>#VALUE!</v>
      </c>
      <c r="DP9" t="e">
        <f t="shared" si="3"/>
        <v>#VALUE!</v>
      </c>
      <c r="DQ9" t="e">
        <f t="shared" si="3"/>
        <v>#VALUE!</v>
      </c>
      <c r="DR9" t="e">
        <f t="shared" si="3"/>
        <v>#VALUE!</v>
      </c>
      <c r="DS9" t="e">
        <f t="shared" si="3"/>
        <v>#VALUE!</v>
      </c>
      <c r="DT9" t="e">
        <f t="shared" si="3"/>
        <v>#VALUE!</v>
      </c>
      <c r="DU9" t="e">
        <f t="shared" si="3"/>
        <v>#VALUE!</v>
      </c>
      <c r="DV9" t="e">
        <f t="shared" si="3"/>
        <v>#VALUE!</v>
      </c>
      <c r="DW9" t="e">
        <f t="shared" si="3"/>
        <v>#VALUE!</v>
      </c>
      <c r="DX9" t="e">
        <f t="shared" si="3"/>
        <v>#VALUE!</v>
      </c>
      <c r="DY9" t="e">
        <f t="shared" si="3"/>
        <v>#VALUE!</v>
      </c>
      <c r="DZ9" t="e">
        <f t="shared" si="3"/>
        <v>#VALUE!</v>
      </c>
      <c r="EA9" t="e">
        <f t="shared" si="3"/>
        <v>#VALUE!</v>
      </c>
      <c r="EB9" t="e">
        <f t="shared" si="3"/>
        <v>#VALUE!</v>
      </c>
      <c r="EC9" t="e">
        <f t="shared" si="3"/>
        <v>#VALUE!</v>
      </c>
      <c r="ED9" t="e">
        <f t="shared" si="3"/>
        <v>#VALUE!</v>
      </c>
      <c r="EE9" t="e">
        <f t="shared" si="4"/>
        <v>#VALUE!</v>
      </c>
      <c r="EF9" t="e">
        <f t="shared" si="4"/>
        <v>#VALUE!</v>
      </c>
      <c r="EG9" t="e">
        <f t="shared" si="4"/>
        <v>#VALUE!</v>
      </c>
      <c r="EH9" t="e">
        <f t="shared" si="4"/>
        <v>#VALUE!</v>
      </c>
      <c r="EI9" t="e">
        <f t="shared" si="4"/>
        <v>#VALUE!</v>
      </c>
      <c r="EJ9" t="e">
        <f t="shared" si="4"/>
        <v>#VALUE!</v>
      </c>
      <c r="EK9" t="e">
        <f t="shared" si="4"/>
        <v>#VALUE!</v>
      </c>
      <c r="EL9" t="e">
        <f t="shared" si="4"/>
        <v>#VALUE!</v>
      </c>
      <c r="EM9" t="e">
        <f t="shared" si="4"/>
        <v>#VALUE!</v>
      </c>
      <c r="EN9" t="e">
        <f t="shared" si="4"/>
        <v>#VALUE!</v>
      </c>
      <c r="EO9" t="e">
        <f t="shared" si="4"/>
        <v>#VALUE!</v>
      </c>
      <c r="EP9" t="e">
        <f t="shared" si="4"/>
        <v>#VALUE!</v>
      </c>
      <c r="EQ9" t="e">
        <f t="shared" si="4"/>
        <v>#VALUE!</v>
      </c>
      <c r="ER9" t="e">
        <f t="shared" si="4"/>
        <v>#VALUE!</v>
      </c>
      <c r="ES9" t="e">
        <f t="shared" si="4"/>
        <v>#VALUE!</v>
      </c>
      <c r="ET9" t="e">
        <f t="shared" si="4"/>
        <v>#VALUE!</v>
      </c>
      <c r="EU9" t="e">
        <f t="shared" si="4"/>
        <v>#VALUE!</v>
      </c>
      <c r="EV9" t="e">
        <f t="shared" si="4"/>
        <v>#VALUE!</v>
      </c>
      <c r="EW9" t="e">
        <f t="shared" si="4"/>
        <v>#VALUE!</v>
      </c>
      <c r="EX9" t="e">
        <f t="shared" si="4"/>
        <v>#VALUE!</v>
      </c>
      <c r="EY9" t="e">
        <f t="shared" si="4"/>
        <v>#VALUE!</v>
      </c>
      <c r="EZ9" t="e">
        <f t="shared" si="4"/>
        <v>#VALUE!</v>
      </c>
      <c r="FA9" t="e">
        <f t="shared" si="4"/>
        <v>#VALUE!</v>
      </c>
      <c r="FB9" t="e">
        <f t="shared" si="4"/>
        <v>#VALUE!</v>
      </c>
      <c r="FC9" t="e">
        <f t="shared" si="4"/>
        <v>#VALUE!</v>
      </c>
      <c r="FD9" t="e">
        <f t="shared" si="4"/>
        <v>#VALUE!</v>
      </c>
      <c r="FE9" t="e">
        <f t="shared" si="4"/>
        <v>#VALUE!</v>
      </c>
      <c r="FF9" t="e">
        <f t="shared" si="4"/>
        <v>#VALUE!</v>
      </c>
      <c r="FG9" t="e">
        <f t="shared" si="4"/>
        <v>#VALUE!</v>
      </c>
      <c r="FH9" t="e">
        <f t="shared" si="4"/>
        <v>#VALUE!</v>
      </c>
      <c r="FI9" t="e">
        <f t="shared" si="4"/>
        <v>#VALUE!</v>
      </c>
      <c r="FJ9" t="e">
        <f t="shared" si="4"/>
        <v>#VALUE!</v>
      </c>
      <c r="FK9" t="e">
        <f t="shared" si="4"/>
        <v>#VALUE!</v>
      </c>
      <c r="FL9" t="e">
        <f t="shared" si="4"/>
        <v>#VALUE!</v>
      </c>
      <c r="FM9" t="e">
        <f t="shared" si="4"/>
        <v>#VALUE!</v>
      </c>
      <c r="FN9" t="e">
        <f t="shared" si="4"/>
        <v>#VALUE!</v>
      </c>
      <c r="FO9" t="e">
        <f t="shared" si="4"/>
        <v>#VALUE!</v>
      </c>
      <c r="FP9" t="e">
        <f t="shared" si="4"/>
        <v>#VALUE!</v>
      </c>
      <c r="FQ9" t="e">
        <f t="shared" si="4"/>
        <v>#VALUE!</v>
      </c>
      <c r="FR9" t="e">
        <f t="shared" si="4"/>
        <v>#VALUE!</v>
      </c>
      <c r="FS9" t="e">
        <f t="shared" si="4"/>
        <v>#VALUE!</v>
      </c>
      <c r="FT9" t="e">
        <f t="shared" si="4"/>
        <v>#VALUE!</v>
      </c>
      <c r="FU9" t="e">
        <f t="shared" si="4"/>
        <v>#VALUE!</v>
      </c>
      <c r="FV9" t="e">
        <f t="shared" si="4"/>
        <v>#VALUE!</v>
      </c>
      <c r="FW9" t="e">
        <f t="shared" si="4"/>
        <v>#VALUE!</v>
      </c>
      <c r="FX9" t="e">
        <f t="shared" si="4"/>
        <v>#VALUE!</v>
      </c>
      <c r="FY9" t="e">
        <f t="shared" si="4"/>
        <v>#VALUE!</v>
      </c>
      <c r="FZ9" t="e">
        <f t="shared" si="4"/>
        <v>#VALUE!</v>
      </c>
      <c r="GA9" t="e">
        <f t="shared" si="4"/>
        <v>#VALUE!</v>
      </c>
      <c r="GB9" t="e">
        <f t="shared" si="4"/>
        <v>#VALUE!</v>
      </c>
      <c r="GC9" t="e">
        <f t="shared" si="4"/>
        <v>#VALUE!</v>
      </c>
      <c r="GD9" t="e">
        <f t="shared" si="4"/>
        <v>#VALUE!</v>
      </c>
      <c r="GE9" t="e">
        <f t="shared" si="4"/>
        <v>#VALUE!</v>
      </c>
      <c r="GF9" t="e">
        <f t="shared" si="4"/>
        <v>#VALUE!</v>
      </c>
      <c r="GG9" t="e">
        <f t="shared" si="4"/>
        <v>#VALUE!</v>
      </c>
      <c r="GH9" t="e">
        <f t="shared" si="4"/>
        <v>#VALUE!</v>
      </c>
      <c r="GI9" t="e">
        <f t="shared" si="4"/>
        <v>#VALUE!</v>
      </c>
      <c r="GJ9" t="e">
        <f t="shared" si="4"/>
        <v>#VALUE!</v>
      </c>
      <c r="GK9" t="e">
        <f t="shared" si="4"/>
        <v>#VALUE!</v>
      </c>
      <c r="GL9" t="e">
        <f t="shared" si="4"/>
        <v>#VALUE!</v>
      </c>
      <c r="GM9" t="e">
        <f t="shared" si="4"/>
        <v>#VALUE!</v>
      </c>
      <c r="GN9" t="e">
        <f t="shared" si="4"/>
        <v>#VALUE!</v>
      </c>
      <c r="GO9" t="e">
        <f t="shared" si="4"/>
        <v>#VALUE!</v>
      </c>
      <c r="GP9" t="e">
        <f t="shared" si="4"/>
        <v>#VALUE!</v>
      </c>
      <c r="GQ9" t="e">
        <f t="shared" si="5"/>
        <v>#VALUE!</v>
      </c>
      <c r="GR9" t="e">
        <f t="shared" si="5"/>
        <v>#VALUE!</v>
      </c>
      <c r="GS9" t="e">
        <f t="shared" si="5"/>
        <v>#VALUE!</v>
      </c>
      <c r="GT9" t="e">
        <f t="shared" si="5"/>
        <v>#VALUE!</v>
      </c>
      <c r="GU9" t="e">
        <f t="shared" si="5"/>
        <v>#VALUE!</v>
      </c>
      <c r="GV9" t="e">
        <f t="shared" si="5"/>
        <v>#VALUE!</v>
      </c>
      <c r="GW9" t="e">
        <f t="shared" si="5"/>
        <v>#VALUE!</v>
      </c>
      <c r="GX9" t="e">
        <f t="shared" si="5"/>
        <v>#VALUE!</v>
      </c>
      <c r="GY9" t="e">
        <f t="shared" si="5"/>
        <v>#VALUE!</v>
      </c>
      <c r="GZ9" t="e">
        <f t="shared" si="5"/>
        <v>#VALUE!</v>
      </c>
      <c r="HA9" t="e">
        <f t="shared" si="5"/>
        <v>#VALUE!</v>
      </c>
      <c r="HB9" t="e">
        <f t="shared" si="5"/>
        <v>#VALUE!</v>
      </c>
      <c r="HC9" t="e">
        <f t="shared" si="5"/>
        <v>#VALUE!</v>
      </c>
      <c r="HD9" t="e">
        <f t="shared" si="5"/>
        <v>#VALUE!</v>
      </c>
      <c r="HE9" t="e">
        <f t="shared" si="5"/>
        <v>#VALUE!</v>
      </c>
      <c r="HF9" t="e">
        <f t="shared" si="5"/>
        <v>#VALUE!</v>
      </c>
      <c r="HG9" t="e">
        <f t="shared" si="5"/>
        <v>#VALUE!</v>
      </c>
      <c r="HH9" t="e">
        <f t="shared" si="5"/>
        <v>#VALUE!</v>
      </c>
      <c r="HI9" t="e">
        <f t="shared" si="5"/>
        <v>#VALUE!</v>
      </c>
      <c r="HJ9" t="e">
        <f t="shared" si="5"/>
        <v>#VALUE!</v>
      </c>
      <c r="HK9" t="e">
        <f t="shared" si="5"/>
        <v>#VALUE!</v>
      </c>
      <c r="HL9" t="e">
        <f t="shared" si="5"/>
        <v>#VALUE!</v>
      </c>
      <c r="HM9" t="e">
        <f t="shared" si="5"/>
        <v>#VALUE!</v>
      </c>
      <c r="HN9" t="e">
        <f t="shared" si="5"/>
        <v>#VALUE!</v>
      </c>
      <c r="HO9" t="e">
        <f t="shared" si="5"/>
        <v>#VALUE!</v>
      </c>
      <c r="HP9" t="e">
        <f t="shared" si="5"/>
        <v>#VALUE!</v>
      </c>
      <c r="HQ9" t="e">
        <f t="shared" si="5"/>
        <v>#VALUE!</v>
      </c>
      <c r="HR9" t="e">
        <f t="shared" si="5"/>
        <v>#VALUE!</v>
      </c>
      <c r="HS9" t="e">
        <f t="shared" si="5"/>
        <v>#VALUE!</v>
      </c>
      <c r="HT9" t="e">
        <f t="shared" si="5"/>
        <v>#VALUE!</v>
      </c>
      <c r="HU9" t="e">
        <f t="shared" si="5"/>
        <v>#VALUE!</v>
      </c>
      <c r="HV9" t="e">
        <f t="shared" si="5"/>
        <v>#VALUE!</v>
      </c>
      <c r="HW9" t="e">
        <f t="shared" si="5"/>
        <v>#VALUE!</v>
      </c>
      <c r="HX9" t="e">
        <f t="shared" si="5"/>
        <v>#VALUE!</v>
      </c>
      <c r="HY9" t="e">
        <f t="shared" si="5"/>
        <v>#VALUE!</v>
      </c>
      <c r="HZ9" t="e">
        <f t="shared" si="5"/>
        <v>#VALUE!</v>
      </c>
      <c r="IA9" t="e">
        <f t="shared" si="5"/>
        <v>#VALUE!</v>
      </c>
      <c r="IB9" t="e">
        <f t="shared" si="5"/>
        <v>#VALUE!</v>
      </c>
      <c r="IC9" t="e">
        <f t="shared" si="5"/>
        <v>#VALUE!</v>
      </c>
      <c r="ID9" t="e">
        <f t="shared" si="5"/>
        <v>#VALUE!</v>
      </c>
      <c r="IE9" t="e">
        <f t="shared" si="5"/>
        <v>#VALUE!</v>
      </c>
      <c r="IF9" t="e">
        <f t="shared" si="5"/>
        <v>#VALUE!</v>
      </c>
      <c r="IG9" t="e">
        <f t="shared" si="5"/>
        <v>#VALUE!</v>
      </c>
      <c r="IH9" t="e">
        <f t="shared" si="5"/>
        <v>#VALUE!</v>
      </c>
      <c r="II9" t="e">
        <f t="shared" si="5"/>
        <v>#VALUE!</v>
      </c>
      <c r="IJ9" t="e">
        <f t="shared" si="5"/>
        <v>#VALUE!</v>
      </c>
      <c r="IK9" t="e">
        <f t="shared" si="5"/>
        <v>#VALUE!</v>
      </c>
      <c r="IL9" t="e">
        <f t="shared" si="5"/>
        <v>#VALUE!</v>
      </c>
      <c r="IM9" t="e">
        <f t="shared" si="5"/>
        <v>#VALUE!</v>
      </c>
      <c r="IN9" t="e">
        <f t="shared" si="5"/>
        <v>#VALUE!</v>
      </c>
      <c r="IO9" t="e">
        <f t="shared" si="5"/>
        <v>#VALUE!</v>
      </c>
      <c r="IP9" t="e">
        <f t="shared" si="5"/>
        <v>#VALUE!</v>
      </c>
      <c r="IQ9" t="e">
        <f t="shared" si="5"/>
        <v>#VALUE!</v>
      </c>
      <c r="IR9" t="e">
        <f t="shared" si="5"/>
        <v>#VALUE!</v>
      </c>
      <c r="IS9" t="e">
        <f t="shared" si="5"/>
        <v>#VALUE!</v>
      </c>
      <c r="IT9" t="e">
        <f t="shared" si="5"/>
        <v>#VALUE!</v>
      </c>
      <c r="IU9" t="e">
        <f t="shared" si="5"/>
        <v>#VALUE!</v>
      </c>
      <c r="IV9" t="e">
        <f t="shared" si="5"/>
        <v>#VALUE!</v>
      </c>
      <c r="IW9" t="e">
        <f t="shared" si="5"/>
        <v>#VALUE!</v>
      </c>
      <c r="IX9" t="e">
        <f t="shared" si="5"/>
        <v>#VALUE!</v>
      </c>
      <c r="IY9" t="e">
        <f t="shared" si="5"/>
        <v>#VALUE!</v>
      </c>
      <c r="IZ9" t="e">
        <f t="shared" si="5"/>
        <v>#VALUE!</v>
      </c>
      <c r="JA9" t="e">
        <f t="shared" si="5"/>
        <v>#VALUE!</v>
      </c>
      <c r="JB9" t="e">
        <f t="shared" si="5"/>
        <v>#VALUE!</v>
      </c>
      <c r="JC9" t="e">
        <f t="shared" si="6"/>
        <v>#VALUE!</v>
      </c>
      <c r="JD9" t="e">
        <f t="shared" si="6"/>
        <v>#VALUE!</v>
      </c>
      <c r="JE9" t="e">
        <f t="shared" si="6"/>
        <v>#VALUE!</v>
      </c>
      <c r="JF9" t="e">
        <f t="shared" si="6"/>
        <v>#VALUE!</v>
      </c>
      <c r="JG9" t="e">
        <f t="shared" si="6"/>
        <v>#VALUE!</v>
      </c>
      <c r="JH9" t="e">
        <f t="shared" si="6"/>
        <v>#VALUE!</v>
      </c>
      <c r="JI9" t="e">
        <f t="shared" si="6"/>
        <v>#VALUE!</v>
      </c>
      <c r="JJ9" t="e">
        <f t="shared" si="6"/>
        <v>#VALUE!</v>
      </c>
      <c r="JK9" t="e">
        <f t="shared" si="6"/>
        <v>#VALUE!</v>
      </c>
      <c r="JL9" t="e">
        <f t="shared" si="6"/>
        <v>#VALUE!</v>
      </c>
      <c r="JM9" t="e">
        <f t="shared" si="6"/>
        <v>#VALUE!</v>
      </c>
      <c r="JN9" t="e">
        <f t="shared" si="6"/>
        <v>#VALUE!</v>
      </c>
      <c r="JO9" t="e">
        <f t="shared" si="6"/>
        <v>#VALUE!</v>
      </c>
      <c r="JP9" t="e">
        <f t="shared" si="6"/>
        <v>#VALUE!</v>
      </c>
      <c r="JQ9" t="e">
        <f t="shared" si="6"/>
        <v>#VALUE!</v>
      </c>
      <c r="JR9" t="e">
        <f t="shared" si="6"/>
        <v>#VALUE!</v>
      </c>
      <c r="JS9" t="e">
        <f t="shared" si="6"/>
        <v>#VALUE!</v>
      </c>
      <c r="JT9" t="e">
        <f t="shared" si="6"/>
        <v>#VALUE!</v>
      </c>
      <c r="JU9" t="e">
        <f t="shared" si="6"/>
        <v>#VALUE!</v>
      </c>
      <c r="JV9" t="e">
        <f t="shared" si="6"/>
        <v>#VALUE!</v>
      </c>
      <c r="JW9" t="e">
        <f t="shared" si="6"/>
        <v>#VALUE!</v>
      </c>
      <c r="JX9" t="e">
        <f t="shared" si="6"/>
        <v>#VALUE!</v>
      </c>
      <c r="JY9" t="e">
        <f t="shared" si="6"/>
        <v>#VALUE!</v>
      </c>
      <c r="JZ9" t="e">
        <f t="shared" si="6"/>
        <v>#VALUE!</v>
      </c>
      <c r="KA9" t="e">
        <f t="shared" si="6"/>
        <v>#VALUE!</v>
      </c>
      <c r="KB9" t="e">
        <f t="shared" si="6"/>
        <v>#VALUE!</v>
      </c>
      <c r="KC9" t="e">
        <f t="shared" si="6"/>
        <v>#VALUE!</v>
      </c>
      <c r="KD9" t="e">
        <f t="shared" si="6"/>
        <v>#VALUE!</v>
      </c>
      <c r="KE9" t="e">
        <f t="shared" si="6"/>
        <v>#VALUE!</v>
      </c>
      <c r="KF9" t="e">
        <f t="shared" si="6"/>
        <v>#VALUE!</v>
      </c>
      <c r="KG9" t="e">
        <f t="shared" si="6"/>
        <v>#VALUE!</v>
      </c>
      <c r="KH9" t="e">
        <f t="shared" si="6"/>
        <v>#VALUE!</v>
      </c>
      <c r="KI9" t="e">
        <f t="shared" si="6"/>
        <v>#VALUE!</v>
      </c>
      <c r="KJ9" t="e">
        <f t="shared" si="6"/>
        <v>#VALUE!</v>
      </c>
      <c r="KK9" t="e">
        <f t="shared" si="6"/>
        <v>#VALUE!</v>
      </c>
      <c r="KL9" t="e">
        <f t="shared" si="6"/>
        <v>#VALUE!</v>
      </c>
      <c r="KM9" t="e">
        <f t="shared" si="6"/>
        <v>#VALUE!</v>
      </c>
      <c r="KN9" t="e">
        <f t="shared" si="6"/>
        <v>#VALUE!</v>
      </c>
      <c r="KO9" t="e">
        <f t="shared" si="6"/>
        <v>#VALUE!</v>
      </c>
      <c r="KP9" t="e">
        <f t="shared" si="6"/>
        <v>#VALUE!</v>
      </c>
      <c r="KQ9" t="e">
        <f t="shared" si="6"/>
        <v>#VALUE!</v>
      </c>
      <c r="KR9" t="e">
        <f t="shared" si="6"/>
        <v>#VALUE!</v>
      </c>
      <c r="KS9" t="e">
        <f t="shared" si="6"/>
        <v>#VALUE!</v>
      </c>
      <c r="KT9" t="e">
        <f t="shared" si="6"/>
        <v>#VALUE!</v>
      </c>
      <c r="KU9" t="e">
        <f t="shared" si="6"/>
        <v>#VALUE!</v>
      </c>
      <c r="KV9" t="e">
        <f t="shared" si="6"/>
        <v>#VALUE!</v>
      </c>
      <c r="KW9" t="e">
        <f t="shared" si="6"/>
        <v>#VALUE!</v>
      </c>
      <c r="KX9" t="e">
        <f t="shared" si="6"/>
        <v>#VALUE!</v>
      </c>
      <c r="KY9" t="e">
        <f t="shared" si="6"/>
        <v>#VALUE!</v>
      </c>
      <c r="KZ9" t="e">
        <f t="shared" si="6"/>
        <v>#VALUE!</v>
      </c>
      <c r="LA9" t="e">
        <f t="shared" si="6"/>
        <v>#VALUE!</v>
      </c>
      <c r="LB9" t="e">
        <f t="shared" si="6"/>
        <v>#VALUE!</v>
      </c>
      <c r="LC9" t="e">
        <f t="shared" si="6"/>
        <v>#VALUE!</v>
      </c>
      <c r="LD9" t="e">
        <f t="shared" si="6"/>
        <v>#VALUE!</v>
      </c>
      <c r="LE9" t="e">
        <f t="shared" si="6"/>
        <v>#VALUE!</v>
      </c>
      <c r="LF9" t="e">
        <f t="shared" si="6"/>
        <v>#VALUE!</v>
      </c>
      <c r="LG9" t="e">
        <f t="shared" si="6"/>
        <v>#VALUE!</v>
      </c>
      <c r="LH9" t="e">
        <f t="shared" si="6"/>
        <v>#VALUE!</v>
      </c>
      <c r="LI9" t="e">
        <f t="shared" si="6"/>
        <v>#VALUE!</v>
      </c>
      <c r="LJ9" t="e">
        <f t="shared" si="6"/>
        <v>#VALUE!</v>
      </c>
      <c r="LK9" t="e">
        <f t="shared" si="6"/>
        <v>#VALUE!</v>
      </c>
      <c r="LL9" t="e">
        <f t="shared" si="6"/>
        <v>#VALUE!</v>
      </c>
      <c r="LM9" t="e">
        <f t="shared" si="6"/>
        <v>#VALUE!</v>
      </c>
      <c r="LN9" t="e">
        <f t="shared" si="6"/>
        <v>#VALUE!</v>
      </c>
      <c r="LO9" t="e">
        <f t="shared" si="7"/>
        <v>#VALUE!</v>
      </c>
      <c r="LP9" t="e">
        <f t="shared" si="7"/>
        <v>#VALUE!</v>
      </c>
      <c r="LQ9" t="e">
        <f t="shared" si="7"/>
        <v>#VALUE!</v>
      </c>
      <c r="LR9" t="e">
        <f t="shared" si="7"/>
        <v>#VALUE!</v>
      </c>
      <c r="LS9" t="e">
        <f t="shared" si="7"/>
        <v>#VALUE!</v>
      </c>
      <c r="LT9" t="e">
        <f t="shared" si="7"/>
        <v>#VALUE!</v>
      </c>
      <c r="LU9" t="e">
        <f t="shared" si="7"/>
        <v>#VALUE!</v>
      </c>
      <c r="LV9" t="e">
        <f t="shared" si="7"/>
        <v>#VALUE!</v>
      </c>
      <c r="LW9" t="e">
        <f t="shared" si="7"/>
        <v>#VALUE!</v>
      </c>
      <c r="LX9" t="e">
        <f t="shared" si="7"/>
        <v>#VALUE!</v>
      </c>
      <c r="LY9" t="e">
        <f t="shared" si="7"/>
        <v>#VALUE!</v>
      </c>
      <c r="LZ9" t="e">
        <f t="shared" si="7"/>
        <v>#VALUE!</v>
      </c>
      <c r="MA9" t="e">
        <f t="shared" si="7"/>
        <v>#VALUE!</v>
      </c>
      <c r="MB9" t="e">
        <f t="shared" si="7"/>
        <v>#VALUE!</v>
      </c>
      <c r="MC9" t="e">
        <f t="shared" si="7"/>
        <v>#VALUE!</v>
      </c>
      <c r="MD9" t="e">
        <f t="shared" si="7"/>
        <v>#VALUE!</v>
      </c>
      <c r="ME9" t="e">
        <f t="shared" si="7"/>
        <v>#VALUE!</v>
      </c>
      <c r="MF9" t="e">
        <f t="shared" si="7"/>
        <v>#VALUE!</v>
      </c>
      <c r="MG9" t="e">
        <f t="shared" si="7"/>
        <v>#VALUE!</v>
      </c>
      <c r="MH9" t="e">
        <f t="shared" si="7"/>
        <v>#VALUE!</v>
      </c>
      <c r="MI9" t="e">
        <f t="shared" si="7"/>
        <v>#VALUE!</v>
      </c>
      <c r="MJ9" t="e">
        <f t="shared" si="7"/>
        <v>#VALUE!</v>
      </c>
      <c r="MK9" t="e">
        <f t="shared" si="7"/>
        <v>#VALUE!</v>
      </c>
      <c r="ML9" t="e">
        <f t="shared" si="7"/>
        <v>#VALUE!</v>
      </c>
      <c r="MM9" t="e">
        <f t="shared" si="7"/>
        <v>#VALUE!</v>
      </c>
      <c r="MN9" t="e">
        <f t="shared" si="7"/>
        <v>#VALUE!</v>
      </c>
      <c r="MO9" t="e">
        <f t="shared" si="7"/>
        <v>#VALUE!</v>
      </c>
      <c r="MP9" t="e">
        <f t="shared" si="7"/>
        <v>#VALUE!</v>
      </c>
      <c r="MQ9" t="e">
        <f t="shared" si="7"/>
        <v>#VALUE!</v>
      </c>
      <c r="MR9" t="e">
        <f t="shared" si="7"/>
        <v>#VALUE!</v>
      </c>
      <c r="MS9" t="e">
        <f t="shared" si="7"/>
        <v>#VALUE!</v>
      </c>
      <c r="MT9" t="e">
        <f t="shared" si="7"/>
        <v>#VALUE!</v>
      </c>
      <c r="MU9" t="e">
        <f t="shared" si="7"/>
        <v>#VALUE!</v>
      </c>
      <c r="MV9" t="e">
        <f t="shared" si="7"/>
        <v>#VALUE!</v>
      </c>
      <c r="MW9" t="e">
        <f t="shared" si="7"/>
        <v>#VALUE!</v>
      </c>
      <c r="MX9" t="e">
        <f t="shared" si="7"/>
        <v>#VALUE!</v>
      </c>
      <c r="MY9" t="e">
        <f t="shared" si="7"/>
        <v>#VALUE!</v>
      </c>
      <c r="MZ9" t="e">
        <f t="shared" si="7"/>
        <v>#VALUE!</v>
      </c>
      <c r="NA9" t="e">
        <f t="shared" si="7"/>
        <v>#VALUE!</v>
      </c>
      <c r="NB9" t="e">
        <f t="shared" si="7"/>
        <v>#VALUE!</v>
      </c>
      <c r="NC9" t="e">
        <f t="shared" si="7"/>
        <v>#VALUE!</v>
      </c>
      <c r="ND9" t="e">
        <f t="shared" si="7"/>
        <v>#VALUE!</v>
      </c>
      <c r="NE9" t="e">
        <f t="shared" si="7"/>
        <v>#VALUE!</v>
      </c>
      <c r="NF9" t="e">
        <f t="shared" si="7"/>
        <v>#VALUE!</v>
      </c>
      <c r="NG9" t="e">
        <f t="shared" si="7"/>
        <v>#VALUE!</v>
      </c>
      <c r="NH9" t="e">
        <f t="shared" si="7"/>
        <v>#VALUE!</v>
      </c>
      <c r="NI9" t="e">
        <f t="shared" si="7"/>
        <v>#VALUE!</v>
      </c>
      <c r="NJ9" t="e">
        <f t="shared" si="7"/>
        <v>#VALUE!</v>
      </c>
      <c r="NK9" t="e">
        <f t="shared" si="7"/>
        <v>#VALUE!</v>
      </c>
      <c r="NL9" t="e">
        <f t="shared" si="7"/>
        <v>#VALUE!</v>
      </c>
      <c r="NM9" t="e">
        <f t="shared" si="7"/>
        <v>#VALUE!</v>
      </c>
      <c r="NN9" t="e">
        <f t="shared" si="7"/>
        <v>#VALUE!</v>
      </c>
      <c r="NO9" t="e">
        <f t="shared" si="7"/>
        <v>#VALUE!</v>
      </c>
      <c r="NP9" t="e">
        <f t="shared" si="7"/>
        <v>#VALUE!</v>
      </c>
      <c r="NQ9" t="e">
        <f t="shared" si="7"/>
        <v>#VALUE!</v>
      </c>
      <c r="NR9" t="e">
        <f t="shared" si="7"/>
        <v>#VALUE!</v>
      </c>
      <c r="NS9" t="e">
        <f t="shared" si="7"/>
        <v>#VALUE!</v>
      </c>
      <c r="NT9" t="e">
        <f t="shared" si="7"/>
        <v>#VALUE!</v>
      </c>
      <c r="NU9" t="e">
        <f t="shared" si="7"/>
        <v>#VALUE!</v>
      </c>
      <c r="NV9" t="e">
        <f t="shared" si="7"/>
        <v>#VALUE!</v>
      </c>
      <c r="NW9" t="e">
        <f t="shared" si="7"/>
        <v>#VALUE!</v>
      </c>
      <c r="NX9" t="e">
        <f t="shared" si="7"/>
        <v>#VALUE!</v>
      </c>
      <c r="NY9" t="e">
        <f t="shared" si="7"/>
        <v>#VALUE!</v>
      </c>
      <c r="NZ9" t="e">
        <f t="shared" si="7"/>
        <v>#VALUE!</v>
      </c>
      <c r="OA9" t="e">
        <f t="shared" si="8"/>
        <v>#VALUE!</v>
      </c>
      <c r="OB9" t="e">
        <f t="shared" si="8"/>
        <v>#VALUE!</v>
      </c>
      <c r="OC9" t="e">
        <f t="shared" si="8"/>
        <v>#VALUE!</v>
      </c>
      <c r="OD9" t="e">
        <f t="shared" si="8"/>
        <v>#VALUE!</v>
      </c>
      <c r="OE9" t="e">
        <f t="shared" si="8"/>
        <v>#VALUE!</v>
      </c>
      <c r="OF9" t="e">
        <f t="shared" si="8"/>
        <v>#VALUE!</v>
      </c>
      <c r="OG9" t="e">
        <f t="shared" si="8"/>
        <v>#VALUE!</v>
      </c>
      <c r="OH9" t="e">
        <f t="shared" si="8"/>
        <v>#VALUE!</v>
      </c>
      <c r="OI9" t="e">
        <f t="shared" si="8"/>
        <v>#VALUE!</v>
      </c>
      <c r="OJ9" t="e">
        <f t="shared" si="8"/>
        <v>#VALUE!</v>
      </c>
      <c r="OK9" t="e">
        <f t="shared" si="8"/>
        <v>#VALUE!</v>
      </c>
      <c r="OL9" t="e">
        <f t="shared" si="8"/>
        <v>#VALUE!</v>
      </c>
      <c r="OM9" t="e">
        <f t="shared" si="8"/>
        <v>#VALUE!</v>
      </c>
      <c r="ON9" t="e">
        <f t="shared" si="8"/>
        <v>#VALUE!</v>
      </c>
      <c r="OO9" t="e">
        <f t="shared" si="8"/>
        <v>#VALUE!</v>
      </c>
      <c r="OP9" t="e">
        <f t="shared" si="8"/>
        <v>#VALUE!</v>
      </c>
      <c r="OQ9" t="e">
        <f t="shared" si="8"/>
        <v>#VALUE!</v>
      </c>
      <c r="OR9" t="e">
        <f t="shared" si="8"/>
        <v>#VALUE!</v>
      </c>
      <c r="OS9" t="e">
        <f t="shared" si="8"/>
        <v>#VALUE!</v>
      </c>
      <c r="OT9" t="e">
        <f t="shared" si="8"/>
        <v>#VALUE!</v>
      </c>
      <c r="OU9" t="e">
        <f t="shared" si="8"/>
        <v>#VALUE!</v>
      </c>
      <c r="OV9" t="e">
        <f t="shared" si="8"/>
        <v>#VALUE!</v>
      </c>
      <c r="OW9" t="e">
        <f t="shared" si="8"/>
        <v>#VALUE!</v>
      </c>
      <c r="OX9" t="e">
        <f t="shared" si="8"/>
        <v>#VALUE!</v>
      </c>
      <c r="OY9" t="e">
        <f t="shared" si="8"/>
        <v>#VALUE!</v>
      </c>
      <c r="OZ9" t="e">
        <f t="shared" si="8"/>
        <v>#VALUE!</v>
      </c>
      <c r="PA9" t="e">
        <f t="shared" si="8"/>
        <v>#VALUE!</v>
      </c>
      <c r="PB9" t="e">
        <f t="shared" si="8"/>
        <v>#VALUE!</v>
      </c>
      <c r="PC9" t="e">
        <f t="shared" si="8"/>
        <v>#VALUE!</v>
      </c>
      <c r="PD9" t="e">
        <f t="shared" si="8"/>
        <v>#VALUE!</v>
      </c>
      <c r="PE9" t="e">
        <f t="shared" si="8"/>
        <v>#VALUE!</v>
      </c>
      <c r="PF9" t="e">
        <f t="shared" si="8"/>
        <v>#VALUE!</v>
      </c>
      <c r="PG9" t="e">
        <f t="shared" si="8"/>
        <v>#VALUE!</v>
      </c>
      <c r="PH9" t="e">
        <f t="shared" si="8"/>
        <v>#VALUE!</v>
      </c>
      <c r="PI9" t="e">
        <f t="shared" si="8"/>
        <v>#VALUE!</v>
      </c>
      <c r="PJ9" t="e">
        <f t="shared" si="8"/>
        <v>#VALUE!</v>
      </c>
      <c r="PK9" t="e">
        <f t="shared" si="8"/>
        <v>#VALUE!</v>
      </c>
      <c r="PL9" t="e">
        <f t="shared" si="8"/>
        <v>#VALUE!</v>
      </c>
      <c r="PM9" t="e">
        <f t="shared" si="8"/>
        <v>#VALUE!</v>
      </c>
      <c r="PN9" t="e">
        <f t="shared" si="8"/>
        <v>#VALUE!</v>
      </c>
      <c r="PO9" t="e">
        <f t="shared" si="8"/>
        <v>#VALUE!</v>
      </c>
      <c r="PP9" t="e">
        <f t="shared" si="8"/>
        <v>#VALUE!</v>
      </c>
      <c r="PQ9" t="e">
        <f t="shared" si="8"/>
        <v>#VALUE!</v>
      </c>
      <c r="PR9" t="e">
        <f t="shared" si="8"/>
        <v>#VALUE!</v>
      </c>
      <c r="PS9" t="e">
        <f t="shared" si="8"/>
        <v>#VALUE!</v>
      </c>
      <c r="PT9" t="e">
        <f t="shared" si="8"/>
        <v>#VALUE!</v>
      </c>
      <c r="PU9" t="e">
        <f t="shared" si="8"/>
        <v>#VALUE!</v>
      </c>
      <c r="PV9" t="e">
        <f t="shared" si="8"/>
        <v>#VALUE!</v>
      </c>
      <c r="PW9" t="e">
        <f t="shared" si="8"/>
        <v>#VALUE!</v>
      </c>
      <c r="PX9" t="e">
        <f t="shared" si="8"/>
        <v>#VALUE!</v>
      </c>
      <c r="PY9" t="e">
        <f t="shared" si="8"/>
        <v>#VALUE!</v>
      </c>
      <c r="PZ9" t="e">
        <f t="shared" si="8"/>
        <v>#VALUE!</v>
      </c>
      <c r="QA9" t="e">
        <f t="shared" si="8"/>
        <v>#VALUE!</v>
      </c>
      <c r="QB9" t="e">
        <f t="shared" si="8"/>
        <v>#VALUE!</v>
      </c>
      <c r="QC9" t="e">
        <f t="shared" si="8"/>
        <v>#VALUE!</v>
      </c>
      <c r="QD9" t="e">
        <f t="shared" si="8"/>
        <v>#VALUE!</v>
      </c>
      <c r="QE9" t="e">
        <f t="shared" si="8"/>
        <v>#VALUE!</v>
      </c>
      <c r="QF9" t="e">
        <f t="shared" si="8"/>
        <v>#VALUE!</v>
      </c>
      <c r="QG9" t="e">
        <f t="shared" si="8"/>
        <v>#VALUE!</v>
      </c>
      <c r="QH9" t="e">
        <f t="shared" si="8"/>
        <v>#VALUE!</v>
      </c>
      <c r="QI9" t="e">
        <f t="shared" si="8"/>
        <v>#VALUE!</v>
      </c>
      <c r="QJ9" t="e">
        <f t="shared" si="8"/>
        <v>#VALUE!</v>
      </c>
      <c r="QK9" t="e">
        <f t="shared" si="8"/>
        <v>#VALUE!</v>
      </c>
      <c r="QL9" t="e">
        <f t="shared" si="8"/>
        <v>#VALUE!</v>
      </c>
      <c r="QM9" t="e">
        <f t="shared" si="9"/>
        <v>#VALUE!</v>
      </c>
      <c r="QN9" t="e">
        <f t="shared" si="9"/>
        <v>#VALUE!</v>
      </c>
      <c r="QO9" t="e">
        <f t="shared" si="9"/>
        <v>#VALUE!</v>
      </c>
      <c r="QP9" t="e">
        <f t="shared" si="9"/>
        <v>#VALUE!</v>
      </c>
      <c r="QQ9" t="e">
        <f t="shared" si="9"/>
        <v>#VALUE!</v>
      </c>
      <c r="QR9" t="e">
        <f t="shared" si="9"/>
        <v>#VALUE!</v>
      </c>
      <c r="QS9" t="e">
        <f t="shared" si="9"/>
        <v>#VALUE!</v>
      </c>
      <c r="QT9" t="e">
        <f t="shared" si="9"/>
        <v>#VALUE!</v>
      </c>
      <c r="QU9" t="e">
        <f t="shared" si="9"/>
        <v>#VALUE!</v>
      </c>
      <c r="QV9" t="e">
        <f t="shared" si="9"/>
        <v>#VALUE!</v>
      </c>
      <c r="QW9" t="e">
        <f t="shared" si="9"/>
        <v>#VALUE!</v>
      </c>
      <c r="QX9" t="e">
        <f t="shared" si="9"/>
        <v>#VALUE!</v>
      </c>
      <c r="QY9" t="e">
        <f t="shared" si="9"/>
        <v>#VALUE!</v>
      </c>
      <c r="QZ9" t="e">
        <f t="shared" si="9"/>
        <v>#VALUE!</v>
      </c>
      <c r="RA9" t="e">
        <f t="shared" si="9"/>
        <v>#VALUE!</v>
      </c>
      <c r="RB9" t="e">
        <f t="shared" si="9"/>
        <v>#VALUE!</v>
      </c>
      <c r="RC9" t="e">
        <f t="shared" si="9"/>
        <v>#VALUE!</v>
      </c>
      <c r="RD9" t="e">
        <f t="shared" si="9"/>
        <v>#VALUE!</v>
      </c>
      <c r="RE9" t="e">
        <f t="shared" si="9"/>
        <v>#VALUE!</v>
      </c>
      <c r="RF9" t="e">
        <f t="shared" si="9"/>
        <v>#VALUE!</v>
      </c>
      <c r="RG9" t="e">
        <f t="shared" si="9"/>
        <v>#VALUE!</v>
      </c>
      <c r="RH9" t="e">
        <f t="shared" si="9"/>
        <v>#VALUE!</v>
      </c>
      <c r="RI9" t="e">
        <f t="shared" si="9"/>
        <v>#VALUE!</v>
      </c>
      <c r="RJ9" t="e">
        <f t="shared" si="9"/>
        <v>#VALUE!</v>
      </c>
      <c r="RK9" t="e">
        <f t="shared" si="9"/>
        <v>#VALUE!</v>
      </c>
      <c r="RL9" t="e">
        <f t="shared" si="9"/>
        <v>#VALUE!</v>
      </c>
      <c r="RM9" t="e">
        <f t="shared" si="9"/>
        <v>#VALUE!</v>
      </c>
      <c r="RN9" t="e">
        <f t="shared" si="9"/>
        <v>#VALUE!</v>
      </c>
      <c r="RO9" t="e">
        <f t="shared" si="9"/>
        <v>#VALUE!</v>
      </c>
      <c r="RP9" t="e">
        <f t="shared" si="9"/>
        <v>#VALUE!</v>
      </c>
      <c r="RQ9" t="e">
        <f t="shared" si="9"/>
        <v>#VALUE!</v>
      </c>
      <c r="RR9" t="e">
        <f t="shared" si="9"/>
        <v>#VALUE!</v>
      </c>
      <c r="RS9" t="e">
        <f t="shared" si="9"/>
        <v>#VALUE!</v>
      </c>
      <c r="RT9" t="e">
        <f t="shared" si="9"/>
        <v>#VALUE!</v>
      </c>
      <c r="RU9" t="e">
        <f t="shared" si="9"/>
        <v>#VALUE!</v>
      </c>
      <c r="RV9" t="e">
        <f t="shared" si="9"/>
        <v>#VALUE!</v>
      </c>
      <c r="RW9" t="e">
        <f t="shared" si="9"/>
        <v>#VALUE!</v>
      </c>
      <c r="RX9" t="e">
        <f t="shared" si="9"/>
        <v>#VALUE!</v>
      </c>
      <c r="RY9" t="e">
        <f t="shared" si="9"/>
        <v>#VALUE!</v>
      </c>
      <c r="RZ9" t="e">
        <f t="shared" si="9"/>
        <v>#VALUE!</v>
      </c>
      <c r="SA9" t="e">
        <f t="shared" si="9"/>
        <v>#VALUE!</v>
      </c>
      <c r="SB9" t="e">
        <f t="shared" si="9"/>
        <v>#VALUE!</v>
      </c>
      <c r="SC9" t="e">
        <f t="shared" si="9"/>
        <v>#VALUE!</v>
      </c>
      <c r="SD9" t="e">
        <f t="shared" si="9"/>
        <v>#VALUE!</v>
      </c>
      <c r="SE9" t="e">
        <f t="shared" si="9"/>
        <v>#VALUE!</v>
      </c>
      <c r="SF9" t="e">
        <f t="shared" si="9"/>
        <v>#VALUE!</v>
      </c>
      <c r="SG9" t="e">
        <f t="shared" si="9"/>
        <v>#VALUE!</v>
      </c>
      <c r="SH9" t="e">
        <f t="shared" si="9"/>
        <v>#VALUE!</v>
      </c>
      <c r="SI9" t="e">
        <f t="shared" si="9"/>
        <v>#VALUE!</v>
      </c>
      <c r="SJ9" t="e">
        <f t="shared" si="9"/>
        <v>#VALUE!</v>
      </c>
      <c r="SK9" t="e">
        <f t="shared" si="9"/>
        <v>#VALUE!</v>
      </c>
      <c r="SL9" t="e">
        <f t="shared" si="9"/>
        <v>#VALUE!</v>
      </c>
      <c r="SM9" t="e">
        <f t="shared" si="9"/>
        <v>#VALUE!</v>
      </c>
      <c r="SN9" t="e">
        <f t="shared" si="9"/>
        <v>#VALUE!</v>
      </c>
      <c r="SO9" t="e">
        <f t="shared" si="9"/>
        <v>#VALUE!</v>
      </c>
      <c r="SP9" t="e">
        <f t="shared" si="9"/>
        <v>#VALUE!</v>
      </c>
      <c r="SQ9" t="e">
        <f t="shared" si="9"/>
        <v>#VALUE!</v>
      </c>
      <c r="SR9" t="e">
        <f t="shared" si="9"/>
        <v>#VALUE!</v>
      </c>
      <c r="SS9" t="e">
        <f t="shared" si="9"/>
        <v>#VALUE!</v>
      </c>
      <c r="ST9" t="e">
        <f t="shared" si="9"/>
        <v>#VALUE!</v>
      </c>
      <c r="SU9" t="e">
        <f t="shared" si="9"/>
        <v>#VALUE!</v>
      </c>
      <c r="SV9" t="e">
        <f t="shared" si="9"/>
        <v>#VALUE!</v>
      </c>
      <c r="SW9" t="e">
        <f t="shared" si="9"/>
        <v>#VALUE!</v>
      </c>
      <c r="SX9" t="e">
        <f t="shared" si="9"/>
        <v>#VALUE!</v>
      </c>
      <c r="SY9" t="e">
        <f t="shared" si="10"/>
        <v>#VALUE!</v>
      </c>
      <c r="SZ9" t="e">
        <f t="shared" si="10"/>
        <v>#VALUE!</v>
      </c>
      <c r="TA9" t="e">
        <f t="shared" si="10"/>
        <v>#VALUE!</v>
      </c>
      <c r="TB9" t="e">
        <f t="shared" si="10"/>
        <v>#VALUE!</v>
      </c>
      <c r="TC9" t="e">
        <f t="shared" si="10"/>
        <v>#VALUE!</v>
      </c>
      <c r="TD9" t="e">
        <f t="shared" si="10"/>
        <v>#VALUE!</v>
      </c>
      <c r="TE9" t="e">
        <f t="shared" si="10"/>
        <v>#VALUE!</v>
      </c>
      <c r="TF9" t="e">
        <f t="shared" si="10"/>
        <v>#VALUE!</v>
      </c>
      <c r="TG9" t="e">
        <f t="shared" si="10"/>
        <v>#VALUE!</v>
      </c>
      <c r="TH9" t="e">
        <f t="shared" si="10"/>
        <v>#VALUE!</v>
      </c>
      <c r="TI9" t="e">
        <f t="shared" si="10"/>
        <v>#VALUE!</v>
      </c>
      <c r="TJ9" t="e">
        <f t="shared" si="10"/>
        <v>#VALUE!</v>
      </c>
      <c r="TK9" t="e">
        <f t="shared" si="10"/>
        <v>#VALUE!</v>
      </c>
      <c r="TL9" t="e">
        <f t="shared" si="10"/>
        <v>#VALUE!</v>
      </c>
      <c r="TM9" t="e">
        <f t="shared" si="10"/>
        <v>#VALUE!</v>
      </c>
      <c r="TN9" t="e">
        <f t="shared" si="10"/>
        <v>#VALUE!</v>
      </c>
      <c r="TO9" t="e">
        <f t="shared" si="10"/>
        <v>#VALUE!</v>
      </c>
      <c r="TP9" t="e">
        <f t="shared" si="10"/>
        <v>#VALUE!</v>
      </c>
      <c r="TQ9" t="e">
        <f t="shared" si="10"/>
        <v>#VALUE!</v>
      </c>
      <c r="TR9" t="e">
        <f t="shared" si="10"/>
        <v>#VALUE!</v>
      </c>
      <c r="TS9" t="e">
        <f t="shared" si="10"/>
        <v>#VALUE!</v>
      </c>
      <c r="TT9" t="e">
        <f t="shared" si="10"/>
        <v>#VALUE!</v>
      </c>
      <c r="TU9" t="e">
        <f t="shared" si="10"/>
        <v>#VALUE!</v>
      </c>
      <c r="TV9" t="e">
        <f t="shared" si="10"/>
        <v>#VALUE!</v>
      </c>
      <c r="TW9" t="e">
        <f t="shared" si="10"/>
        <v>#VALUE!</v>
      </c>
      <c r="TX9" t="e">
        <f t="shared" si="10"/>
        <v>#VALUE!</v>
      </c>
      <c r="TY9" t="e">
        <f t="shared" si="10"/>
        <v>#VALUE!</v>
      </c>
      <c r="TZ9" t="e">
        <f t="shared" si="10"/>
        <v>#VALUE!</v>
      </c>
      <c r="UA9" t="e">
        <f t="shared" si="10"/>
        <v>#VALUE!</v>
      </c>
      <c r="UB9" t="e">
        <f t="shared" si="10"/>
        <v>#VALUE!</v>
      </c>
      <c r="UC9" t="e">
        <f t="shared" si="10"/>
        <v>#VALUE!</v>
      </c>
      <c r="UD9" t="e">
        <f t="shared" si="10"/>
        <v>#VALUE!</v>
      </c>
      <c r="UE9" t="e">
        <f t="shared" si="10"/>
        <v>#VALUE!</v>
      </c>
      <c r="UF9" t="e">
        <f t="shared" si="10"/>
        <v>#VALUE!</v>
      </c>
      <c r="UG9" t="e">
        <f t="shared" si="10"/>
        <v>#VALUE!</v>
      </c>
      <c r="UH9" t="e">
        <f t="shared" si="10"/>
        <v>#VALUE!</v>
      </c>
      <c r="UI9" t="e">
        <f t="shared" si="10"/>
        <v>#VALUE!</v>
      </c>
      <c r="UJ9" t="e">
        <f t="shared" si="10"/>
        <v>#VALUE!</v>
      </c>
      <c r="UK9" t="e">
        <f t="shared" si="10"/>
        <v>#VALUE!</v>
      </c>
      <c r="UL9" t="e">
        <f t="shared" si="10"/>
        <v>#VALUE!</v>
      </c>
      <c r="UM9" t="e">
        <f t="shared" si="10"/>
        <v>#VALUE!</v>
      </c>
      <c r="UN9" t="e">
        <f t="shared" si="10"/>
        <v>#VALUE!</v>
      </c>
      <c r="UO9" t="e">
        <f t="shared" si="10"/>
        <v>#VALUE!</v>
      </c>
      <c r="UP9" t="e">
        <f t="shared" si="10"/>
        <v>#VALUE!</v>
      </c>
      <c r="UQ9" t="e">
        <f t="shared" si="10"/>
        <v>#VALUE!</v>
      </c>
      <c r="UR9" t="e">
        <f t="shared" si="10"/>
        <v>#VALUE!</v>
      </c>
      <c r="US9" t="e">
        <f t="shared" si="10"/>
        <v>#VALUE!</v>
      </c>
      <c r="UT9" t="e">
        <f t="shared" si="10"/>
        <v>#VALUE!</v>
      </c>
      <c r="UU9" t="e">
        <f t="shared" si="10"/>
        <v>#VALUE!</v>
      </c>
      <c r="UV9" t="e">
        <f t="shared" si="10"/>
        <v>#VALUE!</v>
      </c>
      <c r="UW9" t="e">
        <f t="shared" si="10"/>
        <v>#VALUE!</v>
      </c>
      <c r="UX9" t="e">
        <f t="shared" si="10"/>
        <v>#VALUE!</v>
      </c>
      <c r="UY9" t="e">
        <f t="shared" si="10"/>
        <v>#VALUE!</v>
      </c>
      <c r="UZ9" t="e">
        <f t="shared" si="10"/>
        <v>#VALUE!</v>
      </c>
      <c r="VA9" t="e">
        <f t="shared" si="10"/>
        <v>#VALUE!</v>
      </c>
      <c r="VB9" t="e">
        <f t="shared" si="10"/>
        <v>#VALUE!</v>
      </c>
      <c r="VC9" t="e">
        <f t="shared" si="10"/>
        <v>#VALUE!</v>
      </c>
      <c r="VD9" t="e">
        <f t="shared" si="10"/>
        <v>#VALUE!</v>
      </c>
      <c r="VE9" t="e">
        <f t="shared" si="10"/>
        <v>#VALUE!</v>
      </c>
      <c r="VF9" t="e">
        <f t="shared" si="10"/>
        <v>#VALUE!</v>
      </c>
      <c r="VG9" t="e">
        <f t="shared" si="10"/>
        <v>#VALUE!</v>
      </c>
      <c r="VH9" t="e">
        <f t="shared" si="10"/>
        <v>#VALUE!</v>
      </c>
      <c r="VI9" t="e">
        <f t="shared" si="10"/>
        <v>#VALUE!</v>
      </c>
      <c r="VJ9" t="e">
        <f t="shared" si="10"/>
        <v>#VALUE!</v>
      </c>
      <c r="VK9" t="e">
        <f t="shared" si="11"/>
        <v>#VALUE!</v>
      </c>
      <c r="VL9" t="e">
        <f t="shared" si="11"/>
        <v>#VALUE!</v>
      </c>
      <c r="VM9" t="e">
        <f t="shared" si="11"/>
        <v>#VALUE!</v>
      </c>
      <c r="VN9" t="e">
        <f t="shared" si="11"/>
        <v>#VALUE!</v>
      </c>
      <c r="VO9" t="e">
        <f t="shared" si="11"/>
        <v>#VALUE!</v>
      </c>
      <c r="VP9" t="e">
        <f t="shared" si="11"/>
        <v>#VALUE!</v>
      </c>
      <c r="VQ9" t="e">
        <f t="shared" si="11"/>
        <v>#VALUE!</v>
      </c>
      <c r="VR9" t="e">
        <f t="shared" si="11"/>
        <v>#VALUE!</v>
      </c>
      <c r="VS9" t="e">
        <f t="shared" si="11"/>
        <v>#VALUE!</v>
      </c>
      <c r="VT9" t="e">
        <f t="shared" si="11"/>
        <v>#VALUE!</v>
      </c>
      <c r="VU9" t="e">
        <f t="shared" si="11"/>
        <v>#VALUE!</v>
      </c>
      <c r="VV9" t="e">
        <f t="shared" si="11"/>
        <v>#VALUE!</v>
      </c>
      <c r="VW9" t="e">
        <f t="shared" si="11"/>
        <v>#VALUE!</v>
      </c>
      <c r="VX9" t="e">
        <f t="shared" si="11"/>
        <v>#VALUE!</v>
      </c>
      <c r="VY9" t="e">
        <f t="shared" si="11"/>
        <v>#VALUE!</v>
      </c>
      <c r="VZ9" t="e">
        <f t="shared" si="11"/>
        <v>#VALUE!</v>
      </c>
      <c r="WA9" t="e">
        <f t="shared" si="11"/>
        <v>#VALUE!</v>
      </c>
      <c r="WB9" t="e">
        <f t="shared" si="11"/>
        <v>#VALUE!</v>
      </c>
      <c r="WC9" t="e">
        <f t="shared" si="11"/>
        <v>#VALUE!</v>
      </c>
      <c r="WD9" t="e">
        <f t="shared" si="11"/>
        <v>#VALUE!</v>
      </c>
      <c r="WE9" t="e">
        <f t="shared" si="11"/>
        <v>#VALUE!</v>
      </c>
      <c r="WF9" t="e">
        <f t="shared" si="11"/>
        <v>#VALUE!</v>
      </c>
      <c r="WG9" t="e">
        <f t="shared" si="11"/>
        <v>#VALUE!</v>
      </c>
      <c r="WH9" t="e">
        <f t="shared" si="11"/>
        <v>#VALUE!</v>
      </c>
      <c r="WI9" t="e">
        <f t="shared" si="11"/>
        <v>#VALUE!</v>
      </c>
      <c r="WJ9" t="e">
        <f t="shared" si="11"/>
        <v>#VALUE!</v>
      </c>
      <c r="WK9" t="e">
        <f t="shared" si="11"/>
        <v>#VALUE!</v>
      </c>
      <c r="WL9" t="e">
        <f t="shared" si="11"/>
        <v>#VALUE!</v>
      </c>
      <c r="WM9" t="e">
        <f t="shared" si="11"/>
        <v>#VALUE!</v>
      </c>
      <c r="WN9" t="e">
        <f t="shared" si="11"/>
        <v>#VALUE!</v>
      </c>
      <c r="WO9" t="e">
        <f t="shared" si="11"/>
        <v>#VALUE!</v>
      </c>
      <c r="WP9" t="e">
        <f t="shared" si="11"/>
        <v>#VALUE!</v>
      </c>
      <c r="WQ9" t="e">
        <f t="shared" si="11"/>
        <v>#VALUE!</v>
      </c>
      <c r="WR9" t="e">
        <f t="shared" si="11"/>
        <v>#VALUE!</v>
      </c>
      <c r="WS9" t="e">
        <f t="shared" si="11"/>
        <v>#VALUE!</v>
      </c>
      <c r="WT9" t="e">
        <f t="shared" si="11"/>
        <v>#VALUE!</v>
      </c>
      <c r="WU9" t="e">
        <f t="shared" si="11"/>
        <v>#VALUE!</v>
      </c>
      <c r="WV9" t="e">
        <f t="shared" si="11"/>
        <v>#VALUE!</v>
      </c>
      <c r="WW9" t="e">
        <f t="shared" si="11"/>
        <v>#VALUE!</v>
      </c>
      <c r="WX9" t="e">
        <f t="shared" si="11"/>
        <v>#VALUE!</v>
      </c>
      <c r="WY9" t="e">
        <f t="shared" si="11"/>
        <v>#VALUE!</v>
      </c>
      <c r="WZ9" t="e">
        <f t="shared" si="11"/>
        <v>#VALUE!</v>
      </c>
      <c r="XA9" t="e">
        <f t="shared" si="11"/>
        <v>#VALUE!</v>
      </c>
      <c r="XB9" t="e">
        <f t="shared" si="11"/>
        <v>#VALUE!</v>
      </c>
      <c r="XC9" t="e">
        <f t="shared" si="11"/>
        <v>#VALUE!</v>
      </c>
      <c r="XD9" t="e">
        <f t="shared" si="11"/>
        <v>#VALUE!</v>
      </c>
      <c r="XE9" t="e">
        <f t="shared" si="11"/>
        <v>#VALUE!</v>
      </c>
      <c r="XF9" t="e">
        <f t="shared" si="11"/>
        <v>#VALUE!</v>
      </c>
      <c r="XG9" t="e">
        <f t="shared" si="11"/>
        <v>#VALUE!</v>
      </c>
      <c r="XH9" t="e">
        <f t="shared" si="11"/>
        <v>#VALUE!</v>
      </c>
      <c r="XI9" t="e">
        <f t="shared" si="11"/>
        <v>#VALUE!</v>
      </c>
      <c r="XJ9" t="e">
        <f t="shared" si="11"/>
        <v>#VALUE!</v>
      </c>
      <c r="XK9" t="e">
        <f t="shared" si="11"/>
        <v>#VALUE!</v>
      </c>
      <c r="XL9" t="e">
        <f t="shared" si="11"/>
        <v>#VALUE!</v>
      </c>
      <c r="XM9" t="e">
        <f t="shared" si="11"/>
        <v>#VALUE!</v>
      </c>
      <c r="XN9" t="e">
        <f t="shared" si="11"/>
        <v>#VALUE!</v>
      </c>
      <c r="XO9" t="e">
        <f t="shared" si="11"/>
        <v>#VALUE!</v>
      </c>
      <c r="XP9" t="e">
        <f t="shared" si="11"/>
        <v>#VALUE!</v>
      </c>
      <c r="XQ9" t="e">
        <f t="shared" si="11"/>
        <v>#VALUE!</v>
      </c>
      <c r="XR9" t="e">
        <f t="shared" si="11"/>
        <v>#VALUE!</v>
      </c>
      <c r="XS9" t="e">
        <f t="shared" si="11"/>
        <v>#VALUE!</v>
      </c>
      <c r="XT9" t="e">
        <f t="shared" si="11"/>
        <v>#VALUE!</v>
      </c>
      <c r="XU9" t="e">
        <f t="shared" si="11"/>
        <v>#VALUE!</v>
      </c>
      <c r="XV9" t="e">
        <f t="shared" si="11"/>
        <v>#VALUE!</v>
      </c>
      <c r="XW9" t="e">
        <f t="shared" si="12"/>
        <v>#VALUE!</v>
      </c>
      <c r="XX9" t="e">
        <f t="shared" si="12"/>
        <v>#VALUE!</v>
      </c>
      <c r="XY9" t="e">
        <f t="shared" si="12"/>
        <v>#VALUE!</v>
      </c>
      <c r="XZ9" t="e">
        <f t="shared" si="12"/>
        <v>#VALUE!</v>
      </c>
      <c r="YA9" t="e">
        <f t="shared" si="12"/>
        <v>#VALUE!</v>
      </c>
      <c r="YB9" t="e">
        <f t="shared" si="12"/>
        <v>#VALUE!</v>
      </c>
      <c r="YC9" t="e">
        <f t="shared" si="12"/>
        <v>#VALUE!</v>
      </c>
      <c r="YD9" t="e">
        <f t="shared" si="12"/>
        <v>#VALUE!</v>
      </c>
      <c r="YE9" t="e">
        <f t="shared" si="12"/>
        <v>#VALUE!</v>
      </c>
      <c r="YF9" t="e">
        <f t="shared" si="12"/>
        <v>#VALUE!</v>
      </c>
      <c r="YG9" t="e">
        <f t="shared" si="12"/>
        <v>#VALUE!</v>
      </c>
      <c r="YH9" t="e">
        <f t="shared" si="12"/>
        <v>#VALUE!</v>
      </c>
      <c r="YI9" t="e">
        <f t="shared" si="12"/>
        <v>#VALUE!</v>
      </c>
      <c r="YJ9" t="e">
        <f t="shared" si="12"/>
        <v>#VALUE!</v>
      </c>
      <c r="YK9" t="e">
        <f t="shared" si="12"/>
        <v>#VALUE!</v>
      </c>
      <c r="YL9" t="e">
        <f t="shared" si="12"/>
        <v>#VALUE!</v>
      </c>
      <c r="YM9" t="e">
        <f t="shared" si="12"/>
        <v>#VALUE!</v>
      </c>
      <c r="YN9" t="e">
        <f t="shared" si="12"/>
        <v>#VALUE!</v>
      </c>
      <c r="YO9" t="e">
        <f t="shared" si="12"/>
        <v>#VALUE!</v>
      </c>
      <c r="YP9" t="e">
        <f t="shared" si="12"/>
        <v>#VALUE!</v>
      </c>
      <c r="YQ9" t="e">
        <f t="shared" si="12"/>
        <v>#VALUE!</v>
      </c>
      <c r="YR9" t="e">
        <f t="shared" si="12"/>
        <v>#VALUE!</v>
      </c>
      <c r="YS9" t="e">
        <f t="shared" si="12"/>
        <v>#VALUE!</v>
      </c>
      <c r="YT9" t="e">
        <f t="shared" si="12"/>
        <v>#VALUE!</v>
      </c>
      <c r="YU9" t="e">
        <f t="shared" si="12"/>
        <v>#VALUE!</v>
      </c>
      <c r="YV9" t="e">
        <f t="shared" si="12"/>
        <v>#VALUE!</v>
      </c>
      <c r="YW9" t="e">
        <f t="shared" si="12"/>
        <v>#VALUE!</v>
      </c>
      <c r="YX9" t="e">
        <f t="shared" si="12"/>
        <v>#VALUE!</v>
      </c>
      <c r="YY9" t="e">
        <f t="shared" si="12"/>
        <v>#VALUE!</v>
      </c>
      <c r="YZ9" t="e">
        <f t="shared" si="12"/>
        <v>#VALUE!</v>
      </c>
      <c r="ZA9" t="e">
        <f t="shared" si="12"/>
        <v>#VALUE!</v>
      </c>
      <c r="ZB9" t="e">
        <f t="shared" si="12"/>
        <v>#VALUE!</v>
      </c>
      <c r="ZC9" t="e">
        <f t="shared" si="12"/>
        <v>#VALUE!</v>
      </c>
      <c r="ZD9" t="e">
        <f t="shared" si="12"/>
        <v>#VALUE!</v>
      </c>
      <c r="ZE9" t="e">
        <f t="shared" si="12"/>
        <v>#VALUE!</v>
      </c>
      <c r="ZF9" t="e">
        <f t="shared" si="12"/>
        <v>#VALUE!</v>
      </c>
      <c r="ZG9" t="e">
        <f t="shared" si="12"/>
        <v>#VALUE!</v>
      </c>
      <c r="ZH9" t="e">
        <f t="shared" si="12"/>
        <v>#VALUE!</v>
      </c>
      <c r="ZI9" t="e">
        <f t="shared" si="12"/>
        <v>#VALUE!</v>
      </c>
      <c r="ZJ9" t="e">
        <f t="shared" si="12"/>
        <v>#VALUE!</v>
      </c>
      <c r="ZK9" t="e">
        <f t="shared" si="12"/>
        <v>#VALUE!</v>
      </c>
      <c r="ZL9" t="e">
        <f t="shared" si="12"/>
        <v>#VALUE!</v>
      </c>
      <c r="ZM9" t="e">
        <f t="shared" si="12"/>
        <v>#VALUE!</v>
      </c>
      <c r="ZN9" t="e">
        <f t="shared" si="12"/>
        <v>#VALUE!</v>
      </c>
      <c r="ZO9" t="e">
        <f t="shared" si="12"/>
        <v>#VALUE!</v>
      </c>
      <c r="ZP9" t="e">
        <f t="shared" si="12"/>
        <v>#VALUE!</v>
      </c>
      <c r="ZQ9" t="e">
        <f t="shared" si="12"/>
        <v>#VALUE!</v>
      </c>
      <c r="ZR9" t="e">
        <f t="shared" si="12"/>
        <v>#VALUE!</v>
      </c>
      <c r="ZS9" t="e">
        <f t="shared" si="12"/>
        <v>#VALUE!</v>
      </c>
      <c r="ZT9" t="e">
        <f t="shared" si="12"/>
        <v>#VALUE!</v>
      </c>
      <c r="ZU9" t="e">
        <f t="shared" si="12"/>
        <v>#VALUE!</v>
      </c>
      <c r="ZV9" t="e">
        <f t="shared" si="12"/>
        <v>#VALUE!</v>
      </c>
      <c r="ZW9" t="e">
        <f t="shared" si="12"/>
        <v>#VALUE!</v>
      </c>
      <c r="ZX9" t="e">
        <f t="shared" si="12"/>
        <v>#VALUE!</v>
      </c>
      <c r="ZY9" t="e">
        <f t="shared" si="12"/>
        <v>#VALUE!</v>
      </c>
      <c r="ZZ9" t="e">
        <f t="shared" si="12"/>
        <v>#VALUE!</v>
      </c>
      <c r="AAA9" t="e">
        <f t="shared" si="12"/>
        <v>#VALUE!</v>
      </c>
      <c r="AAB9" t="e">
        <f t="shared" si="12"/>
        <v>#VALUE!</v>
      </c>
      <c r="AAC9" t="e">
        <f t="shared" si="12"/>
        <v>#VALUE!</v>
      </c>
      <c r="AAD9" t="e">
        <f t="shared" si="12"/>
        <v>#VALUE!</v>
      </c>
      <c r="AAE9" t="e">
        <f t="shared" si="12"/>
        <v>#VALUE!</v>
      </c>
      <c r="AAF9" t="e">
        <f t="shared" si="12"/>
        <v>#VALUE!</v>
      </c>
      <c r="AAG9" t="e">
        <f t="shared" si="12"/>
        <v>#VALUE!</v>
      </c>
      <c r="AAH9" t="e">
        <f t="shared" si="12"/>
        <v>#VALUE!</v>
      </c>
      <c r="AAI9" t="e">
        <f t="shared" si="13"/>
        <v>#VALUE!</v>
      </c>
      <c r="AAJ9" t="e">
        <f t="shared" si="13"/>
        <v>#VALUE!</v>
      </c>
      <c r="AAK9" t="e">
        <f t="shared" si="13"/>
        <v>#VALUE!</v>
      </c>
      <c r="AAL9" t="e">
        <f t="shared" si="13"/>
        <v>#VALUE!</v>
      </c>
      <c r="AAM9" t="e">
        <f t="shared" si="13"/>
        <v>#VALUE!</v>
      </c>
      <c r="AAN9" t="e">
        <f t="shared" si="13"/>
        <v>#VALUE!</v>
      </c>
      <c r="AAO9" t="e">
        <f t="shared" si="13"/>
        <v>#VALUE!</v>
      </c>
      <c r="AAP9" t="e">
        <f t="shared" si="13"/>
        <v>#VALUE!</v>
      </c>
      <c r="AAQ9" t="e">
        <f t="shared" si="13"/>
        <v>#VALUE!</v>
      </c>
      <c r="AAR9" t="e">
        <f t="shared" si="13"/>
        <v>#VALUE!</v>
      </c>
      <c r="AAS9" t="e">
        <f t="shared" si="13"/>
        <v>#VALUE!</v>
      </c>
      <c r="AAT9" t="e">
        <f t="shared" si="13"/>
        <v>#VALUE!</v>
      </c>
      <c r="AAU9" t="e">
        <f t="shared" si="13"/>
        <v>#VALUE!</v>
      </c>
      <c r="AAV9" t="e">
        <f t="shared" si="13"/>
        <v>#VALUE!</v>
      </c>
      <c r="AAW9" t="e">
        <f t="shared" si="13"/>
        <v>#VALUE!</v>
      </c>
      <c r="AAX9" t="e">
        <f t="shared" si="13"/>
        <v>#VALUE!</v>
      </c>
      <c r="AAY9" t="e">
        <f t="shared" si="13"/>
        <v>#VALUE!</v>
      </c>
      <c r="AAZ9" t="e">
        <f t="shared" si="13"/>
        <v>#VALUE!</v>
      </c>
      <c r="ABA9" t="e">
        <f t="shared" si="13"/>
        <v>#VALUE!</v>
      </c>
      <c r="ABB9" t="e">
        <f t="shared" si="13"/>
        <v>#VALUE!</v>
      </c>
      <c r="ABC9" t="e">
        <f t="shared" si="13"/>
        <v>#VALUE!</v>
      </c>
      <c r="ABD9" t="e">
        <f t="shared" si="13"/>
        <v>#VALUE!</v>
      </c>
      <c r="ABE9" t="e">
        <f t="shared" si="13"/>
        <v>#VALUE!</v>
      </c>
      <c r="ABF9" t="e">
        <f t="shared" si="13"/>
        <v>#VALUE!</v>
      </c>
      <c r="ABG9" t="e">
        <f t="shared" si="13"/>
        <v>#VALUE!</v>
      </c>
      <c r="ABH9" t="e">
        <f t="shared" si="13"/>
        <v>#VALUE!</v>
      </c>
      <c r="ABI9" t="e">
        <f t="shared" si="13"/>
        <v>#VALUE!</v>
      </c>
      <c r="ABJ9" t="e">
        <f t="shared" si="13"/>
        <v>#VALUE!</v>
      </c>
      <c r="ABK9" t="e">
        <f t="shared" si="13"/>
        <v>#VALUE!</v>
      </c>
      <c r="ABL9" t="e">
        <f t="shared" si="13"/>
        <v>#VALUE!</v>
      </c>
      <c r="ABM9" t="e">
        <f t="shared" si="13"/>
        <v>#VALUE!</v>
      </c>
      <c r="ABN9" t="e">
        <f t="shared" si="13"/>
        <v>#VALUE!</v>
      </c>
      <c r="ABO9" t="e">
        <f t="shared" si="13"/>
        <v>#VALUE!</v>
      </c>
      <c r="ABP9" t="e">
        <f t="shared" si="13"/>
        <v>#VALUE!</v>
      </c>
      <c r="ABQ9" t="e">
        <f t="shared" si="13"/>
        <v>#VALUE!</v>
      </c>
      <c r="ABR9" t="e">
        <f t="shared" si="13"/>
        <v>#VALUE!</v>
      </c>
      <c r="ABS9" t="e">
        <f t="shared" si="13"/>
        <v>#VALUE!</v>
      </c>
      <c r="ABT9" t="e">
        <f t="shared" si="13"/>
        <v>#VALUE!</v>
      </c>
      <c r="ABU9" t="e">
        <f t="shared" si="13"/>
        <v>#VALUE!</v>
      </c>
      <c r="ABV9" t="e">
        <f t="shared" si="13"/>
        <v>#VALUE!</v>
      </c>
      <c r="ABW9" t="e">
        <f t="shared" si="13"/>
        <v>#VALUE!</v>
      </c>
      <c r="ABX9" t="e">
        <f t="shared" si="13"/>
        <v>#VALUE!</v>
      </c>
      <c r="ABY9" t="e">
        <f t="shared" si="13"/>
        <v>#VALUE!</v>
      </c>
      <c r="ABZ9" t="e">
        <f t="shared" si="13"/>
        <v>#VALUE!</v>
      </c>
      <c r="ACA9" t="e">
        <f t="shared" si="13"/>
        <v>#VALUE!</v>
      </c>
      <c r="ACB9" t="e">
        <f t="shared" si="13"/>
        <v>#VALUE!</v>
      </c>
      <c r="ACC9" t="e">
        <f t="shared" si="13"/>
        <v>#VALUE!</v>
      </c>
      <c r="ACD9" t="e">
        <f t="shared" si="13"/>
        <v>#VALUE!</v>
      </c>
      <c r="ACE9" t="e">
        <f t="shared" si="13"/>
        <v>#VALUE!</v>
      </c>
      <c r="ACF9" t="e">
        <f t="shared" si="13"/>
        <v>#VALUE!</v>
      </c>
      <c r="ACG9" t="e">
        <f t="shared" si="13"/>
        <v>#VALUE!</v>
      </c>
      <c r="ACH9" t="e">
        <f t="shared" si="13"/>
        <v>#VALUE!</v>
      </c>
      <c r="ACI9" t="e">
        <f t="shared" si="13"/>
        <v>#VALUE!</v>
      </c>
      <c r="ACJ9" t="e">
        <f t="shared" si="13"/>
        <v>#VALUE!</v>
      </c>
      <c r="ACK9" t="e">
        <f t="shared" si="13"/>
        <v>#VALUE!</v>
      </c>
      <c r="ACL9" t="e">
        <f t="shared" si="13"/>
        <v>#VALUE!</v>
      </c>
      <c r="ACM9" t="e">
        <f t="shared" si="13"/>
        <v>#VALUE!</v>
      </c>
      <c r="ACN9" t="e">
        <f t="shared" si="13"/>
        <v>#VALUE!</v>
      </c>
      <c r="ACO9" t="e">
        <f t="shared" si="13"/>
        <v>#VALUE!</v>
      </c>
      <c r="ACP9" t="e">
        <f t="shared" si="13"/>
        <v>#VALUE!</v>
      </c>
      <c r="ACQ9" t="e">
        <f t="shared" si="13"/>
        <v>#VALUE!</v>
      </c>
      <c r="ACR9" t="e">
        <f t="shared" si="13"/>
        <v>#VALUE!</v>
      </c>
      <c r="ACS9" t="e">
        <f t="shared" si="13"/>
        <v>#VALUE!</v>
      </c>
      <c r="ACT9" t="e">
        <f t="shared" si="13"/>
        <v>#VALUE!</v>
      </c>
      <c r="ACU9" t="e">
        <f t="shared" si="14"/>
        <v>#VALUE!</v>
      </c>
      <c r="ACV9" t="e">
        <f t="shared" si="14"/>
        <v>#VALUE!</v>
      </c>
      <c r="ACW9" t="e">
        <f t="shared" si="14"/>
        <v>#VALUE!</v>
      </c>
      <c r="ACX9" t="e">
        <f t="shared" si="14"/>
        <v>#VALUE!</v>
      </c>
      <c r="ACY9" t="e">
        <f t="shared" si="14"/>
        <v>#VALUE!</v>
      </c>
      <c r="ACZ9" t="e">
        <f t="shared" si="14"/>
        <v>#VALUE!</v>
      </c>
      <c r="ADA9" t="e">
        <f t="shared" si="14"/>
        <v>#VALUE!</v>
      </c>
      <c r="ADB9" t="e">
        <f t="shared" si="14"/>
        <v>#VALUE!</v>
      </c>
      <c r="ADC9" t="e">
        <f t="shared" si="14"/>
        <v>#VALUE!</v>
      </c>
      <c r="ADD9" t="e">
        <f t="shared" si="14"/>
        <v>#VALUE!</v>
      </c>
      <c r="ADE9" t="e">
        <f t="shared" si="14"/>
        <v>#VALUE!</v>
      </c>
      <c r="ADF9" t="e">
        <f t="shared" si="14"/>
        <v>#VALUE!</v>
      </c>
      <c r="ADG9" t="e">
        <f t="shared" si="14"/>
        <v>#VALUE!</v>
      </c>
      <c r="ADH9" t="e">
        <f t="shared" si="14"/>
        <v>#VALUE!</v>
      </c>
      <c r="ADI9" t="e">
        <f t="shared" si="14"/>
        <v>#VALUE!</v>
      </c>
      <c r="ADJ9" t="e">
        <f t="shared" si="14"/>
        <v>#VALUE!</v>
      </c>
      <c r="ADK9" t="e">
        <f t="shared" si="14"/>
        <v>#VALUE!</v>
      </c>
      <c r="ADL9" t="e">
        <f t="shared" si="14"/>
        <v>#VALUE!</v>
      </c>
      <c r="ADM9" t="e">
        <f t="shared" si="14"/>
        <v>#VALUE!</v>
      </c>
      <c r="ADN9" t="e">
        <f t="shared" si="14"/>
        <v>#VALUE!</v>
      </c>
      <c r="ADO9" t="e">
        <f t="shared" si="14"/>
        <v>#VALUE!</v>
      </c>
      <c r="ADP9" t="e">
        <f t="shared" si="14"/>
        <v>#VALUE!</v>
      </c>
      <c r="ADQ9" t="e">
        <f t="shared" si="14"/>
        <v>#VALUE!</v>
      </c>
      <c r="ADR9" t="e">
        <f t="shared" si="14"/>
        <v>#VALUE!</v>
      </c>
      <c r="ADS9" t="e">
        <f t="shared" si="14"/>
        <v>#VALUE!</v>
      </c>
      <c r="ADT9" t="e">
        <f t="shared" si="14"/>
        <v>#VALUE!</v>
      </c>
      <c r="ADU9" t="e">
        <f t="shared" si="14"/>
        <v>#VALUE!</v>
      </c>
      <c r="ADV9" t="e">
        <f t="shared" si="14"/>
        <v>#VALUE!</v>
      </c>
      <c r="ADW9" t="e">
        <f t="shared" si="14"/>
        <v>#VALUE!</v>
      </c>
      <c r="ADX9" t="e">
        <f t="shared" si="14"/>
        <v>#VALUE!</v>
      </c>
      <c r="ADY9" t="e">
        <f t="shared" si="14"/>
        <v>#VALUE!</v>
      </c>
      <c r="ADZ9" t="e">
        <f t="shared" si="14"/>
        <v>#VALUE!</v>
      </c>
      <c r="AEA9" t="e">
        <f t="shared" si="14"/>
        <v>#VALUE!</v>
      </c>
      <c r="AEB9" t="e">
        <f t="shared" si="14"/>
        <v>#VALUE!</v>
      </c>
      <c r="AEC9" t="e">
        <f t="shared" si="14"/>
        <v>#VALUE!</v>
      </c>
      <c r="AED9" t="e">
        <f t="shared" si="14"/>
        <v>#VALUE!</v>
      </c>
      <c r="AEE9" t="e">
        <f t="shared" si="14"/>
        <v>#VALUE!</v>
      </c>
      <c r="AEF9" t="e">
        <f t="shared" si="14"/>
        <v>#VALUE!</v>
      </c>
      <c r="AEG9" t="e">
        <f t="shared" si="14"/>
        <v>#VALUE!</v>
      </c>
      <c r="AEH9" t="e">
        <f t="shared" si="14"/>
        <v>#VALUE!</v>
      </c>
      <c r="AEI9" t="e">
        <f t="shared" si="14"/>
        <v>#VALUE!</v>
      </c>
      <c r="AEJ9" t="e">
        <f t="shared" si="14"/>
        <v>#VALUE!</v>
      </c>
      <c r="AEK9" t="e">
        <f t="shared" si="14"/>
        <v>#VALUE!</v>
      </c>
      <c r="AEL9" t="e">
        <f t="shared" si="14"/>
        <v>#VALUE!</v>
      </c>
      <c r="AEM9" t="e">
        <f t="shared" si="14"/>
        <v>#VALUE!</v>
      </c>
      <c r="AEN9" t="e">
        <f t="shared" si="14"/>
        <v>#VALUE!</v>
      </c>
      <c r="AEO9" t="e">
        <f t="shared" si="14"/>
        <v>#VALUE!</v>
      </c>
      <c r="AEP9" t="e">
        <f t="shared" si="14"/>
        <v>#VALUE!</v>
      </c>
      <c r="AEQ9" t="e">
        <f t="shared" si="14"/>
        <v>#VALUE!</v>
      </c>
      <c r="AER9" t="e">
        <f t="shared" si="14"/>
        <v>#VALUE!</v>
      </c>
      <c r="AES9" t="e">
        <f t="shared" si="14"/>
        <v>#VALUE!</v>
      </c>
      <c r="AET9" t="e">
        <f t="shared" si="14"/>
        <v>#VALUE!</v>
      </c>
      <c r="AEU9" t="e">
        <f t="shared" si="14"/>
        <v>#VALUE!</v>
      </c>
      <c r="AEV9" t="e">
        <f t="shared" si="14"/>
        <v>#VALUE!</v>
      </c>
      <c r="AEW9" t="e">
        <f t="shared" si="14"/>
        <v>#VALUE!</v>
      </c>
      <c r="AEX9" t="e">
        <f t="shared" si="14"/>
        <v>#VALUE!</v>
      </c>
      <c r="AEY9" t="e">
        <f t="shared" si="14"/>
        <v>#VALUE!</v>
      </c>
      <c r="AEZ9" t="e">
        <f t="shared" si="14"/>
        <v>#VALUE!</v>
      </c>
      <c r="AFA9" t="e">
        <f t="shared" si="14"/>
        <v>#VALUE!</v>
      </c>
      <c r="AFB9" t="e">
        <f t="shared" si="14"/>
        <v>#VALUE!</v>
      </c>
      <c r="AFC9" t="e">
        <f t="shared" si="14"/>
        <v>#VALUE!</v>
      </c>
      <c r="AFD9" t="e">
        <f t="shared" si="14"/>
        <v>#VALUE!</v>
      </c>
      <c r="AFE9" t="e">
        <f t="shared" si="14"/>
        <v>#VALUE!</v>
      </c>
      <c r="AFF9" t="e">
        <f t="shared" si="14"/>
        <v>#VALUE!</v>
      </c>
      <c r="AFG9" t="e">
        <f t="shared" si="15"/>
        <v>#VALUE!</v>
      </c>
      <c r="AFH9" t="e">
        <f t="shared" si="15"/>
        <v>#VALUE!</v>
      </c>
      <c r="AFI9" t="e">
        <f t="shared" si="15"/>
        <v>#VALUE!</v>
      </c>
      <c r="AFJ9" t="e">
        <f t="shared" si="15"/>
        <v>#VALUE!</v>
      </c>
      <c r="AFK9" t="e">
        <f t="shared" si="15"/>
        <v>#VALUE!</v>
      </c>
      <c r="AFL9" t="e">
        <f t="shared" si="15"/>
        <v>#VALUE!</v>
      </c>
      <c r="AFM9" t="e">
        <f t="shared" si="15"/>
        <v>#VALUE!</v>
      </c>
      <c r="AFN9" t="e">
        <f t="shared" si="15"/>
        <v>#VALUE!</v>
      </c>
      <c r="AFO9" t="e">
        <f t="shared" si="15"/>
        <v>#VALUE!</v>
      </c>
      <c r="AFP9" t="e">
        <f t="shared" si="15"/>
        <v>#VALUE!</v>
      </c>
      <c r="AFQ9" t="e">
        <f t="shared" si="15"/>
        <v>#VALUE!</v>
      </c>
      <c r="AFR9" t="e">
        <f t="shared" si="15"/>
        <v>#VALUE!</v>
      </c>
      <c r="AFS9" t="e">
        <f t="shared" si="15"/>
        <v>#VALUE!</v>
      </c>
      <c r="AFT9" t="e">
        <f t="shared" si="15"/>
        <v>#VALUE!</v>
      </c>
      <c r="AFU9" t="e">
        <f t="shared" si="15"/>
        <v>#VALUE!</v>
      </c>
      <c r="AFV9" t="e">
        <f t="shared" si="15"/>
        <v>#VALUE!</v>
      </c>
      <c r="AFW9" t="e">
        <f t="shared" si="15"/>
        <v>#VALUE!</v>
      </c>
      <c r="AFX9" t="e">
        <f t="shared" si="15"/>
        <v>#VALUE!</v>
      </c>
      <c r="AFY9" t="e">
        <f t="shared" si="15"/>
        <v>#VALUE!</v>
      </c>
      <c r="AFZ9" t="e">
        <f t="shared" si="15"/>
        <v>#VALUE!</v>
      </c>
      <c r="AGA9" t="e">
        <f t="shared" si="15"/>
        <v>#VALUE!</v>
      </c>
      <c r="AGB9" t="e">
        <f t="shared" si="15"/>
        <v>#VALUE!</v>
      </c>
      <c r="AGC9" t="e">
        <f t="shared" si="15"/>
        <v>#VALUE!</v>
      </c>
      <c r="AGD9" t="e">
        <f t="shared" si="15"/>
        <v>#VALUE!</v>
      </c>
      <c r="AGE9" t="e">
        <f t="shared" si="15"/>
        <v>#VALUE!</v>
      </c>
      <c r="AGF9" t="e">
        <f t="shared" si="15"/>
        <v>#VALUE!</v>
      </c>
      <c r="AGG9" t="e">
        <f t="shared" si="15"/>
        <v>#VALUE!</v>
      </c>
      <c r="AGH9" t="e">
        <f t="shared" si="15"/>
        <v>#VALUE!</v>
      </c>
      <c r="AGI9" t="e">
        <f t="shared" si="15"/>
        <v>#VALUE!</v>
      </c>
      <c r="AGJ9" t="e">
        <f t="shared" si="15"/>
        <v>#VALUE!</v>
      </c>
      <c r="AGK9" t="e">
        <f t="shared" si="15"/>
        <v>#VALUE!</v>
      </c>
      <c r="AGL9" t="e">
        <f t="shared" si="15"/>
        <v>#VALUE!</v>
      </c>
      <c r="AGM9" t="e">
        <f t="shared" si="15"/>
        <v>#VALUE!</v>
      </c>
      <c r="AGN9" t="e">
        <f t="shared" si="15"/>
        <v>#VALUE!</v>
      </c>
      <c r="AGO9" t="e">
        <f t="shared" si="15"/>
        <v>#VALUE!</v>
      </c>
      <c r="AGP9" t="e">
        <f t="shared" si="15"/>
        <v>#VALUE!</v>
      </c>
      <c r="AGQ9" t="e">
        <f t="shared" si="15"/>
        <v>#VALUE!</v>
      </c>
      <c r="AGR9" t="e">
        <f t="shared" si="15"/>
        <v>#VALUE!</v>
      </c>
      <c r="AGS9" t="e">
        <f t="shared" si="15"/>
        <v>#VALUE!</v>
      </c>
      <c r="AGT9" t="e">
        <f t="shared" si="15"/>
        <v>#VALUE!</v>
      </c>
      <c r="AGU9" t="e">
        <f t="shared" si="15"/>
        <v>#VALUE!</v>
      </c>
      <c r="AGV9" t="e">
        <f t="shared" si="15"/>
        <v>#VALUE!</v>
      </c>
      <c r="AGW9" t="e">
        <f t="shared" si="15"/>
        <v>#VALUE!</v>
      </c>
      <c r="AGX9" t="e">
        <f t="shared" si="15"/>
        <v>#VALUE!</v>
      </c>
      <c r="AGY9" t="e">
        <f t="shared" si="15"/>
        <v>#VALUE!</v>
      </c>
      <c r="AGZ9" t="e">
        <f t="shared" si="15"/>
        <v>#VALUE!</v>
      </c>
      <c r="AHA9" t="e">
        <f t="shared" si="15"/>
        <v>#VALUE!</v>
      </c>
      <c r="AHB9" t="e">
        <f t="shared" si="15"/>
        <v>#VALUE!</v>
      </c>
      <c r="AHC9" t="e">
        <f t="shared" si="15"/>
        <v>#VALUE!</v>
      </c>
      <c r="AHD9" t="e">
        <f t="shared" si="15"/>
        <v>#VALUE!</v>
      </c>
      <c r="AHE9" t="e">
        <f t="shared" si="15"/>
        <v>#VALUE!</v>
      </c>
      <c r="AHF9" t="e">
        <f t="shared" si="15"/>
        <v>#VALUE!</v>
      </c>
      <c r="AHG9" t="e">
        <f t="shared" si="15"/>
        <v>#VALUE!</v>
      </c>
      <c r="AHH9" t="e">
        <f t="shared" si="15"/>
        <v>#VALUE!</v>
      </c>
      <c r="AHI9" t="e">
        <f t="shared" si="15"/>
        <v>#VALUE!</v>
      </c>
      <c r="AHJ9" t="e">
        <f t="shared" si="15"/>
        <v>#VALUE!</v>
      </c>
      <c r="AHK9" t="e">
        <f t="shared" si="15"/>
        <v>#VALUE!</v>
      </c>
      <c r="AHL9" t="e">
        <f t="shared" si="15"/>
        <v>#VALUE!</v>
      </c>
      <c r="AHM9" t="e">
        <f t="shared" si="15"/>
        <v>#VALUE!</v>
      </c>
      <c r="AHN9" t="e">
        <f t="shared" si="15"/>
        <v>#VALUE!</v>
      </c>
      <c r="AHO9" t="e">
        <f t="shared" si="15"/>
        <v>#VALUE!</v>
      </c>
      <c r="AHP9" t="e">
        <f t="shared" si="15"/>
        <v>#VALUE!</v>
      </c>
      <c r="AHQ9" t="e">
        <f t="shared" si="15"/>
        <v>#VALUE!</v>
      </c>
      <c r="AHR9" t="e">
        <f t="shared" si="15"/>
        <v>#VALUE!</v>
      </c>
      <c r="AHS9" t="e">
        <f t="shared" si="16"/>
        <v>#VALUE!</v>
      </c>
      <c r="AHT9" t="e">
        <f t="shared" si="16"/>
        <v>#VALUE!</v>
      </c>
      <c r="AHU9" t="e">
        <f t="shared" si="16"/>
        <v>#VALUE!</v>
      </c>
      <c r="AHV9" t="e">
        <f t="shared" si="16"/>
        <v>#VALUE!</v>
      </c>
      <c r="AHW9" t="e">
        <f t="shared" si="16"/>
        <v>#VALUE!</v>
      </c>
      <c r="AHX9" t="e">
        <f t="shared" si="16"/>
        <v>#VALUE!</v>
      </c>
      <c r="AHY9" t="e">
        <f t="shared" si="16"/>
        <v>#VALUE!</v>
      </c>
      <c r="AHZ9" t="e">
        <f t="shared" si="16"/>
        <v>#VALUE!</v>
      </c>
      <c r="AIA9" t="e">
        <f t="shared" si="16"/>
        <v>#VALUE!</v>
      </c>
      <c r="AIB9" t="e">
        <f t="shared" si="16"/>
        <v>#VALUE!</v>
      </c>
      <c r="AIC9" t="e">
        <f t="shared" si="16"/>
        <v>#VALUE!</v>
      </c>
      <c r="AID9" t="e">
        <f t="shared" si="16"/>
        <v>#VALUE!</v>
      </c>
      <c r="AIE9" t="e">
        <f t="shared" si="16"/>
        <v>#VALUE!</v>
      </c>
      <c r="AIF9" t="e">
        <f t="shared" si="16"/>
        <v>#VALUE!</v>
      </c>
      <c r="AIG9" t="e">
        <f t="shared" si="16"/>
        <v>#VALUE!</v>
      </c>
      <c r="AIH9" t="e">
        <f t="shared" si="16"/>
        <v>#VALUE!</v>
      </c>
      <c r="AII9" t="e">
        <f t="shared" si="16"/>
        <v>#VALUE!</v>
      </c>
      <c r="AIJ9" t="e">
        <f t="shared" si="16"/>
        <v>#VALUE!</v>
      </c>
      <c r="AIK9" t="e">
        <f t="shared" si="16"/>
        <v>#VALUE!</v>
      </c>
      <c r="AIL9" t="e">
        <f t="shared" si="16"/>
        <v>#VALUE!</v>
      </c>
      <c r="AIM9" t="e">
        <f t="shared" si="16"/>
        <v>#VALUE!</v>
      </c>
      <c r="AIN9" t="e">
        <f t="shared" si="16"/>
        <v>#VALUE!</v>
      </c>
      <c r="AIO9" t="e">
        <f t="shared" si="16"/>
        <v>#VALUE!</v>
      </c>
      <c r="AIP9" t="e">
        <f t="shared" si="16"/>
        <v>#VALUE!</v>
      </c>
      <c r="AIQ9" t="e">
        <f t="shared" si="16"/>
        <v>#VALUE!</v>
      </c>
      <c r="AIR9" s="2" t="e">
        <f t="shared" si="16"/>
        <v>#VALUE!</v>
      </c>
      <c r="AIS9" t="e">
        <f t="shared" si="16"/>
        <v>#VALUE!</v>
      </c>
      <c r="AIT9" t="e">
        <f t="shared" si="16"/>
        <v>#VALUE!</v>
      </c>
      <c r="AIU9" t="e">
        <f t="shared" si="16"/>
        <v>#VALUE!</v>
      </c>
      <c r="AIV9" t="e">
        <f t="shared" si="16"/>
        <v>#VALUE!</v>
      </c>
      <c r="AIW9" t="e">
        <f t="shared" si="16"/>
        <v>#VALUE!</v>
      </c>
      <c r="AIX9" t="e">
        <f t="shared" si="16"/>
        <v>#VALUE!</v>
      </c>
      <c r="AIY9" t="e">
        <f t="shared" si="16"/>
        <v>#VALUE!</v>
      </c>
      <c r="AIZ9" t="e">
        <f t="shared" si="16"/>
        <v>#VALUE!</v>
      </c>
      <c r="AJA9" t="e">
        <f t="shared" si="16"/>
        <v>#VALUE!</v>
      </c>
      <c r="AJB9" t="e">
        <f t="shared" si="16"/>
        <v>#VALUE!</v>
      </c>
      <c r="AJC9" t="e">
        <f t="shared" si="16"/>
        <v>#VALUE!</v>
      </c>
      <c r="AJD9" t="e">
        <f t="shared" si="16"/>
        <v>#VALUE!</v>
      </c>
      <c r="AJE9" t="e">
        <f t="shared" si="16"/>
        <v>#VALUE!</v>
      </c>
      <c r="AJF9" t="e">
        <f t="shared" si="16"/>
        <v>#VALUE!</v>
      </c>
      <c r="AJG9" t="e">
        <f t="shared" si="16"/>
        <v>#VALUE!</v>
      </c>
      <c r="AJH9" t="e">
        <f t="shared" si="16"/>
        <v>#VALUE!</v>
      </c>
      <c r="AJI9" t="e">
        <f t="shared" si="16"/>
        <v>#VALUE!</v>
      </c>
      <c r="AJJ9" t="e">
        <f t="shared" si="16"/>
        <v>#VALUE!</v>
      </c>
      <c r="AJK9" t="e">
        <f t="shared" si="16"/>
        <v>#VALUE!</v>
      </c>
      <c r="AJL9" t="e">
        <f t="shared" si="16"/>
        <v>#VALUE!</v>
      </c>
      <c r="AJM9" t="e">
        <f t="shared" si="16"/>
        <v>#VALUE!</v>
      </c>
      <c r="AJN9" t="e">
        <f t="shared" si="16"/>
        <v>#VALUE!</v>
      </c>
      <c r="AJO9" t="e">
        <f t="shared" si="16"/>
        <v>#VALUE!</v>
      </c>
      <c r="AJP9" t="e">
        <f t="shared" si="16"/>
        <v>#VALUE!</v>
      </c>
      <c r="AJQ9" t="e">
        <f t="shared" si="16"/>
        <v>#VALUE!</v>
      </c>
      <c r="AJR9" t="e">
        <f t="shared" si="16"/>
        <v>#VALUE!</v>
      </c>
      <c r="AJS9" t="e">
        <f t="shared" si="16"/>
        <v>#VALUE!</v>
      </c>
      <c r="AJT9" t="e">
        <f t="shared" si="16"/>
        <v>#VALUE!</v>
      </c>
      <c r="AJU9" t="e">
        <f t="shared" si="16"/>
        <v>#VALUE!</v>
      </c>
      <c r="AJV9" t="e">
        <f t="shared" si="16"/>
        <v>#VALUE!</v>
      </c>
      <c r="AJW9" t="e">
        <f t="shared" si="16"/>
        <v>#VALUE!</v>
      </c>
      <c r="AJX9" t="e">
        <f t="shared" si="16"/>
        <v>#VALUE!</v>
      </c>
      <c r="AJY9" t="e">
        <f t="shared" si="16"/>
        <v>#VALUE!</v>
      </c>
      <c r="AJZ9" t="e">
        <f t="shared" si="16"/>
        <v>#VALUE!</v>
      </c>
      <c r="AKA9" t="e">
        <f t="shared" si="16"/>
        <v>#VALUE!</v>
      </c>
      <c r="AKB9" t="e">
        <f t="shared" si="16"/>
        <v>#VALUE!</v>
      </c>
      <c r="AKC9" t="e">
        <f t="shared" si="16"/>
        <v>#VALUE!</v>
      </c>
      <c r="AKD9" t="e">
        <f t="shared" si="16"/>
        <v>#VALUE!</v>
      </c>
      <c r="AKE9" t="e">
        <f t="shared" si="17"/>
        <v>#VALUE!</v>
      </c>
      <c r="AKF9" t="e">
        <f t="shared" si="17"/>
        <v>#VALUE!</v>
      </c>
      <c r="AKG9" t="e">
        <f t="shared" si="17"/>
        <v>#VALUE!</v>
      </c>
      <c r="AKH9" t="e">
        <f t="shared" si="17"/>
        <v>#VALUE!</v>
      </c>
      <c r="AKI9" t="e">
        <f t="shared" si="17"/>
        <v>#VALUE!</v>
      </c>
      <c r="AKJ9" t="e">
        <f t="shared" si="17"/>
        <v>#VALUE!</v>
      </c>
      <c r="AKK9" t="e">
        <f t="shared" si="17"/>
        <v>#VALUE!</v>
      </c>
      <c r="AKL9" t="e">
        <f t="shared" si="17"/>
        <v>#VALUE!</v>
      </c>
      <c r="AKM9" t="e">
        <f t="shared" si="17"/>
        <v>#VALUE!</v>
      </c>
      <c r="AKN9" t="e">
        <f t="shared" si="17"/>
        <v>#VALUE!</v>
      </c>
      <c r="AKO9" t="e">
        <f t="shared" si="17"/>
        <v>#VALUE!</v>
      </c>
      <c r="AKP9" t="e">
        <f t="shared" si="17"/>
        <v>#VALUE!</v>
      </c>
      <c r="AKQ9" t="e">
        <f t="shared" si="17"/>
        <v>#VALUE!</v>
      </c>
      <c r="AKR9" t="e">
        <f t="shared" si="17"/>
        <v>#VALUE!</v>
      </c>
      <c r="AKS9" t="e">
        <f t="shared" si="17"/>
        <v>#VALUE!</v>
      </c>
      <c r="AKT9" t="e">
        <f t="shared" si="17"/>
        <v>#VALUE!</v>
      </c>
      <c r="AKU9" t="e">
        <f t="shared" si="17"/>
        <v>#VALUE!</v>
      </c>
      <c r="AKV9" t="e">
        <f t="shared" si="17"/>
        <v>#VALUE!</v>
      </c>
      <c r="AKW9" t="e">
        <f t="shared" si="17"/>
        <v>#VALUE!</v>
      </c>
      <c r="AKX9" t="e">
        <f t="shared" si="17"/>
        <v>#VALUE!</v>
      </c>
      <c r="AKY9" t="e">
        <f t="shared" si="17"/>
        <v>#VALUE!</v>
      </c>
      <c r="AKZ9" t="e">
        <f t="shared" si="17"/>
        <v>#VALUE!</v>
      </c>
      <c r="ALA9" t="e">
        <f t="shared" si="17"/>
        <v>#VALUE!</v>
      </c>
      <c r="ALB9" t="e">
        <f t="shared" si="17"/>
        <v>#VALUE!</v>
      </c>
      <c r="ALC9" t="e">
        <f t="shared" si="17"/>
        <v>#VALUE!</v>
      </c>
      <c r="ALD9" t="e">
        <f t="shared" si="17"/>
        <v>#VALUE!</v>
      </c>
      <c r="ALE9" t="e">
        <f t="shared" si="17"/>
        <v>#VALUE!</v>
      </c>
      <c r="ALF9" t="e">
        <f t="shared" si="17"/>
        <v>#VALUE!</v>
      </c>
      <c r="ALG9" t="e">
        <f t="shared" si="17"/>
        <v>#VALUE!</v>
      </c>
      <c r="ALH9" t="e">
        <f t="shared" si="17"/>
        <v>#VALUE!</v>
      </c>
      <c r="ALI9" t="e">
        <f t="shared" si="17"/>
        <v>#VALUE!</v>
      </c>
      <c r="ALJ9" t="e">
        <f t="shared" si="17"/>
        <v>#VALUE!</v>
      </c>
      <c r="ALK9" t="e">
        <f t="shared" si="17"/>
        <v>#VALUE!</v>
      </c>
      <c r="ALL9" t="e">
        <f t="shared" si="17"/>
        <v>#VALUE!</v>
      </c>
      <c r="ALM9" t="e">
        <f t="shared" si="17"/>
        <v>#VALUE!</v>
      </c>
      <c r="ALN9" t="e">
        <f t="shared" si="17"/>
        <v>#VALUE!</v>
      </c>
      <c r="ALO9" t="e">
        <f t="shared" si="17"/>
        <v>#VALUE!</v>
      </c>
      <c r="ALP9" t="e">
        <f t="shared" si="17"/>
        <v>#VALUE!</v>
      </c>
      <c r="ALQ9" t="e">
        <f t="shared" si="17"/>
        <v>#VALUE!</v>
      </c>
      <c r="ALR9" t="e">
        <f t="shared" si="17"/>
        <v>#VALUE!</v>
      </c>
      <c r="ALS9" t="e">
        <f t="shared" si="17"/>
        <v>#VALUE!</v>
      </c>
      <c r="ALT9" t="e">
        <f t="shared" si="17"/>
        <v>#VALUE!</v>
      </c>
      <c r="ALU9" t="e">
        <f t="shared" si="17"/>
        <v>#VALUE!</v>
      </c>
      <c r="ALV9" t="e">
        <f t="shared" si="17"/>
        <v>#VALUE!</v>
      </c>
      <c r="ALW9" t="e">
        <f t="shared" si="17"/>
        <v>#VALUE!</v>
      </c>
      <c r="ALX9" t="e">
        <f t="shared" si="17"/>
        <v>#VALUE!</v>
      </c>
      <c r="ALY9" t="e">
        <f t="shared" si="17"/>
        <v>#VALUE!</v>
      </c>
      <c r="ALZ9" t="e">
        <f t="shared" si="17"/>
        <v>#VALUE!</v>
      </c>
      <c r="AMA9" t="e">
        <f t="shared" si="17"/>
        <v>#VALUE!</v>
      </c>
      <c r="AMB9" t="e">
        <f t="shared" si="17"/>
        <v>#VALUE!</v>
      </c>
      <c r="AMC9" t="e">
        <f t="shared" si="17"/>
        <v>#VALUE!</v>
      </c>
      <c r="AMD9" t="e">
        <f t="shared" si="17"/>
        <v>#VALUE!</v>
      </c>
      <c r="AME9" t="e">
        <f t="shared" si="17"/>
        <v>#VALUE!</v>
      </c>
      <c r="AMF9" t="e">
        <f t="shared" si="17"/>
        <v>#VALUE!</v>
      </c>
      <c r="AMG9" t="e">
        <f t="shared" si="17"/>
        <v>#VALUE!</v>
      </c>
      <c r="AMH9" t="e">
        <f t="shared" si="17"/>
        <v>#VALUE!</v>
      </c>
      <c r="AMI9" t="e">
        <f t="shared" si="17"/>
        <v>#VALUE!</v>
      </c>
      <c r="AMJ9" t="e">
        <f t="shared" si="17"/>
        <v>#VALUE!</v>
      </c>
      <c r="AMK9" t="e">
        <f t="shared" si="17"/>
        <v>#VALUE!</v>
      </c>
      <c r="AML9" t="e">
        <f t="shared" si="17"/>
        <v>#VALUE!</v>
      </c>
      <c r="AMM9" t="e">
        <f t="shared" si="17"/>
        <v>#VALUE!</v>
      </c>
      <c r="AMN9" t="e">
        <f t="shared" si="17"/>
        <v>#VALUE!</v>
      </c>
      <c r="AMO9" t="e">
        <f t="shared" si="17"/>
        <v>#VALUE!</v>
      </c>
      <c r="AMP9" t="e">
        <f t="shared" si="17"/>
        <v>#VALUE!</v>
      </c>
      <c r="AMQ9" t="e">
        <f t="shared" si="18"/>
        <v>#VALUE!</v>
      </c>
      <c r="AMR9" t="e">
        <f t="shared" si="18"/>
        <v>#VALUE!</v>
      </c>
      <c r="AMS9" t="e">
        <f t="shared" si="18"/>
        <v>#VALUE!</v>
      </c>
      <c r="AMT9" t="e">
        <f t="shared" si="18"/>
        <v>#VALUE!</v>
      </c>
      <c r="AMU9" t="e">
        <f t="shared" si="18"/>
        <v>#VALUE!</v>
      </c>
      <c r="AMV9" t="e">
        <f t="shared" si="18"/>
        <v>#VALUE!</v>
      </c>
      <c r="AMW9" t="e">
        <f t="shared" si="18"/>
        <v>#VALUE!</v>
      </c>
      <c r="AMX9" t="e">
        <f t="shared" si="18"/>
        <v>#VALUE!</v>
      </c>
      <c r="AMY9" t="e">
        <f t="shared" si="18"/>
        <v>#VALUE!</v>
      </c>
      <c r="AMZ9" t="e">
        <f t="shared" si="18"/>
        <v>#VALUE!</v>
      </c>
      <c r="ANA9" t="e">
        <f t="shared" si="18"/>
        <v>#VALUE!</v>
      </c>
      <c r="ANB9" t="e">
        <f t="shared" si="18"/>
        <v>#VALUE!</v>
      </c>
      <c r="ANC9" t="e">
        <f t="shared" si="18"/>
        <v>#VALUE!</v>
      </c>
      <c r="AND9" t="e">
        <f t="shared" si="18"/>
        <v>#VALUE!</v>
      </c>
      <c r="ANE9" t="e">
        <f t="shared" si="18"/>
        <v>#VALUE!</v>
      </c>
      <c r="ANF9" t="e">
        <f t="shared" si="18"/>
        <v>#VALUE!</v>
      </c>
      <c r="ANG9" t="e">
        <f t="shared" si="18"/>
        <v>#VALUE!</v>
      </c>
      <c r="ANH9" t="e">
        <f t="shared" si="18"/>
        <v>#VALUE!</v>
      </c>
      <c r="ANI9" t="e">
        <f t="shared" si="18"/>
        <v>#VALUE!</v>
      </c>
      <c r="ANJ9" t="e">
        <f t="shared" si="18"/>
        <v>#VALUE!</v>
      </c>
      <c r="ANK9" t="e">
        <f t="shared" si="18"/>
        <v>#VALUE!</v>
      </c>
      <c r="ANL9" t="e">
        <f t="shared" si="18"/>
        <v>#VALUE!</v>
      </c>
      <c r="ANM9" t="e">
        <f t="shared" si="18"/>
        <v>#VALUE!</v>
      </c>
      <c r="ANN9" t="e">
        <f t="shared" si="18"/>
        <v>#VALUE!</v>
      </c>
      <c r="ANO9" t="e">
        <f t="shared" si="18"/>
        <v>#VALUE!</v>
      </c>
      <c r="ANP9" t="e">
        <f t="shared" si="18"/>
        <v>#VALUE!</v>
      </c>
      <c r="ANQ9" t="e">
        <f t="shared" si="18"/>
        <v>#VALUE!</v>
      </c>
      <c r="ANR9" t="e">
        <f t="shared" si="18"/>
        <v>#VALUE!</v>
      </c>
      <c r="ANS9" t="e">
        <f t="shared" si="18"/>
        <v>#VALUE!</v>
      </c>
      <c r="ANT9" t="e">
        <f t="shared" si="18"/>
        <v>#VALUE!</v>
      </c>
      <c r="ANU9" t="e">
        <f t="shared" si="18"/>
        <v>#VALUE!</v>
      </c>
      <c r="ANV9" t="e">
        <f t="shared" si="18"/>
        <v>#VALUE!</v>
      </c>
      <c r="ANW9" t="e">
        <f t="shared" si="18"/>
        <v>#VALUE!</v>
      </c>
      <c r="ANX9" t="e">
        <f t="shared" si="18"/>
        <v>#VALUE!</v>
      </c>
      <c r="ANY9" t="e">
        <f t="shared" si="18"/>
        <v>#VALUE!</v>
      </c>
      <c r="ANZ9" t="e">
        <f t="shared" si="18"/>
        <v>#VALUE!</v>
      </c>
      <c r="AOA9" t="e">
        <f t="shared" si="18"/>
        <v>#VALUE!</v>
      </c>
      <c r="AOB9" t="e">
        <f t="shared" si="18"/>
        <v>#VALUE!</v>
      </c>
      <c r="AOC9" t="e">
        <f t="shared" si="18"/>
        <v>#VALUE!</v>
      </c>
      <c r="AOD9" t="e">
        <f t="shared" si="18"/>
        <v>#VALUE!</v>
      </c>
      <c r="AOE9" t="e">
        <f t="shared" si="18"/>
        <v>#VALUE!</v>
      </c>
      <c r="AOF9" t="e">
        <f t="shared" si="18"/>
        <v>#VALUE!</v>
      </c>
      <c r="AOG9" t="e">
        <f t="shared" si="18"/>
        <v>#VALUE!</v>
      </c>
      <c r="AOH9" t="e">
        <f t="shared" si="18"/>
        <v>#VALUE!</v>
      </c>
      <c r="AOI9" t="e">
        <f t="shared" si="18"/>
        <v>#VALUE!</v>
      </c>
      <c r="AOJ9" t="e">
        <f t="shared" si="18"/>
        <v>#VALUE!</v>
      </c>
      <c r="AOK9" t="e">
        <f t="shared" si="18"/>
        <v>#VALUE!</v>
      </c>
      <c r="AOL9" t="e">
        <f t="shared" si="18"/>
        <v>#VALUE!</v>
      </c>
      <c r="AOM9" t="e">
        <f t="shared" si="18"/>
        <v>#VALUE!</v>
      </c>
      <c r="AON9" t="e">
        <f t="shared" si="18"/>
        <v>#VALUE!</v>
      </c>
      <c r="AOO9" t="e">
        <f t="shared" si="18"/>
        <v>#VALUE!</v>
      </c>
      <c r="AOP9" t="e">
        <f t="shared" si="18"/>
        <v>#VALUE!</v>
      </c>
      <c r="AOQ9" t="e">
        <f t="shared" si="18"/>
        <v>#VALUE!</v>
      </c>
      <c r="AOR9" t="e">
        <f t="shared" si="18"/>
        <v>#VALUE!</v>
      </c>
      <c r="AOS9" t="e">
        <f t="shared" si="18"/>
        <v>#VALUE!</v>
      </c>
      <c r="AOT9" t="e">
        <f t="shared" si="18"/>
        <v>#VALUE!</v>
      </c>
      <c r="AOU9" t="e">
        <f t="shared" si="18"/>
        <v>#VALUE!</v>
      </c>
      <c r="AOV9" t="e">
        <f t="shared" si="18"/>
        <v>#VALUE!</v>
      </c>
      <c r="AOW9" t="e">
        <f t="shared" si="18"/>
        <v>#VALUE!</v>
      </c>
      <c r="AOX9" t="e">
        <f t="shared" si="18"/>
        <v>#VALUE!</v>
      </c>
      <c r="AOY9" t="e">
        <f t="shared" si="18"/>
        <v>#VALUE!</v>
      </c>
      <c r="AOZ9" t="e">
        <f t="shared" si="18"/>
        <v>#VALUE!</v>
      </c>
      <c r="APA9" t="e">
        <f t="shared" si="18"/>
        <v>#VALUE!</v>
      </c>
      <c r="APB9" t="e">
        <f t="shared" si="18"/>
        <v>#VALUE!</v>
      </c>
      <c r="APC9" t="e">
        <f t="shared" si="19"/>
        <v>#VALUE!</v>
      </c>
      <c r="APD9" t="e">
        <f t="shared" si="19"/>
        <v>#VALUE!</v>
      </c>
      <c r="APE9" t="e">
        <f t="shared" si="19"/>
        <v>#VALUE!</v>
      </c>
      <c r="APF9" t="e">
        <f t="shared" si="19"/>
        <v>#VALUE!</v>
      </c>
      <c r="APG9" t="e">
        <f t="shared" si="19"/>
        <v>#VALUE!</v>
      </c>
      <c r="APH9" t="e">
        <f t="shared" si="19"/>
        <v>#VALUE!</v>
      </c>
      <c r="API9" t="e">
        <f t="shared" si="19"/>
        <v>#VALUE!</v>
      </c>
      <c r="APJ9" t="e">
        <f t="shared" si="19"/>
        <v>#VALUE!</v>
      </c>
      <c r="APK9" t="e">
        <f t="shared" si="19"/>
        <v>#VALUE!</v>
      </c>
      <c r="APL9" t="e">
        <f t="shared" si="19"/>
        <v>#VALUE!</v>
      </c>
      <c r="APM9" t="e">
        <f t="shared" si="19"/>
        <v>#VALUE!</v>
      </c>
      <c r="APN9" t="e">
        <f t="shared" si="19"/>
        <v>#VALUE!</v>
      </c>
      <c r="APO9" t="e">
        <f t="shared" si="19"/>
        <v>#VALUE!</v>
      </c>
      <c r="APP9" t="e">
        <f t="shared" si="19"/>
        <v>#VALUE!</v>
      </c>
      <c r="APQ9" t="e">
        <f t="shared" si="19"/>
        <v>#VALUE!</v>
      </c>
      <c r="APR9" t="e">
        <f t="shared" si="19"/>
        <v>#VALUE!</v>
      </c>
      <c r="APS9" t="e">
        <f t="shared" si="19"/>
        <v>#VALUE!</v>
      </c>
      <c r="APT9" t="e">
        <f t="shared" si="19"/>
        <v>#VALUE!</v>
      </c>
      <c r="APU9" t="e">
        <f t="shared" si="19"/>
        <v>#VALUE!</v>
      </c>
      <c r="APV9" t="e">
        <f t="shared" si="19"/>
        <v>#VALUE!</v>
      </c>
      <c r="APW9" t="e">
        <f t="shared" si="19"/>
        <v>#VALUE!</v>
      </c>
      <c r="APX9" t="e">
        <f t="shared" si="19"/>
        <v>#VALUE!</v>
      </c>
      <c r="APY9" t="e">
        <f t="shared" si="19"/>
        <v>#VALUE!</v>
      </c>
      <c r="APZ9" t="e">
        <f t="shared" si="19"/>
        <v>#VALUE!</v>
      </c>
      <c r="AQA9" t="e">
        <f t="shared" si="19"/>
        <v>#VALUE!</v>
      </c>
      <c r="AQB9" t="e">
        <f t="shared" si="19"/>
        <v>#VALUE!</v>
      </c>
      <c r="AQC9" t="e">
        <f t="shared" si="19"/>
        <v>#VALUE!</v>
      </c>
      <c r="AQD9" t="e">
        <f t="shared" si="19"/>
        <v>#VALUE!</v>
      </c>
      <c r="AQE9" t="e">
        <f t="shared" si="19"/>
        <v>#VALUE!</v>
      </c>
      <c r="AQF9" t="e">
        <f t="shared" si="19"/>
        <v>#VALUE!</v>
      </c>
      <c r="AQG9" t="e">
        <f t="shared" si="19"/>
        <v>#VALUE!</v>
      </c>
      <c r="AQH9" t="e">
        <f t="shared" si="19"/>
        <v>#VALUE!</v>
      </c>
      <c r="AQI9" t="e">
        <f t="shared" si="19"/>
        <v>#VALUE!</v>
      </c>
      <c r="AQJ9" t="e">
        <f t="shared" si="19"/>
        <v>#VALUE!</v>
      </c>
      <c r="AQK9" t="e">
        <f t="shared" si="19"/>
        <v>#VALUE!</v>
      </c>
      <c r="AQL9" t="e">
        <f t="shared" si="19"/>
        <v>#VALUE!</v>
      </c>
      <c r="AQM9" t="e">
        <f t="shared" si="19"/>
        <v>#VALUE!</v>
      </c>
      <c r="AQN9" t="e">
        <f t="shared" si="19"/>
        <v>#VALUE!</v>
      </c>
      <c r="AQO9" t="e">
        <f t="shared" si="19"/>
        <v>#VALUE!</v>
      </c>
      <c r="AQP9" t="e">
        <f t="shared" si="19"/>
        <v>#VALUE!</v>
      </c>
      <c r="AQQ9" t="e">
        <f t="shared" si="19"/>
        <v>#VALUE!</v>
      </c>
      <c r="AQR9" t="e">
        <f t="shared" si="19"/>
        <v>#VALUE!</v>
      </c>
      <c r="AQS9" t="e">
        <f t="shared" si="19"/>
        <v>#VALUE!</v>
      </c>
      <c r="AQT9" t="e">
        <f t="shared" si="19"/>
        <v>#VALUE!</v>
      </c>
      <c r="AQU9" t="e">
        <f t="shared" si="19"/>
        <v>#VALUE!</v>
      </c>
      <c r="AQV9" t="e">
        <f t="shared" si="19"/>
        <v>#VALUE!</v>
      </c>
      <c r="AQW9" t="e">
        <f t="shared" si="19"/>
        <v>#VALUE!</v>
      </c>
      <c r="AQX9" t="e">
        <f t="shared" si="19"/>
        <v>#VALUE!</v>
      </c>
      <c r="AQY9" t="e">
        <f t="shared" si="19"/>
        <v>#VALUE!</v>
      </c>
      <c r="AQZ9" t="e">
        <f t="shared" si="19"/>
        <v>#VALUE!</v>
      </c>
      <c r="ARA9" t="e">
        <f t="shared" si="19"/>
        <v>#VALUE!</v>
      </c>
      <c r="ARB9" t="e">
        <f t="shared" si="19"/>
        <v>#VALUE!</v>
      </c>
      <c r="ARC9" t="e">
        <f t="shared" si="19"/>
        <v>#VALUE!</v>
      </c>
      <c r="ARD9" t="e">
        <f t="shared" si="19"/>
        <v>#VALUE!</v>
      </c>
      <c r="ARE9" t="e">
        <f t="shared" si="19"/>
        <v>#VALUE!</v>
      </c>
      <c r="ARF9" t="e">
        <f t="shared" si="19"/>
        <v>#VALUE!</v>
      </c>
      <c r="ARG9" t="e">
        <f t="shared" si="19"/>
        <v>#VALUE!</v>
      </c>
      <c r="ARH9" t="e">
        <f t="shared" si="19"/>
        <v>#VALUE!</v>
      </c>
      <c r="ARI9" t="e">
        <f t="shared" si="19"/>
        <v>#VALUE!</v>
      </c>
      <c r="ARJ9" t="e">
        <f t="shared" si="19"/>
        <v>#VALUE!</v>
      </c>
      <c r="ARK9" t="e">
        <f t="shared" si="19"/>
        <v>#VALUE!</v>
      </c>
      <c r="ARL9" t="e">
        <f t="shared" si="19"/>
        <v>#VALUE!</v>
      </c>
      <c r="ARM9" t="e">
        <f t="shared" si="19"/>
        <v>#VALUE!</v>
      </c>
      <c r="ARN9" t="e">
        <f t="shared" si="19"/>
        <v>#VALUE!</v>
      </c>
      <c r="ARO9" t="e">
        <f t="shared" si="20"/>
        <v>#VALUE!</v>
      </c>
      <c r="ARP9" t="e">
        <f t="shared" si="20"/>
        <v>#VALUE!</v>
      </c>
      <c r="ARQ9" t="e">
        <f t="shared" si="20"/>
        <v>#VALUE!</v>
      </c>
      <c r="ARR9" t="e">
        <f t="shared" si="20"/>
        <v>#VALUE!</v>
      </c>
      <c r="ARS9" t="e">
        <f t="shared" si="20"/>
        <v>#VALUE!</v>
      </c>
      <c r="ART9" t="e">
        <f t="shared" si="20"/>
        <v>#VALUE!</v>
      </c>
      <c r="ARU9" t="e">
        <f t="shared" si="20"/>
        <v>#VALUE!</v>
      </c>
      <c r="ARV9" t="e">
        <f t="shared" si="20"/>
        <v>#VALUE!</v>
      </c>
      <c r="ARW9" t="e">
        <f t="shared" si="20"/>
        <v>#VALUE!</v>
      </c>
      <c r="ARX9" t="e">
        <f t="shared" si="20"/>
        <v>#VALUE!</v>
      </c>
      <c r="ARY9" t="e">
        <f t="shared" si="20"/>
        <v>#VALUE!</v>
      </c>
      <c r="ARZ9" t="e">
        <f t="shared" si="20"/>
        <v>#VALUE!</v>
      </c>
      <c r="ASA9" t="e">
        <f t="shared" si="20"/>
        <v>#VALUE!</v>
      </c>
      <c r="ASB9" t="e">
        <f t="shared" si="20"/>
        <v>#VALUE!</v>
      </c>
      <c r="ASC9" t="e">
        <f t="shared" si="20"/>
        <v>#VALUE!</v>
      </c>
      <c r="ASD9" t="e">
        <f t="shared" si="20"/>
        <v>#VALUE!</v>
      </c>
      <c r="ASE9" t="e">
        <f t="shared" si="20"/>
        <v>#VALUE!</v>
      </c>
      <c r="ASF9" t="e">
        <f t="shared" si="20"/>
        <v>#VALUE!</v>
      </c>
      <c r="ASG9" t="e">
        <f t="shared" si="20"/>
        <v>#VALUE!</v>
      </c>
      <c r="ASH9" t="e">
        <f t="shared" si="20"/>
        <v>#VALUE!</v>
      </c>
      <c r="ASI9" t="e">
        <f t="shared" si="20"/>
        <v>#VALUE!</v>
      </c>
      <c r="ASJ9" t="e">
        <f t="shared" si="20"/>
        <v>#VALUE!</v>
      </c>
      <c r="ASK9" t="e">
        <f t="shared" si="20"/>
        <v>#VALUE!</v>
      </c>
      <c r="ASL9" t="e">
        <f t="shared" si="20"/>
        <v>#VALUE!</v>
      </c>
      <c r="ASM9" t="e">
        <f t="shared" si="20"/>
        <v>#VALUE!</v>
      </c>
      <c r="ASN9" t="e">
        <f t="shared" si="20"/>
        <v>#VALUE!</v>
      </c>
      <c r="ASO9" t="e">
        <f t="shared" si="20"/>
        <v>#VALUE!</v>
      </c>
      <c r="ASP9" t="e">
        <f t="shared" si="20"/>
        <v>#VALUE!</v>
      </c>
      <c r="ASQ9" t="e">
        <f t="shared" si="20"/>
        <v>#VALUE!</v>
      </c>
      <c r="ASR9" t="e">
        <f t="shared" si="20"/>
        <v>#VALUE!</v>
      </c>
      <c r="ASS9" t="e">
        <f t="shared" si="20"/>
        <v>#VALUE!</v>
      </c>
      <c r="AST9" t="e">
        <f t="shared" si="20"/>
        <v>#VALUE!</v>
      </c>
      <c r="ASU9" t="e">
        <f t="shared" si="20"/>
        <v>#VALUE!</v>
      </c>
      <c r="ASV9" t="e">
        <f t="shared" si="20"/>
        <v>#VALUE!</v>
      </c>
      <c r="ASW9" t="e">
        <f t="shared" si="20"/>
        <v>#VALUE!</v>
      </c>
      <c r="ASX9" t="e">
        <f t="shared" si="20"/>
        <v>#VALUE!</v>
      </c>
      <c r="ASY9" t="e">
        <f t="shared" si="20"/>
        <v>#VALUE!</v>
      </c>
      <c r="ASZ9" t="e">
        <f t="shared" si="20"/>
        <v>#VALUE!</v>
      </c>
      <c r="ATA9" t="e">
        <f t="shared" si="20"/>
        <v>#VALUE!</v>
      </c>
      <c r="ATB9" t="e">
        <f t="shared" si="20"/>
        <v>#VALUE!</v>
      </c>
      <c r="ATC9" t="e">
        <f t="shared" si="20"/>
        <v>#VALUE!</v>
      </c>
      <c r="ATD9" t="e">
        <f t="shared" si="20"/>
        <v>#VALUE!</v>
      </c>
      <c r="ATE9" t="e">
        <f t="shared" si="20"/>
        <v>#VALUE!</v>
      </c>
      <c r="ATF9" t="e">
        <f t="shared" si="20"/>
        <v>#VALUE!</v>
      </c>
      <c r="ATG9" t="e">
        <f t="shared" si="20"/>
        <v>#VALUE!</v>
      </c>
      <c r="ATH9" t="e">
        <f t="shared" si="20"/>
        <v>#VALUE!</v>
      </c>
      <c r="ATI9" t="e">
        <f t="shared" si="20"/>
        <v>#VALUE!</v>
      </c>
      <c r="ATJ9" t="e">
        <f t="shared" si="20"/>
        <v>#VALUE!</v>
      </c>
      <c r="ATK9" t="e">
        <f t="shared" si="20"/>
        <v>#VALUE!</v>
      </c>
      <c r="ATL9" t="e">
        <f t="shared" si="20"/>
        <v>#VALUE!</v>
      </c>
      <c r="ATM9" t="e">
        <f t="shared" si="20"/>
        <v>#VALUE!</v>
      </c>
      <c r="ATN9" t="e">
        <f t="shared" si="20"/>
        <v>#VALUE!</v>
      </c>
      <c r="ATO9" t="e">
        <f t="shared" si="20"/>
        <v>#VALUE!</v>
      </c>
      <c r="ATP9" t="e">
        <f t="shared" si="20"/>
        <v>#VALUE!</v>
      </c>
      <c r="ATQ9" t="e">
        <f t="shared" si="20"/>
        <v>#VALUE!</v>
      </c>
    </row>
    <row r="10" spans="1:1213" ht="15.75" customHeight="1" x14ac:dyDescent="0.25">
      <c r="AAE10" t="s">
        <v>2415</v>
      </c>
      <c r="AGN10" s="13"/>
      <c r="AGO10" s="13"/>
      <c r="AIR10" s="2"/>
    </row>
    <row r="11" spans="1:1213" x14ac:dyDescent="0.25">
      <c r="A11" s="3" t="s">
        <v>24</v>
      </c>
      <c r="B11" s="3" t="s">
        <v>25</v>
      </c>
      <c r="C11" s="3" t="s">
        <v>26</v>
      </c>
      <c r="D11" s="4" t="s">
        <v>27</v>
      </c>
      <c r="E11" s="4" t="s">
        <v>28</v>
      </c>
      <c r="F11" s="4" t="s">
        <v>29</v>
      </c>
      <c r="G11" s="4" t="s">
        <v>30</v>
      </c>
      <c r="H11" s="4" t="s">
        <v>31</v>
      </c>
      <c r="I11" s="4" t="s">
        <v>32</v>
      </c>
      <c r="J11" s="4" t="s">
        <v>33</v>
      </c>
      <c r="K11" s="4" t="s">
        <v>34</v>
      </c>
      <c r="L11" s="4" t="s">
        <v>35</v>
      </c>
      <c r="M11" s="4" t="s">
        <v>36</v>
      </c>
      <c r="N11" s="4" t="s">
        <v>37</v>
      </c>
      <c r="O11" s="4" t="s">
        <v>38</v>
      </c>
      <c r="P11" s="4" t="s">
        <v>39</v>
      </c>
      <c r="Q11" s="4" t="s">
        <v>40</v>
      </c>
      <c r="R11" s="4" t="s">
        <v>41</v>
      </c>
      <c r="S11" s="4" t="s">
        <v>42</v>
      </c>
      <c r="T11" s="4" t="s">
        <v>43</v>
      </c>
      <c r="U11" s="4" t="s">
        <v>44</v>
      </c>
      <c r="V11" s="4" t="s">
        <v>45</v>
      </c>
      <c r="W11" s="4" t="s">
        <v>46</v>
      </c>
      <c r="X11" s="4" t="s">
        <v>47</v>
      </c>
      <c r="Y11" s="4" t="s">
        <v>48</v>
      </c>
      <c r="Z11" s="5" t="s">
        <v>49</v>
      </c>
      <c r="AA11" s="5" t="s">
        <v>50</v>
      </c>
      <c r="AB11" s="5" t="s">
        <v>51</v>
      </c>
      <c r="AC11" s="5" t="s">
        <v>52</v>
      </c>
      <c r="AD11" s="5" t="s">
        <v>53</v>
      </c>
      <c r="AE11" s="5" t="s">
        <v>54</v>
      </c>
      <c r="AF11" s="5" t="s">
        <v>55</v>
      </c>
      <c r="AG11" s="5" t="s">
        <v>56</v>
      </c>
      <c r="AH11" s="6" t="s">
        <v>57</v>
      </c>
      <c r="AI11" s="5" t="s">
        <v>58</v>
      </c>
      <c r="AJ11" s="5" t="s">
        <v>59</v>
      </c>
      <c r="AK11" s="5" t="s">
        <v>60</v>
      </c>
      <c r="AL11" s="5" t="s">
        <v>61</v>
      </c>
      <c r="AM11" s="5" t="s">
        <v>62</v>
      </c>
      <c r="AN11" s="5" t="s">
        <v>63</v>
      </c>
      <c r="AO11" s="5" t="s">
        <v>64</v>
      </c>
      <c r="AP11" s="5" t="s">
        <v>65</v>
      </c>
      <c r="AQ11" s="5" t="s">
        <v>66</v>
      </c>
      <c r="AR11" s="5" t="s">
        <v>67</v>
      </c>
      <c r="AS11" s="5" t="s">
        <v>68</v>
      </c>
      <c r="AT11" s="5" t="s">
        <v>69</v>
      </c>
      <c r="AU11" s="5" t="s">
        <v>70</v>
      </c>
      <c r="AV11" s="5" t="s">
        <v>71</v>
      </c>
      <c r="AW11" s="5" t="s">
        <v>72</v>
      </c>
      <c r="AX11" s="5" t="s">
        <v>73</v>
      </c>
      <c r="AY11" s="5" t="s">
        <v>74</v>
      </c>
      <c r="AZ11" s="5" t="s">
        <v>75</v>
      </c>
      <c r="BA11" s="5" t="s">
        <v>76</v>
      </c>
      <c r="BB11" s="5" t="s">
        <v>77</v>
      </c>
      <c r="BC11" s="5" t="s">
        <v>78</v>
      </c>
      <c r="BD11" s="5" t="s">
        <v>79</v>
      </c>
      <c r="BE11" s="5" t="s">
        <v>80</v>
      </c>
      <c r="BF11" s="5" t="s">
        <v>81</v>
      </c>
      <c r="BG11" s="5" t="s">
        <v>82</v>
      </c>
      <c r="BH11" s="5" t="s">
        <v>83</v>
      </c>
      <c r="BI11" s="5" t="s">
        <v>84</v>
      </c>
      <c r="BJ11" s="5" t="s">
        <v>85</v>
      </c>
      <c r="BK11" s="5" t="s">
        <v>86</v>
      </c>
      <c r="BL11" s="5" t="s">
        <v>87</v>
      </c>
      <c r="BM11" s="5" t="s">
        <v>88</v>
      </c>
      <c r="BN11" s="5" t="s">
        <v>89</v>
      </c>
      <c r="BO11" s="5" t="s">
        <v>90</v>
      </c>
      <c r="BP11" s="5" t="s">
        <v>91</v>
      </c>
      <c r="BQ11" s="5" t="s">
        <v>92</v>
      </c>
      <c r="BR11" s="5" t="s">
        <v>93</v>
      </c>
      <c r="BS11" s="5" t="s">
        <v>94</v>
      </c>
      <c r="BT11" s="5" t="s">
        <v>95</v>
      </c>
      <c r="BU11" s="5" t="s">
        <v>96</v>
      </c>
      <c r="BV11" s="5" t="s">
        <v>97</v>
      </c>
      <c r="BW11" s="5" t="s">
        <v>98</v>
      </c>
      <c r="BX11" s="5" t="s">
        <v>99</v>
      </c>
      <c r="BY11" s="5" t="s">
        <v>100</v>
      </c>
      <c r="BZ11" s="5" t="s">
        <v>101</v>
      </c>
      <c r="CA11" s="5" t="s">
        <v>102</v>
      </c>
      <c r="CB11" s="5" t="s">
        <v>103</v>
      </c>
      <c r="CC11" s="5" t="s">
        <v>104</v>
      </c>
      <c r="CD11" s="5" t="s">
        <v>105</v>
      </c>
      <c r="CE11" s="5" t="s">
        <v>106</v>
      </c>
      <c r="CF11" s="5" t="s">
        <v>107</v>
      </c>
      <c r="CG11" s="5" t="s">
        <v>108</v>
      </c>
      <c r="CH11" s="5" t="s">
        <v>109</v>
      </c>
      <c r="CI11" s="5" t="s">
        <v>110</v>
      </c>
      <c r="CJ11" s="5" t="s">
        <v>111</v>
      </c>
      <c r="CK11" s="5" t="s">
        <v>112</v>
      </c>
      <c r="CL11" s="5" t="s">
        <v>113</v>
      </c>
      <c r="CM11" s="5" t="s">
        <v>114</v>
      </c>
      <c r="CN11" s="5" t="s">
        <v>115</v>
      </c>
      <c r="CO11" s="5" t="s">
        <v>116</v>
      </c>
      <c r="CP11" s="5" t="s">
        <v>117</v>
      </c>
      <c r="CQ11" s="5" t="s">
        <v>118</v>
      </c>
      <c r="CR11" s="5" t="s">
        <v>119</v>
      </c>
      <c r="CS11" s="5" t="s">
        <v>120</v>
      </c>
      <c r="CT11" s="5" t="s">
        <v>121</v>
      </c>
      <c r="CU11" s="5" t="s">
        <v>122</v>
      </c>
      <c r="CV11" s="5" t="s">
        <v>123</v>
      </c>
      <c r="CW11" s="5" t="s">
        <v>124</v>
      </c>
      <c r="CX11" s="5" t="s">
        <v>125</v>
      </c>
      <c r="CY11" s="5" t="s">
        <v>126</v>
      </c>
      <c r="CZ11" s="5" t="s">
        <v>127</v>
      </c>
      <c r="DA11" s="5" t="s">
        <v>128</v>
      </c>
      <c r="DB11" s="5" t="s">
        <v>129</v>
      </c>
      <c r="DC11" s="5" t="s">
        <v>130</v>
      </c>
      <c r="DD11" s="5" t="s">
        <v>131</v>
      </c>
      <c r="DE11" s="5" t="s">
        <v>132</v>
      </c>
      <c r="DF11" s="5" t="s">
        <v>133</v>
      </c>
      <c r="DG11" s="5" t="s">
        <v>134</v>
      </c>
      <c r="DH11" s="5" t="s">
        <v>135</v>
      </c>
      <c r="DI11" s="5" t="s">
        <v>136</v>
      </c>
      <c r="DJ11" s="5" t="s">
        <v>137</v>
      </c>
      <c r="DK11" s="5" t="s">
        <v>138</v>
      </c>
      <c r="DL11" s="5" t="s">
        <v>139</v>
      </c>
      <c r="DM11" s="5" t="s">
        <v>140</v>
      </c>
      <c r="DN11" s="5" t="s">
        <v>141</v>
      </c>
      <c r="DO11" s="5" t="s">
        <v>142</v>
      </c>
      <c r="DP11" s="5" t="s">
        <v>143</v>
      </c>
      <c r="DQ11" s="5" t="s">
        <v>144</v>
      </c>
      <c r="DR11" s="5" t="s">
        <v>145</v>
      </c>
      <c r="DS11" s="5" t="s">
        <v>146</v>
      </c>
      <c r="DT11" s="5" t="s">
        <v>147</v>
      </c>
      <c r="DU11" s="5" t="s">
        <v>148</v>
      </c>
      <c r="DV11" s="5" t="s">
        <v>149</v>
      </c>
      <c r="DW11" s="5" t="s">
        <v>150</v>
      </c>
      <c r="DX11" s="5" t="s">
        <v>151</v>
      </c>
      <c r="DY11" s="5" t="s">
        <v>152</v>
      </c>
      <c r="DZ11" s="5" t="s">
        <v>153</v>
      </c>
      <c r="EA11" s="5" t="s">
        <v>154</v>
      </c>
      <c r="EB11" s="5" t="s">
        <v>155</v>
      </c>
      <c r="EC11" s="5" t="s">
        <v>156</v>
      </c>
      <c r="ED11" s="5" t="s">
        <v>157</v>
      </c>
      <c r="EE11" s="5" t="s">
        <v>158</v>
      </c>
      <c r="EF11" s="5" t="s">
        <v>159</v>
      </c>
      <c r="EG11" s="5" t="s">
        <v>160</v>
      </c>
      <c r="EH11" s="5" t="s">
        <v>161</v>
      </c>
      <c r="EI11" s="5" t="s">
        <v>162</v>
      </c>
      <c r="EJ11" s="5" t="s">
        <v>163</v>
      </c>
      <c r="EK11" s="5" t="s">
        <v>164</v>
      </c>
      <c r="EL11" s="5" t="s">
        <v>165</v>
      </c>
      <c r="EM11" s="5" t="s">
        <v>166</v>
      </c>
      <c r="EN11" s="5" t="s">
        <v>167</v>
      </c>
      <c r="EO11" s="5" t="s">
        <v>168</v>
      </c>
      <c r="EP11" s="5" t="s">
        <v>169</v>
      </c>
      <c r="EQ11" s="5" t="s">
        <v>170</v>
      </c>
      <c r="ER11" s="5" t="s">
        <v>171</v>
      </c>
      <c r="ES11" s="5" t="s">
        <v>172</v>
      </c>
      <c r="ET11" s="5" t="s">
        <v>173</v>
      </c>
      <c r="EU11" s="5" t="s">
        <v>174</v>
      </c>
      <c r="EV11" s="5" t="s">
        <v>175</v>
      </c>
      <c r="EW11" s="5" t="s">
        <v>176</v>
      </c>
      <c r="EX11" s="5" t="s">
        <v>177</v>
      </c>
      <c r="EY11" s="5" t="s">
        <v>178</v>
      </c>
      <c r="EZ11" s="5" t="s">
        <v>179</v>
      </c>
      <c r="FA11" s="5" t="s">
        <v>180</v>
      </c>
      <c r="FB11" s="5" t="s">
        <v>181</v>
      </c>
      <c r="FC11" s="5" t="s">
        <v>182</v>
      </c>
      <c r="FD11" s="5" t="s">
        <v>183</v>
      </c>
      <c r="FE11" s="5" t="s">
        <v>184</v>
      </c>
      <c r="FF11" s="5" t="s">
        <v>185</v>
      </c>
      <c r="FG11" s="5" t="s">
        <v>186</v>
      </c>
      <c r="FH11" s="5" t="s">
        <v>187</v>
      </c>
      <c r="FI11" s="5" t="s">
        <v>188</v>
      </c>
      <c r="FJ11" s="5" t="s">
        <v>189</v>
      </c>
      <c r="FK11" s="5" t="s">
        <v>190</v>
      </c>
      <c r="FL11" s="5" t="s">
        <v>191</v>
      </c>
      <c r="FM11" s="5" t="s">
        <v>192</v>
      </c>
      <c r="FN11" s="5" t="s">
        <v>193</v>
      </c>
      <c r="FO11" s="5" t="s">
        <v>194</v>
      </c>
      <c r="FP11" s="5" t="s">
        <v>195</v>
      </c>
      <c r="FQ11" s="5" t="s">
        <v>196</v>
      </c>
      <c r="FR11" s="5" t="s">
        <v>197</v>
      </c>
      <c r="FS11" s="5" t="s">
        <v>198</v>
      </c>
      <c r="FT11" s="5" t="s">
        <v>199</v>
      </c>
      <c r="FU11" s="5" t="s">
        <v>200</v>
      </c>
      <c r="FV11" s="5" t="s">
        <v>201</v>
      </c>
      <c r="FW11" s="5" t="s">
        <v>202</v>
      </c>
      <c r="FX11" s="5" t="s">
        <v>203</v>
      </c>
      <c r="FY11" s="5" t="s">
        <v>204</v>
      </c>
      <c r="FZ11" s="5" t="s">
        <v>205</v>
      </c>
      <c r="GA11" s="5" t="s">
        <v>206</v>
      </c>
      <c r="GB11" s="5" t="s">
        <v>207</v>
      </c>
      <c r="GC11" s="5" t="s">
        <v>208</v>
      </c>
      <c r="GD11" s="5" t="s">
        <v>209</v>
      </c>
      <c r="GE11" s="5" t="s">
        <v>210</v>
      </c>
      <c r="GF11" s="5" t="s">
        <v>211</v>
      </c>
      <c r="GG11" s="5" t="s">
        <v>212</v>
      </c>
      <c r="GH11" s="5" t="s">
        <v>213</v>
      </c>
      <c r="GI11" s="5" t="s">
        <v>214</v>
      </c>
      <c r="GJ11" s="5" t="s">
        <v>215</v>
      </c>
      <c r="GK11" s="5" t="s">
        <v>216</v>
      </c>
      <c r="GL11" s="5" t="s">
        <v>217</v>
      </c>
      <c r="GM11" s="5" t="s">
        <v>218</v>
      </c>
      <c r="GN11" s="5" t="s">
        <v>219</v>
      </c>
      <c r="GO11" s="5" t="s">
        <v>220</v>
      </c>
      <c r="GP11" s="5" t="s">
        <v>221</v>
      </c>
      <c r="GQ11" s="5" t="s">
        <v>222</v>
      </c>
      <c r="GR11" s="5" t="s">
        <v>223</v>
      </c>
      <c r="GS11" s="5" t="s">
        <v>224</v>
      </c>
      <c r="GT11" s="5" t="s">
        <v>225</v>
      </c>
      <c r="GU11" s="5" t="s">
        <v>226</v>
      </c>
      <c r="GV11" s="5" t="s">
        <v>227</v>
      </c>
      <c r="GW11" s="5" t="s">
        <v>228</v>
      </c>
      <c r="GX11" s="5" t="s">
        <v>229</v>
      </c>
      <c r="GY11" s="5" t="s">
        <v>230</v>
      </c>
      <c r="GZ11" s="5" t="s">
        <v>231</v>
      </c>
      <c r="HA11" s="7" t="s">
        <v>232</v>
      </c>
      <c r="HB11" s="7" t="s">
        <v>233</v>
      </c>
      <c r="HC11" s="7" t="s">
        <v>234</v>
      </c>
      <c r="HD11" s="7" t="s">
        <v>235</v>
      </c>
      <c r="HE11" s="7" t="s">
        <v>236</v>
      </c>
      <c r="HF11" s="7" t="s">
        <v>237</v>
      </c>
      <c r="HG11" s="7" t="s">
        <v>238</v>
      </c>
      <c r="HH11" s="7" t="s">
        <v>239</v>
      </c>
      <c r="HI11" s="7" t="s">
        <v>240</v>
      </c>
      <c r="HJ11" s="8" t="s">
        <v>241</v>
      </c>
      <c r="HK11" s="8" t="s">
        <v>242</v>
      </c>
      <c r="HL11" s="8" t="s">
        <v>243</v>
      </c>
      <c r="HM11" s="8" t="s">
        <v>244</v>
      </c>
      <c r="HN11" s="8" t="s">
        <v>245</v>
      </c>
      <c r="HO11" s="8" t="s">
        <v>246</v>
      </c>
      <c r="HP11" s="8" t="s">
        <v>247</v>
      </c>
      <c r="HQ11" s="8" t="s">
        <v>248</v>
      </c>
      <c r="HR11" s="8" t="s">
        <v>249</v>
      </c>
      <c r="HS11" s="9" t="s">
        <v>250</v>
      </c>
      <c r="HT11" s="8" t="s">
        <v>251</v>
      </c>
      <c r="HU11" s="8" t="s">
        <v>252</v>
      </c>
      <c r="HV11" s="8" t="s">
        <v>253</v>
      </c>
      <c r="HW11" s="8" t="s">
        <v>254</v>
      </c>
      <c r="HX11" s="8" t="s">
        <v>255</v>
      </c>
      <c r="HY11" s="8" t="s">
        <v>256</v>
      </c>
      <c r="HZ11" s="8" t="s">
        <v>257</v>
      </c>
      <c r="IA11" s="8" t="s">
        <v>258</v>
      </c>
      <c r="IB11" s="8" t="s">
        <v>259</v>
      </c>
      <c r="IC11" s="8" t="s">
        <v>260</v>
      </c>
      <c r="ID11" s="8" t="s">
        <v>261</v>
      </c>
      <c r="IE11" s="8" t="s">
        <v>262</v>
      </c>
      <c r="IF11" s="8" t="s">
        <v>263</v>
      </c>
      <c r="IG11" s="8" t="s">
        <v>264</v>
      </c>
      <c r="IH11" s="8" t="s">
        <v>265</v>
      </c>
      <c r="II11" s="8" t="s">
        <v>266</v>
      </c>
      <c r="IJ11" s="8" t="s">
        <v>267</v>
      </c>
      <c r="IK11" s="8" t="s">
        <v>268</v>
      </c>
      <c r="IL11" s="8" t="s">
        <v>269</v>
      </c>
      <c r="IM11" s="8" t="s">
        <v>270</v>
      </c>
      <c r="IN11" s="8" t="s">
        <v>271</v>
      </c>
      <c r="IO11" s="8" t="s">
        <v>272</v>
      </c>
      <c r="IP11" s="8" t="s">
        <v>273</v>
      </c>
      <c r="IQ11" s="8" t="s">
        <v>274</v>
      </c>
      <c r="IR11" s="8" t="s">
        <v>275</v>
      </c>
      <c r="IS11" s="8" t="s">
        <v>276</v>
      </c>
      <c r="IT11" s="8" t="s">
        <v>277</v>
      </c>
      <c r="IU11" s="8" t="s">
        <v>278</v>
      </c>
      <c r="IV11" s="8" t="s">
        <v>279</v>
      </c>
      <c r="IW11" s="8" t="s">
        <v>280</v>
      </c>
      <c r="IX11" s="8" t="s">
        <v>281</v>
      </c>
      <c r="IY11" s="8" t="s">
        <v>282</v>
      </c>
      <c r="IZ11" s="8" t="s">
        <v>283</v>
      </c>
      <c r="JA11" s="8" t="s">
        <v>284</v>
      </c>
      <c r="JB11" s="8" t="s">
        <v>285</v>
      </c>
      <c r="JC11" s="8" t="s">
        <v>286</v>
      </c>
      <c r="JD11" s="8" t="s">
        <v>287</v>
      </c>
      <c r="JE11" s="8" t="s">
        <v>288</v>
      </c>
      <c r="JF11" s="8" t="s">
        <v>289</v>
      </c>
      <c r="JG11" s="8" t="s">
        <v>290</v>
      </c>
      <c r="JH11" s="8" t="s">
        <v>291</v>
      </c>
      <c r="JI11" s="8" t="s">
        <v>292</v>
      </c>
      <c r="JJ11" s="8" t="s">
        <v>293</v>
      </c>
      <c r="JK11" s="8" t="s">
        <v>294</v>
      </c>
      <c r="JL11" s="8" t="s">
        <v>295</v>
      </c>
      <c r="JM11" s="8" t="s">
        <v>296</v>
      </c>
      <c r="JN11" s="8" t="s">
        <v>297</v>
      </c>
      <c r="JO11" s="8" t="s">
        <v>298</v>
      </c>
      <c r="JP11" s="8" t="s">
        <v>299</v>
      </c>
      <c r="JQ11" s="8" t="s">
        <v>300</v>
      </c>
      <c r="JR11" s="8" t="s">
        <v>301</v>
      </c>
      <c r="JS11" s="8" t="s">
        <v>302</v>
      </c>
      <c r="JT11" s="8" t="s">
        <v>303</v>
      </c>
      <c r="JU11" s="8" t="s">
        <v>304</v>
      </c>
      <c r="JV11" s="8" t="s">
        <v>305</v>
      </c>
      <c r="JW11" s="8" t="s">
        <v>306</v>
      </c>
      <c r="JX11" s="8" t="s">
        <v>307</v>
      </c>
      <c r="JY11" s="8" t="s">
        <v>308</v>
      </c>
      <c r="JZ11" s="8" t="s">
        <v>309</v>
      </c>
      <c r="KA11" s="8" t="s">
        <v>310</v>
      </c>
      <c r="KB11" s="9" t="s">
        <v>311</v>
      </c>
      <c r="KC11" s="8" t="s">
        <v>312</v>
      </c>
      <c r="KD11" s="8" t="s">
        <v>313</v>
      </c>
      <c r="KE11" s="8" t="s">
        <v>314</v>
      </c>
      <c r="KF11" s="8" t="s">
        <v>315</v>
      </c>
      <c r="KG11" s="10" t="s">
        <v>316</v>
      </c>
      <c r="KH11" s="8" t="s">
        <v>317</v>
      </c>
      <c r="KI11" s="8" t="s">
        <v>318</v>
      </c>
      <c r="KJ11" s="8" t="s">
        <v>319</v>
      </c>
      <c r="KK11" s="8" t="s">
        <v>320</v>
      </c>
      <c r="KL11" s="8" t="s">
        <v>321</v>
      </c>
      <c r="KM11" s="8" t="s">
        <v>322</v>
      </c>
      <c r="KN11" s="8" t="s">
        <v>323</v>
      </c>
      <c r="KO11" s="8" t="s">
        <v>324</v>
      </c>
      <c r="KP11" s="8" t="s">
        <v>325</v>
      </c>
      <c r="KQ11" s="8" t="s">
        <v>326</v>
      </c>
      <c r="KR11" s="8" t="s">
        <v>327</v>
      </c>
      <c r="KS11" s="8" t="s">
        <v>328</v>
      </c>
      <c r="KT11" s="8" t="s">
        <v>329</v>
      </c>
      <c r="KU11" s="8" t="s">
        <v>330</v>
      </c>
      <c r="KV11" s="8" t="s">
        <v>331</v>
      </c>
      <c r="KW11" s="8" t="s">
        <v>332</v>
      </c>
      <c r="KX11" s="8" t="s">
        <v>333</v>
      </c>
      <c r="KY11" s="8" t="s">
        <v>334</v>
      </c>
      <c r="KZ11" s="8" t="s">
        <v>335</v>
      </c>
      <c r="LA11" s="8" t="s">
        <v>336</v>
      </c>
      <c r="LB11" s="8" t="s">
        <v>337</v>
      </c>
      <c r="LC11" s="8" t="s">
        <v>338</v>
      </c>
      <c r="LD11" s="8" t="s">
        <v>339</v>
      </c>
      <c r="LE11" s="11" t="s">
        <v>340</v>
      </c>
      <c r="LF11" s="8" t="s">
        <v>341</v>
      </c>
      <c r="LG11" s="8" t="s">
        <v>342</v>
      </c>
      <c r="LH11" s="8" t="s">
        <v>343</v>
      </c>
      <c r="LI11" s="8" t="s">
        <v>344</v>
      </c>
      <c r="LJ11" s="8" t="s">
        <v>345</v>
      </c>
      <c r="LK11" s="8" t="s">
        <v>346</v>
      </c>
      <c r="LL11" s="8" t="s">
        <v>347</v>
      </c>
      <c r="LM11" s="8" t="s">
        <v>348</v>
      </c>
      <c r="LN11" s="8" t="s">
        <v>349</v>
      </c>
      <c r="LO11" s="8" t="s">
        <v>350</v>
      </c>
      <c r="LP11" s="8" t="s">
        <v>351</v>
      </c>
      <c r="LQ11" s="11" t="s">
        <v>352</v>
      </c>
      <c r="LR11" s="8" t="s">
        <v>353</v>
      </c>
      <c r="LS11" s="8" t="s">
        <v>354</v>
      </c>
      <c r="LT11" s="8" t="s">
        <v>355</v>
      </c>
      <c r="LU11" s="11" t="s">
        <v>356</v>
      </c>
      <c r="LV11" s="8" t="s">
        <v>357</v>
      </c>
      <c r="LW11" s="8" t="s">
        <v>358</v>
      </c>
      <c r="LX11" s="8" t="s">
        <v>359</v>
      </c>
      <c r="LY11" s="8" t="s">
        <v>360</v>
      </c>
      <c r="LZ11" s="8" t="s">
        <v>361</v>
      </c>
      <c r="MA11" s="8" t="s">
        <v>362</v>
      </c>
      <c r="MB11" s="8" t="s">
        <v>363</v>
      </c>
      <c r="MC11" s="8" t="s">
        <v>364</v>
      </c>
      <c r="MD11" s="12" t="s">
        <v>365</v>
      </c>
      <c r="ME11" s="8" t="s">
        <v>366</v>
      </c>
      <c r="MF11" s="8" t="s">
        <v>367</v>
      </c>
      <c r="MG11" s="8" t="s">
        <v>368</v>
      </c>
      <c r="MH11" s="8" t="s">
        <v>369</v>
      </c>
      <c r="MI11" s="8" t="s">
        <v>370</v>
      </c>
      <c r="MJ11" t="s">
        <v>371</v>
      </c>
      <c r="MK11" t="s">
        <v>372</v>
      </c>
      <c r="ML11" t="s">
        <v>373</v>
      </c>
      <c r="MM11" s="2" t="s">
        <v>374</v>
      </c>
      <c r="MN11" t="s">
        <v>375</v>
      </c>
      <c r="MO11" t="s">
        <v>376</v>
      </c>
      <c r="MP11" t="s">
        <v>377</v>
      </c>
      <c r="MQ11" t="s">
        <v>378</v>
      </c>
      <c r="MR11" t="s">
        <v>379</v>
      </c>
      <c r="MS11" t="s">
        <v>380</v>
      </c>
      <c r="MT11" t="s">
        <v>381</v>
      </c>
      <c r="MU11" t="s">
        <v>382</v>
      </c>
      <c r="MV11" t="s">
        <v>383</v>
      </c>
      <c r="MW11" t="s">
        <v>384</v>
      </c>
      <c r="MX11" s="13" t="s">
        <v>385</v>
      </c>
      <c r="MY11" t="s">
        <v>386</v>
      </c>
      <c r="MZ11" t="s">
        <v>387</v>
      </c>
      <c r="NA11" t="s">
        <v>388</v>
      </c>
      <c r="NB11" t="s">
        <v>389</v>
      </c>
      <c r="NC11" t="s">
        <v>390</v>
      </c>
      <c r="ND11" t="s">
        <v>391</v>
      </c>
      <c r="NE11" t="s">
        <v>392</v>
      </c>
      <c r="NF11" t="s">
        <v>393</v>
      </c>
      <c r="NG11" t="s">
        <v>394</v>
      </c>
      <c r="NH11" t="s">
        <v>395</v>
      </c>
      <c r="NI11" t="s">
        <v>396</v>
      </c>
      <c r="NJ11" t="s">
        <v>397</v>
      </c>
      <c r="NK11" s="14" t="s">
        <v>398</v>
      </c>
      <c r="NL11" t="s">
        <v>399</v>
      </c>
      <c r="NM11" t="s">
        <v>400</v>
      </c>
      <c r="NN11" t="s">
        <v>401</v>
      </c>
      <c r="NO11" t="s">
        <v>402</v>
      </c>
      <c r="NP11" t="s">
        <v>403</v>
      </c>
      <c r="NQ11" t="s">
        <v>404</v>
      </c>
      <c r="NR11" t="s">
        <v>405</v>
      </c>
      <c r="NS11" t="s">
        <v>406</v>
      </c>
      <c r="NT11" t="s">
        <v>407</v>
      </c>
      <c r="NU11" t="s">
        <v>408</v>
      </c>
      <c r="NV11" t="s">
        <v>409</v>
      </c>
      <c r="NW11" t="s">
        <v>410</v>
      </c>
      <c r="NX11" t="s">
        <v>411</v>
      </c>
      <c r="NY11" t="s">
        <v>412</v>
      </c>
      <c r="NZ11" t="s">
        <v>413</v>
      </c>
      <c r="OA11" t="s">
        <v>414</v>
      </c>
      <c r="OB11" t="s">
        <v>415</v>
      </c>
      <c r="OC11" t="s">
        <v>416</v>
      </c>
      <c r="OD11" t="s">
        <v>417</v>
      </c>
      <c r="OE11" t="s">
        <v>418</v>
      </c>
      <c r="OF11" s="13" t="s">
        <v>419</v>
      </c>
      <c r="OG11" t="s">
        <v>420</v>
      </c>
      <c r="OH11" t="s">
        <v>421</v>
      </c>
      <c r="OI11" t="s">
        <v>422</v>
      </c>
      <c r="OJ11" t="s">
        <v>423</v>
      </c>
      <c r="OK11" t="s">
        <v>424</v>
      </c>
      <c r="OL11" t="s">
        <v>425</v>
      </c>
      <c r="OM11" t="s">
        <v>426</v>
      </c>
      <c r="ON11" t="s">
        <v>427</v>
      </c>
      <c r="OO11" t="s">
        <v>428</v>
      </c>
      <c r="OP11" t="s">
        <v>429</v>
      </c>
      <c r="OQ11" t="s">
        <v>430</v>
      </c>
      <c r="OR11" t="s">
        <v>431</v>
      </c>
      <c r="OS11" t="s">
        <v>432</v>
      </c>
      <c r="OT11" t="s">
        <v>433</v>
      </c>
      <c r="OU11" t="s">
        <v>434</v>
      </c>
      <c r="OV11" t="s">
        <v>435</v>
      </c>
      <c r="OW11" t="s">
        <v>436</v>
      </c>
      <c r="OX11" t="s">
        <v>437</v>
      </c>
      <c r="OY11" t="s">
        <v>438</v>
      </c>
      <c r="OZ11" t="s">
        <v>439</v>
      </c>
      <c r="PA11" t="s">
        <v>440</v>
      </c>
      <c r="PB11" t="s">
        <v>441</v>
      </c>
      <c r="PC11" t="s">
        <v>442</v>
      </c>
      <c r="PD11" t="s">
        <v>443</v>
      </c>
      <c r="PE11" t="s">
        <v>444</v>
      </c>
      <c r="PF11" s="14" t="s">
        <v>445</v>
      </c>
      <c r="PG11" t="s">
        <v>446</v>
      </c>
      <c r="PH11" s="15" t="s">
        <v>447</v>
      </c>
      <c r="PI11" t="s">
        <v>448</v>
      </c>
      <c r="PJ11" t="s">
        <v>449</v>
      </c>
      <c r="PK11" t="s">
        <v>450</v>
      </c>
      <c r="PL11" t="s">
        <v>451</v>
      </c>
      <c r="PM11" t="s">
        <v>452</v>
      </c>
      <c r="PN11" s="16" t="s">
        <v>453</v>
      </c>
      <c r="PO11" s="16" t="s">
        <v>454</v>
      </c>
      <c r="PP11" s="16" t="s">
        <v>455</v>
      </c>
      <c r="PQ11" s="16" t="s">
        <v>456</v>
      </c>
      <c r="PR11" s="16" t="s">
        <v>457</v>
      </c>
      <c r="PS11" t="s">
        <v>458</v>
      </c>
      <c r="PT11" t="s">
        <v>459</v>
      </c>
      <c r="PU11" t="s">
        <v>460</v>
      </c>
      <c r="PV11" t="s">
        <v>461</v>
      </c>
      <c r="PW11" t="s">
        <v>462</v>
      </c>
      <c r="PX11" t="s">
        <v>463</v>
      </c>
      <c r="PY11" t="s">
        <v>464</v>
      </c>
      <c r="PZ11" t="s">
        <v>465</v>
      </c>
      <c r="QA11" t="s">
        <v>466</v>
      </c>
      <c r="QB11" t="s">
        <v>467</v>
      </c>
      <c r="QC11" t="s">
        <v>468</v>
      </c>
      <c r="QD11" t="s">
        <v>469</v>
      </c>
      <c r="QE11" t="s">
        <v>470</v>
      </c>
      <c r="QF11" t="s">
        <v>471</v>
      </c>
      <c r="QG11" t="s">
        <v>472</v>
      </c>
      <c r="QH11" t="s">
        <v>473</v>
      </c>
      <c r="QI11" t="s">
        <v>474</v>
      </c>
      <c r="QJ11" t="s">
        <v>475</v>
      </c>
      <c r="QK11" t="s">
        <v>476</v>
      </c>
      <c r="QL11" t="s">
        <v>477</v>
      </c>
      <c r="QM11" s="13" t="s">
        <v>478</v>
      </c>
      <c r="QN11" t="s">
        <v>479</v>
      </c>
      <c r="QO11" t="s">
        <v>480</v>
      </c>
      <c r="QP11" t="s">
        <v>481</v>
      </c>
      <c r="QQ11" t="s">
        <v>482</v>
      </c>
      <c r="QR11" t="s">
        <v>483</v>
      </c>
      <c r="QS11" t="s">
        <v>484</v>
      </c>
      <c r="QT11" t="s">
        <v>485</v>
      </c>
      <c r="QU11" t="s">
        <v>486</v>
      </c>
      <c r="QV11" t="s">
        <v>487</v>
      </c>
      <c r="QW11" t="s">
        <v>488</v>
      </c>
      <c r="QX11" t="s">
        <v>489</v>
      </c>
      <c r="QY11" t="s">
        <v>490</v>
      </c>
      <c r="QZ11" t="s">
        <v>491</v>
      </c>
      <c r="RA11" t="s">
        <v>492</v>
      </c>
      <c r="RB11" t="s">
        <v>493</v>
      </c>
      <c r="RC11" t="s">
        <v>494</v>
      </c>
      <c r="RD11" t="s">
        <v>495</v>
      </c>
      <c r="RE11" s="13" t="s">
        <v>496</v>
      </c>
      <c r="RF11" t="s">
        <v>497</v>
      </c>
      <c r="RG11" t="s">
        <v>498</v>
      </c>
      <c r="RH11" t="s">
        <v>499</v>
      </c>
      <c r="RI11" t="s">
        <v>500</v>
      </c>
      <c r="RJ11" t="s">
        <v>501</v>
      </c>
      <c r="RK11" s="13" t="s">
        <v>502</v>
      </c>
      <c r="RL11" t="s">
        <v>503</v>
      </c>
      <c r="RM11" t="s">
        <v>504</v>
      </c>
      <c r="RN11" s="13" t="s">
        <v>505</v>
      </c>
      <c r="RO11" t="s">
        <v>506</v>
      </c>
      <c r="RP11" t="s">
        <v>507</v>
      </c>
      <c r="RQ11" t="s">
        <v>508</v>
      </c>
      <c r="RR11" t="s">
        <v>509</v>
      </c>
      <c r="RS11" t="s">
        <v>510</v>
      </c>
      <c r="RT11" t="s">
        <v>511</v>
      </c>
      <c r="RU11" t="s">
        <v>512</v>
      </c>
      <c r="RV11" t="s">
        <v>513</v>
      </c>
      <c r="RW11" t="s">
        <v>514</v>
      </c>
      <c r="RX11" t="s">
        <v>515</v>
      </c>
      <c r="RY11" t="s">
        <v>516</v>
      </c>
      <c r="RZ11" t="s">
        <v>517</v>
      </c>
      <c r="SA11" t="s">
        <v>518</v>
      </c>
      <c r="SB11" t="s">
        <v>519</v>
      </c>
      <c r="SC11" t="s">
        <v>520</v>
      </c>
      <c r="SD11" t="s">
        <v>521</v>
      </c>
      <c r="SE11" t="s">
        <v>522</v>
      </c>
      <c r="SF11" t="s">
        <v>523</v>
      </c>
      <c r="SG11" t="s">
        <v>524</v>
      </c>
      <c r="SH11" t="s">
        <v>525</v>
      </c>
      <c r="SI11" t="s">
        <v>526</v>
      </c>
      <c r="SJ11" t="s">
        <v>527</v>
      </c>
      <c r="SK11" t="s">
        <v>528</v>
      </c>
      <c r="SL11" t="s">
        <v>529</v>
      </c>
      <c r="SM11" t="s">
        <v>530</v>
      </c>
      <c r="SN11" s="13" t="s">
        <v>531</v>
      </c>
      <c r="SO11" s="17" t="s">
        <v>532</v>
      </c>
      <c r="SP11" s="17" t="s">
        <v>533</v>
      </c>
      <c r="SQ11" s="17" t="s">
        <v>534</v>
      </c>
      <c r="SR11" s="17" t="s">
        <v>535</v>
      </c>
      <c r="SS11" s="17" t="s">
        <v>536</v>
      </c>
      <c r="ST11" t="s">
        <v>537</v>
      </c>
      <c r="SU11" t="s">
        <v>538</v>
      </c>
      <c r="SV11" s="13" t="s">
        <v>539</v>
      </c>
      <c r="SW11" t="s">
        <v>540</v>
      </c>
      <c r="SX11" t="s">
        <v>541</v>
      </c>
      <c r="SY11" t="s">
        <v>542</v>
      </c>
      <c r="SZ11" t="s">
        <v>543</v>
      </c>
      <c r="TA11" s="13" t="s">
        <v>544</v>
      </c>
      <c r="TB11" t="s">
        <v>545</v>
      </c>
      <c r="TC11" t="s">
        <v>546</v>
      </c>
      <c r="TD11" t="s">
        <v>547</v>
      </c>
      <c r="TE11" t="s">
        <v>548</v>
      </c>
      <c r="TF11" t="s">
        <v>549</v>
      </c>
      <c r="TG11" t="s">
        <v>550</v>
      </c>
      <c r="TH11" t="s">
        <v>551</v>
      </c>
      <c r="TI11" t="s">
        <v>552</v>
      </c>
      <c r="TJ11" s="18" t="s">
        <v>553</v>
      </c>
      <c r="TK11" t="s">
        <v>554</v>
      </c>
      <c r="TL11" t="s">
        <v>555</v>
      </c>
      <c r="TM11" t="s">
        <v>556</v>
      </c>
      <c r="TN11" t="s">
        <v>557</v>
      </c>
      <c r="TO11" t="s">
        <v>558</v>
      </c>
      <c r="TP11" s="13" t="s">
        <v>559</v>
      </c>
      <c r="TQ11" t="s">
        <v>560</v>
      </c>
      <c r="TR11" t="s">
        <v>561</v>
      </c>
      <c r="TS11" t="s">
        <v>562</v>
      </c>
      <c r="TT11" t="s">
        <v>563</v>
      </c>
      <c r="TU11" t="s">
        <v>564</v>
      </c>
      <c r="TV11" t="s">
        <v>565</v>
      </c>
      <c r="TW11" t="s">
        <v>566</v>
      </c>
      <c r="TX11" t="s">
        <v>567</v>
      </c>
      <c r="TY11" t="s">
        <v>568</v>
      </c>
      <c r="TZ11" t="s">
        <v>569</v>
      </c>
      <c r="UA11" t="s">
        <v>570</v>
      </c>
      <c r="UB11" t="s">
        <v>571</v>
      </c>
      <c r="UC11" t="s">
        <v>572</v>
      </c>
      <c r="UD11" s="13" t="s">
        <v>573</v>
      </c>
      <c r="UE11" t="s">
        <v>574</v>
      </c>
      <c r="UF11" t="s">
        <v>575</v>
      </c>
      <c r="UG11" t="s">
        <v>576</v>
      </c>
      <c r="UH11" t="s">
        <v>577</v>
      </c>
      <c r="UI11" t="s">
        <v>578</v>
      </c>
      <c r="UJ11" t="s">
        <v>579</v>
      </c>
      <c r="UK11" t="s">
        <v>580</v>
      </c>
      <c r="UL11" t="s">
        <v>581</v>
      </c>
      <c r="UM11" t="s">
        <v>582</v>
      </c>
      <c r="UN11" t="s">
        <v>583</v>
      </c>
      <c r="UO11" t="s">
        <v>584</v>
      </c>
      <c r="UP11" t="s">
        <v>585</v>
      </c>
      <c r="UQ11" t="s">
        <v>586</v>
      </c>
      <c r="UR11" t="s">
        <v>587</v>
      </c>
      <c r="US11" t="s">
        <v>588</v>
      </c>
      <c r="UT11" t="s">
        <v>589</v>
      </c>
      <c r="UU11" t="s">
        <v>590</v>
      </c>
      <c r="UV11" t="s">
        <v>591</v>
      </c>
      <c r="UW11" t="s">
        <v>592</v>
      </c>
      <c r="UX11" t="s">
        <v>593</v>
      </c>
      <c r="UY11" t="s">
        <v>594</v>
      </c>
      <c r="UZ11" t="s">
        <v>595</v>
      </c>
      <c r="VA11" t="s">
        <v>596</v>
      </c>
      <c r="VB11" t="s">
        <v>597</v>
      </c>
      <c r="VC11" t="s">
        <v>598</v>
      </c>
      <c r="VD11" t="s">
        <v>599</v>
      </c>
      <c r="VE11" t="s">
        <v>600</v>
      </c>
      <c r="VF11" t="s">
        <v>601</v>
      </c>
      <c r="VG11" t="s">
        <v>602</v>
      </c>
      <c r="VH11" s="13" t="s">
        <v>603</v>
      </c>
      <c r="VI11" t="s">
        <v>604</v>
      </c>
      <c r="VJ11" t="s">
        <v>605</v>
      </c>
      <c r="VK11" t="s">
        <v>606</v>
      </c>
      <c r="VL11" s="13" t="s">
        <v>607</v>
      </c>
      <c r="VM11" s="13" t="s">
        <v>608</v>
      </c>
      <c r="VN11" t="s">
        <v>609</v>
      </c>
      <c r="VO11" t="s">
        <v>610</v>
      </c>
      <c r="VP11" t="s">
        <v>611</v>
      </c>
      <c r="VQ11" t="s">
        <v>612</v>
      </c>
      <c r="VR11" t="s">
        <v>613</v>
      </c>
      <c r="VS11" t="s">
        <v>614</v>
      </c>
      <c r="VT11" t="s">
        <v>615</v>
      </c>
      <c r="VU11" t="s">
        <v>616</v>
      </c>
      <c r="VV11" t="s">
        <v>617</v>
      </c>
      <c r="VW11" t="s">
        <v>618</v>
      </c>
      <c r="VX11" t="s">
        <v>619</v>
      </c>
      <c r="VY11" t="s">
        <v>620</v>
      </c>
      <c r="VZ11" t="s">
        <v>621</v>
      </c>
      <c r="WA11" t="s">
        <v>622</v>
      </c>
      <c r="WB11" t="s">
        <v>623</v>
      </c>
      <c r="WC11" t="s">
        <v>624</v>
      </c>
      <c r="WD11" s="13" t="s">
        <v>625</v>
      </c>
      <c r="WE11" s="13" t="s">
        <v>626</v>
      </c>
      <c r="WF11" t="s">
        <v>627</v>
      </c>
      <c r="WG11" s="13" t="s">
        <v>628</v>
      </c>
      <c r="WH11" s="13" t="s">
        <v>629</v>
      </c>
      <c r="WI11" s="13" t="s">
        <v>630</v>
      </c>
      <c r="WJ11" t="s">
        <v>631</v>
      </c>
      <c r="WK11" s="13" t="s">
        <v>632</v>
      </c>
      <c r="WL11" s="13" t="s">
        <v>633</v>
      </c>
      <c r="WM11" s="13" t="s">
        <v>634</v>
      </c>
      <c r="WN11" s="13" t="s">
        <v>635</v>
      </c>
      <c r="WO11" s="13" t="s">
        <v>636</v>
      </c>
      <c r="WP11" s="13" t="s">
        <v>637</v>
      </c>
      <c r="WQ11" s="13" t="s">
        <v>638</v>
      </c>
      <c r="WR11" s="13" t="s">
        <v>639</v>
      </c>
      <c r="WS11" s="13" t="s">
        <v>640</v>
      </c>
      <c r="WT11" s="13" t="s">
        <v>641</v>
      </c>
      <c r="WU11" t="s">
        <v>642</v>
      </c>
      <c r="WV11" t="s">
        <v>643</v>
      </c>
      <c r="WW11" t="s">
        <v>644</v>
      </c>
      <c r="WX11" t="s">
        <v>645</v>
      </c>
      <c r="WY11" t="s">
        <v>646</v>
      </c>
      <c r="WZ11" t="s">
        <v>647</v>
      </c>
      <c r="XA11" t="s">
        <v>648</v>
      </c>
      <c r="XB11" t="s">
        <v>649</v>
      </c>
      <c r="XC11" t="s">
        <v>650</v>
      </c>
      <c r="XD11" t="s">
        <v>651</v>
      </c>
      <c r="XE11" t="s">
        <v>652</v>
      </c>
      <c r="XF11" t="s">
        <v>653</v>
      </c>
      <c r="XG11" t="s">
        <v>654</v>
      </c>
      <c r="XH11" t="s">
        <v>655</v>
      </c>
      <c r="XI11" t="s">
        <v>656</v>
      </c>
      <c r="XJ11" t="s">
        <v>657</v>
      </c>
      <c r="XK11" t="s">
        <v>658</v>
      </c>
      <c r="XL11" t="s">
        <v>659</v>
      </c>
      <c r="XM11" t="s">
        <v>660</v>
      </c>
      <c r="XN11" t="s">
        <v>661</v>
      </c>
      <c r="XO11" t="s">
        <v>662</v>
      </c>
      <c r="XP11" t="s">
        <v>663</v>
      </c>
      <c r="XQ11" t="s">
        <v>664</v>
      </c>
      <c r="XR11" t="s">
        <v>665</v>
      </c>
      <c r="XS11" t="s">
        <v>666</v>
      </c>
      <c r="XT11" t="s">
        <v>667</v>
      </c>
      <c r="XU11" t="s">
        <v>668</v>
      </c>
      <c r="XV11" t="s">
        <v>669</v>
      </c>
      <c r="XW11" t="s">
        <v>670</v>
      </c>
      <c r="XX11" t="s">
        <v>671</v>
      </c>
      <c r="XY11" t="s">
        <v>672</v>
      </c>
      <c r="XZ11" t="s">
        <v>673</v>
      </c>
      <c r="YA11" s="13" t="s">
        <v>674</v>
      </c>
      <c r="YB11" t="s">
        <v>675</v>
      </c>
      <c r="YC11" t="s">
        <v>676</v>
      </c>
      <c r="YD11" t="s">
        <v>677</v>
      </c>
      <c r="YE11" s="13" t="s">
        <v>678</v>
      </c>
      <c r="YF11" s="13" t="s">
        <v>679</v>
      </c>
      <c r="YG11" s="13" t="s">
        <v>680</v>
      </c>
      <c r="YH11" s="13" t="s">
        <v>681</v>
      </c>
      <c r="YI11" s="13" t="s">
        <v>682</v>
      </c>
      <c r="YJ11" s="13" t="s">
        <v>683</v>
      </c>
      <c r="YK11" s="13" t="s">
        <v>684</v>
      </c>
      <c r="YL11" t="s">
        <v>685</v>
      </c>
      <c r="YM11" t="s">
        <v>686</v>
      </c>
      <c r="YN11" t="s">
        <v>687</v>
      </c>
      <c r="YO11" t="s">
        <v>688</v>
      </c>
      <c r="YP11" t="s">
        <v>689</v>
      </c>
      <c r="YQ11" t="s">
        <v>690</v>
      </c>
      <c r="YR11" s="13" t="s">
        <v>691</v>
      </c>
      <c r="YS11" t="s">
        <v>692</v>
      </c>
      <c r="YT11" t="s">
        <v>693</v>
      </c>
      <c r="YU11" s="13" t="s">
        <v>694</v>
      </c>
      <c r="YV11" s="13" t="s">
        <v>695</v>
      </c>
      <c r="YW11" t="s">
        <v>696</v>
      </c>
      <c r="YX11" s="13" t="s">
        <v>697</v>
      </c>
      <c r="YY11" s="13" t="s">
        <v>698</v>
      </c>
      <c r="YZ11" t="s">
        <v>699</v>
      </c>
      <c r="ZA11" t="s">
        <v>700</v>
      </c>
      <c r="ZB11" t="s">
        <v>701</v>
      </c>
      <c r="ZC11" s="18" t="s">
        <v>702</v>
      </c>
      <c r="ZD11" t="s">
        <v>703</v>
      </c>
      <c r="ZE11" t="s">
        <v>704</v>
      </c>
      <c r="ZF11" t="s">
        <v>705</v>
      </c>
      <c r="ZG11" s="13" t="s">
        <v>706</v>
      </c>
      <c r="ZH11" s="13" t="s">
        <v>707</v>
      </c>
      <c r="ZI11" t="s">
        <v>708</v>
      </c>
      <c r="ZJ11" t="s">
        <v>709</v>
      </c>
      <c r="ZK11" t="s">
        <v>710</v>
      </c>
      <c r="ZL11" t="s">
        <v>711</v>
      </c>
      <c r="ZM11" t="s">
        <v>712</v>
      </c>
      <c r="ZN11" t="s">
        <v>713</v>
      </c>
      <c r="ZO11" s="13" t="s">
        <v>714</v>
      </c>
      <c r="ZP11" t="s">
        <v>715</v>
      </c>
      <c r="ZQ11" t="s">
        <v>716</v>
      </c>
      <c r="ZR11" t="s">
        <v>717</v>
      </c>
      <c r="ZS11" t="s">
        <v>718</v>
      </c>
      <c r="ZT11" t="s">
        <v>719</v>
      </c>
      <c r="ZU11" t="s">
        <v>720</v>
      </c>
      <c r="ZV11" s="13" t="s">
        <v>721</v>
      </c>
      <c r="ZW11" s="13" t="s">
        <v>722</v>
      </c>
      <c r="ZX11" t="s">
        <v>723</v>
      </c>
      <c r="ZY11" t="s">
        <v>724</v>
      </c>
      <c r="ZZ11" t="s">
        <v>725</v>
      </c>
      <c r="AAA11" s="13" t="s">
        <v>726</v>
      </c>
      <c r="AAB11" t="s">
        <v>727</v>
      </c>
      <c r="AAC11" t="s">
        <v>728</v>
      </c>
      <c r="AAD11" t="s">
        <v>729</v>
      </c>
      <c r="AAE11" t="s">
        <v>730</v>
      </c>
      <c r="AAF11" s="13" t="s">
        <v>731</v>
      </c>
      <c r="AAG11" t="s">
        <v>732</v>
      </c>
      <c r="AAH11" t="s">
        <v>733</v>
      </c>
      <c r="AAI11" t="s">
        <v>734</v>
      </c>
      <c r="AAJ11" t="s">
        <v>735</v>
      </c>
      <c r="AAK11" s="13" t="s">
        <v>736</v>
      </c>
      <c r="AAL11" t="s">
        <v>737</v>
      </c>
      <c r="AAM11" t="s">
        <v>738</v>
      </c>
      <c r="AAN11" t="s">
        <v>739</v>
      </c>
      <c r="AAO11" s="13" t="s">
        <v>740</v>
      </c>
      <c r="AAP11" s="13" t="s">
        <v>741</v>
      </c>
      <c r="AAQ11" t="s">
        <v>742</v>
      </c>
      <c r="AAR11" t="s">
        <v>743</v>
      </c>
      <c r="AAS11" t="s">
        <v>744</v>
      </c>
      <c r="AAT11" t="s">
        <v>745</v>
      </c>
      <c r="AAU11" t="s">
        <v>746</v>
      </c>
      <c r="AAV11" t="s">
        <v>747</v>
      </c>
      <c r="AAW11" t="s">
        <v>748</v>
      </c>
      <c r="AAX11" t="s">
        <v>749</v>
      </c>
      <c r="AAY11" t="s">
        <v>750</v>
      </c>
      <c r="AAZ11" t="s">
        <v>751</v>
      </c>
      <c r="ABA11" t="s">
        <v>752</v>
      </c>
      <c r="ABB11" t="s">
        <v>753</v>
      </c>
      <c r="ABC11" t="s">
        <v>754</v>
      </c>
      <c r="ABD11" t="s">
        <v>755</v>
      </c>
      <c r="ABE11" t="s">
        <v>756</v>
      </c>
      <c r="ABF11" t="s">
        <v>757</v>
      </c>
      <c r="ABG11" t="s">
        <v>758</v>
      </c>
      <c r="ABH11" t="s">
        <v>759</v>
      </c>
      <c r="ABI11" t="s">
        <v>760</v>
      </c>
      <c r="ABJ11" t="s">
        <v>761</v>
      </c>
      <c r="ABK11" t="s">
        <v>762</v>
      </c>
      <c r="ABL11" t="s">
        <v>763</v>
      </c>
      <c r="ABM11" t="s">
        <v>764</v>
      </c>
      <c r="ABN11" s="13" t="s">
        <v>765</v>
      </c>
      <c r="ABO11" s="13" t="s">
        <v>766</v>
      </c>
      <c r="ABP11" t="s">
        <v>767</v>
      </c>
      <c r="ABQ11" t="s">
        <v>768</v>
      </c>
      <c r="ABR11" t="s">
        <v>769</v>
      </c>
      <c r="ABS11" s="13" t="s">
        <v>770</v>
      </c>
      <c r="ABT11" s="13" t="s">
        <v>771</v>
      </c>
      <c r="ABU11" s="13" t="s">
        <v>772</v>
      </c>
      <c r="ABV11" s="13" t="s">
        <v>773</v>
      </c>
      <c r="ABW11" s="13" t="s">
        <v>774</v>
      </c>
      <c r="ABX11" s="13" t="s">
        <v>775</v>
      </c>
      <c r="ABY11" t="s">
        <v>776</v>
      </c>
      <c r="ABZ11" t="s">
        <v>777</v>
      </c>
      <c r="ACA11" s="13" t="s">
        <v>778</v>
      </c>
      <c r="ACB11" s="13" t="s">
        <v>779</v>
      </c>
      <c r="ACC11" s="13" t="s">
        <v>780</v>
      </c>
      <c r="ACD11" s="13" t="s">
        <v>781</v>
      </c>
      <c r="ACE11" t="s">
        <v>782</v>
      </c>
      <c r="ACF11" t="s">
        <v>783</v>
      </c>
      <c r="ACG11" t="s">
        <v>784</v>
      </c>
      <c r="ACH11" s="13" t="s">
        <v>785</v>
      </c>
      <c r="ACI11" s="13" t="s">
        <v>786</v>
      </c>
      <c r="ACJ11" t="s">
        <v>787</v>
      </c>
      <c r="ACK11" t="s">
        <v>788</v>
      </c>
      <c r="ACL11" s="13" t="s">
        <v>789</v>
      </c>
      <c r="ACM11" t="s">
        <v>790</v>
      </c>
      <c r="ACN11" t="s">
        <v>791</v>
      </c>
      <c r="ACO11" t="s">
        <v>792</v>
      </c>
      <c r="ACP11" t="s">
        <v>793</v>
      </c>
      <c r="ACQ11" t="s">
        <v>794</v>
      </c>
      <c r="ACR11" t="s">
        <v>795</v>
      </c>
      <c r="ACS11" t="s">
        <v>796</v>
      </c>
      <c r="ACT11" t="s">
        <v>797</v>
      </c>
      <c r="ACU11" t="s">
        <v>798</v>
      </c>
      <c r="ACV11" s="13" t="s">
        <v>799</v>
      </c>
      <c r="ACW11" s="17" t="s">
        <v>800</v>
      </c>
      <c r="ACX11" s="17" t="s">
        <v>801</v>
      </c>
      <c r="ACY11" s="13" t="s">
        <v>802</v>
      </c>
      <c r="ACZ11" s="17" t="s">
        <v>803</v>
      </c>
      <c r="ADA11" s="17" t="s">
        <v>804</v>
      </c>
      <c r="ADB11" s="17" t="s">
        <v>805</v>
      </c>
      <c r="ADC11" s="17" t="s">
        <v>806</v>
      </c>
      <c r="ADD11" s="17" t="s">
        <v>807</v>
      </c>
      <c r="ADE11" s="17" t="s">
        <v>808</v>
      </c>
      <c r="ADF11" t="s">
        <v>809</v>
      </c>
      <c r="ADG11" t="s">
        <v>810</v>
      </c>
      <c r="ADH11" t="s">
        <v>811</v>
      </c>
      <c r="ADI11" t="s">
        <v>812</v>
      </c>
      <c r="ADJ11" t="s">
        <v>813</v>
      </c>
      <c r="ADK11" t="s">
        <v>814</v>
      </c>
      <c r="ADL11" t="s">
        <v>815</v>
      </c>
      <c r="ADM11" t="s">
        <v>816</v>
      </c>
      <c r="ADN11" s="17" t="s">
        <v>817</v>
      </c>
      <c r="ADO11" s="17" t="s">
        <v>818</v>
      </c>
      <c r="ADP11" s="17" t="s">
        <v>819</v>
      </c>
      <c r="ADQ11" s="17" t="s">
        <v>820</v>
      </c>
      <c r="ADR11" s="17" t="s">
        <v>821</v>
      </c>
      <c r="ADS11" s="17" t="s">
        <v>822</v>
      </c>
      <c r="ADT11" s="17" t="s">
        <v>823</v>
      </c>
      <c r="ADU11" s="17" t="s">
        <v>824</v>
      </c>
      <c r="ADV11" s="17" t="s">
        <v>825</v>
      </c>
      <c r="ADW11" s="17" t="s">
        <v>826</v>
      </c>
      <c r="ADX11" t="s">
        <v>827</v>
      </c>
      <c r="ADY11" t="s">
        <v>828</v>
      </c>
      <c r="ADZ11" t="s">
        <v>829</v>
      </c>
      <c r="AEA11" t="s">
        <v>830</v>
      </c>
      <c r="AEB11" t="s">
        <v>831</v>
      </c>
      <c r="AEC11" t="s">
        <v>832</v>
      </c>
      <c r="AED11" t="s">
        <v>833</v>
      </c>
      <c r="AEE11" t="s">
        <v>834</v>
      </c>
      <c r="AEF11" t="s">
        <v>835</v>
      </c>
      <c r="AEG11" t="s">
        <v>836</v>
      </c>
      <c r="AEH11" s="15" t="s">
        <v>837</v>
      </c>
      <c r="AEI11" t="s">
        <v>838</v>
      </c>
      <c r="AEJ11" t="s">
        <v>839</v>
      </c>
      <c r="AEK11" t="s">
        <v>840</v>
      </c>
      <c r="AEL11" s="13" t="s">
        <v>841</v>
      </c>
      <c r="AEM11" s="13" t="s">
        <v>842</v>
      </c>
      <c r="AEN11" s="13" t="s">
        <v>843</v>
      </c>
      <c r="AEO11" s="13" t="s">
        <v>844</v>
      </c>
      <c r="AEP11" s="13" t="s">
        <v>845</v>
      </c>
      <c r="AEQ11" s="13" t="s">
        <v>846</v>
      </c>
      <c r="AER11" s="13" t="s">
        <v>847</v>
      </c>
      <c r="AES11" s="17" t="s">
        <v>848</v>
      </c>
      <c r="AET11" s="17" t="s">
        <v>849</v>
      </c>
      <c r="AEU11" s="13" t="s">
        <v>850</v>
      </c>
      <c r="AEV11" s="13" t="s">
        <v>851</v>
      </c>
      <c r="AEW11" s="13" t="s">
        <v>852</v>
      </c>
      <c r="AEX11" s="13" t="s">
        <v>853</v>
      </c>
      <c r="AEY11" s="13" t="s">
        <v>854</v>
      </c>
      <c r="AEZ11" s="13" t="s">
        <v>855</v>
      </c>
      <c r="AFA11" t="s">
        <v>856</v>
      </c>
      <c r="AFB11" t="s">
        <v>857</v>
      </c>
      <c r="AFC11" t="s">
        <v>858</v>
      </c>
      <c r="AFD11" t="s">
        <v>859</v>
      </c>
      <c r="AFE11" t="s">
        <v>860</v>
      </c>
      <c r="AFF11" t="s">
        <v>861</v>
      </c>
      <c r="AFG11" t="s">
        <v>862</v>
      </c>
      <c r="AFH11" t="s">
        <v>863</v>
      </c>
      <c r="AFI11" t="s">
        <v>864</v>
      </c>
      <c r="AFJ11" t="s">
        <v>865</v>
      </c>
      <c r="AFK11" t="s">
        <v>866</v>
      </c>
      <c r="AFL11" t="s">
        <v>867</v>
      </c>
      <c r="AFM11" t="s">
        <v>868</v>
      </c>
      <c r="AFN11" t="s">
        <v>869</v>
      </c>
      <c r="AFO11" t="s">
        <v>870</v>
      </c>
      <c r="AFP11" t="s">
        <v>871</v>
      </c>
      <c r="AFQ11" t="s">
        <v>872</v>
      </c>
      <c r="AFR11" t="s">
        <v>873</v>
      </c>
      <c r="AFS11" t="s">
        <v>874</v>
      </c>
      <c r="AFT11" t="s">
        <v>875</v>
      </c>
      <c r="AFU11" t="s">
        <v>876</v>
      </c>
      <c r="AFV11" s="13" t="s">
        <v>877</v>
      </c>
      <c r="AFW11" t="s">
        <v>878</v>
      </c>
      <c r="AFX11" t="s">
        <v>879</v>
      </c>
      <c r="AFY11" t="s">
        <v>880</v>
      </c>
      <c r="AFZ11" t="s">
        <v>881</v>
      </c>
      <c r="AGA11" t="s">
        <v>882</v>
      </c>
      <c r="AGB11" t="s">
        <v>883</v>
      </c>
      <c r="AGC11" t="s">
        <v>884</v>
      </c>
      <c r="AGD11" t="s">
        <v>885</v>
      </c>
      <c r="AGE11" t="s">
        <v>886</v>
      </c>
      <c r="AGF11" t="s">
        <v>887</v>
      </c>
      <c r="AGG11" t="s">
        <v>888</v>
      </c>
      <c r="AGH11" t="s">
        <v>889</v>
      </c>
      <c r="AGI11" t="s">
        <v>890</v>
      </c>
      <c r="AGJ11" t="s">
        <v>891</v>
      </c>
      <c r="AGK11" s="13" t="s">
        <v>892</v>
      </c>
      <c r="AGL11" s="13" t="s">
        <v>893</v>
      </c>
      <c r="AGM11" s="13" t="s">
        <v>894</v>
      </c>
      <c r="AGN11" s="13" t="s">
        <v>895</v>
      </c>
      <c r="AGO11" s="13" t="s">
        <v>896</v>
      </c>
      <c r="AGP11" s="13" t="s">
        <v>897</v>
      </c>
      <c r="AGQ11" s="13" t="s">
        <v>898</v>
      </c>
      <c r="AGR11" s="13" t="s">
        <v>899</v>
      </c>
      <c r="AGS11" s="13" t="s">
        <v>900</v>
      </c>
      <c r="AGT11" t="s">
        <v>901</v>
      </c>
      <c r="AGU11" t="s">
        <v>902</v>
      </c>
      <c r="AGV11" t="s">
        <v>903</v>
      </c>
      <c r="AGW11" t="s">
        <v>904</v>
      </c>
      <c r="AGX11" s="13" t="s">
        <v>905</v>
      </c>
      <c r="AGY11" t="s">
        <v>906</v>
      </c>
      <c r="AGZ11" t="s">
        <v>907</v>
      </c>
      <c r="AHA11" t="s">
        <v>908</v>
      </c>
      <c r="AHB11" t="s">
        <v>909</v>
      </c>
      <c r="AHC11" t="s">
        <v>910</v>
      </c>
      <c r="AHD11" t="s">
        <v>911</v>
      </c>
      <c r="AHE11" t="s">
        <v>912</v>
      </c>
      <c r="AHF11" t="s">
        <v>913</v>
      </c>
      <c r="AHG11" t="s">
        <v>914</v>
      </c>
      <c r="AHH11" t="s">
        <v>915</v>
      </c>
      <c r="AHI11" t="s">
        <v>916</v>
      </c>
      <c r="AHJ11" t="s">
        <v>917</v>
      </c>
      <c r="AHK11" t="s">
        <v>918</v>
      </c>
      <c r="AHL11" t="s">
        <v>919</v>
      </c>
      <c r="AHM11" t="s">
        <v>920</v>
      </c>
      <c r="AHN11" t="s">
        <v>921</v>
      </c>
      <c r="AHO11" t="s">
        <v>922</v>
      </c>
      <c r="AHP11" t="s">
        <v>923</v>
      </c>
      <c r="AHQ11" t="s">
        <v>924</v>
      </c>
      <c r="AHR11" t="s">
        <v>925</v>
      </c>
      <c r="AHS11" t="s">
        <v>926</v>
      </c>
      <c r="AHT11" t="s">
        <v>927</v>
      </c>
      <c r="AHU11" t="s">
        <v>928</v>
      </c>
      <c r="AHV11" t="s">
        <v>929</v>
      </c>
      <c r="AHW11" t="s">
        <v>930</v>
      </c>
      <c r="AHX11" t="s">
        <v>931</v>
      </c>
      <c r="AHY11" t="s">
        <v>932</v>
      </c>
      <c r="AHZ11" t="s">
        <v>933</v>
      </c>
      <c r="AIA11" t="s">
        <v>934</v>
      </c>
      <c r="AIB11" t="s">
        <v>935</v>
      </c>
      <c r="AIC11" t="s">
        <v>936</v>
      </c>
      <c r="AID11" t="s">
        <v>937</v>
      </c>
      <c r="AIE11" t="s">
        <v>938</v>
      </c>
      <c r="AIF11" t="s">
        <v>939</v>
      </c>
      <c r="AIG11" t="s">
        <v>940</v>
      </c>
      <c r="AIH11" t="s">
        <v>941</v>
      </c>
      <c r="AII11" t="s">
        <v>942</v>
      </c>
      <c r="AIJ11" t="s">
        <v>943</v>
      </c>
      <c r="AIK11" t="s">
        <v>944</v>
      </c>
      <c r="AIL11" s="13" t="s">
        <v>945</v>
      </c>
      <c r="AIM11" s="13" t="s">
        <v>946</v>
      </c>
      <c r="AIN11" s="13" t="s">
        <v>947</v>
      </c>
      <c r="AIO11" s="13" t="s">
        <v>948</v>
      </c>
      <c r="AIP11" t="s">
        <v>949</v>
      </c>
      <c r="AIQ11" t="s">
        <v>950</v>
      </c>
      <c r="AIR11" s="2" t="s">
        <v>951</v>
      </c>
      <c r="AIS11" t="s">
        <v>952</v>
      </c>
      <c r="AIT11" t="s">
        <v>953</v>
      </c>
      <c r="AIU11" t="s">
        <v>954</v>
      </c>
      <c r="AIV11" t="s">
        <v>955</v>
      </c>
      <c r="AIW11" t="s">
        <v>956</v>
      </c>
      <c r="AIX11" t="s">
        <v>957</v>
      </c>
      <c r="AIY11" t="s">
        <v>958</v>
      </c>
      <c r="AIZ11" t="s">
        <v>959</v>
      </c>
      <c r="AJA11" t="s">
        <v>960</v>
      </c>
      <c r="AJB11" t="s">
        <v>961</v>
      </c>
      <c r="AJC11" t="s">
        <v>962</v>
      </c>
      <c r="AJD11" t="s">
        <v>963</v>
      </c>
      <c r="AJE11" t="s">
        <v>964</v>
      </c>
      <c r="AJF11" t="s">
        <v>965</v>
      </c>
      <c r="AJG11" t="s">
        <v>966</v>
      </c>
      <c r="AJH11" t="s">
        <v>967</v>
      </c>
      <c r="AJI11" t="s">
        <v>968</v>
      </c>
      <c r="AJJ11" t="s">
        <v>969</v>
      </c>
      <c r="AJK11" t="s">
        <v>970</v>
      </c>
      <c r="AJL11" s="8" t="s">
        <v>971</v>
      </c>
      <c r="AJM11" t="s">
        <v>972</v>
      </c>
      <c r="AJN11" t="s">
        <v>973</v>
      </c>
      <c r="AJO11" t="s">
        <v>974</v>
      </c>
      <c r="AJP11" t="s">
        <v>975</v>
      </c>
      <c r="AJQ11" t="s">
        <v>976</v>
      </c>
      <c r="AJR11" t="s">
        <v>977</v>
      </c>
      <c r="AJS11" t="s">
        <v>978</v>
      </c>
      <c r="AJT11" t="s">
        <v>979</v>
      </c>
      <c r="AJU11" t="s">
        <v>980</v>
      </c>
      <c r="AJV11" t="s">
        <v>981</v>
      </c>
      <c r="AJW11" t="s">
        <v>982</v>
      </c>
      <c r="AJX11" t="s">
        <v>983</v>
      </c>
      <c r="AJY11" t="s">
        <v>984</v>
      </c>
      <c r="AJZ11" t="s">
        <v>985</v>
      </c>
      <c r="AKA11" t="s">
        <v>986</v>
      </c>
      <c r="AKB11" t="s">
        <v>987</v>
      </c>
      <c r="AKC11" t="s">
        <v>988</v>
      </c>
      <c r="AKD11" t="s">
        <v>989</v>
      </c>
      <c r="AKE11" t="s">
        <v>990</v>
      </c>
      <c r="AKF11" t="s">
        <v>991</v>
      </c>
      <c r="AKG11" t="s">
        <v>992</v>
      </c>
      <c r="AKH11" t="s">
        <v>993</v>
      </c>
      <c r="AKI11" t="s">
        <v>994</v>
      </c>
      <c r="AKJ11" t="s">
        <v>995</v>
      </c>
      <c r="AKK11" t="s">
        <v>996</v>
      </c>
      <c r="AKL11" t="s">
        <v>997</v>
      </c>
      <c r="AKM11" t="s">
        <v>998</v>
      </c>
      <c r="AKN11" t="s">
        <v>999</v>
      </c>
      <c r="AKO11" t="s">
        <v>1000</v>
      </c>
      <c r="AKP11" t="s">
        <v>1001</v>
      </c>
      <c r="AKQ11" t="s">
        <v>1002</v>
      </c>
      <c r="AKR11" t="s">
        <v>1003</v>
      </c>
      <c r="AKS11" t="s">
        <v>1004</v>
      </c>
      <c r="AKT11" t="s">
        <v>1005</v>
      </c>
      <c r="AKU11" t="s">
        <v>1006</v>
      </c>
      <c r="AKV11" t="s">
        <v>1007</v>
      </c>
      <c r="AKW11" t="s">
        <v>1008</v>
      </c>
      <c r="AKX11" t="s">
        <v>1009</v>
      </c>
      <c r="AKY11" t="s">
        <v>1010</v>
      </c>
      <c r="AKZ11" t="s">
        <v>1011</v>
      </c>
      <c r="ALA11" t="s">
        <v>1012</v>
      </c>
      <c r="ALB11" t="s">
        <v>1013</v>
      </c>
      <c r="ALC11" t="s">
        <v>1014</v>
      </c>
      <c r="ALD11" t="s">
        <v>1015</v>
      </c>
      <c r="ALE11" t="s">
        <v>1016</v>
      </c>
      <c r="ALF11" t="s">
        <v>1017</v>
      </c>
      <c r="ALG11" t="s">
        <v>1018</v>
      </c>
      <c r="ALH11" t="s">
        <v>1019</v>
      </c>
      <c r="ALI11" t="s">
        <v>1020</v>
      </c>
      <c r="ALJ11" t="s">
        <v>1021</v>
      </c>
      <c r="ALK11" t="s">
        <v>1022</v>
      </c>
      <c r="ALL11" t="s">
        <v>1023</v>
      </c>
      <c r="ALM11" t="s">
        <v>1024</v>
      </c>
      <c r="ALN11" t="s">
        <v>1025</v>
      </c>
      <c r="ALO11" t="s">
        <v>1026</v>
      </c>
      <c r="ALP11" t="s">
        <v>1027</v>
      </c>
      <c r="ALQ11" t="s">
        <v>1028</v>
      </c>
      <c r="ALR11" t="s">
        <v>1029</v>
      </c>
      <c r="ALS11" t="s">
        <v>1030</v>
      </c>
      <c r="ALT11" t="s">
        <v>1031</v>
      </c>
      <c r="ALU11" t="s">
        <v>1032</v>
      </c>
      <c r="ALV11" t="s">
        <v>1033</v>
      </c>
      <c r="ALW11" t="s">
        <v>1034</v>
      </c>
      <c r="ALX11" t="s">
        <v>1035</v>
      </c>
      <c r="ALY11" t="s">
        <v>1036</v>
      </c>
      <c r="ALZ11" t="s">
        <v>1037</v>
      </c>
      <c r="AMA11" t="s">
        <v>1038</v>
      </c>
      <c r="AMB11" t="s">
        <v>1039</v>
      </c>
      <c r="AMC11" t="s">
        <v>1040</v>
      </c>
      <c r="AMD11" t="s">
        <v>1041</v>
      </c>
      <c r="AME11" s="13" t="s">
        <v>1042</v>
      </c>
      <c r="AMF11" s="13" t="s">
        <v>1043</v>
      </c>
      <c r="AMG11" s="13" t="s">
        <v>1044</v>
      </c>
      <c r="AMH11" s="13" t="s">
        <v>1045</v>
      </c>
      <c r="AMI11" s="13" t="s">
        <v>1046</v>
      </c>
      <c r="AMJ11" t="s">
        <v>1047</v>
      </c>
      <c r="AMK11" t="s">
        <v>1048</v>
      </c>
      <c r="AML11" t="s">
        <v>1049</v>
      </c>
      <c r="AMM11" t="s">
        <v>1050</v>
      </c>
      <c r="AMN11" t="s">
        <v>1051</v>
      </c>
      <c r="AMO11" t="s">
        <v>1052</v>
      </c>
      <c r="AMP11" t="s">
        <v>1053</v>
      </c>
      <c r="AMQ11" t="s">
        <v>1054</v>
      </c>
      <c r="AMR11" t="s">
        <v>1055</v>
      </c>
      <c r="AMS11" t="s">
        <v>1056</v>
      </c>
      <c r="AMT11" t="s">
        <v>1057</v>
      </c>
      <c r="AMU11" t="s">
        <v>1058</v>
      </c>
      <c r="AMV11" t="s">
        <v>1059</v>
      </c>
      <c r="AMW11" t="s">
        <v>1060</v>
      </c>
      <c r="AMX11" t="s">
        <v>1061</v>
      </c>
      <c r="AMY11" t="s">
        <v>1062</v>
      </c>
      <c r="AMZ11" t="s">
        <v>1063</v>
      </c>
      <c r="ANA11" t="s">
        <v>1064</v>
      </c>
      <c r="ANB11" t="s">
        <v>1065</v>
      </c>
      <c r="ANC11" t="s">
        <v>1066</v>
      </c>
      <c r="AND11" t="s">
        <v>1067</v>
      </c>
      <c r="ANE11" t="s">
        <v>1068</v>
      </c>
      <c r="ANF11" t="s">
        <v>1069</v>
      </c>
      <c r="ANG11" t="s">
        <v>1070</v>
      </c>
      <c r="ANH11" t="s">
        <v>1071</v>
      </c>
      <c r="ANI11" t="s">
        <v>1072</v>
      </c>
      <c r="ANJ11" t="s">
        <v>1073</v>
      </c>
      <c r="ANK11" t="s">
        <v>1074</v>
      </c>
      <c r="ANL11" t="s">
        <v>1075</v>
      </c>
      <c r="ANM11" t="s">
        <v>1076</v>
      </c>
      <c r="ANN11" t="s">
        <v>1077</v>
      </c>
      <c r="ANO11" t="s">
        <v>1078</v>
      </c>
      <c r="ANP11" t="s">
        <v>1079</v>
      </c>
      <c r="ANQ11" t="s">
        <v>1080</v>
      </c>
      <c r="ANR11" t="s">
        <v>1081</v>
      </c>
      <c r="ANS11" t="s">
        <v>1082</v>
      </c>
      <c r="ANT11" t="s">
        <v>1083</v>
      </c>
      <c r="ANU11" t="s">
        <v>1084</v>
      </c>
      <c r="ANV11" t="s">
        <v>1085</v>
      </c>
      <c r="ANW11" t="s">
        <v>1086</v>
      </c>
      <c r="ANX11" t="s">
        <v>1087</v>
      </c>
      <c r="ANY11" t="s">
        <v>1088</v>
      </c>
      <c r="ANZ11" t="s">
        <v>1089</v>
      </c>
      <c r="AOA11" t="s">
        <v>1090</v>
      </c>
      <c r="AOB11" t="s">
        <v>1091</v>
      </c>
      <c r="AOC11" t="s">
        <v>1092</v>
      </c>
      <c r="AOD11" t="s">
        <v>1093</v>
      </c>
      <c r="AOE11" t="s">
        <v>1094</v>
      </c>
      <c r="AOF11" t="s">
        <v>1095</v>
      </c>
      <c r="AOG11" t="s">
        <v>1096</v>
      </c>
      <c r="AOH11" t="s">
        <v>1097</v>
      </c>
      <c r="AOI11" t="s">
        <v>1098</v>
      </c>
      <c r="AOJ11" t="s">
        <v>1099</v>
      </c>
      <c r="AOK11" t="s">
        <v>1100</v>
      </c>
      <c r="AOL11" t="s">
        <v>1101</v>
      </c>
      <c r="AOM11" t="s">
        <v>1102</v>
      </c>
      <c r="AON11" t="s">
        <v>1103</v>
      </c>
      <c r="AOO11" t="s">
        <v>1104</v>
      </c>
      <c r="AOP11" t="s">
        <v>1105</v>
      </c>
      <c r="AOQ11" t="s">
        <v>1106</v>
      </c>
      <c r="AOR11" t="s">
        <v>1107</v>
      </c>
      <c r="AOS11" t="s">
        <v>1108</v>
      </c>
      <c r="AOT11" t="s">
        <v>1109</v>
      </c>
      <c r="AOU11" t="s">
        <v>1110</v>
      </c>
      <c r="AOV11" t="s">
        <v>1111</v>
      </c>
      <c r="AOW11" t="s">
        <v>1112</v>
      </c>
      <c r="AOX11" t="s">
        <v>1113</v>
      </c>
      <c r="AOY11" t="s">
        <v>1114</v>
      </c>
      <c r="AOZ11" t="s">
        <v>1115</v>
      </c>
      <c r="APA11" t="s">
        <v>1116</v>
      </c>
      <c r="APB11" t="s">
        <v>1117</v>
      </c>
      <c r="APC11" t="s">
        <v>1118</v>
      </c>
      <c r="APD11" t="s">
        <v>1119</v>
      </c>
      <c r="APE11" t="s">
        <v>1120</v>
      </c>
      <c r="APF11" t="s">
        <v>1121</v>
      </c>
      <c r="APG11" t="s">
        <v>1122</v>
      </c>
      <c r="APH11" t="s">
        <v>1123</v>
      </c>
      <c r="API11" t="s">
        <v>1124</v>
      </c>
      <c r="APJ11" t="s">
        <v>1125</v>
      </c>
      <c r="APK11" t="s">
        <v>1126</v>
      </c>
      <c r="APL11" t="s">
        <v>1127</v>
      </c>
      <c r="APM11" t="s">
        <v>1128</v>
      </c>
      <c r="APN11" t="s">
        <v>1129</v>
      </c>
      <c r="APO11" t="s">
        <v>1130</v>
      </c>
      <c r="APP11" t="s">
        <v>1131</v>
      </c>
      <c r="APQ11" t="s">
        <v>1132</v>
      </c>
      <c r="APR11" t="s">
        <v>1133</v>
      </c>
      <c r="APS11" t="s">
        <v>1134</v>
      </c>
      <c r="APT11" t="s">
        <v>1135</v>
      </c>
      <c r="APU11" t="s">
        <v>1136</v>
      </c>
      <c r="APV11" t="s">
        <v>1137</v>
      </c>
      <c r="APW11" t="s">
        <v>1138</v>
      </c>
      <c r="APX11" t="s">
        <v>1139</v>
      </c>
      <c r="APY11" t="s">
        <v>1140</v>
      </c>
      <c r="APZ11" t="s">
        <v>1141</v>
      </c>
      <c r="AQA11" t="s">
        <v>1142</v>
      </c>
      <c r="AQB11" t="s">
        <v>1143</v>
      </c>
      <c r="AQC11" t="s">
        <v>1144</v>
      </c>
      <c r="AQD11" t="s">
        <v>1145</v>
      </c>
      <c r="AQE11" t="s">
        <v>1146</v>
      </c>
      <c r="AQF11" t="s">
        <v>1147</v>
      </c>
      <c r="AQG11" t="s">
        <v>1148</v>
      </c>
      <c r="AQH11" t="s">
        <v>1149</v>
      </c>
      <c r="AQI11" t="s">
        <v>1150</v>
      </c>
      <c r="AQJ11" t="s">
        <v>1151</v>
      </c>
      <c r="AQK11" t="s">
        <v>1152</v>
      </c>
      <c r="AQL11" t="s">
        <v>1153</v>
      </c>
      <c r="AQM11" t="s">
        <v>1154</v>
      </c>
      <c r="AQN11" t="s">
        <v>1155</v>
      </c>
      <c r="AQO11" t="s">
        <v>1156</v>
      </c>
      <c r="AQP11" t="s">
        <v>1157</v>
      </c>
      <c r="AQQ11" t="s">
        <v>1158</v>
      </c>
      <c r="AQR11" t="s">
        <v>1159</v>
      </c>
      <c r="AQS11" t="s">
        <v>1160</v>
      </c>
      <c r="AQT11" t="s">
        <v>1161</v>
      </c>
      <c r="AQU11" t="s">
        <v>1162</v>
      </c>
      <c r="AQV11" t="s">
        <v>1163</v>
      </c>
      <c r="AQW11" t="s">
        <v>1164</v>
      </c>
      <c r="AQX11" t="s">
        <v>1165</v>
      </c>
      <c r="AQY11" t="s">
        <v>1166</v>
      </c>
      <c r="AQZ11" t="s">
        <v>1167</v>
      </c>
      <c r="ARA11" t="s">
        <v>1168</v>
      </c>
      <c r="ARB11" t="s">
        <v>1169</v>
      </c>
      <c r="ARC11" t="s">
        <v>1170</v>
      </c>
      <c r="ARD11" t="s">
        <v>1171</v>
      </c>
      <c r="ARE11" t="s">
        <v>1172</v>
      </c>
      <c r="ARF11" t="s">
        <v>1173</v>
      </c>
      <c r="ARG11" t="s">
        <v>1174</v>
      </c>
      <c r="ARH11" t="s">
        <v>1175</v>
      </c>
      <c r="ARI11" t="s">
        <v>1176</v>
      </c>
      <c r="ARJ11" t="s">
        <v>1177</v>
      </c>
      <c r="ARK11" t="s">
        <v>1178</v>
      </c>
      <c r="ARL11" t="s">
        <v>1179</v>
      </c>
      <c r="ARM11" t="s">
        <v>1180</v>
      </c>
      <c r="ARN11" t="s">
        <v>1181</v>
      </c>
      <c r="ARO11" t="s">
        <v>1182</v>
      </c>
      <c r="ARP11" t="s">
        <v>1183</v>
      </c>
      <c r="ARQ11" t="s">
        <v>1184</v>
      </c>
      <c r="ARR11" t="s">
        <v>1185</v>
      </c>
      <c r="ARS11" t="s">
        <v>1186</v>
      </c>
      <c r="ART11" t="s">
        <v>1187</v>
      </c>
      <c r="ARU11" t="s">
        <v>1188</v>
      </c>
      <c r="ARV11" t="s">
        <v>1189</v>
      </c>
      <c r="ARW11" t="s">
        <v>1190</v>
      </c>
      <c r="ARX11" t="s">
        <v>1191</v>
      </c>
      <c r="ARY11" t="s">
        <v>1192</v>
      </c>
      <c r="ARZ11" t="s">
        <v>1193</v>
      </c>
      <c r="ASA11" t="s">
        <v>1194</v>
      </c>
      <c r="ASB11" t="s">
        <v>1195</v>
      </c>
      <c r="ASC11" t="s">
        <v>1196</v>
      </c>
      <c r="ASD11" t="s">
        <v>1197</v>
      </c>
      <c r="ASE11" t="s">
        <v>1198</v>
      </c>
      <c r="ASF11" t="s">
        <v>1199</v>
      </c>
      <c r="ASG11" t="s">
        <v>1200</v>
      </c>
      <c r="ASH11" t="s">
        <v>1201</v>
      </c>
      <c r="ASI11" t="s">
        <v>1202</v>
      </c>
      <c r="ASJ11" t="s">
        <v>1203</v>
      </c>
      <c r="ASK11" t="s">
        <v>1204</v>
      </c>
      <c r="ASL11" t="s">
        <v>1205</v>
      </c>
      <c r="ASM11" t="s">
        <v>1206</v>
      </c>
      <c r="ASN11" t="s">
        <v>1207</v>
      </c>
      <c r="ASO11" t="s">
        <v>1208</v>
      </c>
      <c r="ASP11" t="s">
        <v>1209</v>
      </c>
      <c r="ASQ11" t="s">
        <v>1210</v>
      </c>
      <c r="ASR11" t="s">
        <v>1211</v>
      </c>
      <c r="ASS11" t="s">
        <v>1212</v>
      </c>
      <c r="AST11" t="s">
        <v>1213</v>
      </c>
      <c r="ASU11" t="s">
        <v>1214</v>
      </c>
      <c r="ASV11" t="s">
        <v>1215</v>
      </c>
      <c r="ASW11" t="s">
        <v>1216</v>
      </c>
      <c r="ASX11" t="s">
        <v>1217</v>
      </c>
      <c r="ASY11" t="s">
        <v>1218</v>
      </c>
      <c r="ASZ11" t="s">
        <v>1219</v>
      </c>
      <c r="ATA11" t="s">
        <v>1220</v>
      </c>
      <c r="ATB11" t="s">
        <v>1221</v>
      </c>
      <c r="ATC11" t="s">
        <v>1222</v>
      </c>
      <c r="ATD11" t="s">
        <v>1223</v>
      </c>
      <c r="ATE11" t="s">
        <v>1224</v>
      </c>
      <c r="ATF11" t="s">
        <v>1225</v>
      </c>
      <c r="ATG11" t="s">
        <v>1226</v>
      </c>
      <c r="ATH11" t="s">
        <v>1227</v>
      </c>
      <c r="ATI11" t="s">
        <v>1228</v>
      </c>
      <c r="ATJ11" t="s">
        <v>1229</v>
      </c>
      <c r="ATK11" t="s">
        <v>1230</v>
      </c>
      <c r="ATL11" t="s">
        <v>1231</v>
      </c>
      <c r="ATM11" t="s">
        <v>1232</v>
      </c>
      <c r="ATN11" t="s">
        <v>1233</v>
      </c>
      <c r="ATO11" t="s">
        <v>1234</v>
      </c>
      <c r="ATP11" t="s">
        <v>1235</v>
      </c>
      <c r="ATQ11" t="s">
        <v>1236</v>
      </c>
    </row>
    <row r="12" spans="1:1213" ht="14.25" customHeight="1" x14ac:dyDescent="0.25">
      <c r="A12" s="19" t="s">
        <v>1237</v>
      </c>
      <c r="B12" s="19" t="s">
        <v>1237</v>
      </c>
      <c r="C12" s="19" t="s">
        <v>1237</v>
      </c>
      <c r="D12" s="20" t="s">
        <v>1238</v>
      </c>
      <c r="E12" s="20" t="s">
        <v>1239</v>
      </c>
      <c r="F12" s="21" t="s">
        <v>1240</v>
      </c>
      <c r="G12" s="21" t="s">
        <v>30</v>
      </c>
      <c r="H12" s="21" t="s">
        <v>31</v>
      </c>
      <c r="I12" s="21" t="s">
        <v>32</v>
      </c>
      <c r="J12" s="21" t="s">
        <v>33</v>
      </c>
      <c r="K12" s="21" t="s">
        <v>34</v>
      </c>
      <c r="L12" s="21" t="s">
        <v>35</v>
      </c>
      <c r="M12" s="21" t="s">
        <v>36</v>
      </c>
      <c r="N12" s="21" t="s">
        <v>37</v>
      </c>
      <c r="O12" s="21" t="s">
        <v>38</v>
      </c>
      <c r="P12" s="21" t="s">
        <v>39</v>
      </c>
      <c r="Q12" s="21" t="s">
        <v>40</v>
      </c>
      <c r="R12" s="21" t="s">
        <v>41</v>
      </c>
      <c r="S12" s="21" t="s">
        <v>42</v>
      </c>
      <c r="T12" s="21" t="s">
        <v>43</v>
      </c>
      <c r="U12" s="21" t="s">
        <v>44</v>
      </c>
      <c r="V12" s="21" t="s">
        <v>45</v>
      </c>
      <c r="W12" s="20" t="s">
        <v>46</v>
      </c>
      <c r="X12" s="20" t="s">
        <v>1241</v>
      </c>
      <c r="Y12" s="20" t="s">
        <v>1242</v>
      </c>
      <c r="Z12" s="22" t="s">
        <v>49</v>
      </c>
      <c r="AA12" s="22" t="s">
        <v>50</v>
      </c>
      <c r="AB12" s="22" t="s">
        <v>51</v>
      </c>
      <c r="AC12" s="22" t="s">
        <v>52</v>
      </c>
      <c r="AD12" s="22" t="s">
        <v>53</v>
      </c>
      <c r="AE12" s="22" t="s">
        <v>1243</v>
      </c>
      <c r="AF12" s="22" t="s">
        <v>1244</v>
      </c>
      <c r="AG12" s="22" t="s">
        <v>1245</v>
      </c>
      <c r="AH12" s="20" t="s">
        <v>1246</v>
      </c>
      <c r="AI12" s="22" t="s">
        <v>1247</v>
      </c>
      <c r="AJ12" s="22" t="s">
        <v>1248</v>
      </c>
      <c r="AK12" s="22" t="s">
        <v>1249</v>
      </c>
      <c r="AL12" s="22" t="s">
        <v>1250</v>
      </c>
      <c r="AM12" s="22" t="s">
        <v>1251</v>
      </c>
      <c r="AN12" s="22" t="s">
        <v>1252</v>
      </c>
      <c r="AO12" s="22" t="s">
        <v>1253</v>
      </c>
      <c r="AP12" s="22" t="s">
        <v>1254</v>
      </c>
      <c r="AQ12" s="22" t="s">
        <v>1255</v>
      </c>
      <c r="AR12" s="22" t="s">
        <v>1256</v>
      </c>
      <c r="AS12" s="22" t="s">
        <v>1257</v>
      </c>
      <c r="AT12" s="22" t="s">
        <v>1258</v>
      </c>
      <c r="AU12" s="22" t="s">
        <v>1259</v>
      </c>
      <c r="AV12" s="22" t="s">
        <v>1260</v>
      </c>
      <c r="AW12" s="22" t="s">
        <v>1261</v>
      </c>
      <c r="AX12" s="22" t="s">
        <v>1262</v>
      </c>
      <c r="AY12" s="22" t="s">
        <v>1263</v>
      </c>
      <c r="AZ12" s="22" t="s">
        <v>1264</v>
      </c>
      <c r="BA12" s="22" t="s">
        <v>1265</v>
      </c>
      <c r="BB12" s="22" t="s">
        <v>1266</v>
      </c>
      <c r="BC12" s="22" t="s">
        <v>1267</v>
      </c>
      <c r="BD12" s="22" t="s">
        <v>1268</v>
      </c>
      <c r="BE12" s="22" t="s">
        <v>1269</v>
      </c>
      <c r="BF12" s="22" t="s">
        <v>1270</v>
      </c>
      <c r="BG12" s="22" t="s">
        <v>1271</v>
      </c>
      <c r="BH12" s="22" t="s">
        <v>1272</v>
      </c>
      <c r="BI12" s="22" t="s">
        <v>1273</v>
      </c>
      <c r="BJ12" s="22" t="s">
        <v>1274</v>
      </c>
      <c r="BK12" s="22" t="s">
        <v>1275</v>
      </c>
      <c r="BL12" s="22" t="s">
        <v>1276</v>
      </c>
      <c r="BM12" s="22" t="s">
        <v>1277</v>
      </c>
      <c r="BN12" s="22" t="s">
        <v>1278</v>
      </c>
      <c r="BO12" s="22" t="s">
        <v>1279</v>
      </c>
      <c r="BP12" s="22" t="s">
        <v>1280</v>
      </c>
      <c r="BQ12" s="22" t="s">
        <v>1281</v>
      </c>
      <c r="BR12" s="22" t="s">
        <v>1282</v>
      </c>
      <c r="BS12" s="22" t="s">
        <v>1283</v>
      </c>
      <c r="BT12" s="22" t="s">
        <v>1284</v>
      </c>
      <c r="BU12" s="22" t="s">
        <v>1285</v>
      </c>
      <c r="BV12" s="22" t="s">
        <v>1286</v>
      </c>
      <c r="BW12" s="22" t="s">
        <v>1287</v>
      </c>
      <c r="BX12" s="22" t="s">
        <v>1288</v>
      </c>
      <c r="BY12" s="22" t="s">
        <v>1289</v>
      </c>
      <c r="BZ12" s="22" t="s">
        <v>1290</v>
      </c>
      <c r="CA12" s="22" t="s">
        <v>1291</v>
      </c>
      <c r="CB12" s="22" t="s">
        <v>1292</v>
      </c>
      <c r="CC12" s="22" t="s">
        <v>1293</v>
      </c>
      <c r="CD12" s="22" t="s">
        <v>1294</v>
      </c>
      <c r="CE12" s="22" t="s">
        <v>1295</v>
      </c>
      <c r="CF12" s="22" t="s">
        <v>1296</v>
      </c>
      <c r="CG12" s="22" t="s">
        <v>1297</v>
      </c>
      <c r="CH12" s="22" t="s">
        <v>1298</v>
      </c>
      <c r="CI12" s="22" t="s">
        <v>1299</v>
      </c>
      <c r="CJ12" s="22" t="s">
        <v>1300</v>
      </c>
      <c r="CK12" s="22" t="s">
        <v>1301</v>
      </c>
      <c r="CL12" s="22" t="s">
        <v>1302</v>
      </c>
      <c r="CM12" s="22" t="s">
        <v>1303</v>
      </c>
      <c r="CN12" s="22" t="s">
        <v>1304</v>
      </c>
      <c r="CO12" s="22" t="s">
        <v>1305</v>
      </c>
      <c r="CP12" s="22" t="s">
        <v>1306</v>
      </c>
      <c r="CQ12" s="22" t="s">
        <v>1307</v>
      </c>
      <c r="CR12" s="22" t="s">
        <v>1308</v>
      </c>
      <c r="CS12" s="22" t="s">
        <v>1309</v>
      </c>
      <c r="CT12" s="22" t="s">
        <v>1310</v>
      </c>
      <c r="CU12" s="22" t="s">
        <v>1311</v>
      </c>
      <c r="CV12" s="22" t="s">
        <v>1312</v>
      </c>
      <c r="CW12" s="22" t="s">
        <v>1313</v>
      </c>
      <c r="CX12" s="22" t="s">
        <v>1314</v>
      </c>
      <c r="CY12" s="22" t="s">
        <v>1315</v>
      </c>
      <c r="CZ12" s="22" t="s">
        <v>1316</v>
      </c>
      <c r="DA12" s="22" t="s">
        <v>1317</v>
      </c>
      <c r="DB12" s="22" t="s">
        <v>1318</v>
      </c>
      <c r="DC12" s="22" t="s">
        <v>1319</v>
      </c>
      <c r="DD12" s="22" t="s">
        <v>1320</v>
      </c>
      <c r="DE12" s="22" t="s">
        <v>1321</v>
      </c>
      <c r="DF12" s="22" t="s">
        <v>1322</v>
      </c>
      <c r="DG12" s="22" t="s">
        <v>1323</v>
      </c>
      <c r="DH12" s="22" t="s">
        <v>1324</v>
      </c>
      <c r="DI12" s="22" t="s">
        <v>1325</v>
      </c>
      <c r="DJ12" s="22" t="s">
        <v>1326</v>
      </c>
      <c r="DK12" s="22" t="s">
        <v>1327</v>
      </c>
      <c r="DL12" s="22" t="s">
        <v>1328</v>
      </c>
      <c r="DM12" s="22" t="s">
        <v>1329</v>
      </c>
      <c r="DN12" s="22" t="s">
        <v>1330</v>
      </c>
      <c r="DO12" s="22" t="s">
        <v>1331</v>
      </c>
      <c r="DP12" s="22" t="s">
        <v>1332</v>
      </c>
      <c r="DQ12" s="22" t="s">
        <v>1333</v>
      </c>
      <c r="DR12" s="22" t="s">
        <v>1334</v>
      </c>
      <c r="DS12" s="22" t="s">
        <v>1335</v>
      </c>
      <c r="DT12" s="22" t="s">
        <v>1336</v>
      </c>
      <c r="DU12" s="22" t="s">
        <v>1337</v>
      </c>
      <c r="DV12" s="22" t="s">
        <v>1338</v>
      </c>
      <c r="DW12" s="22" t="s">
        <v>1339</v>
      </c>
      <c r="DX12" s="22" t="s">
        <v>1340</v>
      </c>
      <c r="DY12" s="22" t="s">
        <v>1341</v>
      </c>
      <c r="DZ12" s="22" t="s">
        <v>1342</v>
      </c>
      <c r="EA12" s="22" t="s">
        <v>1343</v>
      </c>
      <c r="EB12" s="22" t="s">
        <v>1344</v>
      </c>
      <c r="EC12" s="22" t="s">
        <v>1345</v>
      </c>
      <c r="ED12" s="22" t="s">
        <v>1346</v>
      </c>
      <c r="EE12" s="22" t="s">
        <v>1347</v>
      </c>
      <c r="EF12" s="22" t="s">
        <v>1348</v>
      </c>
      <c r="EG12" s="22" t="s">
        <v>1349</v>
      </c>
      <c r="EH12" s="23" t="s">
        <v>1350</v>
      </c>
      <c r="EI12" s="22" t="s">
        <v>1351</v>
      </c>
      <c r="EJ12" s="22" t="s">
        <v>1352</v>
      </c>
      <c r="EK12" s="22" t="s">
        <v>1353</v>
      </c>
      <c r="EL12" s="22" t="s">
        <v>1354</v>
      </c>
      <c r="EM12" s="22" t="s">
        <v>1355</v>
      </c>
      <c r="EN12" s="22" t="s">
        <v>1356</v>
      </c>
      <c r="EO12" s="22" t="s">
        <v>1357</v>
      </c>
      <c r="EP12" s="22" t="s">
        <v>1358</v>
      </c>
      <c r="EQ12" s="22" t="s">
        <v>1359</v>
      </c>
      <c r="ER12" s="22" t="s">
        <v>1360</v>
      </c>
      <c r="ES12" s="22" t="s">
        <v>1361</v>
      </c>
      <c r="ET12" s="22" t="s">
        <v>1362</v>
      </c>
      <c r="EU12" s="22" t="s">
        <v>1363</v>
      </c>
      <c r="EV12" s="22" t="s">
        <v>1364</v>
      </c>
      <c r="EW12" s="22" t="s">
        <v>1365</v>
      </c>
      <c r="EX12" s="22" t="s">
        <v>1366</v>
      </c>
      <c r="EY12" s="22" t="s">
        <v>1367</v>
      </c>
      <c r="EZ12" s="22" t="s">
        <v>1368</v>
      </c>
      <c r="FA12" s="22" t="s">
        <v>1369</v>
      </c>
      <c r="FB12" s="22" t="s">
        <v>1370</v>
      </c>
      <c r="FC12" s="22" t="s">
        <v>1371</v>
      </c>
      <c r="FD12" s="22" t="s">
        <v>1372</v>
      </c>
      <c r="FE12" s="22" t="s">
        <v>1373</v>
      </c>
      <c r="FF12" s="22" t="s">
        <v>1374</v>
      </c>
      <c r="FG12" s="22" t="s">
        <v>1375</v>
      </c>
      <c r="FH12" s="22" t="s">
        <v>1376</v>
      </c>
      <c r="FI12" s="22" t="s">
        <v>1377</v>
      </c>
      <c r="FJ12" s="22" t="s">
        <v>1378</v>
      </c>
      <c r="FK12" s="22" t="s">
        <v>1379</v>
      </c>
      <c r="FL12" s="22" t="s">
        <v>1380</v>
      </c>
      <c r="FM12" s="22" t="s">
        <v>1381</v>
      </c>
      <c r="FN12" s="22" t="s">
        <v>1382</v>
      </c>
      <c r="FO12" s="22" t="s">
        <v>1383</v>
      </c>
      <c r="FP12" s="22" t="s">
        <v>1384</v>
      </c>
      <c r="FQ12" s="22" t="s">
        <v>1385</v>
      </c>
      <c r="FR12" s="22" t="s">
        <v>1386</v>
      </c>
      <c r="FS12" s="22" t="s">
        <v>1387</v>
      </c>
      <c r="FT12" s="22" t="s">
        <v>1388</v>
      </c>
      <c r="FU12" s="22" t="s">
        <v>1389</v>
      </c>
      <c r="FV12" s="22" t="s">
        <v>1390</v>
      </c>
      <c r="FW12" s="22" t="s">
        <v>1391</v>
      </c>
      <c r="FX12" s="22" t="s">
        <v>1392</v>
      </c>
      <c r="FY12" s="22" t="s">
        <v>1393</v>
      </c>
      <c r="FZ12" s="22" t="s">
        <v>1394</v>
      </c>
      <c r="GA12" s="22" t="s">
        <v>1395</v>
      </c>
      <c r="GB12" s="22" t="s">
        <v>1396</v>
      </c>
      <c r="GC12" s="22" t="s">
        <v>1397</v>
      </c>
      <c r="GD12" s="22" t="s">
        <v>1398</v>
      </c>
      <c r="GE12" s="22" t="s">
        <v>1399</v>
      </c>
      <c r="GF12" s="22" t="s">
        <v>1400</v>
      </c>
      <c r="GG12" s="22" t="s">
        <v>1401</v>
      </c>
      <c r="GH12" s="22" t="s">
        <v>1402</v>
      </c>
      <c r="GI12" s="22" t="s">
        <v>1403</v>
      </c>
      <c r="GJ12" s="22" t="s">
        <v>1404</v>
      </c>
      <c r="GK12" s="22" t="s">
        <v>1405</v>
      </c>
      <c r="GL12" s="22" t="s">
        <v>1406</v>
      </c>
      <c r="GM12" s="22" t="s">
        <v>1407</v>
      </c>
      <c r="GN12" s="22" t="s">
        <v>1408</v>
      </c>
      <c r="GO12" s="22" t="s">
        <v>1409</v>
      </c>
      <c r="GP12" s="22" t="s">
        <v>1410</v>
      </c>
      <c r="GQ12" s="22" t="s">
        <v>1411</v>
      </c>
      <c r="GR12" s="22" t="s">
        <v>1412</v>
      </c>
      <c r="GS12" s="22" t="s">
        <v>1413</v>
      </c>
      <c r="GT12" s="22" t="s">
        <v>1414</v>
      </c>
      <c r="GU12" s="22" t="s">
        <v>1415</v>
      </c>
      <c r="GV12" s="22" t="s">
        <v>1416</v>
      </c>
      <c r="GW12" s="22" t="s">
        <v>1417</v>
      </c>
      <c r="GX12" s="22" t="s">
        <v>1418</v>
      </c>
      <c r="GY12" s="22" t="s">
        <v>1419</v>
      </c>
      <c r="GZ12" s="22" t="s">
        <v>1420</v>
      </c>
      <c r="HA12" s="8" t="s">
        <v>1421</v>
      </c>
      <c r="HB12" s="8" t="s">
        <v>1422</v>
      </c>
      <c r="HC12" s="8" t="s">
        <v>1423</v>
      </c>
      <c r="HD12" s="8" t="s">
        <v>1424</v>
      </c>
      <c r="HE12" s="8" t="s">
        <v>1425</v>
      </c>
      <c r="HF12" s="8" t="s">
        <v>1426</v>
      </c>
      <c r="HG12" s="8" t="s">
        <v>1427</v>
      </c>
      <c r="HH12" s="8" t="s">
        <v>1428</v>
      </c>
      <c r="HI12" s="8" t="s">
        <v>1429</v>
      </c>
      <c r="HJ12" s="8" t="s">
        <v>1430</v>
      </c>
      <c r="HK12" s="8" t="s">
        <v>1431</v>
      </c>
      <c r="HL12" s="8" t="s">
        <v>1432</v>
      </c>
      <c r="HM12" s="8" t="s">
        <v>1433</v>
      </c>
      <c r="HN12" s="8" t="s">
        <v>1434</v>
      </c>
      <c r="HO12" s="8" t="s">
        <v>1435</v>
      </c>
      <c r="HP12" s="8" t="s">
        <v>1436</v>
      </c>
      <c r="HQ12" s="8" t="s">
        <v>1437</v>
      </c>
      <c r="HR12" s="8" t="s">
        <v>1438</v>
      </c>
      <c r="HS12" s="8" t="s">
        <v>1439</v>
      </c>
      <c r="HT12" s="8" t="s">
        <v>1440</v>
      </c>
      <c r="HU12" s="8" t="s">
        <v>1441</v>
      </c>
      <c r="HV12" s="8" t="s">
        <v>1442</v>
      </c>
      <c r="HW12" s="8" t="s">
        <v>1443</v>
      </c>
      <c r="HX12" s="8" t="s">
        <v>1444</v>
      </c>
      <c r="HY12" s="8" t="s">
        <v>1445</v>
      </c>
      <c r="HZ12" s="8" t="s">
        <v>1446</v>
      </c>
      <c r="IA12" s="8" t="s">
        <v>1447</v>
      </c>
      <c r="IB12" s="8" t="s">
        <v>1448</v>
      </c>
      <c r="IC12" s="8" t="s">
        <v>1449</v>
      </c>
      <c r="ID12" s="8" t="s">
        <v>1450</v>
      </c>
      <c r="IE12" s="8" t="s">
        <v>1451</v>
      </c>
      <c r="IF12" s="8" t="s">
        <v>1452</v>
      </c>
      <c r="IG12" s="8" t="s">
        <v>1453</v>
      </c>
      <c r="IH12" s="8" t="s">
        <v>1454</v>
      </c>
      <c r="II12" s="8" t="s">
        <v>1455</v>
      </c>
      <c r="IJ12" s="8" t="s">
        <v>1456</v>
      </c>
      <c r="IK12" s="8" t="s">
        <v>1457</v>
      </c>
      <c r="IL12" s="8" t="s">
        <v>1458</v>
      </c>
      <c r="IM12" s="8" t="s">
        <v>1459</v>
      </c>
      <c r="IN12" s="8" t="s">
        <v>1460</v>
      </c>
      <c r="IO12" s="8" t="s">
        <v>1461</v>
      </c>
      <c r="IP12" s="8" t="s">
        <v>1462</v>
      </c>
      <c r="IQ12" s="8" t="s">
        <v>1463</v>
      </c>
      <c r="IR12" s="8" t="s">
        <v>1464</v>
      </c>
      <c r="IS12" s="8" t="s">
        <v>1465</v>
      </c>
      <c r="IT12" s="8" t="s">
        <v>1466</v>
      </c>
      <c r="IU12" s="8" t="s">
        <v>1467</v>
      </c>
      <c r="IV12" s="8" t="s">
        <v>1468</v>
      </c>
      <c r="IW12" s="8" t="s">
        <v>1469</v>
      </c>
      <c r="IX12" s="8" t="s">
        <v>1470</v>
      </c>
      <c r="IY12" s="8" t="s">
        <v>1471</v>
      </c>
      <c r="IZ12" s="8" t="s">
        <v>1472</v>
      </c>
      <c r="JA12" s="8" t="s">
        <v>1473</v>
      </c>
      <c r="JB12" s="8" t="s">
        <v>1474</v>
      </c>
      <c r="JC12" s="8" t="s">
        <v>1475</v>
      </c>
      <c r="JD12" s="8" t="s">
        <v>1476</v>
      </c>
      <c r="JE12" s="8" t="s">
        <v>1477</v>
      </c>
      <c r="JF12" s="8" t="s">
        <v>1478</v>
      </c>
      <c r="JG12" s="8" t="s">
        <v>1479</v>
      </c>
      <c r="JH12" s="8" t="s">
        <v>1480</v>
      </c>
      <c r="JI12" s="8" t="s">
        <v>1481</v>
      </c>
      <c r="JJ12" s="8" t="s">
        <v>1482</v>
      </c>
      <c r="JK12" s="8" t="s">
        <v>1483</v>
      </c>
      <c r="JL12" s="8" t="s">
        <v>1282</v>
      </c>
      <c r="JM12" s="8" t="s">
        <v>1484</v>
      </c>
      <c r="JN12" s="8" t="s">
        <v>1485</v>
      </c>
      <c r="JO12" s="8" t="s">
        <v>1486</v>
      </c>
      <c r="JP12" s="24" t="s">
        <v>1487</v>
      </c>
      <c r="JQ12" s="8" t="s">
        <v>1488</v>
      </c>
      <c r="JR12" s="8" t="s">
        <v>1489</v>
      </c>
      <c r="JS12" s="8" t="s">
        <v>1490</v>
      </c>
      <c r="JT12" s="8" t="s">
        <v>1491</v>
      </c>
      <c r="JU12" s="8" t="s">
        <v>1492</v>
      </c>
      <c r="JV12" s="8" t="s">
        <v>1493</v>
      </c>
      <c r="JW12" s="8" t="s">
        <v>1494</v>
      </c>
      <c r="JX12" s="8" t="s">
        <v>1495</v>
      </c>
      <c r="JY12" s="8" t="s">
        <v>1496</v>
      </c>
      <c r="JZ12" s="8" t="s">
        <v>1497</v>
      </c>
      <c r="KA12" s="8" t="s">
        <v>1498</v>
      </c>
      <c r="KB12" s="8" t="s">
        <v>1499</v>
      </c>
      <c r="KC12" s="8" t="s">
        <v>1500</v>
      </c>
      <c r="KD12" s="8" t="s">
        <v>1501</v>
      </c>
      <c r="KE12" s="8" t="s">
        <v>1502</v>
      </c>
      <c r="KF12" s="8" t="s">
        <v>1503</v>
      </c>
      <c r="KG12" s="8" t="s">
        <v>1504</v>
      </c>
      <c r="KH12" s="8" t="s">
        <v>1505</v>
      </c>
      <c r="KI12" s="8" t="s">
        <v>1506</v>
      </c>
      <c r="KJ12" s="8" t="s">
        <v>1507</v>
      </c>
      <c r="KK12" s="8" t="s">
        <v>1508</v>
      </c>
      <c r="KL12" s="8" t="s">
        <v>1509</v>
      </c>
      <c r="KM12" s="8" t="s">
        <v>1510</v>
      </c>
      <c r="KN12" s="8" t="s">
        <v>1511</v>
      </c>
      <c r="KO12" s="8" t="s">
        <v>1512</v>
      </c>
      <c r="KP12" s="8" t="s">
        <v>1513</v>
      </c>
      <c r="KQ12" s="8" t="s">
        <v>1514</v>
      </c>
      <c r="KR12" s="8" t="s">
        <v>1515</v>
      </c>
      <c r="KS12" s="25" t="s">
        <v>1516</v>
      </c>
      <c r="KT12" s="8" t="s">
        <v>1517</v>
      </c>
      <c r="KU12" s="8" t="s">
        <v>1518</v>
      </c>
      <c r="KV12" s="8" t="s">
        <v>1519</v>
      </c>
      <c r="KW12" s="8" t="s">
        <v>1520</v>
      </c>
      <c r="KX12" s="8" t="s">
        <v>1521</v>
      </c>
      <c r="KY12" s="8" t="s">
        <v>1522</v>
      </c>
      <c r="KZ12" s="8" t="s">
        <v>1523</v>
      </c>
      <c r="LA12" s="8" t="s">
        <v>1524</v>
      </c>
      <c r="LB12" s="8" t="s">
        <v>1525</v>
      </c>
      <c r="LC12" s="8" t="s">
        <v>1526</v>
      </c>
      <c r="LD12" s="8" t="s">
        <v>1527</v>
      </c>
      <c r="LE12" s="11" t="s">
        <v>1528</v>
      </c>
      <c r="LF12" s="8" t="s">
        <v>1529</v>
      </c>
      <c r="LG12" s="8" t="s">
        <v>1530</v>
      </c>
      <c r="LH12" s="8" t="s">
        <v>1531</v>
      </c>
      <c r="LI12" s="8" t="s">
        <v>1532</v>
      </c>
      <c r="LJ12" s="8" t="s">
        <v>1533</v>
      </c>
      <c r="LK12" s="8" t="s">
        <v>1534</v>
      </c>
      <c r="LL12" s="8" t="s">
        <v>1535</v>
      </c>
      <c r="LM12" s="8" t="s">
        <v>1536</v>
      </c>
      <c r="LN12" s="8" t="s">
        <v>1537</v>
      </c>
      <c r="LO12" s="8" t="s">
        <v>1538</v>
      </c>
      <c r="LP12" s="8" t="s">
        <v>1539</v>
      </c>
      <c r="LQ12" s="11" t="s">
        <v>1540</v>
      </c>
      <c r="LR12" s="8" t="s">
        <v>1541</v>
      </c>
      <c r="LS12" s="8" t="s">
        <v>1542</v>
      </c>
      <c r="LT12" s="8" t="s">
        <v>1543</v>
      </c>
      <c r="LU12" s="11" t="s">
        <v>1544</v>
      </c>
      <c r="LV12" s="8" t="s">
        <v>1545</v>
      </c>
      <c r="LW12" s="8" t="s">
        <v>1546</v>
      </c>
      <c r="LX12" s="8" t="s">
        <v>1547</v>
      </c>
      <c r="LY12" s="8" t="s">
        <v>1548</v>
      </c>
      <c r="LZ12" s="8" t="s">
        <v>1549</v>
      </c>
      <c r="MA12" s="8" t="s">
        <v>1550</v>
      </c>
      <c r="MB12" s="8" t="s">
        <v>1551</v>
      </c>
      <c r="MC12" s="8" t="s">
        <v>1552</v>
      </c>
      <c r="MD12" s="12" t="s">
        <v>1553</v>
      </c>
      <c r="ME12" s="8" t="s">
        <v>1554</v>
      </c>
      <c r="MF12" s="8" t="s">
        <v>1555</v>
      </c>
      <c r="MG12" s="8" t="s">
        <v>1556</v>
      </c>
      <c r="MH12" s="8" t="s">
        <v>1557</v>
      </c>
      <c r="MI12" s="8" t="s">
        <v>1558</v>
      </c>
      <c r="MJ12" t="s">
        <v>1559</v>
      </c>
      <c r="MK12" t="s">
        <v>1560</v>
      </c>
      <c r="ML12" t="s">
        <v>1561</v>
      </c>
      <c r="MM12" s="2" t="s">
        <v>1562</v>
      </c>
      <c r="MN12" t="s">
        <v>1563</v>
      </c>
      <c r="MO12" t="s">
        <v>1564</v>
      </c>
      <c r="MP12" t="s">
        <v>1565</v>
      </c>
      <c r="MQ12" t="s">
        <v>1566</v>
      </c>
      <c r="MR12" t="s">
        <v>1567</v>
      </c>
      <c r="MS12" t="s">
        <v>1568</v>
      </c>
      <c r="MT12" t="s">
        <v>1569</v>
      </c>
      <c r="MU12" t="s">
        <v>1570</v>
      </c>
      <c r="MV12" t="s">
        <v>1571</v>
      </c>
      <c r="MW12" t="s">
        <v>1572</v>
      </c>
      <c r="MX12" t="s">
        <v>1573</v>
      </c>
      <c r="MY12" s="13" t="s">
        <v>1574</v>
      </c>
      <c r="MZ12" t="s">
        <v>1575</v>
      </c>
      <c r="NA12" t="s">
        <v>1576</v>
      </c>
      <c r="NC12" t="s">
        <v>1577</v>
      </c>
      <c r="ND12" t="s">
        <v>1578</v>
      </c>
      <c r="NE12" t="s">
        <v>1579</v>
      </c>
      <c r="NF12" t="s">
        <v>1580</v>
      </c>
      <c r="NG12" t="s">
        <v>1581</v>
      </c>
      <c r="NH12" t="s">
        <v>1582</v>
      </c>
      <c r="NI12" t="s">
        <v>1583</v>
      </c>
      <c r="NJ12" t="s">
        <v>1584</v>
      </c>
      <c r="NK12" s="14" t="s">
        <v>1585</v>
      </c>
      <c r="NL12" t="s">
        <v>1586</v>
      </c>
      <c r="NM12" t="s">
        <v>1587</v>
      </c>
      <c r="NN12" t="s">
        <v>1588</v>
      </c>
      <c r="NO12" t="s">
        <v>1589</v>
      </c>
      <c r="NP12" t="s">
        <v>1590</v>
      </c>
      <c r="NQ12" t="s">
        <v>1591</v>
      </c>
      <c r="NR12" t="s">
        <v>1592</v>
      </c>
      <c r="NS12" t="s">
        <v>1593</v>
      </c>
      <c r="NT12" t="s">
        <v>1594</v>
      </c>
      <c r="NU12" t="s">
        <v>1595</v>
      </c>
      <c r="NV12" t="s">
        <v>1596</v>
      </c>
      <c r="NW12" t="s">
        <v>1597</v>
      </c>
      <c r="NX12" t="s">
        <v>1598</v>
      </c>
      <c r="NY12" t="s">
        <v>1598</v>
      </c>
      <c r="NZ12" t="s">
        <v>1599</v>
      </c>
      <c r="OA12" t="s">
        <v>1600</v>
      </c>
      <c r="OB12" t="s">
        <v>1601</v>
      </c>
      <c r="OC12" t="s">
        <v>1602</v>
      </c>
      <c r="OD12" t="s">
        <v>1603</v>
      </c>
      <c r="OE12" t="s">
        <v>1604</v>
      </c>
      <c r="OF12" t="s">
        <v>1605</v>
      </c>
      <c r="OG12" t="s">
        <v>1606</v>
      </c>
      <c r="OH12" t="s">
        <v>1607</v>
      </c>
      <c r="OI12" t="s">
        <v>1608</v>
      </c>
      <c r="OJ12" t="s">
        <v>1609</v>
      </c>
      <c r="OK12" t="s">
        <v>1610</v>
      </c>
      <c r="OL12" t="s">
        <v>1611</v>
      </c>
      <c r="OM12" t="s">
        <v>1612</v>
      </c>
      <c r="ON12" t="s">
        <v>1613</v>
      </c>
      <c r="OO12" t="s">
        <v>428</v>
      </c>
      <c r="OP12" t="s">
        <v>1614</v>
      </c>
      <c r="OQ12" t="s">
        <v>1615</v>
      </c>
      <c r="OR12" t="s">
        <v>1616</v>
      </c>
      <c r="OS12" t="s">
        <v>1617</v>
      </c>
      <c r="OT12" t="s">
        <v>1618</v>
      </c>
      <c r="OU12" t="s">
        <v>1619</v>
      </c>
      <c r="OV12" t="s">
        <v>1620</v>
      </c>
      <c r="OW12" t="s">
        <v>1621</v>
      </c>
      <c r="OX12" t="s">
        <v>437</v>
      </c>
      <c r="OY12" t="s">
        <v>1622</v>
      </c>
      <c r="OZ12" t="s">
        <v>1623</v>
      </c>
      <c r="PA12" t="s">
        <v>1624</v>
      </c>
      <c r="PB12" t="s">
        <v>1625</v>
      </c>
      <c r="PC12" t="s">
        <v>442</v>
      </c>
      <c r="PD12" t="s">
        <v>1626</v>
      </c>
      <c r="PE12" t="s">
        <v>1627</v>
      </c>
      <c r="PF12" s="14" t="s">
        <v>1628</v>
      </c>
      <c r="PG12" t="s">
        <v>1629</v>
      </c>
      <c r="PH12" t="s">
        <v>1630</v>
      </c>
      <c r="PI12" t="s">
        <v>1631</v>
      </c>
      <c r="PJ12" t="s">
        <v>1632</v>
      </c>
      <c r="PK12" t="s">
        <v>1633</v>
      </c>
      <c r="PL12" t="s">
        <v>1634</v>
      </c>
      <c r="PM12" t="s">
        <v>1635</v>
      </c>
      <c r="PN12" s="16" t="s">
        <v>1636</v>
      </c>
      <c r="PO12" s="16" t="s">
        <v>1637</v>
      </c>
      <c r="PP12" s="16" t="s">
        <v>1638</v>
      </c>
      <c r="PQ12" s="16" t="s">
        <v>1639</v>
      </c>
      <c r="PR12" s="16" t="s">
        <v>1640</v>
      </c>
      <c r="PS12" t="s">
        <v>1641</v>
      </c>
      <c r="PT12" t="s">
        <v>1642</v>
      </c>
      <c r="PU12" t="s">
        <v>1643</v>
      </c>
      <c r="PV12" t="s">
        <v>1644</v>
      </c>
      <c r="PW12" t="s">
        <v>1645</v>
      </c>
      <c r="PX12" t="s">
        <v>1646</v>
      </c>
      <c r="PY12" t="s">
        <v>1647</v>
      </c>
      <c r="PZ12" t="s">
        <v>1648</v>
      </c>
      <c r="QA12" t="s">
        <v>1649</v>
      </c>
      <c r="QB12" t="s">
        <v>1650</v>
      </c>
      <c r="QC12" t="s">
        <v>1651</v>
      </c>
      <c r="QD12" t="s">
        <v>1652</v>
      </c>
      <c r="QE12" t="s">
        <v>1653</v>
      </c>
      <c r="QF12" t="s">
        <v>1654</v>
      </c>
      <c r="QG12" t="s">
        <v>1655</v>
      </c>
      <c r="QH12" t="s">
        <v>1656</v>
      </c>
      <c r="QI12" t="s">
        <v>1657</v>
      </c>
      <c r="QJ12" t="s">
        <v>1658</v>
      </c>
      <c r="QK12" t="s">
        <v>1659</v>
      </c>
      <c r="QL12" t="s">
        <v>1660</v>
      </c>
      <c r="QM12" t="s">
        <v>1661</v>
      </c>
      <c r="QN12" t="s">
        <v>1662</v>
      </c>
      <c r="QO12" s="13" t="s">
        <v>1663</v>
      </c>
      <c r="QP12" t="s">
        <v>1664</v>
      </c>
      <c r="QQ12" t="s">
        <v>1665</v>
      </c>
      <c r="QR12" t="s">
        <v>1666</v>
      </c>
      <c r="QS12" t="s">
        <v>1667</v>
      </c>
      <c r="QT12" t="s">
        <v>1668</v>
      </c>
      <c r="QU12" t="s">
        <v>1669</v>
      </c>
      <c r="QV12" t="s">
        <v>1670</v>
      </c>
      <c r="QW12" t="s">
        <v>1671</v>
      </c>
      <c r="QX12" s="13" t="s">
        <v>1672</v>
      </c>
      <c r="QY12" t="s">
        <v>1673</v>
      </c>
      <c r="QZ12" t="s">
        <v>1674</v>
      </c>
      <c r="RA12" t="s">
        <v>1675</v>
      </c>
      <c r="RB12" t="s">
        <v>1676</v>
      </c>
      <c r="RC12" t="s">
        <v>1677</v>
      </c>
      <c r="RD12" t="s">
        <v>1678</v>
      </c>
      <c r="RE12" t="s">
        <v>1679</v>
      </c>
      <c r="RG12" t="s">
        <v>1680</v>
      </c>
      <c r="RH12" t="s">
        <v>1681</v>
      </c>
      <c r="RI12" t="s">
        <v>1682</v>
      </c>
      <c r="RJ12" t="s">
        <v>1683</v>
      </c>
      <c r="RK12" s="13" t="s">
        <v>1684</v>
      </c>
      <c r="RL12" t="s">
        <v>1685</v>
      </c>
      <c r="RM12" t="s">
        <v>1686</v>
      </c>
      <c r="RP12" t="s">
        <v>1687</v>
      </c>
      <c r="RQ12" t="s">
        <v>1688</v>
      </c>
      <c r="RS12" t="s">
        <v>1689</v>
      </c>
      <c r="RT12" s="13" t="s">
        <v>1690</v>
      </c>
      <c r="RU12" s="13" t="s">
        <v>1691</v>
      </c>
      <c r="RV12" t="s">
        <v>1692</v>
      </c>
      <c r="RW12" t="s">
        <v>1693</v>
      </c>
      <c r="RX12" t="s">
        <v>1694</v>
      </c>
      <c r="RY12" s="13" t="s">
        <v>1695</v>
      </c>
      <c r="RZ12" t="s">
        <v>1696</v>
      </c>
      <c r="SA12" t="s">
        <v>1697</v>
      </c>
      <c r="SB12" t="s">
        <v>1698</v>
      </c>
      <c r="SC12" s="13" t="s">
        <v>1699</v>
      </c>
      <c r="SD12" t="s">
        <v>1700</v>
      </c>
      <c r="SE12" t="s">
        <v>1701</v>
      </c>
      <c r="SF12" t="s">
        <v>1702</v>
      </c>
      <c r="SG12" t="s">
        <v>1703</v>
      </c>
      <c r="SH12" s="13" t="s">
        <v>1704</v>
      </c>
      <c r="SI12" s="13" t="s">
        <v>1705</v>
      </c>
      <c r="SJ12" t="s">
        <v>1706</v>
      </c>
      <c r="SK12" t="s">
        <v>1707</v>
      </c>
      <c r="SL12" t="s">
        <v>1708</v>
      </c>
      <c r="SM12" t="s">
        <v>1709</v>
      </c>
      <c r="SN12" s="17" t="s">
        <v>1710</v>
      </c>
      <c r="SO12" s="17" t="s">
        <v>1711</v>
      </c>
      <c r="SP12" s="17" t="s">
        <v>1712</v>
      </c>
      <c r="SQ12" s="17" t="s">
        <v>1713</v>
      </c>
      <c r="SR12" s="17"/>
      <c r="SS12" s="17"/>
      <c r="SU12" t="s">
        <v>1714</v>
      </c>
      <c r="SV12" s="13" t="s">
        <v>1715</v>
      </c>
      <c r="SW12" s="13" t="s">
        <v>1716</v>
      </c>
      <c r="SX12" t="s">
        <v>1717</v>
      </c>
      <c r="SY12" t="s">
        <v>1718</v>
      </c>
      <c r="SZ12" t="s">
        <v>1719</v>
      </c>
      <c r="TA12" s="13" t="s">
        <v>1720</v>
      </c>
      <c r="TB12" t="s">
        <v>1721</v>
      </c>
      <c r="TC12" t="s">
        <v>1722</v>
      </c>
      <c r="TD12" t="s">
        <v>1723</v>
      </c>
      <c r="TE12" t="s">
        <v>1724</v>
      </c>
      <c r="TF12" t="s">
        <v>1725</v>
      </c>
      <c r="TG12" t="s">
        <v>1726</v>
      </c>
      <c r="TH12" t="s">
        <v>1727</v>
      </c>
      <c r="TI12" t="s">
        <v>1728</v>
      </c>
      <c r="TJ12" t="s">
        <v>1729</v>
      </c>
      <c r="TK12" t="s">
        <v>1730</v>
      </c>
      <c r="TL12" t="s">
        <v>1731</v>
      </c>
      <c r="TM12" t="s">
        <v>1732</v>
      </c>
      <c r="TN12" t="s">
        <v>1733</v>
      </c>
      <c r="TO12" t="s">
        <v>1727</v>
      </c>
      <c r="TQ12" t="s">
        <v>1734</v>
      </c>
      <c r="TR12" t="s">
        <v>1735</v>
      </c>
      <c r="TS12" t="s">
        <v>1736</v>
      </c>
      <c r="TT12" t="s">
        <v>1737</v>
      </c>
      <c r="TU12" t="s">
        <v>1738</v>
      </c>
      <c r="TV12" t="s">
        <v>1739</v>
      </c>
      <c r="TW12" t="s">
        <v>1740</v>
      </c>
      <c r="TX12" t="s">
        <v>1741</v>
      </c>
      <c r="UA12" t="s">
        <v>1742</v>
      </c>
      <c r="UB12" t="s">
        <v>1743</v>
      </c>
      <c r="UC12" t="s">
        <v>1744</v>
      </c>
      <c r="UD12" s="13" t="s">
        <v>1745</v>
      </c>
      <c r="UE12" t="s">
        <v>1746</v>
      </c>
      <c r="UF12" t="s">
        <v>1747</v>
      </c>
      <c r="UG12" t="s">
        <v>1748</v>
      </c>
      <c r="UH12" s="13" t="s">
        <v>1749</v>
      </c>
      <c r="UI12" t="s">
        <v>1750</v>
      </c>
      <c r="UJ12" t="s">
        <v>1751</v>
      </c>
      <c r="UL12" s="13" t="s">
        <v>1752</v>
      </c>
      <c r="UM12" s="13" t="s">
        <v>1753</v>
      </c>
      <c r="UN12" t="s">
        <v>1754</v>
      </c>
      <c r="UO12" t="s">
        <v>1755</v>
      </c>
      <c r="UP12" t="s">
        <v>1756</v>
      </c>
      <c r="UQ12" t="s">
        <v>1757</v>
      </c>
      <c r="UR12" t="s">
        <v>1758</v>
      </c>
      <c r="US12" t="s">
        <v>1759</v>
      </c>
      <c r="UT12" t="s">
        <v>1760</v>
      </c>
      <c r="UU12" t="s">
        <v>1761</v>
      </c>
      <c r="UV12" t="s">
        <v>1762</v>
      </c>
      <c r="UW12" t="s">
        <v>1763</v>
      </c>
      <c r="UX12" t="s">
        <v>1764</v>
      </c>
      <c r="UY12" t="s">
        <v>1765</v>
      </c>
      <c r="UZ12" t="s">
        <v>1766</v>
      </c>
      <c r="VA12" s="13" t="s">
        <v>1767</v>
      </c>
      <c r="VB12" t="s">
        <v>1768</v>
      </c>
      <c r="VC12" t="s">
        <v>1769</v>
      </c>
      <c r="VD12" t="s">
        <v>1770</v>
      </c>
      <c r="VE12" t="s">
        <v>1771</v>
      </c>
      <c r="VF12" t="s">
        <v>1772</v>
      </c>
      <c r="VG12" t="s">
        <v>1773</v>
      </c>
      <c r="VH12" t="s">
        <v>1774</v>
      </c>
      <c r="VI12" t="s">
        <v>1775</v>
      </c>
      <c r="VJ12" t="s">
        <v>1776</v>
      </c>
      <c r="VK12" s="13" t="s">
        <v>1777</v>
      </c>
      <c r="VL12" s="13" t="s">
        <v>1778</v>
      </c>
      <c r="VM12" s="13" t="s">
        <v>1779</v>
      </c>
      <c r="VO12" t="s">
        <v>1780</v>
      </c>
      <c r="VP12" t="s">
        <v>1781</v>
      </c>
      <c r="VQ12" t="s">
        <v>1782</v>
      </c>
      <c r="VR12" t="s">
        <v>1783</v>
      </c>
      <c r="VS12" t="s">
        <v>1784</v>
      </c>
      <c r="VT12" t="s">
        <v>1785</v>
      </c>
      <c r="VU12" s="13" t="s">
        <v>1786</v>
      </c>
      <c r="VV12" s="13" t="s">
        <v>1787</v>
      </c>
      <c r="VW12" t="s">
        <v>1788</v>
      </c>
      <c r="VX12" t="s">
        <v>1789</v>
      </c>
      <c r="VY12" t="s">
        <v>1790</v>
      </c>
      <c r="VZ12" t="s">
        <v>1791</v>
      </c>
      <c r="WA12" t="s">
        <v>1792</v>
      </c>
      <c r="WC12" t="s">
        <v>1793</v>
      </c>
      <c r="WD12" t="s">
        <v>1794</v>
      </c>
      <c r="WE12" t="s">
        <v>1795</v>
      </c>
      <c r="WF12" t="s">
        <v>1796</v>
      </c>
      <c r="WG12" t="s">
        <v>1797</v>
      </c>
      <c r="WH12" s="13" t="s">
        <v>1798</v>
      </c>
      <c r="WI12" s="13" t="s">
        <v>1799</v>
      </c>
      <c r="WJ12" t="s">
        <v>1800</v>
      </c>
      <c r="WK12" s="13" t="s">
        <v>1801</v>
      </c>
      <c r="WL12" s="13" t="s">
        <v>1802</v>
      </c>
      <c r="WM12" s="13"/>
      <c r="WN12" s="13" t="s">
        <v>1803</v>
      </c>
      <c r="WO12" s="13" t="s">
        <v>1804</v>
      </c>
      <c r="WP12" s="13" t="s">
        <v>1805</v>
      </c>
      <c r="WQ12" s="13" t="s">
        <v>1806</v>
      </c>
      <c r="WR12" s="13" t="s">
        <v>1807</v>
      </c>
      <c r="WS12" s="13" t="s">
        <v>1808</v>
      </c>
      <c r="WT12" s="13" t="s">
        <v>1809</v>
      </c>
      <c r="WU12" t="s">
        <v>1810</v>
      </c>
      <c r="WV12" t="s">
        <v>1811</v>
      </c>
      <c r="WW12" t="s">
        <v>1812</v>
      </c>
      <c r="WZ12" t="s">
        <v>1813</v>
      </c>
      <c r="XA12" t="s">
        <v>1814</v>
      </c>
      <c r="XB12" t="s">
        <v>1815</v>
      </c>
      <c r="XC12" t="s">
        <v>1816</v>
      </c>
      <c r="XD12" t="s">
        <v>1817</v>
      </c>
      <c r="XE12" t="s">
        <v>1818</v>
      </c>
      <c r="XF12" t="s">
        <v>1819</v>
      </c>
      <c r="XG12" t="s">
        <v>1820</v>
      </c>
      <c r="XH12" t="s">
        <v>1821</v>
      </c>
      <c r="XI12" t="s">
        <v>1822</v>
      </c>
      <c r="XJ12" t="s">
        <v>1823</v>
      </c>
      <c r="XK12" t="s">
        <v>1824</v>
      </c>
      <c r="XM12" t="s">
        <v>1825</v>
      </c>
      <c r="XN12" t="s">
        <v>1826</v>
      </c>
      <c r="XQ12" t="s">
        <v>1827</v>
      </c>
      <c r="XR12" t="s">
        <v>1828</v>
      </c>
      <c r="XS12" t="s">
        <v>1829</v>
      </c>
      <c r="XT12" t="s">
        <v>1830</v>
      </c>
      <c r="XU12" t="s">
        <v>1831</v>
      </c>
      <c r="XV12" t="s">
        <v>1832</v>
      </c>
      <c r="XW12" t="s">
        <v>1833</v>
      </c>
      <c r="XX12" t="s">
        <v>1834</v>
      </c>
      <c r="XY12" t="s">
        <v>1835</v>
      </c>
      <c r="XZ12" t="s">
        <v>1835</v>
      </c>
      <c r="YA12" t="s">
        <v>1836</v>
      </c>
      <c r="YB12" t="s">
        <v>1837</v>
      </c>
      <c r="YC12" t="s">
        <v>1838</v>
      </c>
      <c r="YD12" t="s">
        <v>1839</v>
      </c>
      <c r="YE12" t="s">
        <v>1840</v>
      </c>
      <c r="YF12" t="s">
        <v>1841</v>
      </c>
      <c r="YG12" t="s">
        <v>1842</v>
      </c>
      <c r="YH12" t="s">
        <v>1843</v>
      </c>
      <c r="YI12" t="s">
        <v>1844</v>
      </c>
      <c r="YL12" t="s">
        <v>1845</v>
      </c>
      <c r="YM12" t="s">
        <v>1846</v>
      </c>
      <c r="YR12" t="s">
        <v>1847</v>
      </c>
      <c r="YS12" t="s">
        <v>1848</v>
      </c>
      <c r="YU12" s="13"/>
      <c r="YV12" s="13" t="s">
        <v>1849</v>
      </c>
      <c r="YW12" t="s">
        <v>1850</v>
      </c>
      <c r="YX12" s="13"/>
      <c r="YY12" t="s">
        <v>1851</v>
      </c>
      <c r="ZA12" t="s">
        <v>1852</v>
      </c>
      <c r="ZB12" t="s">
        <v>1853</v>
      </c>
      <c r="ZC12" t="s">
        <v>1854</v>
      </c>
      <c r="ZD12" t="s">
        <v>1855</v>
      </c>
      <c r="ZE12" t="s">
        <v>1856</v>
      </c>
      <c r="ZF12" t="s">
        <v>1857</v>
      </c>
      <c r="ZG12" s="13" t="s">
        <v>1858</v>
      </c>
      <c r="ZH12" s="13" t="s">
        <v>1859</v>
      </c>
      <c r="ZI12" t="s">
        <v>1860</v>
      </c>
      <c r="ZJ12" t="s">
        <v>1861</v>
      </c>
      <c r="ZK12" t="s">
        <v>1862</v>
      </c>
      <c r="ZL12" t="s">
        <v>1863</v>
      </c>
      <c r="ZN12" t="s">
        <v>1864</v>
      </c>
      <c r="ZO12" s="13" t="s">
        <v>1865</v>
      </c>
      <c r="ZP12" t="s">
        <v>1866</v>
      </c>
      <c r="ZQ12" t="s">
        <v>1867</v>
      </c>
      <c r="ZR12" t="s">
        <v>1868</v>
      </c>
      <c r="ZS12" t="s">
        <v>1869</v>
      </c>
      <c r="ZT12" t="s">
        <v>1870</v>
      </c>
      <c r="ZU12" s="13" t="s">
        <v>1871</v>
      </c>
      <c r="ZV12" s="13" t="s">
        <v>1872</v>
      </c>
      <c r="ZW12" s="13" t="s">
        <v>1873</v>
      </c>
      <c r="ZX12" t="s">
        <v>1874</v>
      </c>
      <c r="ZY12" s="13" t="s">
        <v>1875</v>
      </c>
      <c r="ZZ12" s="13" t="s">
        <v>1876</v>
      </c>
      <c r="AAA12" s="13" t="s">
        <v>1877</v>
      </c>
      <c r="AAB12" t="s">
        <v>1878</v>
      </c>
      <c r="AAC12" t="s">
        <v>1879</v>
      </c>
      <c r="AAD12" t="s">
        <v>1880</v>
      </c>
      <c r="AAE12" s="13" t="s">
        <v>1881</v>
      </c>
      <c r="AAF12" s="13" t="s">
        <v>1882</v>
      </c>
      <c r="AAG12" s="13" t="s">
        <v>1883</v>
      </c>
      <c r="AAH12" s="13" t="s">
        <v>1884</v>
      </c>
      <c r="AAI12" s="13" t="s">
        <v>1885</v>
      </c>
      <c r="AAJ12" t="s">
        <v>1886</v>
      </c>
      <c r="AAK12" s="13" t="s">
        <v>1887</v>
      </c>
      <c r="AAL12" s="13" t="s">
        <v>1888</v>
      </c>
      <c r="AAM12" t="s">
        <v>1889</v>
      </c>
      <c r="AAN12" t="s">
        <v>1890</v>
      </c>
      <c r="AAO12" t="s">
        <v>1891</v>
      </c>
      <c r="AAP12" s="13" t="s">
        <v>1892</v>
      </c>
      <c r="AAQ12" s="13" t="s">
        <v>1893</v>
      </c>
      <c r="AAR12" s="13" t="s">
        <v>1894</v>
      </c>
      <c r="AAS12" t="s">
        <v>1895</v>
      </c>
      <c r="AAT12" t="s">
        <v>1896</v>
      </c>
      <c r="AAU12" t="s">
        <v>1897</v>
      </c>
      <c r="AAV12" t="s">
        <v>1898</v>
      </c>
      <c r="AAW12" s="13" t="s">
        <v>1899</v>
      </c>
      <c r="AAX12" t="s">
        <v>1900</v>
      </c>
      <c r="AAY12" t="s">
        <v>1901</v>
      </c>
      <c r="AAZ12" t="s">
        <v>1902</v>
      </c>
      <c r="ABA12" t="s">
        <v>1903</v>
      </c>
      <c r="ABB12" t="s">
        <v>1904</v>
      </c>
      <c r="ABC12" t="s">
        <v>1905</v>
      </c>
      <c r="ABD12" t="s">
        <v>1906</v>
      </c>
      <c r="ABE12" t="s">
        <v>1907</v>
      </c>
      <c r="ABF12" t="s">
        <v>1908</v>
      </c>
      <c r="ABG12" t="s">
        <v>1909</v>
      </c>
      <c r="ABH12" s="13" t="s">
        <v>1910</v>
      </c>
      <c r="ABI12" t="s">
        <v>1911</v>
      </c>
      <c r="ABJ12" t="s">
        <v>1912</v>
      </c>
      <c r="ABK12" t="s">
        <v>1913</v>
      </c>
      <c r="ABL12" t="s">
        <v>1914</v>
      </c>
      <c r="ABM12" t="s">
        <v>1915</v>
      </c>
      <c r="ABN12" s="13" t="s">
        <v>1916</v>
      </c>
      <c r="ABO12" s="13" t="s">
        <v>1917</v>
      </c>
      <c r="ABP12" t="s">
        <v>1918</v>
      </c>
      <c r="ABQ12" t="s">
        <v>1919</v>
      </c>
      <c r="ABR12" t="s">
        <v>1920</v>
      </c>
      <c r="ABS12" t="s">
        <v>1921</v>
      </c>
      <c r="ABT12" t="s">
        <v>1922</v>
      </c>
      <c r="ABU12" t="s">
        <v>1923</v>
      </c>
      <c r="ABV12" t="s">
        <v>1924</v>
      </c>
      <c r="ABW12" s="13" t="s">
        <v>1925</v>
      </c>
      <c r="ABX12" s="13" t="s">
        <v>1926</v>
      </c>
      <c r="ABY12" t="s">
        <v>1927</v>
      </c>
      <c r="ABZ12" t="s">
        <v>1928</v>
      </c>
      <c r="ACA12" s="13" t="s">
        <v>1929</v>
      </c>
      <c r="ACB12" s="13" t="s">
        <v>1930</v>
      </c>
      <c r="ACC12" s="13" t="s">
        <v>1931</v>
      </c>
      <c r="ACD12" s="13" t="s">
        <v>1932</v>
      </c>
      <c r="ACE12" s="13" t="s">
        <v>1933</v>
      </c>
      <c r="ACF12" t="s">
        <v>1934</v>
      </c>
      <c r="ACG12" t="s">
        <v>1935</v>
      </c>
      <c r="ACH12" t="s">
        <v>1936</v>
      </c>
      <c r="ACI12" s="13" t="s">
        <v>1937</v>
      </c>
      <c r="ACJ12" t="s">
        <v>1938</v>
      </c>
      <c r="ACK12" t="s">
        <v>1921</v>
      </c>
      <c r="ACL12" s="13" t="s">
        <v>1939</v>
      </c>
      <c r="ACM12" t="s">
        <v>1940</v>
      </c>
      <c r="ACN12" t="s">
        <v>1941</v>
      </c>
      <c r="ACO12" t="s">
        <v>1942</v>
      </c>
      <c r="ACP12" t="s">
        <v>1943</v>
      </c>
      <c r="ACQ12" t="s">
        <v>1944</v>
      </c>
      <c r="ACR12" t="s">
        <v>1945</v>
      </c>
      <c r="ACS12" t="s">
        <v>1946</v>
      </c>
      <c r="ACT12" t="s">
        <v>1947</v>
      </c>
      <c r="ACU12" t="s">
        <v>1948</v>
      </c>
      <c r="ACV12" t="s">
        <v>1949</v>
      </c>
      <c r="ACW12" s="13" t="s">
        <v>1950</v>
      </c>
      <c r="ACX12" s="13" t="s">
        <v>1951</v>
      </c>
      <c r="ACY12" s="13" t="s">
        <v>1952</v>
      </c>
      <c r="ACZ12" s="13" t="s">
        <v>1953</v>
      </c>
      <c r="ADA12" s="13" t="s">
        <v>1954</v>
      </c>
      <c r="ADB12" s="13" t="s">
        <v>1955</v>
      </c>
      <c r="ADC12" s="13" t="s">
        <v>1956</v>
      </c>
      <c r="ADD12" s="13" t="s">
        <v>1888</v>
      </c>
      <c r="ADE12" s="13" t="s">
        <v>1957</v>
      </c>
      <c r="ADF12" t="s">
        <v>1958</v>
      </c>
      <c r="ADG12" t="s">
        <v>1959</v>
      </c>
      <c r="ADH12" s="13" t="s">
        <v>1960</v>
      </c>
      <c r="ADI12" s="13" t="s">
        <v>1961</v>
      </c>
      <c r="ADJ12" s="13" t="s">
        <v>1962</v>
      </c>
      <c r="ADK12" t="s">
        <v>1963</v>
      </c>
      <c r="ADL12" s="13" t="s">
        <v>1964</v>
      </c>
      <c r="ADN12" s="13" t="s">
        <v>1965</v>
      </c>
      <c r="ADO12" s="13" t="s">
        <v>1966</v>
      </c>
      <c r="ADP12" s="13" t="s">
        <v>1967</v>
      </c>
      <c r="ADQ12" s="13" t="s">
        <v>1968</v>
      </c>
      <c r="ADR12" s="13" t="s">
        <v>1969</v>
      </c>
      <c r="ADS12" s="13" t="s">
        <v>1970</v>
      </c>
      <c r="ADT12" s="13" t="s">
        <v>1970</v>
      </c>
      <c r="ADU12" s="13" t="s">
        <v>1971</v>
      </c>
      <c r="ADV12" s="13" t="s">
        <v>1972</v>
      </c>
      <c r="ADW12" s="13" t="s">
        <v>1973</v>
      </c>
      <c r="ADX12" t="s">
        <v>1974</v>
      </c>
      <c r="ADY12" t="s">
        <v>1975</v>
      </c>
      <c r="ADZ12" t="s">
        <v>1976</v>
      </c>
      <c r="AEA12" t="s">
        <v>1977</v>
      </c>
      <c r="AEB12" t="s">
        <v>1978</v>
      </c>
      <c r="AEC12" t="s">
        <v>1979</v>
      </c>
      <c r="AED12" t="s">
        <v>1980</v>
      </c>
      <c r="AEE12" s="13" t="s">
        <v>1981</v>
      </c>
      <c r="AEF12" s="13" t="s">
        <v>1982</v>
      </c>
      <c r="AEG12" s="13" t="s">
        <v>1983</v>
      </c>
      <c r="AEH12" t="s">
        <v>1984</v>
      </c>
      <c r="AEI12" t="s">
        <v>1985</v>
      </c>
      <c r="AEJ12" t="s">
        <v>1986</v>
      </c>
      <c r="AEK12" s="13" t="s">
        <v>1987</v>
      </c>
      <c r="AEL12" s="13" t="s">
        <v>1988</v>
      </c>
      <c r="AEM12" s="13" t="s">
        <v>1989</v>
      </c>
      <c r="AEN12" s="13" t="s">
        <v>1990</v>
      </c>
      <c r="AEO12" s="13" t="s">
        <v>1991</v>
      </c>
      <c r="AEP12" s="13" t="s">
        <v>1992</v>
      </c>
      <c r="AEQ12" s="13" t="s">
        <v>1993</v>
      </c>
      <c r="AER12" s="13" t="s">
        <v>1994</v>
      </c>
      <c r="AES12" s="13" t="s">
        <v>1995</v>
      </c>
      <c r="AET12" s="13" t="s">
        <v>1996</v>
      </c>
      <c r="AEU12" s="13" t="s">
        <v>1997</v>
      </c>
      <c r="AEV12" s="13" t="s">
        <v>1998</v>
      </c>
      <c r="AEW12" s="13" t="s">
        <v>1999</v>
      </c>
      <c r="AEX12" s="13" t="s">
        <v>2000</v>
      </c>
      <c r="AEY12" s="13" t="s">
        <v>2001</v>
      </c>
      <c r="AEZ12" s="13" t="s">
        <v>2002</v>
      </c>
      <c r="AFA12" s="13" t="s">
        <v>2003</v>
      </c>
      <c r="AFB12" s="13" t="s">
        <v>2004</v>
      </c>
      <c r="AFC12" s="13" t="s">
        <v>2005</v>
      </c>
      <c r="AFD12" s="13" t="s">
        <v>2006</v>
      </c>
      <c r="AFE12" s="13" t="s">
        <v>2007</v>
      </c>
      <c r="AFF12" t="s">
        <v>2008</v>
      </c>
      <c r="AFG12" t="s">
        <v>2009</v>
      </c>
      <c r="AFH12" s="13" t="s">
        <v>2010</v>
      </c>
      <c r="AFI12" t="s">
        <v>2011</v>
      </c>
      <c r="AFJ12" t="s">
        <v>2012</v>
      </c>
      <c r="AFK12" t="s">
        <v>2013</v>
      </c>
      <c r="AFL12" s="13" t="s">
        <v>2014</v>
      </c>
      <c r="AFM12" s="13" t="s">
        <v>2015</v>
      </c>
      <c r="AFN12" s="13" t="s">
        <v>2016</v>
      </c>
      <c r="AFO12" t="s">
        <v>2017</v>
      </c>
      <c r="AFP12" t="s">
        <v>2018</v>
      </c>
      <c r="AFQ12" t="s">
        <v>2019</v>
      </c>
      <c r="AFR12" t="s">
        <v>2020</v>
      </c>
      <c r="AFS12" t="s">
        <v>2021</v>
      </c>
      <c r="AFT12" t="s">
        <v>2022</v>
      </c>
      <c r="AFU12" s="13" t="s">
        <v>2023</v>
      </c>
      <c r="AFV12" s="13" t="s">
        <v>2024</v>
      </c>
      <c r="AFW12" s="13" t="s">
        <v>2025</v>
      </c>
      <c r="AFX12" s="13" t="s">
        <v>2026</v>
      </c>
      <c r="AFY12" t="s">
        <v>2027</v>
      </c>
      <c r="AFZ12" t="s">
        <v>2028</v>
      </c>
      <c r="AGA12" t="s">
        <v>2029</v>
      </c>
      <c r="AGB12" t="s">
        <v>2030</v>
      </c>
      <c r="AGC12" t="s">
        <v>2031</v>
      </c>
      <c r="AGD12" t="s">
        <v>2032</v>
      </c>
      <c r="AGE12" t="s">
        <v>2033</v>
      </c>
      <c r="AGF12" t="s">
        <v>2034</v>
      </c>
      <c r="AGG12" t="s">
        <v>2035</v>
      </c>
      <c r="AGH12" s="13" t="s">
        <v>2036</v>
      </c>
      <c r="AGI12" s="13" t="s">
        <v>2037</v>
      </c>
      <c r="AGJ12" s="13" t="s">
        <v>2038</v>
      </c>
      <c r="AGK12" s="13" t="s">
        <v>2039</v>
      </c>
      <c r="AGL12" s="13" t="s">
        <v>2040</v>
      </c>
      <c r="AGM12" s="13" t="s">
        <v>2041</v>
      </c>
      <c r="AGN12" s="13" t="s">
        <v>2042</v>
      </c>
      <c r="AGO12" s="13" t="s">
        <v>2043</v>
      </c>
      <c r="AGP12" s="13" t="s">
        <v>2044</v>
      </c>
      <c r="AGQ12" s="13" t="s">
        <v>2045</v>
      </c>
      <c r="AGR12" s="13" t="s">
        <v>2046</v>
      </c>
      <c r="AGS12" s="13" t="s">
        <v>2047</v>
      </c>
      <c r="AGT12" t="s">
        <v>2048</v>
      </c>
      <c r="AGU12" t="s">
        <v>2049</v>
      </c>
      <c r="AGV12" t="s">
        <v>2050</v>
      </c>
      <c r="AGW12" t="s">
        <v>2051</v>
      </c>
      <c r="AGX12" t="s">
        <v>2052</v>
      </c>
      <c r="AGY12" t="s">
        <v>2053</v>
      </c>
      <c r="AGZ12" t="s">
        <v>2054</v>
      </c>
      <c r="AHA12" t="s">
        <v>2055</v>
      </c>
      <c r="AHB12" t="s">
        <v>2056</v>
      </c>
      <c r="AHC12" t="s">
        <v>2057</v>
      </c>
      <c r="AHD12" t="s">
        <v>2058</v>
      </c>
      <c r="AHE12" t="s">
        <v>2059</v>
      </c>
      <c r="AHF12" t="s">
        <v>2060</v>
      </c>
      <c r="AHG12" t="s">
        <v>2061</v>
      </c>
      <c r="AHH12" t="s">
        <v>2062</v>
      </c>
      <c r="AHI12" t="s">
        <v>2063</v>
      </c>
      <c r="AHJ12" t="s">
        <v>2064</v>
      </c>
      <c r="AHK12" t="s">
        <v>2065</v>
      </c>
      <c r="AHL12" t="s">
        <v>2066</v>
      </c>
      <c r="AHM12" t="s">
        <v>2067</v>
      </c>
      <c r="AHN12" t="s">
        <v>2068</v>
      </c>
      <c r="AHO12" t="s">
        <v>2069</v>
      </c>
      <c r="AHP12" t="s">
        <v>2070</v>
      </c>
      <c r="AHQ12" t="s">
        <v>2071</v>
      </c>
      <c r="AHR12" t="s">
        <v>2072</v>
      </c>
      <c r="AHS12" t="s">
        <v>2073</v>
      </c>
      <c r="AHT12" t="s">
        <v>2074</v>
      </c>
      <c r="AHU12" t="s">
        <v>2075</v>
      </c>
      <c r="AHV12" t="s">
        <v>2076</v>
      </c>
      <c r="AHW12" t="s">
        <v>2077</v>
      </c>
      <c r="AHX12" t="s">
        <v>2078</v>
      </c>
      <c r="AHY12" t="s">
        <v>2079</v>
      </c>
      <c r="AHZ12" t="s">
        <v>2080</v>
      </c>
      <c r="AIA12" t="s">
        <v>2081</v>
      </c>
      <c r="AIB12" t="s">
        <v>2082</v>
      </c>
      <c r="AIC12" s="13" t="s">
        <v>2083</v>
      </c>
      <c r="AID12" t="s">
        <v>2084</v>
      </c>
      <c r="AIE12" t="s">
        <v>2085</v>
      </c>
      <c r="AIF12" t="s">
        <v>2086</v>
      </c>
      <c r="AIG12" s="13" t="s">
        <v>2087</v>
      </c>
      <c r="AIH12" s="13" t="s">
        <v>2088</v>
      </c>
      <c r="AII12" s="13" t="s">
        <v>2089</v>
      </c>
      <c r="AIJ12" s="13" t="s">
        <v>2090</v>
      </c>
      <c r="AIK12" t="s">
        <v>1606</v>
      </c>
      <c r="AIL12" t="s">
        <v>2091</v>
      </c>
      <c r="AIM12" s="13" t="s">
        <v>946</v>
      </c>
      <c r="AIN12" s="13" t="s">
        <v>947</v>
      </c>
      <c r="AIO12" s="13" t="s">
        <v>2092</v>
      </c>
      <c r="AIP12" t="s">
        <v>2093</v>
      </c>
      <c r="AIQ12" t="s">
        <v>2094</v>
      </c>
      <c r="AIR12" s="26" t="s">
        <v>2095</v>
      </c>
      <c r="AIS12" t="s">
        <v>2096</v>
      </c>
      <c r="AIT12" t="s">
        <v>2097</v>
      </c>
      <c r="AIU12" t="s">
        <v>2098</v>
      </c>
      <c r="AIV12" t="s">
        <v>2099</v>
      </c>
      <c r="AIW12" t="s">
        <v>2100</v>
      </c>
      <c r="AIX12" t="s">
        <v>2101</v>
      </c>
      <c r="AIY12" t="s">
        <v>958</v>
      </c>
      <c r="AIZ12" t="s">
        <v>2102</v>
      </c>
      <c r="AJA12" t="s">
        <v>2103</v>
      </c>
      <c r="AJB12" t="s">
        <v>2104</v>
      </c>
      <c r="AJC12" t="s">
        <v>2105</v>
      </c>
      <c r="AJD12" t="s">
        <v>2106</v>
      </c>
      <c r="AJE12" t="s">
        <v>964</v>
      </c>
      <c r="AJF12" t="s">
        <v>965</v>
      </c>
      <c r="AJG12" t="s">
        <v>2107</v>
      </c>
      <c r="AJH12" t="s">
        <v>2108</v>
      </c>
      <c r="AJI12" t="s">
        <v>2109</v>
      </c>
      <c r="AJJ12" t="s">
        <v>2110</v>
      </c>
      <c r="AJK12" t="s">
        <v>2111</v>
      </c>
      <c r="AJL12" s="8" t="s">
        <v>2112</v>
      </c>
      <c r="AJM12" t="s">
        <v>2113</v>
      </c>
      <c r="AJN12" t="s">
        <v>2114</v>
      </c>
      <c r="AJO12" t="s">
        <v>2115</v>
      </c>
      <c r="AJP12" t="s">
        <v>2116</v>
      </c>
      <c r="AJQ12" t="s">
        <v>2117</v>
      </c>
      <c r="AJR12" t="s">
        <v>2118</v>
      </c>
      <c r="AJS12" t="s">
        <v>2119</v>
      </c>
      <c r="AJT12" t="s">
        <v>2120</v>
      </c>
      <c r="AJU12" t="s">
        <v>2121</v>
      </c>
      <c r="AJV12" t="s">
        <v>2122</v>
      </c>
      <c r="AJW12" t="s">
        <v>2123</v>
      </c>
      <c r="AJX12" t="s">
        <v>2124</v>
      </c>
      <c r="AJY12" t="s">
        <v>2125</v>
      </c>
      <c r="AJZ12" t="s">
        <v>2126</v>
      </c>
      <c r="AKA12" t="s">
        <v>2127</v>
      </c>
      <c r="AKB12" t="s">
        <v>2128</v>
      </c>
      <c r="AKC12" t="s">
        <v>2129</v>
      </c>
      <c r="AKD12" t="s">
        <v>2130</v>
      </c>
      <c r="AKE12" t="s">
        <v>2131</v>
      </c>
      <c r="AKF12" t="s">
        <v>2132</v>
      </c>
      <c r="AKI12" t="s">
        <v>2133</v>
      </c>
      <c r="AKJ12" t="s">
        <v>2134</v>
      </c>
      <c r="AKK12" t="s">
        <v>2135</v>
      </c>
      <c r="AKL12" t="s">
        <v>2136</v>
      </c>
      <c r="AKM12" t="s">
        <v>2137</v>
      </c>
      <c r="AKN12" t="s">
        <v>2138</v>
      </c>
      <c r="AKP12" t="s">
        <v>2139</v>
      </c>
      <c r="AKQ12" t="s">
        <v>2140</v>
      </c>
      <c r="AKR12" t="s">
        <v>2141</v>
      </c>
      <c r="AKS12" t="s">
        <v>2142</v>
      </c>
      <c r="AKT12" t="s">
        <v>2143</v>
      </c>
      <c r="AKU12" t="s">
        <v>2144</v>
      </c>
      <c r="AKV12" s="13" t="s">
        <v>2145</v>
      </c>
      <c r="AKW12" t="s">
        <v>2146</v>
      </c>
      <c r="AKX12" t="s">
        <v>2147</v>
      </c>
      <c r="AKY12" t="s">
        <v>2148</v>
      </c>
      <c r="AKZ12" t="s">
        <v>2149</v>
      </c>
      <c r="ALA12" t="s">
        <v>2150</v>
      </c>
      <c r="ALB12" t="s">
        <v>2151</v>
      </c>
      <c r="ALC12" t="s">
        <v>2152</v>
      </c>
      <c r="ALD12" t="s">
        <v>2153</v>
      </c>
      <c r="ALE12" t="s">
        <v>2154</v>
      </c>
      <c r="ALF12" t="s">
        <v>2155</v>
      </c>
      <c r="ALG12" t="s">
        <v>2156</v>
      </c>
      <c r="ALH12" t="s">
        <v>2157</v>
      </c>
      <c r="ALI12" t="s">
        <v>2158</v>
      </c>
      <c r="ALJ12" t="s">
        <v>2159</v>
      </c>
      <c r="ALK12" t="s">
        <v>2160</v>
      </c>
      <c r="ALL12" t="s">
        <v>2161</v>
      </c>
      <c r="ALM12" t="s">
        <v>2162</v>
      </c>
      <c r="ALN12" t="s">
        <v>2163</v>
      </c>
      <c r="ALO12" t="s">
        <v>2164</v>
      </c>
      <c r="ALP12" t="s">
        <v>2165</v>
      </c>
      <c r="ALQ12" t="s">
        <v>2166</v>
      </c>
      <c r="ALR12" t="s">
        <v>2167</v>
      </c>
      <c r="ALS12" t="s">
        <v>2168</v>
      </c>
      <c r="ALT12" t="s">
        <v>2169</v>
      </c>
      <c r="ALU12" t="s">
        <v>2170</v>
      </c>
      <c r="ALV12" t="s">
        <v>2171</v>
      </c>
      <c r="ALW12" t="s">
        <v>2172</v>
      </c>
      <c r="ALX12" t="s">
        <v>2173</v>
      </c>
      <c r="ALY12" t="s">
        <v>2174</v>
      </c>
      <c r="ALZ12" t="s">
        <v>2175</v>
      </c>
      <c r="AMA12" t="s">
        <v>2176</v>
      </c>
      <c r="AMB12" t="s">
        <v>2177</v>
      </c>
      <c r="AMC12" t="s">
        <v>2178</v>
      </c>
      <c r="AMD12" t="s">
        <v>2179</v>
      </c>
      <c r="AME12" t="s">
        <v>2180</v>
      </c>
      <c r="AMF12" t="s">
        <v>2181</v>
      </c>
      <c r="AMG12" t="s">
        <v>2182</v>
      </c>
      <c r="AMH12" t="s">
        <v>2183</v>
      </c>
      <c r="AMI12" t="s">
        <v>2184</v>
      </c>
      <c r="AMJ12" t="s">
        <v>2185</v>
      </c>
      <c r="AMK12" t="s">
        <v>2186</v>
      </c>
      <c r="AML12" t="s">
        <v>2187</v>
      </c>
      <c r="AMM12" t="s">
        <v>2188</v>
      </c>
      <c r="AMN12" t="s">
        <v>2189</v>
      </c>
      <c r="AMO12" t="s">
        <v>2190</v>
      </c>
      <c r="AMP12" t="s">
        <v>2191</v>
      </c>
      <c r="AMQ12" t="s">
        <v>2192</v>
      </c>
      <c r="AMR12" t="s">
        <v>2193</v>
      </c>
      <c r="AMS12" t="s">
        <v>2194</v>
      </c>
      <c r="AMT12" t="s">
        <v>2195</v>
      </c>
      <c r="AMU12" t="s">
        <v>2196</v>
      </c>
      <c r="AMV12" t="s">
        <v>2197</v>
      </c>
      <c r="AMW12" t="s">
        <v>2198</v>
      </c>
      <c r="AMX12" t="s">
        <v>2199</v>
      </c>
      <c r="AMY12" t="s">
        <v>2200</v>
      </c>
      <c r="AMZ12" t="s">
        <v>2201</v>
      </c>
      <c r="ANA12" t="s">
        <v>2202</v>
      </c>
      <c r="ANB12" t="s">
        <v>2203</v>
      </c>
      <c r="ANC12" t="s">
        <v>2204</v>
      </c>
      <c r="AND12" t="s">
        <v>2205</v>
      </c>
      <c r="ANE12" t="s">
        <v>2206</v>
      </c>
      <c r="ANF12" t="s">
        <v>2207</v>
      </c>
      <c r="ANG12" t="s">
        <v>2208</v>
      </c>
      <c r="ANH12" t="s">
        <v>2209</v>
      </c>
      <c r="ANI12" t="s">
        <v>2210</v>
      </c>
      <c r="ANJ12" t="s">
        <v>2211</v>
      </c>
      <c r="ANK12" t="s">
        <v>2212</v>
      </c>
      <c r="ANL12" t="s">
        <v>2213</v>
      </c>
      <c r="ANM12" t="s">
        <v>2214</v>
      </c>
      <c r="ANN12" t="s">
        <v>2215</v>
      </c>
      <c r="ANO12" t="s">
        <v>2216</v>
      </c>
      <c r="ANP12" t="s">
        <v>2217</v>
      </c>
      <c r="ANQ12" t="s">
        <v>2218</v>
      </c>
      <c r="ANR12" t="s">
        <v>2219</v>
      </c>
      <c r="ANS12" t="s">
        <v>2220</v>
      </c>
      <c r="ANT12" t="s">
        <v>2221</v>
      </c>
      <c r="ANU12" t="s">
        <v>2222</v>
      </c>
      <c r="ANV12" t="s">
        <v>2223</v>
      </c>
      <c r="ANW12" t="s">
        <v>2224</v>
      </c>
      <c r="ANX12" t="s">
        <v>2225</v>
      </c>
      <c r="ANY12" t="s">
        <v>2226</v>
      </c>
      <c r="ANZ12" t="s">
        <v>2227</v>
      </c>
      <c r="AOA12" t="s">
        <v>2228</v>
      </c>
      <c r="AOB12" t="s">
        <v>2229</v>
      </c>
      <c r="AOE12" t="s">
        <v>2230</v>
      </c>
      <c r="AOF12" t="s">
        <v>2231</v>
      </c>
      <c r="AOG12" s="13" t="s">
        <v>2232</v>
      </c>
      <c r="AOH12" s="13" t="s">
        <v>2233</v>
      </c>
      <c r="AOI12" s="13" t="s">
        <v>2234</v>
      </c>
      <c r="AOJ12" s="13" t="s">
        <v>2235</v>
      </c>
      <c r="AOK12" s="13" t="s">
        <v>2236</v>
      </c>
      <c r="AOL12" s="13" t="s">
        <v>2237</v>
      </c>
      <c r="AOM12" t="s">
        <v>1102</v>
      </c>
      <c r="AON12" t="s">
        <v>1103</v>
      </c>
      <c r="AOO12" t="s">
        <v>2238</v>
      </c>
      <c r="AOP12" t="s">
        <v>2239</v>
      </c>
      <c r="AOQ12" t="s">
        <v>2240</v>
      </c>
      <c r="AOR12" t="s">
        <v>2241</v>
      </c>
      <c r="AOS12" t="s">
        <v>2242</v>
      </c>
      <c r="AOT12" t="s">
        <v>1830</v>
      </c>
      <c r="AOU12" t="s">
        <v>2243</v>
      </c>
      <c r="AOV12" t="s">
        <v>2244</v>
      </c>
      <c r="AOW12" t="s">
        <v>2245</v>
      </c>
      <c r="AOX12" t="s">
        <v>2246</v>
      </c>
      <c r="AOY12" t="s">
        <v>2247</v>
      </c>
      <c r="AOZ12" t="s">
        <v>2248</v>
      </c>
      <c r="APA12" t="s">
        <v>2249</v>
      </c>
      <c r="APB12" t="s">
        <v>2250</v>
      </c>
      <c r="APC12" t="s">
        <v>2251</v>
      </c>
      <c r="APD12" t="s">
        <v>2252</v>
      </c>
      <c r="APE12" t="s">
        <v>2253</v>
      </c>
      <c r="APF12" t="s">
        <v>2254</v>
      </c>
      <c r="APG12" t="s">
        <v>2255</v>
      </c>
      <c r="APH12" t="s">
        <v>2256</v>
      </c>
      <c r="API12" t="s">
        <v>2257</v>
      </c>
      <c r="APJ12" t="s">
        <v>2258</v>
      </c>
      <c r="APK12" t="s">
        <v>2259</v>
      </c>
      <c r="APL12" t="s">
        <v>2260</v>
      </c>
      <c r="APM12" t="s">
        <v>2261</v>
      </c>
      <c r="APN12" t="s">
        <v>2262</v>
      </c>
      <c r="APO12" t="s">
        <v>2263</v>
      </c>
      <c r="APP12" t="s">
        <v>2264</v>
      </c>
      <c r="APQ12" t="s">
        <v>2265</v>
      </c>
      <c r="APR12" t="s">
        <v>2266</v>
      </c>
      <c r="APS12" t="s">
        <v>2267</v>
      </c>
      <c r="APT12" t="s">
        <v>2268</v>
      </c>
      <c r="APU12" t="s">
        <v>2269</v>
      </c>
      <c r="APV12" t="s">
        <v>2270</v>
      </c>
      <c r="APW12" t="s">
        <v>2271</v>
      </c>
      <c r="APX12" t="s">
        <v>2272</v>
      </c>
      <c r="APY12" t="s">
        <v>2273</v>
      </c>
      <c r="APZ12" t="s">
        <v>2274</v>
      </c>
      <c r="AQA12" t="s">
        <v>2275</v>
      </c>
      <c r="AQB12" t="s">
        <v>2276</v>
      </c>
      <c r="AQC12" t="s">
        <v>2277</v>
      </c>
      <c r="AQD12" t="s">
        <v>2278</v>
      </c>
      <c r="AQE12" t="s">
        <v>2279</v>
      </c>
      <c r="AQF12" t="s">
        <v>2280</v>
      </c>
      <c r="AQG12" t="s">
        <v>2281</v>
      </c>
      <c r="AQH12" t="s">
        <v>2282</v>
      </c>
      <c r="AQI12" t="s">
        <v>2283</v>
      </c>
      <c r="AQJ12" t="s">
        <v>2284</v>
      </c>
      <c r="AQK12" t="s">
        <v>2285</v>
      </c>
      <c r="AQL12" t="s">
        <v>2286</v>
      </c>
      <c r="AQM12" t="s">
        <v>2287</v>
      </c>
      <c r="AQN12" t="s">
        <v>2288</v>
      </c>
      <c r="AQO12" t="s">
        <v>2289</v>
      </c>
      <c r="AQP12" t="s">
        <v>2290</v>
      </c>
      <c r="AQQ12" t="s">
        <v>2291</v>
      </c>
      <c r="AQR12" t="s">
        <v>2292</v>
      </c>
      <c r="AQS12" t="s">
        <v>2293</v>
      </c>
      <c r="AQT12" t="s">
        <v>2294</v>
      </c>
      <c r="AQU12" t="s">
        <v>2295</v>
      </c>
      <c r="AQV12" t="s">
        <v>2296</v>
      </c>
      <c r="AQW12" t="s">
        <v>2297</v>
      </c>
      <c r="AQX12" t="s">
        <v>2298</v>
      </c>
      <c r="AQY12" t="s">
        <v>2299</v>
      </c>
      <c r="AQZ12" t="s">
        <v>2300</v>
      </c>
      <c r="ARA12" t="s">
        <v>2301</v>
      </c>
      <c r="ARB12" t="s">
        <v>2302</v>
      </c>
      <c r="ARC12" t="s">
        <v>2303</v>
      </c>
      <c r="ARD12" t="s">
        <v>2304</v>
      </c>
      <c r="ARE12" t="s">
        <v>2305</v>
      </c>
      <c r="ARF12" t="s">
        <v>2306</v>
      </c>
      <c r="ARG12" t="s">
        <v>2307</v>
      </c>
      <c r="ARH12" t="s">
        <v>2308</v>
      </c>
      <c r="ARI12" t="s">
        <v>2309</v>
      </c>
      <c r="ARJ12" t="s">
        <v>2310</v>
      </c>
      <c r="ARK12" t="s">
        <v>2311</v>
      </c>
      <c r="ARL12" t="s">
        <v>2312</v>
      </c>
      <c r="ARM12" t="s">
        <v>2313</v>
      </c>
      <c r="ARN12" t="s">
        <v>2314</v>
      </c>
      <c r="ARO12" t="s">
        <v>2315</v>
      </c>
      <c r="ARP12" t="s">
        <v>2316</v>
      </c>
      <c r="ARQ12" t="s">
        <v>2317</v>
      </c>
      <c r="ARR12" t="s">
        <v>2318</v>
      </c>
      <c r="ARS12" t="s">
        <v>2319</v>
      </c>
      <c r="ART12" t="s">
        <v>2320</v>
      </c>
      <c r="ARU12" t="s">
        <v>2321</v>
      </c>
      <c r="ARV12" t="s">
        <v>2322</v>
      </c>
      <c r="ARW12" t="s">
        <v>2323</v>
      </c>
      <c r="ARX12" t="s">
        <v>2324</v>
      </c>
      <c r="ARY12" t="s">
        <v>2325</v>
      </c>
      <c r="ARZ12" t="s">
        <v>2326</v>
      </c>
      <c r="ASA12" t="s">
        <v>2327</v>
      </c>
      <c r="ASB12" t="s">
        <v>2328</v>
      </c>
      <c r="ASC12" t="s">
        <v>2329</v>
      </c>
      <c r="ASD12" t="s">
        <v>2330</v>
      </c>
      <c r="ASE12" t="s">
        <v>2331</v>
      </c>
      <c r="ASF12" t="s">
        <v>2332</v>
      </c>
      <c r="ASG12" t="s">
        <v>2333</v>
      </c>
      <c r="ASH12" t="s">
        <v>2334</v>
      </c>
      <c r="ASI12" t="s">
        <v>2335</v>
      </c>
      <c r="ASJ12" t="s">
        <v>2336</v>
      </c>
      <c r="ASK12" t="s">
        <v>2337</v>
      </c>
      <c r="ASL12" t="s">
        <v>2338</v>
      </c>
      <c r="ASM12" t="s">
        <v>2339</v>
      </c>
      <c r="ASN12" t="s">
        <v>2340</v>
      </c>
      <c r="ASO12" t="s">
        <v>2341</v>
      </c>
      <c r="ASP12" t="s">
        <v>2342</v>
      </c>
      <c r="ASQ12" t="s">
        <v>2343</v>
      </c>
      <c r="ASR12" t="s">
        <v>2344</v>
      </c>
      <c r="ASS12" t="s">
        <v>2345</v>
      </c>
      <c r="AST12" t="s">
        <v>2346</v>
      </c>
      <c r="ASU12" t="s">
        <v>2347</v>
      </c>
      <c r="ASV12" t="s">
        <v>2344</v>
      </c>
      <c r="ASW12" t="s">
        <v>2345</v>
      </c>
      <c r="ASX12" t="s">
        <v>2346</v>
      </c>
      <c r="ASY12" t="s">
        <v>2347</v>
      </c>
      <c r="ASZ12" t="s">
        <v>2348</v>
      </c>
      <c r="ATA12" t="s">
        <v>2348</v>
      </c>
      <c r="ATB12" t="s">
        <v>2349</v>
      </c>
      <c r="ATC12" t="s">
        <v>2349</v>
      </c>
      <c r="ATD12" t="s">
        <v>2350</v>
      </c>
      <c r="ATE12" t="s">
        <v>2350</v>
      </c>
      <c r="ATF12" t="s">
        <v>2351</v>
      </c>
      <c r="ATG12" t="s">
        <v>2351</v>
      </c>
      <c r="ATH12" t="s">
        <v>2352</v>
      </c>
      <c r="ATI12" t="s">
        <v>2352</v>
      </c>
      <c r="ATJ12" t="s">
        <v>2353</v>
      </c>
      <c r="ATK12" t="s">
        <v>2353</v>
      </c>
      <c r="ATL12" t="s">
        <v>2354</v>
      </c>
      <c r="ATM12" t="s">
        <v>2354</v>
      </c>
      <c r="ATN12" t="s">
        <v>2355</v>
      </c>
      <c r="ATO12" t="s">
        <v>2355</v>
      </c>
      <c r="ATP12" t="s">
        <v>2356</v>
      </c>
      <c r="ATQ12" t="s">
        <v>2356</v>
      </c>
    </row>
    <row r="13" spans="1:1213" x14ac:dyDescent="0.25">
      <c r="A13" s="19" t="s">
        <v>1237</v>
      </c>
      <c r="B13" s="19" t="s">
        <v>1237</v>
      </c>
      <c r="C13" s="19" t="s">
        <v>1237</v>
      </c>
      <c r="D13" s="20" t="s">
        <v>2357</v>
      </c>
      <c r="E13" s="20" t="s">
        <v>2358</v>
      </c>
      <c r="F13" s="27" t="s">
        <v>2358</v>
      </c>
      <c r="G13" s="27" t="s">
        <v>2359</v>
      </c>
      <c r="H13" s="27" t="s">
        <v>2360</v>
      </c>
      <c r="I13" s="27" t="s">
        <v>2361</v>
      </c>
      <c r="J13" s="27" t="s">
        <v>2362</v>
      </c>
      <c r="K13" s="27" t="s">
        <v>2363</v>
      </c>
      <c r="L13" s="27" t="s">
        <v>2364</v>
      </c>
      <c r="M13" s="27" t="s">
        <v>2365</v>
      </c>
      <c r="N13" s="27" t="s">
        <v>2366</v>
      </c>
      <c r="O13" s="27" t="s">
        <v>2367</v>
      </c>
      <c r="P13" s="27" t="s">
        <v>2368</v>
      </c>
      <c r="Q13" s="27" t="s">
        <v>2369</v>
      </c>
      <c r="R13" s="27" t="s">
        <v>2370</v>
      </c>
      <c r="S13" s="27" t="s">
        <v>2371</v>
      </c>
      <c r="T13" s="27" t="s">
        <v>2372</v>
      </c>
      <c r="U13" s="27" t="s">
        <v>2372</v>
      </c>
      <c r="V13" s="27" t="s">
        <v>2372</v>
      </c>
      <c r="W13" s="20" t="s">
        <v>2373</v>
      </c>
      <c r="X13" s="20" t="s">
        <v>2358</v>
      </c>
      <c r="Y13" s="20" t="s">
        <v>2358</v>
      </c>
      <c r="Z13" s="22" t="s">
        <v>2358</v>
      </c>
      <c r="AA13" s="22" t="s">
        <v>2358</v>
      </c>
      <c r="AB13" s="22" t="s">
        <v>2364</v>
      </c>
      <c r="AC13" s="22" t="s">
        <v>2359</v>
      </c>
      <c r="AD13" s="22" t="s">
        <v>2358</v>
      </c>
      <c r="AE13" s="22" t="s">
        <v>2360</v>
      </c>
      <c r="AF13" s="22" t="s">
        <v>2373</v>
      </c>
      <c r="AG13" s="22" t="s">
        <v>2365</v>
      </c>
      <c r="AH13" s="20" t="s">
        <v>2366</v>
      </c>
      <c r="AI13" s="20" t="s">
        <v>2358</v>
      </c>
      <c r="AJ13" s="20" t="s">
        <v>2358</v>
      </c>
      <c r="AK13" s="20" t="s">
        <v>2358</v>
      </c>
      <c r="AL13" s="20" t="s">
        <v>2358</v>
      </c>
      <c r="AM13" s="20" t="s">
        <v>2358</v>
      </c>
      <c r="AN13" s="20" t="s">
        <v>2364</v>
      </c>
      <c r="AO13" s="20" t="s">
        <v>2364</v>
      </c>
      <c r="AP13" s="20" t="s">
        <v>2374</v>
      </c>
      <c r="AQ13" s="20" t="s">
        <v>2374</v>
      </c>
      <c r="AR13" s="20" t="s">
        <v>2374</v>
      </c>
      <c r="AS13" s="20" t="s">
        <v>2374</v>
      </c>
      <c r="AT13" s="20" t="s">
        <v>2364</v>
      </c>
      <c r="AU13" s="20" t="s">
        <v>2373</v>
      </c>
      <c r="AV13" s="20" t="s">
        <v>2373</v>
      </c>
      <c r="AW13" s="20" t="s">
        <v>2362</v>
      </c>
      <c r="AX13" s="20" t="s">
        <v>2363</v>
      </c>
      <c r="AY13" s="20" t="s">
        <v>2364</v>
      </c>
      <c r="AZ13" s="20" t="s">
        <v>2364</v>
      </c>
      <c r="BA13" s="20" t="s">
        <v>2358</v>
      </c>
      <c r="BB13" s="20" t="s">
        <v>2358</v>
      </c>
      <c r="BC13" s="20" t="s">
        <v>2364</v>
      </c>
      <c r="BD13" s="20" t="s">
        <v>2364</v>
      </c>
      <c r="BE13" s="20" t="s">
        <v>2364</v>
      </c>
      <c r="BF13" s="20" t="s">
        <v>2358</v>
      </c>
      <c r="BG13" s="20" t="s">
        <v>2358</v>
      </c>
      <c r="BH13" s="20" t="s">
        <v>2358</v>
      </c>
      <c r="BI13" s="20" t="s">
        <v>2364</v>
      </c>
      <c r="BJ13" s="20" t="s">
        <v>2364</v>
      </c>
      <c r="BK13" s="20" t="s">
        <v>2374</v>
      </c>
      <c r="BL13" s="20" t="s">
        <v>2374</v>
      </c>
      <c r="BM13" s="20" t="s">
        <v>2374</v>
      </c>
      <c r="BN13" s="20" t="s">
        <v>2374</v>
      </c>
      <c r="BO13" s="20" t="s">
        <v>2358</v>
      </c>
      <c r="BP13" s="20" t="s">
        <v>2364</v>
      </c>
      <c r="BQ13" s="20" t="s">
        <v>2358</v>
      </c>
      <c r="BR13" s="20" t="s">
        <v>2358</v>
      </c>
      <c r="BS13" s="20" t="s">
        <v>2358</v>
      </c>
      <c r="BT13" s="20" t="s">
        <v>2358</v>
      </c>
      <c r="BU13" s="20" t="s">
        <v>2358</v>
      </c>
      <c r="BV13" s="20" t="s">
        <v>2358</v>
      </c>
      <c r="BW13" s="20" t="s">
        <v>2364</v>
      </c>
      <c r="BX13" s="20" t="s">
        <v>2364</v>
      </c>
      <c r="BY13" s="20" t="s">
        <v>2364</v>
      </c>
      <c r="BZ13" s="20" t="s">
        <v>2358</v>
      </c>
      <c r="CA13" s="20" t="s">
        <v>2358</v>
      </c>
      <c r="CB13" s="20" t="s">
        <v>2364</v>
      </c>
      <c r="CC13" s="20" t="s">
        <v>2364</v>
      </c>
      <c r="CD13" s="20" t="s">
        <v>2358</v>
      </c>
      <c r="CE13" s="20" t="s">
        <v>2364</v>
      </c>
      <c r="CF13" s="20" t="s">
        <v>2374</v>
      </c>
      <c r="CG13" s="20" t="s">
        <v>2374</v>
      </c>
      <c r="CH13" s="20" t="s">
        <v>2364</v>
      </c>
      <c r="CI13" s="20" t="s">
        <v>2364</v>
      </c>
      <c r="CJ13" s="20" t="s">
        <v>2374</v>
      </c>
      <c r="CK13" s="20" t="s">
        <v>2374</v>
      </c>
      <c r="CL13" s="20" t="s">
        <v>2358</v>
      </c>
      <c r="CM13" s="20" t="s">
        <v>2358</v>
      </c>
      <c r="CN13" s="20" t="s">
        <v>2364</v>
      </c>
      <c r="CO13" s="20" t="s">
        <v>2364</v>
      </c>
      <c r="CP13" s="20" t="s">
        <v>2374</v>
      </c>
      <c r="CQ13" s="20" t="s">
        <v>2374</v>
      </c>
      <c r="CR13" s="20" t="s">
        <v>2374</v>
      </c>
      <c r="CS13" s="20" t="s">
        <v>2364</v>
      </c>
      <c r="CT13" s="20" t="s">
        <v>2358</v>
      </c>
      <c r="CU13" s="20" t="s">
        <v>2358</v>
      </c>
      <c r="CV13" s="20" t="s">
        <v>2358</v>
      </c>
      <c r="CW13" s="20" t="s">
        <v>2364</v>
      </c>
      <c r="CX13" s="20" t="s">
        <v>2364</v>
      </c>
      <c r="CY13" s="20" t="s">
        <v>2364</v>
      </c>
      <c r="CZ13" s="20" t="s">
        <v>2358</v>
      </c>
      <c r="DA13" s="20" t="s">
        <v>2358</v>
      </c>
      <c r="DB13" s="20" t="s">
        <v>2358</v>
      </c>
      <c r="DC13" s="20" t="s">
        <v>2358</v>
      </c>
      <c r="DD13" s="20" t="s">
        <v>2358</v>
      </c>
      <c r="DE13" s="20" t="s">
        <v>2364</v>
      </c>
      <c r="DF13" s="20" t="s">
        <v>2358</v>
      </c>
      <c r="DG13" s="20" t="s">
        <v>2358</v>
      </c>
      <c r="DH13" s="20" t="s">
        <v>2364</v>
      </c>
      <c r="DI13" s="20" t="s">
        <v>2358</v>
      </c>
      <c r="DJ13" s="20" t="s">
        <v>2358</v>
      </c>
      <c r="DK13" s="20" t="s">
        <v>2364</v>
      </c>
      <c r="DL13" s="20" t="s">
        <v>2364</v>
      </c>
      <c r="DM13" s="20" t="s">
        <v>2358</v>
      </c>
      <c r="DN13" s="20" t="s">
        <v>2364</v>
      </c>
      <c r="DO13" s="20" t="s">
        <v>2364</v>
      </c>
      <c r="DP13" s="20" t="s">
        <v>2364</v>
      </c>
      <c r="DQ13" s="20" t="s">
        <v>2358</v>
      </c>
      <c r="DR13" s="20" t="s">
        <v>2358</v>
      </c>
      <c r="DS13" s="20" t="s">
        <v>2364</v>
      </c>
      <c r="DT13" s="20" t="s">
        <v>2358</v>
      </c>
      <c r="DU13" s="20" t="s">
        <v>2358</v>
      </c>
      <c r="DV13" s="20" t="s">
        <v>2358</v>
      </c>
      <c r="DW13" s="20" t="s">
        <v>2358</v>
      </c>
      <c r="DX13" s="20" t="s">
        <v>2364</v>
      </c>
      <c r="DY13" s="20" t="s">
        <v>2358</v>
      </c>
      <c r="DZ13" s="20" t="s">
        <v>2358</v>
      </c>
      <c r="EA13" s="20" t="s">
        <v>2358</v>
      </c>
      <c r="EB13" s="20" t="s">
        <v>2358</v>
      </c>
      <c r="EC13" s="20" t="s">
        <v>2364</v>
      </c>
      <c r="ED13" s="20" t="s">
        <v>2358</v>
      </c>
      <c r="EE13" s="20" t="s">
        <v>2358</v>
      </c>
      <c r="EF13" s="20" t="s">
        <v>2358</v>
      </c>
      <c r="EG13" s="20" t="s">
        <v>2358</v>
      </c>
      <c r="EH13" s="28" t="s">
        <v>2366</v>
      </c>
      <c r="EI13" s="20" t="s">
        <v>2364</v>
      </c>
      <c r="EJ13" s="20" t="s">
        <v>2358</v>
      </c>
      <c r="EK13" s="20" t="s">
        <v>2358</v>
      </c>
      <c r="EL13" s="20" t="s">
        <v>2358</v>
      </c>
      <c r="EM13" s="20" t="s">
        <v>2358</v>
      </c>
      <c r="EN13" s="20" t="s">
        <v>2364</v>
      </c>
      <c r="EO13" s="20" t="s">
        <v>2364</v>
      </c>
      <c r="EP13" s="20" t="s">
        <v>2364</v>
      </c>
      <c r="EQ13" s="20" t="s">
        <v>2358</v>
      </c>
      <c r="ER13" s="20" t="s">
        <v>2358</v>
      </c>
      <c r="ES13" s="20" t="s">
        <v>2364</v>
      </c>
      <c r="ET13" s="20" t="s">
        <v>2364</v>
      </c>
      <c r="EU13" s="20" t="s">
        <v>2364</v>
      </c>
      <c r="EV13" s="20" t="s">
        <v>2364</v>
      </c>
      <c r="EW13" s="20" t="s">
        <v>2364</v>
      </c>
      <c r="EX13" s="20" t="s">
        <v>2364</v>
      </c>
      <c r="EY13" s="20" t="s">
        <v>2364</v>
      </c>
      <c r="EZ13" s="20" t="s">
        <v>2364</v>
      </c>
      <c r="FA13" s="20" t="s">
        <v>2364</v>
      </c>
      <c r="FB13" s="20" t="s">
        <v>2364</v>
      </c>
      <c r="FC13" s="20" t="s">
        <v>2364</v>
      </c>
      <c r="FD13" s="20" t="s">
        <v>2364</v>
      </c>
      <c r="FE13" s="20" t="s">
        <v>2364</v>
      </c>
      <c r="FF13" s="20" t="s">
        <v>2364</v>
      </c>
      <c r="FG13" s="20" t="s">
        <v>2364</v>
      </c>
      <c r="FH13" s="20" t="s">
        <v>2364</v>
      </c>
      <c r="FI13" s="20" t="s">
        <v>2364</v>
      </c>
      <c r="FJ13" s="20" t="s">
        <v>2364</v>
      </c>
      <c r="FK13" s="20" t="s">
        <v>2364</v>
      </c>
      <c r="FL13" s="20" t="s">
        <v>2364</v>
      </c>
      <c r="FM13" s="20" t="s">
        <v>2364</v>
      </c>
      <c r="FN13" s="20" t="s">
        <v>2364</v>
      </c>
      <c r="FO13" s="20" t="s">
        <v>2364</v>
      </c>
      <c r="FP13" s="20" t="s">
        <v>2364</v>
      </c>
      <c r="FQ13" s="20" t="s">
        <v>2364</v>
      </c>
      <c r="FR13" s="20" t="s">
        <v>2364</v>
      </c>
      <c r="FS13" s="20" t="s">
        <v>2364</v>
      </c>
      <c r="FT13" s="20" t="s">
        <v>2365</v>
      </c>
      <c r="FU13" s="20" t="s">
        <v>2364</v>
      </c>
      <c r="FV13" s="20" t="s">
        <v>2364</v>
      </c>
      <c r="FW13" s="20" t="s">
        <v>2364</v>
      </c>
      <c r="FX13" s="20" t="s">
        <v>2364</v>
      </c>
      <c r="FY13" s="20" t="s">
        <v>2364</v>
      </c>
      <c r="FZ13" s="20" t="s">
        <v>2364</v>
      </c>
      <c r="GA13" s="20" t="s">
        <v>2364</v>
      </c>
      <c r="GB13" s="20" t="s">
        <v>2364</v>
      </c>
      <c r="GC13" s="20" t="s">
        <v>2364</v>
      </c>
      <c r="GD13" s="20" t="s">
        <v>2364</v>
      </c>
      <c r="GE13" s="20" t="s">
        <v>2364</v>
      </c>
      <c r="GF13" s="20" t="s">
        <v>2364</v>
      </c>
      <c r="GG13" s="20" t="s">
        <v>2364</v>
      </c>
      <c r="GH13" s="20" t="s">
        <v>2364</v>
      </c>
      <c r="GI13" s="20" t="s">
        <v>2364</v>
      </c>
      <c r="GJ13" s="20" t="s">
        <v>2364</v>
      </c>
      <c r="GK13" s="20" t="s">
        <v>2364</v>
      </c>
      <c r="GL13" s="20" t="s">
        <v>2364</v>
      </c>
      <c r="GM13" s="20" t="s">
        <v>2365</v>
      </c>
      <c r="GN13" s="20" t="s">
        <v>2364</v>
      </c>
      <c r="GO13" s="20" t="s">
        <v>2364</v>
      </c>
      <c r="GP13" s="20" t="s">
        <v>2364</v>
      </c>
      <c r="GQ13" s="20" t="s">
        <v>2364</v>
      </c>
      <c r="GR13" s="20" t="s">
        <v>2364</v>
      </c>
      <c r="GS13" s="20" t="s">
        <v>2364</v>
      </c>
      <c r="GT13" s="20" t="s">
        <v>2365</v>
      </c>
      <c r="GU13" s="20" t="s">
        <v>2364</v>
      </c>
      <c r="GV13" s="20" t="s">
        <v>2363</v>
      </c>
      <c r="GW13" s="20" t="s">
        <v>2373</v>
      </c>
      <c r="GX13" s="20" t="s">
        <v>2364</v>
      </c>
      <c r="GY13" s="20" t="s">
        <v>2364</v>
      </c>
      <c r="GZ13" s="22" t="s">
        <v>2364</v>
      </c>
      <c r="HA13" s="8" t="s">
        <v>2364</v>
      </c>
      <c r="HB13" s="8" t="s">
        <v>2373</v>
      </c>
      <c r="HC13" s="8" t="s">
        <v>2373</v>
      </c>
      <c r="HD13" s="8" t="s">
        <v>2364</v>
      </c>
      <c r="HE13" s="8" t="s">
        <v>2364</v>
      </c>
      <c r="HF13" s="8" t="s">
        <v>2364</v>
      </c>
      <c r="HG13" s="8" t="s">
        <v>2364</v>
      </c>
      <c r="HH13" s="8" t="s">
        <v>2364</v>
      </c>
      <c r="HI13" s="8" t="s">
        <v>2364</v>
      </c>
      <c r="HJ13" s="8" t="s">
        <v>2364</v>
      </c>
      <c r="HK13" s="8" t="s">
        <v>2364</v>
      </c>
      <c r="HL13" s="8" t="s">
        <v>2358</v>
      </c>
      <c r="HM13" s="8" t="s">
        <v>2358</v>
      </c>
      <c r="HN13" s="8" t="s">
        <v>2364</v>
      </c>
      <c r="HO13" s="8" t="s">
        <v>2358</v>
      </c>
      <c r="HP13" s="8" t="s">
        <v>2358</v>
      </c>
      <c r="HQ13" s="8" t="s">
        <v>2358</v>
      </c>
      <c r="HR13" s="8" t="s">
        <v>2374</v>
      </c>
      <c r="HS13" s="8" t="s">
        <v>2358</v>
      </c>
      <c r="HT13" s="8" t="s">
        <v>2364</v>
      </c>
      <c r="HU13" s="8" t="s">
        <v>2364</v>
      </c>
      <c r="HV13" s="8" t="s">
        <v>2364</v>
      </c>
      <c r="HW13" s="8" t="s">
        <v>2364</v>
      </c>
      <c r="HX13" s="8" t="s">
        <v>2364</v>
      </c>
      <c r="HY13" s="8" t="s">
        <v>2364</v>
      </c>
      <c r="HZ13" s="8" t="s">
        <v>2364</v>
      </c>
      <c r="IA13" s="8" t="s">
        <v>2364</v>
      </c>
      <c r="IB13" s="8" t="s">
        <v>2364</v>
      </c>
      <c r="IC13" s="8" t="s">
        <v>2364</v>
      </c>
      <c r="ID13" s="8" t="s">
        <v>2364</v>
      </c>
      <c r="IE13" s="8" t="s">
        <v>2358</v>
      </c>
      <c r="IF13" s="8" t="s">
        <v>2364</v>
      </c>
      <c r="IG13" s="8" t="s">
        <v>2358</v>
      </c>
      <c r="IH13" s="8" t="s">
        <v>2364</v>
      </c>
      <c r="II13" s="8" t="s">
        <v>2364</v>
      </c>
      <c r="IJ13" s="8" t="s">
        <v>2364</v>
      </c>
      <c r="IK13" s="8" t="s">
        <v>2364</v>
      </c>
      <c r="IL13" s="8" t="s">
        <v>2358</v>
      </c>
      <c r="IM13" s="8" t="s">
        <v>2364</v>
      </c>
      <c r="IN13" s="8" t="s">
        <v>2358</v>
      </c>
      <c r="IO13" s="8" t="s">
        <v>2358</v>
      </c>
      <c r="IP13" s="8" t="s">
        <v>2374</v>
      </c>
      <c r="IQ13" s="8" t="s">
        <v>2358</v>
      </c>
      <c r="IR13" s="8" t="s">
        <v>2364</v>
      </c>
      <c r="IS13" s="8" t="s">
        <v>2358</v>
      </c>
      <c r="IT13" s="8" t="s">
        <v>2364</v>
      </c>
      <c r="IU13" s="8" t="s">
        <v>2358</v>
      </c>
      <c r="IV13" s="8" t="s">
        <v>2364</v>
      </c>
      <c r="IW13" s="8" t="s">
        <v>2364</v>
      </c>
      <c r="IX13" s="8" t="s">
        <v>2358</v>
      </c>
      <c r="IY13" s="8" t="s">
        <v>2364</v>
      </c>
      <c r="IZ13" s="8" t="s">
        <v>2358</v>
      </c>
      <c r="JA13" s="8" t="s">
        <v>2364</v>
      </c>
      <c r="JB13" s="8" t="s">
        <v>2364</v>
      </c>
      <c r="JC13" s="8" t="s">
        <v>2358</v>
      </c>
      <c r="JD13" s="8" t="s">
        <v>2364</v>
      </c>
      <c r="JE13" s="8" t="s">
        <v>2364</v>
      </c>
      <c r="JF13" s="8" t="s">
        <v>2358</v>
      </c>
      <c r="JG13" s="8" t="s">
        <v>2358</v>
      </c>
      <c r="JH13" s="8" t="s">
        <v>2358</v>
      </c>
      <c r="JI13" s="8" t="s">
        <v>2358</v>
      </c>
      <c r="JJ13" s="8" t="s">
        <v>2358</v>
      </c>
      <c r="JK13" s="8" t="s">
        <v>2364</v>
      </c>
      <c r="JL13" s="8" t="s">
        <v>2358</v>
      </c>
      <c r="JM13" s="8" t="s">
        <v>2364</v>
      </c>
      <c r="JN13" s="8" t="s">
        <v>2364</v>
      </c>
      <c r="JO13" s="8" t="s">
        <v>2364</v>
      </c>
      <c r="JP13" s="8" t="s">
        <v>2364</v>
      </c>
      <c r="JQ13" s="8" t="s">
        <v>2364</v>
      </c>
      <c r="JR13" s="8" t="s">
        <v>2365</v>
      </c>
      <c r="JS13" s="8" t="s">
        <v>2366</v>
      </c>
      <c r="JT13" s="8" t="s">
        <v>2364</v>
      </c>
      <c r="JU13" s="8" t="s">
        <v>2364</v>
      </c>
      <c r="JV13" s="8" t="s">
        <v>2364</v>
      </c>
      <c r="JW13" s="8" t="s">
        <v>2364</v>
      </c>
      <c r="JX13" s="8" t="s">
        <v>2358</v>
      </c>
      <c r="JY13" s="8" t="s">
        <v>2365</v>
      </c>
      <c r="JZ13" s="8" t="s">
        <v>2364</v>
      </c>
      <c r="KA13" s="8" t="s">
        <v>2366</v>
      </c>
      <c r="KB13" s="8" t="s">
        <v>2364</v>
      </c>
      <c r="KC13" s="8" t="s">
        <v>2374</v>
      </c>
      <c r="KD13" s="8" t="s">
        <v>2365</v>
      </c>
      <c r="KE13" s="8" t="s">
        <v>2358</v>
      </c>
      <c r="KF13" s="8" t="s">
        <v>2358</v>
      </c>
      <c r="KG13" s="8" t="s">
        <v>2364</v>
      </c>
      <c r="KH13" s="8" t="s">
        <v>2364</v>
      </c>
      <c r="KI13" s="8" t="s">
        <v>2364</v>
      </c>
      <c r="KJ13" s="8" t="s">
        <v>2365</v>
      </c>
      <c r="KK13" s="8" t="s">
        <v>2358</v>
      </c>
      <c r="KL13" s="8" t="s">
        <v>2373</v>
      </c>
      <c r="KM13" s="8" t="s">
        <v>2364</v>
      </c>
      <c r="KN13" s="8" t="s">
        <v>2358</v>
      </c>
      <c r="KO13" s="8" t="s">
        <v>2358</v>
      </c>
      <c r="KP13" s="8" t="s">
        <v>2358</v>
      </c>
      <c r="KQ13" s="8" t="s">
        <v>2358</v>
      </c>
      <c r="KR13" s="8" t="s">
        <v>2358</v>
      </c>
      <c r="KS13" s="8" t="s">
        <v>2358</v>
      </c>
      <c r="KT13" s="8" t="s">
        <v>2358</v>
      </c>
      <c r="KU13" s="8" t="s">
        <v>2358</v>
      </c>
      <c r="KV13" s="8" t="s">
        <v>2358</v>
      </c>
      <c r="KW13" s="8" t="s">
        <v>2364</v>
      </c>
      <c r="KX13" s="8" t="s">
        <v>2364</v>
      </c>
      <c r="KY13" s="8" t="s">
        <v>2364</v>
      </c>
      <c r="KZ13" s="8" t="s">
        <v>2373</v>
      </c>
      <c r="LA13" s="8" t="s">
        <v>2360</v>
      </c>
      <c r="LB13" s="8" t="s">
        <v>2362</v>
      </c>
      <c r="LC13" s="8" t="s">
        <v>2364</v>
      </c>
      <c r="LD13" s="8" t="s">
        <v>2364</v>
      </c>
      <c r="LE13" s="11" t="s">
        <v>2364</v>
      </c>
      <c r="LF13" s="8" t="s">
        <v>2364</v>
      </c>
      <c r="LG13" s="8" t="s">
        <v>2358</v>
      </c>
      <c r="LH13" s="8" t="s">
        <v>2358</v>
      </c>
      <c r="LI13" s="8" t="s">
        <v>2358</v>
      </c>
      <c r="LJ13" s="8" t="s">
        <v>2358</v>
      </c>
      <c r="LK13" s="8" t="s">
        <v>2364</v>
      </c>
      <c r="LL13" s="8" t="s">
        <v>2364</v>
      </c>
      <c r="LM13" s="8" t="s">
        <v>2364</v>
      </c>
      <c r="LN13" s="8" t="s">
        <v>2364</v>
      </c>
      <c r="LO13" s="8" t="s">
        <v>2358</v>
      </c>
      <c r="LP13" s="8" t="s">
        <v>2364</v>
      </c>
      <c r="LQ13" s="11" t="s">
        <v>2358</v>
      </c>
      <c r="LR13" s="8" t="s">
        <v>2358</v>
      </c>
      <c r="LS13" s="8" t="s">
        <v>2364</v>
      </c>
      <c r="LT13" s="8" t="s">
        <v>2358</v>
      </c>
      <c r="LU13" s="11" t="s">
        <v>2366</v>
      </c>
      <c r="LV13" s="8" t="s">
        <v>2358</v>
      </c>
      <c r="LW13" s="8" t="s">
        <v>2358</v>
      </c>
      <c r="LX13" s="8" t="s">
        <v>2358</v>
      </c>
      <c r="LY13" s="8" t="s">
        <v>2358</v>
      </c>
      <c r="LZ13" s="8" t="s">
        <v>2364</v>
      </c>
      <c r="MA13" s="8" t="s">
        <v>2358</v>
      </c>
      <c r="MB13" s="8" t="s">
        <v>2364</v>
      </c>
      <c r="MC13" s="8" t="s">
        <v>2358</v>
      </c>
      <c r="MD13" s="8" t="s">
        <v>2358</v>
      </c>
      <c r="ME13" s="8" t="s">
        <v>2364</v>
      </c>
      <c r="MF13" s="8" t="s">
        <v>2364</v>
      </c>
      <c r="MG13" s="8" t="s">
        <v>2364</v>
      </c>
      <c r="MH13" s="8" t="s">
        <v>2364</v>
      </c>
      <c r="MI13" s="8" t="s">
        <v>2364</v>
      </c>
      <c r="MJ13" s="8" t="s">
        <v>2364</v>
      </c>
      <c r="MK13" s="8" t="s">
        <v>2364</v>
      </c>
      <c r="ML13" s="8" t="s">
        <v>2358</v>
      </c>
      <c r="MM13" s="11" t="s">
        <v>2373</v>
      </c>
      <c r="MN13" s="8" t="s">
        <v>2358</v>
      </c>
      <c r="MO13" s="8" t="s">
        <v>2358</v>
      </c>
      <c r="MP13" s="8" t="s">
        <v>2364</v>
      </c>
      <c r="MQ13" s="8" t="s">
        <v>2364</v>
      </c>
      <c r="MR13" s="8" t="s">
        <v>2364</v>
      </c>
      <c r="MS13" s="8" t="s">
        <v>2358</v>
      </c>
      <c r="MT13" s="8" t="s">
        <v>2364</v>
      </c>
      <c r="MU13" s="8" t="s">
        <v>2364</v>
      </c>
      <c r="MV13" s="8" t="s">
        <v>2358</v>
      </c>
      <c r="MW13" s="8" t="s">
        <v>2364</v>
      </c>
      <c r="MX13" s="8" t="s">
        <v>2364</v>
      </c>
      <c r="MY13" s="8" t="s">
        <v>2364</v>
      </c>
      <c r="MZ13" s="8" t="s">
        <v>2364</v>
      </c>
      <c r="NA13" s="8" t="s">
        <v>2358</v>
      </c>
      <c r="NB13" s="8" t="s">
        <v>2367</v>
      </c>
      <c r="NC13" s="8" t="s">
        <v>2358</v>
      </c>
      <c r="ND13" s="8" t="s">
        <v>2364</v>
      </c>
      <c r="NE13" s="8" t="s">
        <v>2364</v>
      </c>
      <c r="NF13" s="8" t="s">
        <v>2358</v>
      </c>
      <c r="NG13" s="8" t="s">
        <v>2364</v>
      </c>
      <c r="NH13" s="8" t="s">
        <v>2364</v>
      </c>
      <c r="NI13" s="8" t="s">
        <v>2366</v>
      </c>
      <c r="NJ13" s="8" t="s">
        <v>2358</v>
      </c>
      <c r="NK13" s="29" t="s">
        <v>2373</v>
      </c>
      <c r="NL13" s="8" t="s">
        <v>2364</v>
      </c>
      <c r="NM13" s="8" t="s">
        <v>2364</v>
      </c>
      <c r="NN13" s="8" t="s">
        <v>2364</v>
      </c>
      <c r="NO13" s="8" t="s">
        <v>2364</v>
      </c>
      <c r="NP13" s="8" t="s">
        <v>2364</v>
      </c>
      <c r="NQ13" s="8" t="s">
        <v>2364</v>
      </c>
      <c r="NR13" s="8" t="s">
        <v>2358</v>
      </c>
      <c r="NS13" s="8" t="s">
        <v>2364</v>
      </c>
      <c r="NT13" s="8" t="s">
        <v>2364</v>
      </c>
      <c r="NU13" s="8" t="s">
        <v>2358</v>
      </c>
      <c r="NV13" s="8" t="s">
        <v>2358</v>
      </c>
      <c r="NW13" s="8" t="s">
        <v>2364</v>
      </c>
      <c r="NX13" s="8" t="s">
        <v>2365</v>
      </c>
      <c r="NY13" s="8" t="s">
        <v>2365</v>
      </c>
      <c r="NZ13" s="8" t="s">
        <v>2358</v>
      </c>
      <c r="OA13" s="8" t="s">
        <v>2358</v>
      </c>
      <c r="OB13" s="8" t="s">
        <v>2358</v>
      </c>
      <c r="OC13" s="8" t="s">
        <v>2358</v>
      </c>
      <c r="OD13" s="8" t="s">
        <v>2365</v>
      </c>
      <c r="OE13" s="8" t="s">
        <v>2364</v>
      </c>
      <c r="OF13" s="8" t="s">
        <v>2358</v>
      </c>
      <c r="OG13" s="8" t="s">
        <v>2364</v>
      </c>
      <c r="OH13" s="8" t="s">
        <v>2358</v>
      </c>
      <c r="OI13" s="8" t="s">
        <v>2358</v>
      </c>
      <c r="OJ13" s="8" t="s">
        <v>2364</v>
      </c>
      <c r="OK13" s="8" t="s">
        <v>2364</v>
      </c>
      <c r="OL13" s="8" t="s">
        <v>2373</v>
      </c>
      <c r="OM13" s="8" t="s">
        <v>2364</v>
      </c>
      <c r="ON13" s="8" t="s">
        <v>2358</v>
      </c>
      <c r="OO13" s="8" t="s">
        <v>2367</v>
      </c>
      <c r="OP13" s="8" t="s">
        <v>2364</v>
      </c>
      <c r="OQ13" s="8" t="s">
        <v>2364</v>
      </c>
      <c r="OR13" s="8" t="s">
        <v>2363</v>
      </c>
      <c r="OS13" s="8" t="s">
        <v>2358</v>
      </c>
      <c r="OT13" s="8" t="s">
        <v>2363</v>
      </c>
      <c r="OU13" s="8" t="s">
        <v>2364</v>
      </c>
      <c r="OV13" s="8" t="s">
        <v>2364</v>
      </c>
      <c r="OW13" s="8" t="s">
        <v>2364</v>
      </c>
      <c r="OX13" s="8" t="s">
        <v>2364</v>
      </c>
      <c r="OY13" s="8" t="s">
        <v>2358</v>
      </c>
      <c r="OZ13" s="8" t="s">
        <v>2364</v>
      </c>
      <c r="PA13" s="8" t="s">
        <v>2358</v>
      </c>
      <c r="PB13" s="8" t="s">
        <v>2364</v>
      </c>
      <c r="PC13" s="8" t="s">
        <v>2364</v>
      </c>
      <c r="PD13" s="8" t="s">
        <v>2358</v>
      </c>
      <c r="PE13" s="8" t="s">
        <v>2364</v>
      </c>
      <c r="PF13" s="29" t="s">
        <v>2364</v>
      </c>
      <c r="PG13" s="8" t="s">
        <v>2364</v>
      </c>
      <c r="PH13" s="8" t="s">
        <v>2358</v>
      </c>
      <c r="PI13" t="s">
        <v>2358</v>
      </c>
      <c r="PJ13" s="8" t="s">
        <v>2358</v>
      </c>
      <c r="PK13" t="s">
        <v>2364</v>
      </c>
      <c r="PL13" s="13" t="s">
        <v>2364</v>
      </c>
      <c r="PM13" s="13" t="s">
        <v>2364</v>
      </c>
      <c r="PN13" s="16" t="s">
        <v>2358</v>
      </c>
      <c r="PO13" s="16" t="s">
        <v>2358</v>
      </c>
      <c r="PP13" s="16" t="s">
        <v>2364</v>
      </c>
      <c r="PQ13" s="16" t="s">
        <v>2364</v>
      </c>
      <c r="PR13" s="16" t="s">
        <v>2364</v>
      </c>
      <c r="PS13" s="30" t="s">
        <v>2364</v>
      </c>
      <c r="PT13" s="30" t="s">
        <v>2358</v>
      </c>
      <c r="PU13" s="30" t="s">
        <v>2358</v>
      </c>
      <c r="PV13" s="30" t="s">
        <v>2363</v>
      </c>
      <c r="PW13" s="30" t="s">
        <v>2373</v>
      </c>
      <c r="PX13" s="13" t="s">
        <v>2374</v>
      </c>
      <c r="PY13" s="30" t="s">
        <v>2364</v>
      </c>
      <c r="PZ13" s="30" t="s">
        <v>2373</v>
      </c>
      <c r="QA13" t="s">
        <v>2358</v>
      </c>
      <c r="QB13" t="s">
        <v>2364</v>
      </c>
      <c r="QC13" s="13" t="s">
        <v>2358</v>
      </c>
      <c r="QD13" t="s">
        <v>2364</v>
      </c>
      <c r="QE13" t="s">
        <v>2358</v>
      </c>
      <c r="QF13" t="s">
        <v>2364</v>
      </c>
      <c r="QG13" t="s">
        <v>2358</v>
      </c>
      <c r="QH13" t="s">
        <v>2364</v>
      </c>
      <c r="QI13" t="s">
        <v>2358</v>
      </c>
      <c r="QJ13" s="13" t="s">
        <v>2364</v>
      </c>
      <c r="QK13" s="13" t="s">
        <v>2364</v>
      </c>
      <c r="QL13" t="s">
        <v>2364</v>
      </c>
      <c r="QM13" t="s">
        <v>2360</v>
      </c>
      <c r="QN13" s="13" t="s">
        <v>2358</v>
      </c>
      <c r="QO13" s="13" t="s">
        <v>2364</v>
      </c>
      <c r="QP13" t="s">
        <v>2364</v>
      </c>
      <c r="QQ13" t="s">
        <v>2360</v>
      </c>
      <c r="QR13" s="13" t="s">
        <v>2364</v>
      </c>
      <c r="QS13" t="s">
        <v>2358</v>
      </c>
      <c r="QT13" s="13" t="s">
        <v>2364</v>
      </c>
      <c r="QU13" s="13" t="s">
        <v>2364</v>
      </c>
      <c r="QV13" t="s">
        <v>2364</v>
      </c>
      <c r="QW13" s="13" t="s">
        <v>2358</v>
      </c>
      <c r="QX13" s="13" t="s">
        <v>2363</v>
      </c>
      <c r="QY13" t="s">
        <v>2364</v>
      </c>
      <c r="QZ13" t="s">
        <v>2362</v>
      </c>
      <c r="RA13" t="s">
        <v>2358</v>
      </c>
      <c r="RB13" t="s">
        <v>2364</v>
      </c>
      <c r="RC13" t="s">
        <v>2358</v>
      </c>
      <c r="RD13" t="s">
        <v>2364</v>
      </c>
      <c r="RE13" t="s">
        <v>2358</v>
      </c>
      <c r="RF13" s="13" t="s">
        <v>2364</v>
      </c>
      <c r="RG13" s="13" t="s">
        <v>2364</v>
      </c>
      <c r="RH13" s="13" t="s">
        <v>2364</v>
      </c>
      <c r="RI13" t="s">
        <v>2358</v>
      </c>
      <c r="RJ13" t="s">
        <v>2358</v>
      </c>
      <c r="RK13" s="13" t="s">
        <v>2364</v>
      </c>
      <c r="RL13" s="13" t="s">
        <v>2364</v>
      </c>
      <c r="RM13" s="13" t="s">
        <v>2364</v>
      </c>
      <c r="RN13" t="s">
        <v>2364</v>
      </c>
      <c r="RO13" t="s">
        <v>2364</v>
      </c>
      <c r="RP13" t="s">
        <v>2358</v>
      </c>
      <c r="RQ13" t="s">
        <v>2364</v>
      </c>
      <c r="RR13" t="s">
        <v>2364</v>
      </c>
      <c r="RS13" t="s">
        <v>2364</v>
      </c>
      <c r="RT13" s="13" t="s">
        <v>2364</v>
      </c>
      <c r="RU13" s="13" t="s">
        <v>2365</v>
      </c>
      <c r="RV13" t="s">
        <v>2367</v>
      </c>
      <c r="RW13" t="s">
        <v>2362</v>
      </c>
      <c r="RX13" t="s">
        <v>2363</v>
      </c>
      <c r="RY13" t="s">
        <v>2358</v>
      </c>
      <c r="RZ13" s="13" t="s">
        <v>2364</v>
      </c>
      <c r="SA13" t="s">
        <v>2364</v>
      </c>
      <c r="SB13" t="s">
        <v>2364</v>
      </c>
      <c r="SC13" t="s">
        <v>2364</v>
      </c>
      <c r="SD13" t="s">
        <v>2364</v>
      </c>
      <c r="SE13" t="s">
        <v>2364</v>
      </c>
      <c r="SF13" t="s">
        <v>2364</v>
      </c>
      <c r="SG13" s="13" t="s">
        <v>2364</v>
      </c>
      <c r="SH13" t="s">
        <v>2364</v>
      </c>
      <c r="SI13" t="s">
        <v>2365</v>
      </c>
      <c r="SJ13" t="s">
        <v>2364</v>
      </c>
      <c r="SK13" t="s">
        <v>2358</v>
      </c>
      <c r="SL13" t="s">
        <v>2364</v>
      </c>
      <c r="SM13" s="13" t="s">
        <v>2364</v>
      </c>
      <c r="SN13" s="13" t="s">
        <v>2364</v>
      </c>
      <c r="SO13" s="29" t="s">
        <v>2364</v>
      </c>
      <c r="SP13" t="s">
        <v>2364</v>
      </c>
      <c r="SQ13" t="s">
        <v>2365</v>
      </c>
      <c r="SR13" t="s">
        <v>2364</v>
      </c>
      <c r="SS13" s="13" t="s">
        <v>2364</v>
      </c>
      <c r="ST13" t="s">
        <v>2364</v>
      </c>
      <c r="SU13" t="s">
        <v>2364</v>
      </c>
      <c r="SV13" s="13" t="s">
        <v>2360</v>
      </c>
      <c r="SW13" t="s">
        <v>2364</v>
      </c>
      <c r="SX13" t="s">
        <v>2364</v>
      </c>
      <c r="SY13" t="s">
        <v>2364</v>
      </c>
      <c r="SZ13" t="s">
        <v>2363</v>
      </c>
      <c r="TA13" s="13" t="s">
        <v>2364</v>
      </c>
      <c r="TB13" s="13" t="s">
        <v>2364</v>
      </c>
      <c r="TC13" t="s">
        <v>2364</v>
      </c>
      <c r="TD13" s="13" t="s">
        <v>2364</v>
      </c>
      <c r="TE13" s="13" t="s">
        <v>2364</v>
      </c>
      <c r="TF13" t="s">
        <v>2364</v>
      </c>
      <c r="TG13" t="s">
        <v>2363</v>
      </c>
      <c r="TH13" t="s">
        <v>2363</v>
      </c>
      <c r="TI13" t="s">
        <v>2364</v>
      </c>
      <c r="TJ13" s="13" t="s">
        <v>2362</v>
      </c>
      <c r="TK13" s="13" t="s">
        <v>2364</v>
      </c>
      <c r="TL13" s="13" t="s">
        <v>2364</v>
      </c>
      <c r="TM13" t="s">
        <v>2364</v>
      </c>
      <c r="TN13" t="s">
        <v>2364</v>
      </c>
      <c r="TO13" t="s">
        <v>2363</v>
      </c>
      <c r="TP13" t="s">
        <v>2364</v>
      </c>
      <c r="TQ13" t="s">
        <v>2364</v>
      </c>
      <c r="TR13" t="s">
        <v>2362</v>
      </c>
      <c r="TS13" s="13" t="s">
        <v>2364</v>
      </c>
      <c r="TT13" s="13" t="s">
        <v>2364</v>
      </c>
      <c r="TU13" s="13" t="s">
        <v>2364</v>
      </c>
      <c r="TV13" s="13" t="s">
        <v>2364</v>
      </c>
      <c r="TW13" t="s">
        <v>2364</v>
      </c>
      <c r="TX13" t="s">
        <v>2364</v>
      </c>
      <c r="TY13" t="s">
        <v>2364</v>
      </c>
      <c r="TZ13" t="s">
        <v>2364</v>
      </c>
      <c r="UA13" t="s">
        <v>2364</v>
      </c>
      <c r="UB13" t="s">
        <v>2364</v>
      </c>
      <c r="UC13" t="s">
        <v>2364</v>
      </c>
      <c r="UD13" t="s">
        <v>2364</v>
      </c>
      <c r="UE13" t="s">
        <v>2364</v>
      </c>
      <c r="UF13" t="s">
        <v>2360</v>
      </c>
      <c r="UG13" t="s">
        <v>2373</v>
      </c>
      <c r="UH13" s="13" t="s">
        <v>2364</v>
      </c>
      <c r="UI13" s="13" t="s">
        <v>2364</v>
      </c>
      <c r="UJ13" t="s">
        <v>2364</v>
      </c>
      <c r="UK13" s="13" t="s">
        <v>2364</v>
      </c>
      <c r="UL13" t="s">
        <v>2364</v>
      </c>
      <c r="UM13" s="13" t="s">
        <v>2364</v>
      </c>
      <c r="UN13" t="s">
        <v>2359</v>
      </c>
      <c r="UO13" s="13" t="s">
        <v>2359</v>
      </c>
      <c r="UP13" s="13" t="s">
        <v>2364</v>
      </c>
      <c r="UQ13" t="s">
        <v>2358</v>
      </c>
      <c r="UR13" t="s">
        <v>2364</v>
      </c>
      <c r="US13" t="s">
        <v>2363</v>
      </c>
      <c r="UT13" t="s">
        <v>2365</v>
      </c>
      <c r="UU13" t="s">
        <v>2358</v>
      </c>
      <c r="UV13" t="s">
        <v>2364</v>
      </c>
      <c r="UW13" t="s">
        <v>2364</v>
      </c>
      <c r="UX13" t="s">
        <v>2364</v>
      </c>
      <c r="UY13" t="s">
        <v>2365</v>
      </c>
      <c r="UZ13" t="s">
        <v>2358</v>
      </c>
      <c r="VA13" s="13" t="s">
        <v>2364</v>
      </c>
      <c r="VB13" s="13" t="s">
        <v>2364</v>
      </c>
      <c r="VC13" s="13" t="s">
        <v>2358</v>
      </c>
      <c r="VD13" t="s">
        <v>2364</v>
      </c>
      <c r="VE13" t="s">
        <v>2364</v>
      </c>
      <c r="VF13" t="s">
        <v>2364</v>
      </c>
      <c r="VG13" t="s">
        <v>2364</v>
      </c>
      <c r="VH13" t="s">
        <v>2358</v>
      </c>
      <c r="VI13" s="13" t="s">
        <v>2364</v>
      </c>
      <c r="VJ13" s="13" t="s">
        <v>2363</v>
      </c>
      <c r="VK13" t="s">
        <v>2364</v>
      </c>
      <c r="VL13" s="13" t="s">
        <v>2364</v>
      </c>
      <c r="VM13" s="13" t="s">
        <v>2364</v>
      </c>
      <c r="VN13" s="13" t="s">
        <v>2364</v>
      </c>
      <c r="VO13" s="13" t="s">
        <v>2358</v>
      </c>
      <c r="VP13" t="s">
        <v>2364</v>
      </c>
      <c r="VQ13" t="s">
        <v>2364</v>
      </c>
      <c r="VR13" t="s">
        <v>2358</v>
      </c>
      <c r="VS13" s="13" t="s">
        <v>2364</v>
      </c>
      <c r="VT13" s="13" t="s">
        <v>2362</v>
      </c>
      <c r="VU13" s="13" t="s">
        <v>2364</v>
      </c>
      <c r="VV13" s="13" t="s">
        <v>2364</v>
      </c>
      <c r="VW13" s="13" t="s">
        <v>2358</v>
      </c>
      <c r="VX13" s="13" t="s">
        <v>2364</v>
      </c>
      <c r="VY13" s="13" t="s">
        <v>2364</v>
      </c>
      <c r="VZ13" s="13" t="s">
        <v>2364</v>
      </c>
      <c r="WA13" s="13" t="s">
        <v>2364</v>
      </c>
      <c r="WB13" s="13" t="s">
        <v>2364</v>
      </c>
      <c r="WC13" s="13" t="s">
        <v>2364</v>
      </c>
      <c r="WD13" s="13" t="s">
        <v>2364</v>
      </c>
      <c r="WE13" s="13" t="s">
        <v>2364</v>
      </c>
      <c r="WF13" s="13" t="s">
        <v>2364</v>
      </c>
      <c r="WG13" s="13" t="s">
        <v>2364</v>
      </c>
      <c r="WH13" s="13" t="s">
        <v>2364</v>
      </c>
      <c r="WI13" s="13" t="s">
        <v>2364</v>
      </c>
      <c r="WJ13" s="13" t="s">
        <v>2364</v>
      </c>
      <c r="WK13" s="13" t="s">
        <v>2364</v>
      </c>
      <c r="WL13" s="13" t="s">
        <v>2359</v>
      </c>
      <c r="WM13" s="13" t="s">
        <v>2364</v>
      </c>
      <c r="WN13" s="13" t="s">
        <v>2364</v>
      </c>
      <c r="WO13" s="13" t="s">
        <v>2364</v>
      </c>
      <c r="WP13" s="13" t="s">
        <v>2364</v>
      </c>
      <c r="WQ13" s="13" t="s">
        <v>2364</v>
      </c>
      <c r="WR13" s="13" t="s">
        <v>2364</v>
      </c>
      <c r="WS13" s="13" t="s">
        <v>2363</v>
      </c>
      <c r="WT13" s="13" t="s">
        <v>2364</v>
      </c>
      <c r="WU13" s="13" t="s">
        <v>2364</v>
      </c>
      <c r="WV13" s="13" t="s">
        <v>2365</v>
      </c>
      <c r="WW13" s="13" t="s">
        <v>2364</v>
      </c>
      <c r="WX13" s="13" t="s">
        <v>2364</v>
      </c>
      <c r="WY13" s="13" t="s">
        <v>2364</v>
      </c>
      <c r="WZ13" s="13" t="s">
        <v>2358</v>
      </c>
      <c r="XA13" s="13" t="s">
        <v>2364</v>
      </c>
      <c r="XB13" s="13" t="s">
        <v>2364</v>
      </c>
      <c r="XC13" s="13" t="s">
        <v>2364</v>
      </c>
      <c r="XD13" s="13" t="s">
        <v>2364</v>
      </c>
      <c r="XE13" s="13" t="s">
        <v>2358</v>
      </c>
      <c r="XF13" s="13" t="s">
        <v>2364</v>
      </c>
      <c r="XG13" s="13" t="s">
        <v>2360</v>
      </c>
      <c r="XH13" s="13" t="s">
        <v>2368</v>
      </c>
      <c r="XI13" s="13" t="s">
        <v>2364</v>
      </c>
      <c r="XJ13" s="13" t="s">
        <v>2364</v>
      </c>
      <c r="XK13" s="13" t="s">
        <v>2365</v>
      </c>
      <c r="XL13" s="13" t="s">
        <v>2364</v>
      </c>
      <c r="XM13" s="13" t="s">
        <v>2368</v>
      </c>
      <c r="XN13" s="13" t="s">
        <v>2364</v>
      </c>
      <c r="XO13" s="13" t="s">
        <v>2364</v>
      </c>
      <c r="XP13" s="13" t="s">
        <v>2364</v>
      </c>
      <c r="XQ13" s="13" t="s">
        <v>2364</v>
      </c>
      <c r="XR13" s="13" t="s">
        <v>2363</v>
      </c>
      <c r="XS13" s="13" t="s">
        <v>2375</v>
      </c>
      <c r="XT13" s="13" t="s">
        <v>2375</v>
      </c>
      <c r="XU13" s="13" t="s">
        <v>2365</v>
      </c>
      <c r="XV13" s="13" t="s">
        <v>2364</v>
      </c>
      <c r="XW13" s="13" t="s">
        <v>2364</v>
      </c>
      <c r="XX13" s="13" t="s">
        <v>2374</v>
      </c>
      <c r="XY13" s="13" t="s">
        <v>2374</v>
      </c>
      <c r="XZ13" s="13" t="s">
        <v>2374</v>
      </c>
      <c r="YA13" t="s">
        <v>2374</v>
      </c>
      <c r="YB13" t="s">
        <v>2364</v>
      </c>
      <c r="YC13" t="s">
        <v>2364</v>
      </c>
      <c r="YD13" s="13" t="s">
        <v>2359</v>
      </c>
      <c r="YE13" s="13" t="s">
        <v>2364</v>
      </c>
      <c r="YF13" s="13" t="s">
        <v>2364</v>
      </c>
      <c r="YG13" s="13" t="s">
        <v>2364</v>
      </c>
      <c r="YH13" s="13" t="s">
        <v>2360</v>
      </c>
      <c r="YI13" s="13" t="s">
        <v>2364</v>
      </c>
      <c r="YJ13" s="13" t="s">
        <v>2364</v>
      </c>
      <c r="YK13" s="13" t="s">
        <v>2364</v>
      </c>
      <c r="YL13" t="s">
        <v>2364</v>
      </c>
      <c r="YM13" t="s">
        <v>2364</v>
      </c>
      <c r="YN13" t="s">
        <v>2364</v>
      </c>
      <c r="YO13" t="s">
        <v>2364</v>
      </c>
      <c r="YP13" t="s">
        <v>2364</v>
      </c>
      <c r="YQ13" t="s">
        <v>2364</v>
      </c>
      <c r="YR13" s="13" t="s">
        <v>2364</v>
      </c>
      <c r="YS13" s="13" t="s">
        <v>2364</v>
      </c>
      <c r="YT13" s="13" t="s">
        <v>2364</v>
      </c>
      <c r="YU13" t="s">
        <v>2364</v>
      </c>
      <c r="YV13" t="s">
        <v>2364</v>
      </c>
      <c r="YW13" t="s">
        <v>2364</v>
      </c>
      <c r="YX13" s="13" t="s">
        <v>2364</v>
      </c>
      <c r="YY13" t="s">
        <v>2364</v>
      </c>
      <c r="YZ13" t="s">
        <v>2364</v>
      </c>
      <c r="ZA13" t="s">
        <v>2364</v>
      </c>
      <c r="ZB13" t="s">
        <v>2364</v>
      </c>
      <c r="ZC13" t="s">
        <v>2364</v>
      </c>
      <c r="ZD13" t="s">
        <v>2364</v>
      </c>
      <c r="ZE13" s="13" t="s">
        <v>2363</v>
      </c>
      <c r="ZF13" s="13" t="s">
        <v>2362</v>
      </c>
      <c r="ZG13" s="13" t="s">
        <v>2364</v>
      </c>
      <c r="ZH13" s="13" t="s">
        <v>2364</v>
      </c>
      <c r="ZI13" s="13" t="s">
        <v>2364</v>
      </c>
      <c r="ZJ13" s="13" t="s">
        <v>2364</v>
      </c>
      <c r="ZK13" t="s">
        <v>2362</v>
      </c>
      <c r="ZL13" t="s">
        <v>2367</v>
      </c>
      <c r="ZM13" t="s">
        <v>2364</v>
      </c>
      <c r="ZN13" s="13" t="s">
        <v>2359</v>
      </c>
      <c r="ZO13" s="13" t="s">
        <v>2364</v>
      </c>
      <c r="ZP13" s="13" t="s">
        <v>2364</v>
      </c>
      <c r="ZQ13" s="13" t="s">
        <v>2364</v>
      </c>
      <c r="ZR13" s="13" t="s">
        <v>2360</v>
      </c>
      <c r="ZS13" s="13" t="s">
        <v>2367</v>
      </c>
      <c r="ZT13" s="13" t="s">
        <v>2364</v>
      </c>
      <c r="ZU13" s="13" t="s">
        <v>2364</v>
      </c>
      <c r="ZV13" s="13" t="s">
        <v>2364</v>
      </c>
      <c r="ZW13" s="13" t="s">
        <v>2364</v>
      </c>
      <c r="ZX13" t="s">
        <v>2364</v>
      </c>
      <c r="ZY13" s="13" t="s">
        <v>2364</v>
      </c>
      <c r="ZZ13" s="13" t="s">
        <v>2364</v>
      </c>
      <c r="AAA13" s="13" t="s">
        <v>2364</v>
      </c>
      <c r="AAB13" s="13" t="s">
        <v>2364</v>
      </c>
      <c r="AAC13" s="13" t="s">
        <v>2364</v>
      </c>
      <c r="AAD13" s="13" t="s">
        <v>2363</v>
      </c>
      <c r="AAE13" s="13" t="s">
        <v>2364</v>
      </c>
      <c r="AAF13" s="13" t="s">
        <v>2364</v>
      </c>
      <c r="AAG13" s="13" t="s">
        <v>2364</v>
      </c>
      <c r="AAH13" s="13" t="s">
        <v>2364</v>
      </c>
      <c r="AAI13" s="13" t="s">
        <v>2364</v>
      </c>
      <c r="AAJ13" t="s">
        <v>2364</v>
      </c>
      <c r="AAK13" s="13" t="s">
        <v>2364</v>
      </c>
      <c r="AAL13" s="13" t="s">
        <v>2364</v>
      </c>
      <c r="AAM13" t="s">
        <v>2364</v>
      </c>
      <c r="AAN13" s="13" t="s">
        <v>2373</v>
      </c>
      <c r="AAO13" s="13" t="s">
        <v>2368</v>
      </c>
      <c r="AAP13" s="13" t="s">
        <v>2364</v>
      </c>
      <c r="AAQ13" t="s">
        <v>2364</v>
      </c>
      <c r="AAR13" t="s">
        <v>2367</v>
      </c>
      <c r="AAS13" t="s">
        <v>2364</v>
      </c>
      <c r="AAT13" t="s">
        <v>2364</v>
      </c>
      <c r="AAU13" t="s">
        <v>2364</v>
      </c>
      <c r="AAV13" t="s">
        <v>2366</v>
      </c>
      <c r="AAW13" t="s">
        <v>2364</v>
      </c>
      <c r="AAX13" t="s">
        <v>2364</v>
      </c>
      <c r="AAY13" s="13" t="s">
        <v>2375</v>
      </c>
      <c r="AAZ13" s="13" t="s">
        <v>2375</v>
      </c>
      <c r="ABA13" s="13" t="s">
        <v>2358</v>
      </c>
      <c r="ABB13" s="13" t="s">
        <v>2358</v>
      </c>
      <c r="ABC13" s="13" t="s">
        <v>2364</v>
      </c>
      <c r="ABD13" s="13" t="s">
        <v>2364</v>
      </c>
      <c r="ABE13" s="13" t="s">
        <v>2364</v>
      </c>
      <c r="ABF13" t="s">
        <v>2358</v>
      </c>
      <c r="ABG13" t="s">
        <v>2364</v>
      </c>
      <c r="ABH13" s="13" t="s">
        <v>2364</v>
      </c>
      <c r="ABI13" s="13" t="s">
        <v>2364</v>
      </c>
      <c r="ABJ13" s="13" t="s">
        <v>2368</v>
      </c>
      <c r="ABK13" s="13" t="s">
        <v>2364</v>
      </c>
      <c r="ABL13" s="13" t="s">
        <v>2367</v>
      </c>
      <c r="ABM13" s="13" t="s">
        <v>2364</v>
      </c>
      <c r="ABN13" t="s">
        <v>2364</v>
      </c>
      <c r="ABO13" t="s">
        <v>2364</v>
      </c>
      <c r="ABP13" s="13" t="s">
        <v>2366</v>
      </c>
      <c r="ABQ13" s="13" t="s">
        <v>2358</v>
      </c>
      <c r="ABR13" s="13" t="s">
        <v>2364</v>
      </c>
      <c r="ABS13" s="13" t="s">
        <v>2364</v>
      </c>
      <c r="ABT13" s="13" t="s">
        <v>2373</v>
      </c>
      <c r="ABU13" s="13" t="s">
        <v>2364</v>
      </c>
      <c r="ABV13" s="13" t="s">
        <v>2364</v>
      </c>
      <c r="ABW13" s="13" t="s">
        <v>2364</v>
      </c>
      <c r="ABX13" s="13" t="s">
        <v>2362</v>
      </c>
      <c r="ABY13" t="s">
        <v>2375</v>
      </c>
      <c r="ABZ13" s="13" t="s">
        <v>2368</v>
      </c>
      <c r="ACA13" t="s">
        <v>2364</v>
      </c>
      <c r="ACB13" t="s">
        <v>2364</v>
      </c>
      <c r="ACC13" t="s">
        <v>2364</v>
      </c>
      <c r="ACD13" s="13" t="s">
        <v>2364</v>
      </c>
      <c r="ACE13" s="13" t="s">
        <v>2364</v>
      </c>
      <c r="ACF13" s="13" t="s">
        <v>2358</v>
      </c>
      <c r="ACG13" s="13" t="s">
        <v>2364</v>
      </c>
      <c r="ACH13" s="13" t="s">
        <v>2364</v>
      </c>
      <c r="ACI13" t="s">
        <v>2364</v>
      </c>
      <c r="ACJ13" t="s">
        <v>2364</v>
      </c>
      <c r="ACK13" t="s">
        <v>2364</v>
      </c>
      <c r="ACL13" t="s">
        <v>2364</v>
      </c>
      <c r="ACM13" t="s">
        <v>2363</v>
      </c>
      <c r="ACN13" t="s">
        <v>2364</v>
      </c>
      <c r="ACO13" s="13" t="s">
        <v>2364</v>
      </c>
      <c r="ACP13" t="s">
        <v>2364</v>
      </c>
      <c r="ACQ13" s="13" t="s">
        <v>2364</v>
      </c>
      <c r="ACR13" s="13" t="s">
        <v>2364</v>
      </c>
      <c r="ACS13" s="13" t="s">
        <v>2364</v>
      </c>
      <c r="ACT13" s="13" t="s">
        <v>2364</v>
      </c>
      <c r="ACU13" s="13" t="s">
        <v>2364</v>
      </c>
      <c r="ACV13" t="s">
        <v>2358</v>
      </c>
      <c r="ACW13" s="13" t="s">
        <v>2364</v>
      </c>
      <c r="ACX13" s="13" t="s">
        <v>2367</v>
      </c>
      <c r="ACY13" t="s">
        <v>2364</v>
      </c>
      <c r="ACZ13" s="13" t="s">
        <v>2364</v>
      </c>
      <c r="ADA13" s="13" t="s">
        <v>2373</v>
      </c>
      <c r="ADB13" s="13" t="s">
        <v>2364</v>
      </c>
      <c r="ADC13" s="13" t="s">
        <v>2364</v>
      </c>
      <c r="ADD13" s="13" t="s">
        <v>2364</v>
      </c>
      <c r="ADE13" s="13" t="s">
        <v>2364</v>
      </c>
      <c r="ADF13" t="s">
        <v>2364</v>
      </c>
      <c r="ADG13" t="s">
        <v>2358</v>
      </c>
      <c r="ADH13" t="s">
        <v>2364</v>
      </c>
      <c r="ADI13" t="s">
        <v>2364</v>
      </c>
      <c r="ADJ13" t="s">
        <v>2364</v>
      </c>
      <c r="ADK13" t="s">
        <v>2360</v>
      </c>
      <c r="ADL13" t="s">
        <v>2364</v>
      </c>
      <c r="ADM13" t="s">
        <v>2364</v>
      </c>
      <c r="ADN13" s="13" t="s">
        <v>2364</v>
      </c>
      <c r="ADO13" s="13" t="s">
        <v>2364</v>
      </c>
      <c r="ADP13" s="13" t="s">
        <v>2363</v>
      </c>
      <c r="ADQ13" s="13" t="s">
        <v>2363</v>
      </c>
      <c r="ADR13" s="13" t="s">
        <v>2364</v>
      </c>
      <c r="ADS13" s="13" t="s">
        <v>2365</v>
      </c>
      <c r="ADT13" s="13" t="s">
        <v>2365</v>
      </c>
      <c r="ADU13" s="13" t="s">
        <v>2364</v>
      </c>
      <c r="ADV13" s="13" t="s">
        <v>2364</v>
      </c>
      <c r="ADW13" s="13" t="s">
        <v>2364</v>
      </c>
      <c r="ADX13" t="s">
        <v>2364</v>
      </c>
      <c r="ADY13" t="s">
        <v>2364</v>
      </c>
      <c r="ADZ13" t="s">
        <v>2364</v>
      </c>
      <c r="AEA13" t="s">
        <v>2364</v>
      </c>
      <c r="AEB13" s="13" t="s">
        <v>2358</v>
      </c>
      <c r="AEC13" s="13" t="s">
        <v>2358</v>
      </c>
      <c r="AED13" s="13" t="s">
        <v>2368</v>
      </c>
      <c r="AEE13" s="13" t="s">
        <v>2366</v>
      </c>
      <c r="AEF13" s="13" t="s">
        <v>2358</v>
      </c>
      <c r="AEG13" s="13" t="s">
        <v>2362</v>
      </c>
      <c r="AEH13" t="s">
        <v>2358</v>
      </c>
      <c r="AEI13" t="s">
        <v>2358</v>
      </c>
      <c r="AEJ13" t="s">
        <v>2364</v>
      </c>
      <c r="AEK13" t="s">
        <v>2364</v>
      </c>
      <c r="AEL13" t="s">
        <v>2364</v>
      </c>
      <c r="AEM13" t="s">
        <v>2364</v>
      </c>
      <c r="AEN13" s="13" t="s">
        <v>2373</v>
      </c>
      <c r="AEO13" s="13" t="s">
        <v>2364</v>
      </c>
      <c r="AEP13" s="13" t="s">
        <v>2358</v>
      </c>
      <c r="AEQ13" s="13" t="s">
        <v>2364</v>
      </c>
      <c r="AER13" s="13" t="s">
        <v>2363</v>
      </c>
      <c r="AES13" s="13" t="s">
        <v>2364</v>
      </c>
      <c r="AET13" s="13" t="s">
        <v>2364</v>
      </c>
      <c r="AEU13" t="s">
        <v>2364</v>
      </c>
      <c r="AEV13" t="s">
        <v>2364</v>
      </c>
      <c r="AEW13" t="s">
        <v>2364</v>
      </c>
      <c r="AEX13" t="s">
        <v>2364</v>
      </c>
      <c r="AEY13" t="s">
        <v>2364</v>
      </c>
      <c r="AEZ13" t="s">
        <v>2364</v>
      </c>
      <c r="AFA13" t="s">
        <v>2364</v>
      </c>
      <c r="AFB13" s="13" t="s">
        <v>2358</v>
      </c>
      <c r="AFC13" s="13" t="s">
        <v>2364</v>
      </c>
      <c r="AFD13" s="13" t="s">
        <v>2364</v>
      </c>
      <c r="AFE13" s="13" t="s">
        <v>2364</v>
      </c>
      <c r="AFF13" t="s">
        <v>2364</v>
      </c>
      <c r="AFG13" t="s">
        <v>2364</v>
      </c>
      <c r="AFH13" t="s">
        <v>2358</v>
      </c>
      <c r="AFI13" s="13" t="s">
        <v>2364</v>
      </c>
      <c r="AFJ13" s="13" t="s">
        <v>2366</v>
      </c>
      <c r="AFK13" s="13" t="s">
        <v>2368</v>
      </c>
      <c r="AFL13" s="13" t="s">
        <v>2365</v>
      </c>
      <c r="AFM13" s="13" t="s">
        <v>2358</v>
      </c>
      <c r="AFN13" s="13" t="s">
        <v>2364</v>
      </c>
      <c r="AFO13" t="s">
        <v>2366</v>
      </c>
      <c r="AFP13" t="s">
        <v>2366</v>
      </c>
      <c r="AFQ13" t="s">
        <v>2362</v>
      </c>
      <c r="AFR13" t="s">
        <v>2362</v>
      </c>
      <c r="AFS13" s="13" t="s">
        <v>2364</v>
      </c>
      <c r="AFT13" s="13" t="s">
        <v>2364</v>
      </c>
      <c r="AFU13" s="13" t="s">
        <v>2364</v>
      </c>
      <c r="AFV13" t="s">
        <v>2364</v>
      </c>
      <c r="AFW13" s="13" t="s">
        <v>2364</v>
      </c>
      <c r="AFX13" s="13" t="s">
        <v>2358</v>
      </c>
      <c r="AFY13" t="s">
        <v>2364</v>
      </c>
      <c r="AFZ13" t="s">
        <v>2364</v>
      </c>
      <c r="AGA13" t="s">
        <v>2364</v>
      </c>
      <c r="AGB13" t="s">
        <v>2364</v>
      </c>
      <c r="AGC13" t="s">
        <v>2364</v>
      </c>
      <c r="AGD13" t="s">
        <v>2364</v>
      </c>
      <c r="AGE13" t="s">
        <v>2363</v>
      </c>
      <c r="AGF13" t="s">
        <v>2364</v>
      </c>
      <c r="AGG13" t="s">
        <v>2364</v>
      </c>
      <c r="AGH13" t="s">
        <v>2364</v>
      </c>
      <c r="AGI13" t="s">
        <v>2364</v>
      </c>
      <c r="AGJ13" s="13" t="s">
        <v>2364</v>
      </c>
      <c r="AGK13" s="13" t="s">
        <v>2364</v>
      </c>
      <c r="AGL13" s="13" t="s">
        <v>2364</v>
      </c>
      <c r="AGM13" s="13" t="s">
        <v>2364</v>
      </c>
      <c r="AGN13" s="13" t="s">
        <v>2365</v>
      </c>
      <c r="AGO13" s="13" t="s">
        <v>2365</v>
      </c>
      <c r="AGP13" t="s">
        <v>2364</v>
      </c>
      <c r="AGQ13" t="s">
        <v>2364</v>
      </c>
      <c r="AGR13" t="s">
        <v>2364</v>
      </c>
      <c r="AGS13" s="13" t="s">
        <v>2364</v>
      </c>
      <c r="AGT13" t="s">
        <v>2364</v>
      </c>
      <c r="AGU13" t="s">
        <v>2364</v>
      </c>
      <c r="AGV13" t="s">
        <v>2364</v>
      </c>
      <c r="AGW13" t="s">
        <v>2364</v>
      </c>
      <c r="AGX13" t="s">
        <v>2364</v>
      </c>
      <c r="AGY13" t="s">
        <v>2364</v>
      </c>
      <c r="AGZ13" t="s">
        <v>2364</v>
      </c>
      <c r="AHA13" t="s">
        <v>2364</v>
      </c>
      <c r="AHB13" t="s">
        <v>2364</v>
      </c>
      <c r="AHC13" t="s">
        <v>2364</v>
      </c>
      <c r="AHD13" t="s">
        <v>2364</v>
      </c>
      <c r="AHE13" t="s">
        <v>2364</v>
      </c>
      <c r="AHF13" t="s">
        <v>2364</v>
      </c>
      <c r="AHG13" t="s">
        <v>2364</v>
      </c>
      <c r="AHH13" t="s">
        <v>2364</v>
      </c>
      <c r="AHI13" t="s">
        <v>2364</v>
      </c>
      <c r="AHJ13" t="s">
        <v>2364</v>
      </c>
      <c r="AHK13" t="s">
        <v>2364</v>
      </c>
      <c r="AHL13" t="s">
        <v>2364</v>
      </c>
      <c r="AHM13" t="s">
        <v>2364</v>
      </c>
      <c r="AHN13" t="s">
        <v>2364</v>
      </c>
      <c r="AHO13" t="s">
        <v>2364</v>
      </c>
      <c r="AHP13" t="s">
        <v>2364</v>
      </c>
      <c r="AHQ13" t="s">
        <v>2364</v>
      </c>
      <c r="AHR13" t="s">
        <v>2364</v>
      </c>
      <c r="AHS13" t="s">
        <v>2364</v>
      </c>
      <c r="AHT13" t="s">
        <v>2364</v>
      </c>
      <c r="AHU13" t="s">
        <v>2364</v>
      </c>
      <c r="AHV13" t="s">
        <v>2364</v>
      </c>
      <c r="AHW13" t="s">
        <v>2364</v>
      </c>
      <c r="AHX13" t="s">
        <v>2364</v>
      </c>
      <c r="AHY13" t="s">
        <v>2364</v>
      </c>
      <c r="AHZ13" t="s">
        <v>2364</v>
      </c>
      <c r="AIA13" t="s">
        <v>2364</v>
      </c>
      <c r="AIB13" t="s">
        <v>2364</v>
      </c>
      <c r="AIC13" t="s">
        <v>2364</v>
      </c>
      <c r="AID13" t="s">
        <v>2364</v>
      </c>
      <c r="AIE13" s="13" t="s">
        <v>2364</v>
      </c>
      <c r="AIF13" t="s">
        <v>2364</v>
      </c>
      <c r="AIG13" t="s">
        <v>2365</v>
      </c>
      <c r="AIH13" t="s">
        <v>2364</v>
      </c>
      <c r="AII13" t="s">
        <v>2364</v>
      </c>
      <c r="AIJ13" t="s">
        <v>2364</v>
      </c>
      <c r="AIK13" t="s">
        <v>2364</v>
      </c>
      <c r="AIL13" t="s">
        <v>2364</v>
      </c>
      <c r="AIM13" t="s">
        <v>2364</v>
      </c>
      <c r="AIN13" t="s">
        <v>2364</v>
      </c>
      <c r="AIO13" t="s">
        <v>2358</v>
      </c>
      <c r="AIP13" s="13" t="s">
        <v>2364</v>
      </c>
      <c r="AIQ13" t="s">
        <v>2364</v>
      </c>
      <c r="AIR13" s="26" t="s">
        <v>2366</v>
      </c>
      <c r="AIS13" s="13" t="s">
        <v>2366</v>
      </c>
      <c r="AIT13" t="s">
        <v>2364</v>
      </c>
      <c r="AIU13" t="s">
        <v>2364</v>
      </c>
      <c r="AIV13" t="s">
        <v>2364</v>
      </c>
      <c r="AIW13" t="s">
        <v>2364</v>
      </c>
      <c r="AIX13" t="s">
        <v>2364</v>
      </c>
      <c r="AIY13" t="s">
        <v>2364</v>
      </c>
      <c r="AIZ13" t="s">
        <v>2364</v>
      </c>
      <c r="AJA13" t="s">
        <v>2364</v>
      </c>
      <c r="AJB13" t="s">
        <v>2364</v>
      </c>
      <c r="AJC13" t="s">
        <v>2364</v>
      </c>
      <c r="AJD13" t="s">
        <v>2364</v>
      </c>
      <c r="AJE13" t="s">
        <v>2364</v>
      </c>
      <c r="AJF13" t="s">
        <v>2364</v>
      </c>
      <c r="AJG13" t="s">
        <v>2364</v>
      </c>
      <c r="AJH13" t="s">
        <v>2364</v>
      </c>
      <c r="AJI13" t="s">
        <v>2364</v>
      </c>
      <c r="AJJ13" t="s">
        <v>2362</v>
      </c>
      <c r="AJK13" s="13" t="s">
        <v>2364</v>
      </c>
      <c r="AJL13" s="8" t="s">
        <v>2365</v>
      </c>
      <c r="AJM13" t="s">
        <v>2364</v>
      </c>
      <c r="AJN13" s="13" t="s">
        <v>2358</v>
      </c>
      <c r="AJO13" s="13" t="s">
        <v>2364</v>
      </c>
      <c r="AJP13" s="13" t="s">
        <v>2358</v>
      </c>
      <c r="AJQ13" s="13" t="s">
        <v>2364</v>
      </c>
      <c r="AJR13" s="13" t="s">
        <v>2358</v>
      </c>
      <c r="AJS13" s="13" t="s">
        <v>2364</v>
      </c>
      <c r="AJT13" s="13" t="s">
        <v>2364</v>
      </c>
      <c r="AJU13" s="13" t="s">
        <v>2365</v>
      </c>
      <c r="AJV13" s="13" t="s">
        <v>2364</v>
      </c>
      <c r="AJW13" s="13" t="s">
        <v>2364</v>
      </c>
      <c r="AJX13" s="13" t="s">
        <v>2364</v>
      </c>
      <c r="AJY13" s="13" t="s">
        <v>2364</v>
      </c>
      <c r="AJZ13" s="13" t="s">
        <v>2364</v>
      </c>
      <c r="AKA13" s="13" t="s">
        <v>2364</v>
      </c>
      <c r="AKB13" s="13" t="s">
        <v>2364</v>
      </c>
      <c r="AKC13" s="13" t="s">
        <v>2358</v>
      </c>
      <c r="AKD13" s="13" t="s">
        <v>2372</v>
      </c>
      <c r="AKE13" s="13" t="s">
        <v>2364</v>
      </c>
      <c r="AKF13" s="13" t="s">
        <v>2367</v>
      </c>
      <c r="AKG13" s="13" t="s">
        <v>2364</v>
      </c>
      <c r="AKH13" s="13" t="s">
        <v>2364</v>
      </c>
      <c r="AKI13" s="13" t="s">
        <v>2372</v>
      </c>
      <c r="AKJ13" s="13" t="s">
        <v>2364</v>
      </c>
      <c r="AKK13" s="13" t="s">
        <v>2365</v>
      </c>
      <c r="AKL13" s="13" t="s">
        <v>2364</v>
      </c>
      <c r="AKM13" s="13" t="s">
        <v>2364</v>
      </c>
      <c r="AKN13" s="13" t="s">
        <v>2364</v>
      </c>
      <c r="AKO13" s="13" t="s">
        <v>2364</v>
      </c>
      <c r="AKP13" s="13" t="s">
        <v>2360</v>
      </c>
      <c r="AKQ13" s="13" t="s">
        <v>2364</v>
      </c>
      <c r="AKR13" s="13" t="s">
        <v>2364</v>
      </c>
      <c r="AKS13" s="13" t="s">
        <v>2364</v>
      </c>
      <c r="AKT13" s="13" t="s">
        <v>2364</v>
      </c>
      <c r="AKU13" s="13" t="s">
        <v>2364</v>
      </c>
      <c r="AKV13" s="13" t="s">
        <v>2364</v>
      </c>
      <c r="AKW13" t="s">
        <v>2364</v>
      </c>
      <c r="AKX13" t="s">
        <v>2364</v>
      </c>
      <c r="AKY13" t="s">
        <v>2364</v>
      </c>
      <c r="AKZ13" t="s">
        <v>2364</v>
      </c>
      <c r="ALA13" t="s">
        <v>2364</v>
      </c>
      <c r="ALB13" t="s">
        <v>2364</v>
      </c>
      <c r="ALC13" t="s">
        <v>2364</v>
      </c>
      <c r="ALD13" t="s">
        <v>2364</v>
      </c>
      <c r="ALE13" t="s">
        <v>2364</v>
      </c>
      <c r="ALF13" t="s">
        <v>2364</v>
      </c>
      <c r="ALG13" t="s">
        <v>2364</v>
      </c>
      <c r="ALH13" t="s">
        <v>2364</v>
      </c>
      <c r="ALI13" t="s">
        <v>2364</v>
      </c>
      <c r="ALJ13" t="s">
        <v>2364</v>
      </c>
      <c r="ALK13" t="s">
        <v>2364</v>
      </c>
      <c r="ALL13" t="s">
        <v>2364</v>
      </c>
      <c r="ALM13" t="s">
        <v>2364</v>
      </c>
      <c r="ALN13" t="s">
        <v>2364</v>
      </c>
      <c r="ALO13" t="s">
        <v>2364</v>
      </c>
      <c r="ALP13" t="s">
        <v>2364</v>
      </c>
      <c r="ALQ13" t="s">
        <v>2364</v>
      </c>
      <c r="ALR13" t="s">
        <v>2364</v>
      </c>
      <c r="ALS13" t="s">
        <v>2364</v>
      </c>
      <c r="ALT13" t="s">
        <v>2364</v>
      </c>
      <c r="ALU13" t="s">
        <v>2364</v>
      </c>
      <c r="ALV13" t="s">
        <v>2364</v>
      </c>
      <c r="ALW13" t="s">
        <v>2364</v>
      </c>
      <c r="ALX13" t="s">
        <v>2364</v>
      </c>
      <c r="ALY13" t="s">
        <v>2364</v>
      </c>
      <c r="ALZ13" t="s">
        <v>2364</v>
      </c>
      <c r="AMA13" t="s">
        <v>2364</v>
      </c>
      <c r="AMB13" t="s">
        <v>2364</v>
      </c>
      <c r="AMC13" t="s">
        <v>2364</v>
      </c>
      <c r="AMD13" t="s">
        <v>2364</v>
      </c>
      <c r="AME13" t="s">
        <v>2364</v>
      </c>
      <c r="AMF13" t="s">
        <v>2364</v>
      </c>
      <c r="AMG13" t="s">
        <v>2364</v>
      </c>
      <c r="AMH13" t="s">
        <v>2364</v>
      </c>
      <c r="AMI13" t="s">
        <v>2364</v>
      </c>
      <c r="AMJ13" t="s">
        <v>2364</v>
      </c>
      <c r="AMK13" t="s">
        <v>2364</v>
      </c>
      <c r="AML13" t="s">
        <v>2364</v>
      </c>
      <c r="AMM13" t="s">
        <v>2364</v>
      </c>
      <c r="AMN13" t="s">
        <v>2364</v>
      </c>
      <c r="AMO13" t="s">
        <v>2364</v>
      </c>
      <c r="AMP13" t="s">
        <v>2364</v>
      </c>
      <c r="AMQ13" t="s">
        <v>2364</v>
      </c>
      <c r="AMR13" t="s">
        <v>2358</v>
      </c>
      <c r="AMS13" t="s">
        <v>2364</v>
      </c>
      <c r="AMT13" t="s">
        <v>2364</v>
      </c>
      <c r="AMU13" t="s">
        <v>2364</v>
      </c>
      <c r="AMV13" t="s">
        <v>2364</v>
      </c>
      <c r="AMW13" t="s">
        <v>2364</v>
      </c>
      <c r="AMX13" t="s">
        <v>2364</v>
      </c>
      <c r="AMY13" t="s">
        <v>2364</v>
      </c>
      <c r="AMZ13" t="s">
        <v>2364</v>
      </c>
      <c r="ANA13" t="s">
        <v>2364</v>
      </c>
      <c r="ANB13" t="s">
        <v>2364</v>
      </c>
      <c r="ANC13" t="s">
        <v>2364</v>
      </c>
      <c r="AND13" t="s">
        <v>2364</v>
      </c>
      <c r="ANE13" t="s">
        <v>2364</v>
      </c>
      <c r="ANF13" t="s">
        <v>2364</v>
      </c>
      <c r="ANG13" t="s">
        <v>2364</v>
      </c>
      <c r="ANH13" t="s">
        <v>2364</v>
      </c>
      <c r="ANI13" t="s">
        <v>2364</v>
      </c>
      <c r="ANJ13" t="s">
        <v>2364</v>
      </c>
      <c r="ANK13" t="s">
        <v>2364</v>
      </c>
      <c r="ANL13" t="s">
        <v>2364</v>
      </c>
      <c r="ANM13" t="s">
        <v>2364</v>
      </c>
      <c r="ANN13" t="s">
        <v>2364</v>
      </c>
      <c r="ANO13" t="s">
        <v>2364</v>
      </c>
      <c r="ANP13" t="s">
        <v>2364</v>
      </c>
      <c r="ANQ13" t="s">
        <v>2364</v>
      </c>
      <c r="ANR13" t="s">
        <v>2364</v>
      </c>
      <c r="ANS13" t="s">
        <v>2364</v>
      </c>
      <c r="ANT13" t="s">
        <v>2364</v>
      </c>
      <c r="ANU13" t="s">
        <v>2364</v>
      </c>
      <c r="ANV13" t="s">
        <v>2364</v>
      </c>
      <c r="ANW13" t="s">
        <v>2364</v>
      </c>
      <c r="ANX13" t="s">
        <v>2364</v>
      </c>
      <c r="ANY13" t="s">
        <v>2364</v>
      </c>
      <c r="ANZ13" t="s">
        <v>2364</v>
      </c>
      <c r="AOA13" t="s">
        <v>2364</v>
      </c>
      <c r="AOB13" t="s">
        <v>2364</v>
      </c>
      <c r="AOC13" t="s">
        <v>2364</v>
      </c>
      <c r="AOD13" t="s">
        <v>2364</v>
      </c>
      <c r="AOE13" t="s">
        <v>2364</v>
      </c>
      <c r="AOF13" t="s">
        <v>2364</v>
      </c>
      <c r="AOG13" s="13" t="s">
        <v>2364</v>
      </c>
      <c r="AOH13" s="13" t="s">
        <v>2364</v>
      </c>
      <c r="AOI13" s="13" t="s">
        <v>2364</v>
      </c>
      <c r="AOJ13" s="13" t="s">
        <v>2364</v>
      </c>
      <c r="AOK13" s="13" t="s">
        <v>2364</v>
      </c>
      <c r="AOL13" t="s">
        <v>2365</v>
      </c>
      <c r="AOM13" s="13" t="s">
        <v>2364</v>
      </c>
      <c r="AON13" s="13" t="s">
        <v>2364</v>
      </c>
      <c r="AOO13" s="13" t="s">
        <v>2364</v>
      </c>
      <c r="AOP13" s="13" t="s">
        <v>2364</v>
      </c>
      <c r="AOQ13" s="13" t="s">
        <v>2364</v>
      </c>
      <c r="AOR13" s="13" t="s">
        <v>2364</v>
      </c>
      <c r="AOS13" s="13" t="s">
        <v>2364</v>
      </c>
      <c r="AOT13" t="s">
        <v>2375</v>
      </c>
      <c r="AOU13" t="s">
        <v>2364</v>
      </c>
      <c r="AOV13" t="s">
        <v>2364</v>
      </c>
      <c r="AOW13" t="s">
        <v>2364</v>
      </c>
      <c r="AOX13" t="s">
        <v>2364</v>
      </c>
      <c r="AOY13" t="s">
        <v>2364</v>
      </c>
      <c r="AOZ13" t="s">
        <v>2364</v>
      </c>
      <c r="APA13" t="s">
        <v>2364</v>
      </c>
      <c r="APB13" t="s">
        <v>2364</v>
      </c>
      <c r="APC13" t="s">
        <v>2364</v>
      </c>
      <c r="APD13" t="s">
        <v>2364</v>
      </c>
      <c r="APE13" t="s">
        <v>2364</v>
      </c>
      <c r="APF13" t="s">
        <v>2364</v>
      </c>
      <c r="APG13" t="s">
        <v>2364</v>
      </c>
      <c r="APH13" t="s">
        <v>2364</v>
      </c>
      <c r="API13" t="s">
        <v>2364</v>
      </c>
      <c r="APJ13" t="s">
        <v>2364</v>
      </c>
      <c r="APK13" t="s">
        <v>2364</v>
      </c>
      <c r="APL13" t="s">
        <v>2364</v>
      </c>
      <c r="APM13" t="s">
        <v>2364</v>
      </c>
      <c r="APN13" t="s">
        <v>2364</v>
      </c>
      <c r="APO13" t="s">
        <v>2364</v>
      </c>
      <c r="APP13" s="13" t="s">
        <v>2364</v>
      </c>
      <c r="APQ13" s="13" t="s">
        <v>2364</v>
      </c>
      <c r="APR13" t="s">
        <v>2364</v>
      </c>
      <c r="APS13" t="s">
        <v>2364</v>
      </c>
      <c r="APT13" t="s">
        <v>2364</v>
      </c>
      <c r="APU13" t="s">
        <v>2364</v>
      </c>
      <c r="APV13" t="s">
        <v>2364</v>
      </c>
      <c r="APW13" t="s">
        <v>2364</v>
      </c>
      <c r="APX13" t="s">
        <v>2364</v>
      </c>
      <c r="APY13" t="s">
        <v>2364</v>
      </c>
      <c r="APZ13" t="s">
        <v>2364</v>
      </c>
      <c r="AQA13" t="s">
        <v>2364</v>
      </c>
      <c r="AQB13" t="s">
        <v>2364</v>
      </c>
      <c r="AQC13" t="s">
        <v>2364</v>
      </c>
      <c r="AQD13" t="s">
        <v>2364</v>
      </c>
      <c r="AQE13" t="s">
        <v>2364</v>
      </c>
      <c r="AQF13" t="s">
        <v>2364</v>
      </c>
      <c r="AQG13" t="s">
        <v>2364</v>
      </c>
      <c r="AQH13" t="s">
        <v>2364</v>
      </c>
      <c r="AQI13" t="s">
        <v>2364</v>
      </c>
      <c r="AQJ13" t="s">
        <v>2364</v>
      </c>
      <c r="AQK13" t="s">
        <v>2364</v>
      </c>
      <c r="AQL13" t="s">
        <v>2364</v>
      </c>
      <c r="AQM13" t="s">
        <v>2364</v>
      </c>
      <c r="AQN13" t="s">
        <v>2364</v>
      </c>
      <c r="AQO13" t="s">
        <v>2364</v>
      </c>
      <c r="AQP13" t="s">
        <v>2364</v>
      </c>
      <c r="AQQ13" t="s">
        <v>2364</v>
      </c>
      <c r="AQR13" t="s">
        <v>2364</v>
      </c>
      <c r="AQS13" t="s">
        <v>2364</v>
      </c>
      <c r="AQT13" t="s">
        <v>2364</v>
      </c>
      <c r="AQU13" t="s">
        <v>2364</v>
      </c>
      <c r="AQV13" t="s">
        <v>2364</v>
      </c>
      <c r="AQW13" t="s">
        <v>2364</v>
      </c>
      <c r="AQX13" t="s">
        <v>2364</v>
      </c>
      <c r="AQY13" t="s">
        <v>2364</v>
      </c>
      <c r="AQZ13" t="s">
        <v>2364</v>
      </c>
      <c r="ARA13" t="s">
        <v>2364</v>
      </c>
      <c r="ARB13" t="s">
        <v>2364</v>
      </c>
      <c r="ARC13" t="s">
        <v>2364</v>
      </c>
      <c r="ARD13" t="s">
        <v>2364</v>
      </c>
      <c r="ARE13" t="s">
        <v>2364</v>
      </c>
      <c r="ARF13" t="s">
        <v>2364</v>
      </c>
      <c r="ARG13" t="s">
        <v>2364</v>
      </c>
      <c r="ARH13" t="s">
        <v>2364</v>
      </c>
      <c r="ARI13" t="s">
        <v>2364</v>
      </c>
      <c r="ARJ13" t="s">
        <v>2364</v>
      </c>
      <c r="ARK13" t="s">
        <v>2364</v>
      </c>
      <c r="ARL13" t="s">
        <v>2364</v>
      </c>
      <c r="ARM13" t="s">
        <v>2364</v>
      </c>
      <c r="ARN13" t="s">
        <v>2364</v>
      </c>
      <c r="ARO13" t="s">
        <v>2364</v>
      </c>
      <c r="ARP13" t="s">
        <v>2364</v>
      </c>
      <c r="ARQ13" t="s">
        <v>2364</v>
      </c>
      <c r="ARR13" t="s">
        <v>2364</v>
      </c>
      <c r="ARS13" t="s">
        <v>2364</v>
      </c>
      <c r="ART13" t="s">
        <v>2364</v>
      </c>
      <c r="ARU13" t="s">
        <v>2364</v>
      </c>
      <c r="ARV13" t="s">
        <v>2364</v>
      </c>
      <c r="ARW13" t="s">
        <v>2364</v>
      </c>
      <c r="ARX13" t="s">
        <v>2364</v>
      </c>
      <c r="ARY13" t="s">
        <v>2358</v>
      </c>
      <c r="ARZ13" t="s">
        <v>2364</v>
      </c>
      <c r="ASA13" t="s">
        <v>2364</v>
      </c>
      <c r="ASB13" t="s">
        <v>2364</v>
      </c>
      <c r="ASC13" t="s">
        <v>2364</v>
      </c>
      <c r="ASD13" t="s">
        <v>2364</v>
      </c>
      <c r="ASE13" t="s">
        <v>2364</v>
      </c>
      <c r="ASF13" t="s">
        <v>2364</v>
      </c>
      <c r="ASG13" t="s">
        <v>2364</v>
      </c>
      <c r="ASH13" t="s">
        <v>2364</v>
      </c>
      <c r="ASI13" t="s">
        <v>2364</v>
      </c>
      <c r="ASJ13" t="s">
        <v>2364</v>
      </c>
      <c r="ASK13" t="s">
        <v>2364</v>
      </c>
      <c r="ASL13" t="s">
        <v>2364</v>
      </c>
      <c r="ASM13" t="s">
        <v>2364</v>
      </c>
      <c r="ASN13" t="s">
        <v>2364</v>
      </c>
      <c r="ASO13" t="s">
        <v>2364</v>
      </c>
      <c r="ASP13" t="s">
        <v>2364</v>
      </c>
      <c r="ASQ13" t="s">
        <v>2364</v>
      </c>
      <c r="ASR13" t="s">
        <v>2364</v>
      </c>
      <c r="ASS13" t="s">
        <v>2364</v>
      </c>
      <c r="AST13" t="s">
        <v>2364</v>
      </c>
      <c r="ASU13" t="s">
        <v>2364</v>
      </c>
      <c r="ASV13" t="s">
        <v>2364</v>
      </c>
      <c r="ASW13" t="s">
        <v>2364</v>
      </c>
      <c r="ASX13" t="s">
        <v>2364</v>
      </c>
      <c r="ASY13" t="s">
        <v>2364</v>
      </c>
      <c r="ASZ13" t="s">
        <v>2364</v>
      </c>
      <c r="ATA13" t="s">
        <v>2364</v>
      </c>
      <c r="ATB13" t="s">
        <v>2364</v>
      </c>
      <c r="ATC13" t="s">
        <v>2364</v>
      </c>
      <c r="ATD13" t="s">
        <v>2364</v>
      </c>
      <c r="ATE13" t="s">
        <v>2364</v>
      </c>
      <c r="ATF13" t="s">
        <v>2364</v>
      </c>
      <c r="ATG13" t="s">
        <v>2364</v>
      </c>
      <c r="ATH13" t="s">
        <v>2364</v>
      </c>
      <c r="ATI13" t="s">
        <v>2364</v>
      </c>
      <c r="ATJ13" t="s">
        <v>2364</v>
      </c>
      <c r="ATK13" t="s">
        <v>2364</v>
      </c>
      <c r="ATL13" t="s">
        <v>2364</v>
      </c>
      <c r="ATM13" t="s">
        <v>2364</v>
      </c>
      <c r="ATN13" t="s">
        <v>2364</v>
      </c>
      <c r="ATO13" t="s">
        <v>2364</v>
      </c>
      <c r="ATP13" t="s">
        <v>2364</v>
      </c>
      <c r="ATQ13" t="s">
        <v>2364</v>
      </c>
    </row>
    <row r="14" spans="1:1213" x14ac:dyDescent="0.25">
      <c r="A14" s="31" t="s">
        <v>1237</v>
      </c>
      <c r="B14" s="31" t="s">
        <v>1237</v>
      </c>
      <c r="C14" s="31" t="s">
        <v>1237</v>
      </c>
      <c r="D14" s="32" t="s">
        <v>2376</v>
      </c>
      <c r="E14" s="32" t="s">
        <v>1239</v>
      </c>
      <c r="F14" s="33" t="s">
        <v>1240</v>
      </c>
      <c r="G14" s="33" t="s">
        <v>2377</v>
      </c>
      <c r="H14" s="33" t="s">
        <v>2377</v>
      </c>
      <c r="I14" s="33" t="s">
        <v>2377</v>
      </c>
      <c r="J14" s="33" t="s">
        <v>2377</v>
      </c>
      <c r="K14" s="33" t="s">
        <v>2377</v>
      </c>
      <c r="L14" s="33" t="s">
        <v>2377</v>
      </c>
      <c r="M14" s="33" t="s">
        <v>2377</v>
      </c>
      <c r="N14" s="33" t="s">
        <v>2377</v>
      </c>
      <c r="O14" s="33" t="s">
        <v>2377</v>
      </c>
      <c r="P14" s="33" t="s">
        <v>2377</v>
      </c>
      <c r="Q14" s="33" t="s">
        <v>2377</v>
      </c>
      <c r="R14" s="33" t="s">
        <v>2377</v>
      </c>
      <c r="S14" s="33" t="s">
        <v>2377</v>
      </c>
      <c r="T14" s="33" t="s">
        <v>2377</v>
      </c>
      <c r="U14" s="33" t="s">
        <v>2377</v>
      </c>
      <c r="V14" s="33" t="s">
        <v>2377</v>
      </c>
      <c r="W14" s="32" t="s">
        <v>2377</v>
      </c>
      <c r="X14" s="32" t="s">
        <v>1241</v>
      </c>
      <c r="Y14" s="32" t="s">
        <v>1242</v>
      </c>
      <c r="Z14" s="34" t="s">
        <v>2377</v>
      </c>
      <c r="AA14" s="34" t="s">
        <v>2378</v>
      </c>
      <c r="AB14" s="34" t="s">
        <v>2378</v>
      </c>
      <c r="AC14" s="34" t="s">
        <v>2378</v>
      </c>
      <c r="AD14" s="34" t="s">
        <v>2379</v>
      </c>
      <c r="AE14" s="34" t="s">
        <v>2378</v>
      </c>
      <c r="AF14" s="34" t="s">
        <v>2378</v>
      </c>
      <c r="AG14" s="34" t="s">
        <v>2378</v>
      </c>
      <c r="AH14" s="32" t="s">
        <v>2378</v>
      </c>
      <c r="AI14" s="34" t="s">
        <v>2380</v>
      </c>
      <c r="AJ14" s="34" t="s">
        <v>2380</v>
      </c>
      <c r="AK14" s="34" t="s">
        <v>2380</v>
      </c>
      <c r="AL14" s="34" t="s">
        <v>2380</v>
      </c>
      <c r="AM14" s="34" t="s">
        <v>2380</v>
      </c>
      <c r="AN14" s="34" t="s">
        <v>2380</v>
      </c>
      <c r="AO14" s="34" t="s">
        <v>2380</v>
      </c>
      <c r="AP14" s="34" t="s">
        <v>2380</v>
      </c>
      <c r="AQ14" s="34" t="s">
        <v>2380</v>
      </c>
      <c r="AR14" s="34" t="s">
        <v>2380</v>
      </c>
      <c r="AS14" s="34" t="s">
        <v>2380</v>
      </c>
      <c r="AT14" s="34" t="s">
        <v>2381</v>
      </c>
      <c r="AU14" s="34" t="s">
        <v>2381</v>
      </c>
      <c r="AV14" s="34" t="s">
        <v>2382</v>
      </c>
      <c r="AW14" s="34" t="s">
        <v>2382</v>
      </c>
      <c r="AX14" s="34" t="s">
        <v>2382</v>
      </c>
      <c r="AY14" s="34" t="s">
        <v>2383</v>
      </c>
      <c r="AZ14" s="34" t="s">
        <v>2383</v>
      </c>
      <c r="BA14" s="34" t="s">
        <v>2383</v>
      </c>
      <c r="BB14" s="34" t="s">
        <v>2384</v>
      </c>
      <c r="BC14" s="34" t="s">
        <v>2384</v>
      </c>
      <c r="BD14" s="34" t="s">
        <v>2384</v>
      </c>
      <c r="BE14" s="34" t="s">
        <v>2384</v>
      </c>
      <c r="BF14" s="34" t="s">
        <v>2384</v>
      </c>
      <c r="BG14" s="34" t="s">
        <v>2384</v>
      </c>
      <c r="BH14" s="34" t="s">
        <v>2384</v>
      </c>
      <c r="BI14" s="34" t="s">
        <v>2384</v>
      </c>
      <c r="BJ14" s="34" t="s">
        <v>2384</v>
      </c>
      <c r="BK14" s="34" t="s">
        <v>2384</v>
      </c>
      <c r="BL14" s="34" t="s">
        <v>2384</v>
      </c>
      <c r="BM14" s="34" t="s">
        <v>2384</v>
      </c>
      <c r="BN14" s="34" t="s">
        <v>2384</v>
      </c>
      <c r="BO14" s="34" t="s">
        <v>2384</v>
      </c>
      <c r="BP14" s="34" t="s">
        <v>2384</v>
      </c>
      <c r="BQ14" s="34" t="s">
        <v>2385</v>
      </c>
      <c r="BR14" s="34" t="s">
        <v>2385</v>
      </c>
      <c r="BS14" s="34" t="s">
        <v>2385</v>
      </c>
      <c r="BT14" s="34" t="s">
        <v>2385</v>
      </c>
      <c r="BU14" s="34" t="s">
        <v>2385</v>
      </c>
      <c r="BV14" s="34" t="s">
        <v>2385</v>
      </c>
      <c r="BW14" s="34" t="s">
        <v>2385</v>
      </c>
      <c r="BX14" s="34" t="s">
        <v>2385</v>
      </c>
      <c r="BY14" s="34" t="s">
        <v>2385</v>
      </c>
      <c r="BZ14" s="34" t="s">
        <v>2385</v>
      </c>
      <c r="CA14" s="34" t="s">
        <v>2385</v>
      </c>
      <c r="CB14" s="34" t="s">
        <v>2385</v>
      </c>
      <c r="CC14" s="34" t="s">
        <v>2385</v>
      </c>
      <c r="CD14" s="34" t="s">
        <v>2385</v>
      </c>
      <c r="CE14" s="34" t="s">
        <v>2385</v>
      </c>
      <c r="CF14" s="34" t="s">
        <v>2385</v>
      </c>
      <c r="CG14" s="34" t="s">
        <v>2385</v>
      </c>
      <c r="CH14" s="34" t="s">
        <v>2385</v>
      </c>
      <c r="CI14" s="34" t="s">
        <v>2385</v>
      </c>
      <c r="CJ14" s="34" t="s">
        <v>2385</v>
      </c>
      <c r="CK14" s="34" t="s">
        <v>2385</v>
      </c>
      <c r="CL14" s="34" t="s">
        <v>2385</v>
      </c>
      <c r="CM14" s="34" t="s">
        <v>2385</v>
      </c>
      <c r="CN14" s="34" t="s">
        <v>2385</v>
      </c>
      <c r="CO14" s="34" t="s">
        <v>2385</v>
      </c>
      <c r="CP14" s="34" t="s">
        <v>2385</v>
      </c>
      <c r="CQ14" s="34" t="s">
        <v>2385</v>
      </c>
      <c r="CR14" s="34" t="s">
        <v>2385</v>
      </c>
      <c r="CS14" s="34" t="s">
        <v>2385</v>
      </c>
      <c r="CT14" s="34" t="s">
        <v>2386</v>
      </c>
      <c r="CU14" s="34" t="s">
        <v>2386</v>
      </c>
      <c r="CV14" s="34" t="s">
        <v>2386</v>
      </c>
      <c r="CW14" s="34" t="s">
        <v>2386</v>
      </c>
      <c r="CX14" s="34" t="s">
        <v>2386</v>
      </c>
      <c r="CY14" s="34" t="s">
        <v>2386</v>
      </c>
      <c r="CZ14" s="34" t="s">
        <v>2386</v>
      </c>
      <c r="DA14" s="34" t="s">
        <v>2386</v>
      </c>
      <c r="DB14" s="34" t="s">
        <v>2386</v>
      </c>
      <c r="DC14" s="34" t="s">
        <v>2386</v>
      </c>
      <c r="DD14" s="34" t="s">
        <v>2386</v>
      </c>
      <c r="DE14" s="34" t="s">
        <v>2386</v>
      </c>
      <c r="DF14" s="34" t="s">
        <v>2386</v>
      </c>
      <c r="DG14" s="34" t="s">
        <v>2386</v>
      </c>
      <c r="DH14" s="34" t="s">
        <v>2386</v>
      </c>
      <c r="DI14" s="34" t="s">
        <v>2386</v>
      </c>
      <c r="DJ14" s="34" t="s">
        <v>2387</v>
      </c>
      <c r="DK14" s="34" t="s">
        <v>2387</v>
      </c>
      <c r="DL14" s="34" t="s">
        <v>2387</v>
      </c>
      <c r="DM14" s="34" t="s">
        <v>2387</v>
      </c>
      <c r="DN14" s="34" t="s">
        <v>2387</v>
      </c>
      <c r="DO14" s="34" t="s">
        <v>2387</v>
      </c>
      <c r="DP14" s="34" t="s">
        <v>2387</v>
      </c>
      <c r="DQ14" s="34" t="s">
        <v>2388</v>
      </c>
      <c r="DR14" s="34" t="s">
        <v>2388</v>
      </c>
      <c r="DS14" s="34" t="s">
        <v>2388</v>
      </c>
      <c r="DT14" s="34" t="s">
        <v>2388</v>
      </c>
      <c r="DU14" s="34" t="s">
        <v>2388</v>
      </c>
      <c r="DV14" s="34" t="s">
        <v>2388</v>
      </c>
      <c r="DW14" s="34" t="s">
        <v>2388</v>
      </c>
      <c r="DX14" s="34" t="s">
        <v>2388</v>
      </c>
      <c r="DY14" s="34" t="s">
        <v>2388</v>
      </c>
      <c r="DZ14" s="34" t="s">
        <v>2388</v>
      </c>
      <c r="EA14" s="34" t="s">
        <v>2388</v>
      </c>
      <c r="EB14" s="34" t="s">
        <v>2388</v>
      </c>
      <c r="EC14" s="34" t="s">
        <v>2388</v>
      </c>
      <c r="ED14" s="34" t="s">
        <v>2388</v>
      </c>
      <c r="EE14" s="34" t="s">
        <v>2388</v>
      </c>
      <c r="EF14" s="34" t="s">
        <v>2388</v>
      </c>
      <c r="EG14" s="34" t="s">
        <v>2388</v>
      </c>
      <c r="EH14" s="35" t="s">
        <v>2388</v>
      </c>
      <c r="EI14" s="34" t="s">
        <v>2388</v>
      </c>
      <c r="EJ14" s="34" t="s">
        <v>2388</v>
      </c>
      <c r="EK14" s="34" t="s">
        <v>2388</v>
      </c>
      <c r="EL14" s="34" t="s">
        <v>2389</v>
      </c>
      <c r="EM14" s="34" t="s">
        <v>2389</v>
      </c>
      <c r="EN14" s="34" t="s">
        <v>2390</v>
      </c>
      <c r="EO14" s="34" t="s">
        <v>2390</v>
      </c>
      <c r="EP14" s="34" t="s">
        <v>2391</v>
      </c>
      <c r="EQ14" s="34" t="s">
        <v>2392</v>
      </c>
      <c r="ER14" s="34" t="s">
        <v>2393</v>
      </c>
      <c r="ES14" s="34" t="s">
        <v>2393</v>
      </c>
      <c r="ET14" s="34" t="s">
        <v>2393</v>
      </c>
      <c r="EU14" s="34" t="s">
        <v>2393</v>
      </c>
      <c r="EV14" s="34" t="s">
        <v>2393</v>
      </c>
      <c r="EW14" s="34" t="s">
        <v>2393</v>
      </c>
      <c r="EX14" s="34" t="s">
        <v>2393</v>
      </c>
      <c r="EY14" s="34" t="s">
        <v>2393</v>
      </c>
      <c r="EZ14" s="34" t="s">
        <v>2393</v>
      </c>
      <c r="FA14" s="34" t="s">
        <v>2393</v>
      </c>
      <c r="FB14" s="34" t="s">
        <v>2393</v>
      </c>
      <c r="FC14" s="34" t="s">
        <v>2393</v>
      </c>
      <c r="FD14" s="34" t="s">
        <v>2393</v>
      </c>
      <c r="FE14" s="34" t="s">
        <v>2394</v>
      </c>
      <c r="FF14" s="34" t="s">
        <v>2394</v>
      </c>
      <c r="FG14" s="34" t="s">
        <v>2394</v>
      </c>
      <c r="FH14" s="34" t="s">
        <v>2394</v>
      </c>
      <c r="FI14" s="34" t="s">
        <v>2394</v>
      </c>
      <c r="FJ14" s="34" t="s">
        <v>2394</v>
      </c>
      <c r="FK14" s="34" t="s">
        <v>2394</v>
      </c>
      <c r="FL14" s="34" t="s">
        <v>2394</v>
      </c>
      <c r="FM14" s="34" t="s">
        <v>2394</v>
      </c>
      <c r="FN14" s="34" t="s">
        <v>2394</v>
      </c>
      <c r="FO14" s="34" t="s">
        <v>2394</v>
      </c>
      <c r="FP14" s="34" t="s">
        <v>2394</v>
      </c>
      <c r="FQ14" s="34" t="s">
        <v>2394</v>
      </c>
      <c r="FR14" s="34" t="s">
        <v>2394</v>
      </c>
      <c r="FS14" s="34" t="s">
        <v>2394</v>
      </c>
      <c r="FT14" s="34" t="s">
        <v>2394</v>
      </c>
      <c r="FU14" s="34" t="s">
        <v>2394</v>
      </c>
      <c r="FV14" s="34" t="s">
        <v>2394</v>
      </c>
      <c r="FW14" s="34" t="s">
        <v>2394</v>
      </c>
      <c r="FX14" s="34" t="s">
        <v>2394</v>
      </c>
      <c r="FY14" s="34" t="s">
        <v>2394</v>
      </c>
      <c r="FZ14" s="34" t="s">
        <v>2394</v>
      </c>
      <c r="GA14" s="34" t="s">
        <v>2394</v>
      </c>
      <c r="GB14" s="34" t="s">
        <v>2394</v>
      </c>
      <c r="GC14" s="34" t="s">
        <v>2394</v>
      </c>
      <c r="GD14" s="34" t="s">
        <v>2394</v>
      </c>
      <c r="GE14" s="34" t="s">
        <v>2394</v>
      </c>
      <c r="GF14" s="34" t="s">
        <v>2394</v>
      </c>
      <c r="GG14" s="34" t="s">
        <v>2394</v>
      </c>
      <c r="GH14" s="34" t="s">
        <v>2394</v>
      </c>
      <c r="GI14" s="34" t="s">
        <v>2394</v>
      </c>
      <c r="GJ14" s="34" t="s">
        <v>2395</v>
      </c>
      <c r="GK14" s="34" t="s">
        <v>2395</v>
      </c>
      <c r="GL14" s="34" t="s">
        <v>2395</v>
      </c>
      <c r="GM14" s="34" t="s">
        <v>2395</v>
      </c>
      <c r="GN14" s="34" t="s">
        <v>2395</v>
      </c>
      <c r="GO14" s="34" t="s">
        <v>2395</v>
      </c>
      <c r="GP14" s="34" t="s">
        <v>2395</v>
      </c>
      <c r="GQ14" s="34" t="s">
        <v>2395</v>
      </c>
      <c r="GR14" s="34" t="s">
        <v>2395</v>
      </c>
      <c r="GS14" s="34" t="s">
        <v>2395</v>
      </c>
      <c r="GT14" s="34" t="s">
        <v>2395</v>
      </c>
      <c r="GU14" s="34" t="s">
        <v>2396</v>
      </c>
      <c r="GV14" s="34" t="s">
        <v>2397</v>
      </c>
      <c r="GW14" s="34" t="s">
        <v>2381</v>
      </c>
      <c r="GX14" s="34" t="s">
        <v>2386</v>
      </c>
      <c r="GY14" s="34" t="s">
        <v>2394</v>
      </c>
      <c r="GZ14" s="34" t="s">
        <v>2398</v>
      </c>
      <c r="HA14" s="8" t="s">
        <v>2394</v>
      </c>
      <c r="HB14" s="8" t="s">
        <v>2381</v>
      </c>
      <c r="HC14" s="8" t="s">
        <v>2381</v>
      </c>
      <c r="HD14" s="8" t="s">
        <v>2394</v>
      </c>
      <c r="HE14" s="8" t="s">
        <v>2384</v>
      </c>
      <c r="HF14" s="8" t="s">
        <v>2394</v>
      </c>
      <c r="HG14" s="8" t="s">
        <v>2385</v>
      </c>
      <c r="HH14" s="8" t="s">
        <v>2394</v>
      </c>
      <c r="HI14" s="8" t="s">
        <v>2394</v>
      </c>
      <c r="HJ14" s="8" t="s">
        <v>2394</v>
      </c>
      <c r="HK14" s="8" t="s">
        <v>2394</v>
      </c>
      <c r="HL14" s="8" t="s">
        <v>2385</v>
      </c>
      <c r="HM14" s="8" t="s">
        <v>2385</v>
      </c>
      <c r="HN14" s="8" t="s">
        <v>2384</v>
      </c>
      <c r="HO14" s="8" t="s">
        <v>2385</v>
      </c>
      <c r="HP14" s="8" t="s">
        <v>2387</v>
      </c>
      <c r="HQ14" s="8" t="s">
        <v>2380</v>
      </c>
      <c r="HR14" s="8" t="s">
        <v>2380</v>
      </c>
      <c r="HS14" s="8" t="s">
        <v>2385</v>
      </c>
      <c r="HT14" s="8" t="s">
        <v>2394</v>
      </c>
      <c r="HU14" s="8" t="s">
        <v>2394</v>
      </c>
      <c r="HV14" s="8" t="s">
        <v>2394</v>
      </c>
      <c r="HW14" s="8" t="s">
        <v>2394</v>
      </c>
      <c r="HX14" s="8" t="s">
        <v>2394</v>
      </c>
      <c r="HY14" s="8" t="s">
        <v>2394</v>
      </c>
      <c r="HZ14" s="8" t="s">
        <v>2394</v>
      </c>
      <c r="IA14" s="8" t="s">
        <v>2384</v>
      </c>
      <c r="IB14" s="8" t="s">
        <v>2394</v>
      </c>
      <c r="IC14" s="8" t="s">
        <v>2394</v>
      </c>
      <c r="ID14" s="8" t="s">
        <v>2380</v>
      </c>
      <c r="IE14" s="8" t="s">
        <v>2380</v>
      </c>
      <c r="IF14" s="8" t="s">
        <v>2385</v>
      </c>
      <c r="IG14" s="8" t="s">
        <v>2386</v>
      </c>
      <c r="IH14" s="8" t="s">
        <v>2382</v>
      </c>
      <c r="II14" s="8" t="s">
        <v>2395</v>
      </c>
      <c r="IJ14" s="8" t="s">
        <v>2393</v>
      </c>
      <c r="IK14" s="8" t="s">
        <v>2394</v>
      </c>
      <c r="IL14" s="8" t="s">
        <v>2393</v>
      </c>
      <c r="IM14" s="8" t="s">
        <v>2381</v>
      </c>
      <c r="IN14" s="8" t="s">
        <v>2385</v>
      </c>
      <c r="IO14" s="8" t="s">
        <v>2386</v>
      </c>
      <c r="IP14" s="8" t="s">
        <v>2385</v>
      </c>
      <c r="IQ14" s="8" t="s">
        <v>2386</v>
      </c>
      <c r="IR14" s="8" t="s">
        <v>2394</v>
      </c>
      <c r="IS14" s="8" t="s">
        <v>2393</v>
      </c>
      <c r="IT14" s="8" t="s">
        <v>2384</v>
      </c>
      <c r="IU14" s="8" t="s">
        <v>2399</v>
      </c>
      <c r="IV14" s="8" t="s">
        <v>2394</v>
      </c>
      <c r="IW14" s="8" t="s">
        <v>2382</v>
      </c>
      <c r="IX14" s="8" t="s">
        <v>2385</v>
      </c>
      <c r="IY14" s="8" t="s">
        <v>2393</v>
      </c>
      <c r="IZ14" s="8" t="s">
        <v>2384</v>
      </c>
      <c r="JA14" s="8" t="s">
        <v>2392</v>
      </c>
      <c r="JB14" s="8" t="s">
        <v>2387</v>
      </c>
      <c r="JC14" s="8" t="s">
        <v>2393</v>
      </c>
      <c r="JD14" s="8" t="s">
        <v>2394</v>
      </c>
      <c r="JE14" s="8" t="s">
        <v>2394</v>
      </c>
      <c r="JF14" s="8" t="s">
        <v>2385</v>
      </c>
      <c r="JG14" s="8" t="s">
        <v>2393</v>
      </c>
      <c r="JH14" s="8" t="s">
        <v>2385</v>
      </c>
      <c r="JI14" s="8" t="s">
        <v>2385</v>
      </c>
      <c r="JJ14" s="8" t="s">
        <v>2387</v>
      </c>
      <c r="JK14" s="8" t="s">
        <v>2380</v>
      </c>
      <c r="JL14" s="8" t="s">
        <v>2385</v>
      </c>
      <c r="JM14" s="8" t="s">
        <v>2395</v>
      </c>
      <c r="JN14" s="8" t="s">
        <v>2395</v>
      </c>
      <c r="JO14" s="8" t="s">
        <v>2395</v>
      </c>
      <c r="JP14" s="8" t="s">
        <v>2394</v>
      </c>
      <c r="JQ14" s="8" t="s">
        <v>2395</v>
      </c>
      <c r="JR14" s="8" t="s">
        <v>2394</v>
      </c>
      <c r="JS14" s="8" t="s">
        <v>2394</v>
      </c>
      <c r="JT14" s="8" t="s">
        <v>2394</v>
      </c>
      <c r="JU14" s="8" t="s">
        <v>2394</v>
      </c>
      <c r="JV14" s="8" t="s">
        <v>2394</v>
      </c>
      <c r="JW14" s="8" t="s">
        <v>2394</v>
      </c>
      <c r="JX14" s="8" t="s">
        <v>2393</v>
      </c>
      <c r="JY14" s="8" t="s">
        <v>2394</v>
      </c>
      <c r="JZ14" s="8" t="s">
        <v>2385</v>
      </c>
      <c r="KA14" s="8" t="s">
        <v>2394</v>
      </c>
      <c r="KB14" s="8" t="s">
        <v>2384</v>
      </c>
      <c r="KC14" s="8" t="s">
        <v>2380</v>
      </c>
      <c r="KD14" s="8" t="s">
        <v>2394</v>
      </c>
      <c r="KE14" s="8" t="s">
        <v>2385</v>
      </c>
      <c r="KF14" s="8" t="s">
        <v>2386</v>
      </c>
      <c r="KG14" s="8" t="s">
        <v>2394</v>
      </c>
      <c r="KH14" s="8" t="s">
        <v>2394</v>
      </c>
      <c r="KI14" s="8" t="s">
        <v>2394</v>
      </c>
      <c r="KJ14" s="8" t="s">
        <v>2394</v>
      </c>
      <c r="KK14" s="8" t="s">
        <v>2384</v>
      </c>
      <c r="KL14" s="8" t="s">
        <v>2381</v>
      </c>
      <c r="KM14" s="8" t="s">
        <v>2382</v>
      </c>
      <c r="KN14" s="8" t="s">
        <v>2386</v>
      </c>
      <c r="KO14" s="8" t="s">
        <v>2386</v>
      </c>
      <c r="KP14" s="8" t="s">
        <v>2385</v>
      </c>
      <c r="KQ14" s="8" t="s">
        <v>2385</v>
      </c>
      <c r="KR14" s="8" t="s">
        <v>2385</v>
      </c>
      <c r="KS14" s="8" t="s">
        <v>2386</v>
      </c>
      <c r="KT14" s="8" t="s">
        <v>2385</v>
      </c>
      <c r="KU14" s="8" t="s">
        <v>2386</v>
      </c>
      <c r="KV14" s="8" t="s">
        <v>2385</v>
      </c>
      <c r="KW14" s="8" t="s">
        <v>2394</v>
      </c>
      <c r="KX14" s="8" t="s">
        <v>2391</v>
      </c>
      <c r="KY14" s="8" t="s">
        <v>2391</v>
      </c>
      <c r="KZ14" s="8" t="s">
        <v>2391</v>
      </c>
      <c r="LA14" s="8" t="s">
        <v>2391</v>
      </c>
      <c r="LB14" s="8" t="s">
        <v>2391</v>
      </c>
      <c r="LC14" s="8" t="s">
        <v>2394</v>
      </c>
      <c r="LD14" s="8" t="s">
        <v>2395</v>
      </c>
      <c r="LE14" s="11" t="s">
        <v>2395</v>
      </c>
      <c r="LF14" s="8" t="s">
        <v>2394</v>
      </c>
      <c r="LG14" s="8" t="s">
        <v>2380</v>
      </c>
      <c r="LH14" s="8" t="s">
        <v>2399</v>
      </c>
      <c r="LI14" s="8" t="s">
        <v>2385</v>
      </c>
      <c r="LJ14" s="8" t="s">
        <v>2400</v>
      </c>
      <c r="LK14" s="8" t="s">
        <v>2394</v>
      </c>
      <c r="LL14" s="8" t="s">
        <v>2394</v>
      </c>
      <c r="LM14" s="8" t="s">
        <v>2394</v>
      </c>
      <c r="LN14" s="8" t="s">
        <v>2394</v>
      </c>
      <c r="LO14" s="8" t="s">
        <v>2384</v>
      </c>
      <c r="LP14" s="8" t="s">
        <v>2394</v>
      </c>
      <c r="LQ14" s="11" t="s">
        <v>2385</v>
      </c>
      <c r="LR14" s="8" t="s">
        <v>2400</v>
      </c>
      <c r="LS14" s="8" t="s">
        <v>2395</v>
      </c>
      <c r="LT14" s="8" t="s">
        <v>2387</v>
      </c>
      <c r="LU14" s="11" t="s">
        <v>2394</v>
      </c>
      <c r="LV14" s="8" t="s">
        <v>2386</v>
      </c>
      <c r="LW14" s="8" t="s">
        <v>2385</v>
      </c>
      <c r="LX14" s="8" t="s">
        <v>2386</v>
      </c>
      <c r="LY14" s="8" t="s">
        <v>2388</v>
      </c>
      <c r="LZ14" s="8" t="s">
        <v>2394</v>
      </c>
      <c r="MA14" s="8" t="s">
        <v>2385</v>
      </c>
      <c r="MB14" s="8" t="s">
        <v>2388</v>
      </c>
      <c r="MC14" s="8" t="s">
        <v>2400</v>
      </c>
      <c r="MD14" s="8" t="s">
        <v>2400</v>
      </c>
      <c r="ME14" s="8" t="s">
        <v>2400</v>
      </c>
      <c r="MF14" s="8" t="s">
        <v>2394</v>
      </c>
      <c r="MG14" s="8" t="s">
        <v>2395</v>
      </c>
      <c r="MH14" s="8" t="s">
        <v>2394</v>
      </c>
      <c r="MI14" s="8" t="s">
        <v>2394</v>
      </c>
      <c r="MJ14" s="8" t="s">
        <v>2395</v>
      </c>
      <c r="MK14" s="8" t="s">
        <v>2395</v>
      </c>
      <c r="ML14" s="8" t="s">
        <v>2385</v>
      </c>
      <c r="MM14" s="2" t="s">
        <v>2391</v>
      </c>
      <c r="MN14" s="8" t="s">
        <v>2400</v>
      </c>
      <c r="MO14" s="8" t="s">
        <v>2380</v>
      </c>
      <c r="MP14" s="8" t="s">
        <v>2381</v>
      </c>
      <c r="MQ14" s="8" t="s">
        <v>2385</v>
      </c>
      <c r="MR14" s="8" t="s">
        <v>2386</v>
      </c>
      <c r="MS14" s="8" t="s">
        <v>2387</v>
      </c>
      <c r="MT14" s="8" t="s">
        <v>2401</v>
      </c>
      <c r="MU14" s="8" t="s">
        <v>2401</v>
      </c>
      <c r="MV14" s="8" t="s">
        <v>2402</v>
      </c>
      <c r="MW14" s="8" t="s">
        <v>2395</v>
      </c>
      <c r="MX14" s="8" t="s">
        <v>2385</v>
      </c>
      <c r="MY14" s="8" t="s">
        <v>2394</v>
      </c>
      <c r="MZ14" s="8" t="s">
        <v>2403</v>
      </c>
      <c r="NA14" s="8" t="s">
        <v>2399</v>
      </c>
      <c r="NB14" s="8" t="s">
        <v>2394</v>
      </c>
      <c r="NC14" s="8" t="s">
        <v>2386</v>
      </c>
      <c r="ND14" s="8" t="s">
        <v>2388</v>
      </c>
      <c r="NE14" s="8" t="s">
        <v>2382</v>
      </c>
      <c r="NF14" s="8" t="s">
        <v>2386</v>
      </c>
      <c r="NG14" s="8" t="s">
        <v>2404</v>
      </c>
      <c r="NH14" s="8" t="s">
        <v>2382</v>
      </c>
      <c r="NI14" s="8" t="s">
        <v>2394</v>
      </c>
      <c r="NJ14" s="8" t="s">
        <v>2386</v>
      </c>
      <c r="NK14" s="29" t="s">
        <v>2381</v>
      </c>
      <c r="NL14" s="8" t="s">
        <v>2385</v>
      </c>
      <c r="NM14" s="8" t="s">
        <v>2381</v>
      </c>
      <c r="NN14" s="8" t="s">
        <v>2393</v>
      </c>
      <c r="NO14" s="8" t="s">
        <v>2393</v>
      </c>
      <c r="NP14" s="8" t="s">
        <v>2386</v>
      </c>
      <c r="NQ14" s="8" t="s">
        <v>2394</v>
      </c>
      <c r="NR14" s="8" t="s">
        <v>2399</v>
      </c>
      <c r="NS14" s="8" t="s">
        <v>2386</v>
      </c>
      <c r="NT14" s="8" t="s">
        <v>2385</v>
      </c>
      <c r="NU14" s="8" t="s">
        <v>2385</v>
      </c>
      <c r="NV14" s="8" t="s">
        <v>2385</v>
      </c>
      <c r="NW14" s="8" t="s">
        <v>2387</v>
      </c>
      <c r="NX14" s="8" t="s">
        <v>2395</v>
      </c>
      <c r="NY14" s="8" t="s">
        <v>2395</v>
      </c>
      <c r="NZ14" s="8" t="s">
        <v>2385</v>
      </c>
      <c r="OA14" s="8" t="s">
        <v>2387</v>
      </c>
      <c r="OB14" s="8" t="s">
        <v>2386</v>
      </c>
      <c r="OC14" s="8" t="s">
        <v>2385</v>
      </c>
      <c r="OD14" s="8" t="s">
        <v>2395</v>
      </c>
      <c r="OE14" s="8" t="s">
        <v>2385</v>
      </c>
      <c r="OF14" s="8" t="s">
        <v>2386</v>
      </c>
      <c r="OG14" s="8" t="s">
        <v>2394</v>
      </c>
      <c r="OH14" s="8" t="s">
        <v>2385</v>
      </c>
      <c r="OI14" s="8" t="s">
        <v>2386</v>
      </c>
      <c r="OJ14" s="8" t="s">
        <v>2395</v>
      </c>
      <c r="OK14" s="8" t="s">
        <v>2395</v>
      </c>
      <c r="OL14" s="8" t="s">
        <v>2381</v>
      </c>
      <c r="OM14" s="8" t="s">
        <v>2394</v>
      </c>
      <c r="ON14" s="8" t="s">
        <v>2385</v>
      </c>
      <c r="OO14" s="8" t="s">
        <v>2378</v>
      </c>
      <c r="OP14" s="8" t="s">
        <v>2381</v>
      </c>
      <c r="OQ14" s="8" t="s">
        <v>2394</v>
      </c>
      <c r="OR14" s="8" t="s">
        <v>2381</v>
      </c>
      <c r="OS14" s="8" t="s">
        <v>2386</v>
      </c>
      <c r="OT14" s="8" t="s">
        <v>2381</v>
      </c>
      <c r="OU14" s="8" t="s">
        <v>2394</v>
      </c>
      <c r="OV14" s="8" t="s">
        <v>2386</v>
      </c>
      <c r="OW14" s="8" t="s">
        <v>2385</v>
      </c>
      <c r="OX14" s="8" t="s">
        <v>2394</v>
      </c>
      <c r="OY14" s="8" t="s">
        <v>2386</v>
      </c>
      <c r="OZ14" s="8" t="s">
        <v>2395</v>
      </c>
      <c r="PA14" s="8" t="s">
        <v>2385</v>
      </c>
      <c r="PB14" s="8" t="s">
        <v>2394</v>
      </c>
      <c r="PC14" s="8" t="s">
        <v>2395</v>
      </c>
      <c r="PD14" s="8" t="s">
        <v>2386</v>
      </c>
      <c r="PE14" s="8" t="s">
        <v>2385</v>
      </c>
      <c r="PF14" s="29" t="s">
        <v>2394</v>
      </c>
      <c r="PG14" t="s">
        <v>2405</v>
      </c>
      <c r="PH14" t="s">
        <v>2386</v>
      </c>
      <c r="PI14" t="s">
        <v>2380</v>
      </c>
      <c r="PJ14" s="13" t="s">
        <v>2399</v>
      </c>
      <c r="PK14" t="s">
        <v>2381</v>
      </c>
      <c r="PL14" t="s">
        <v>2395</v>
      </c>
      <c r="PM14" s="13" t="s">
        <v>2384</v>
      </c>
      <c r="PN14" s="30" t="s">
        <v>2385</v>
      </c>
      <c r="PO14" t="s">
        <v>2385</v>
      </c>
      <c r="PP14" t="s">
        <v>2394</v>
      </c>
      <c r="PQ14" t="s">
        <v>2394</v>
      </c>
      <c r="PR14" s="30" t="s">
        <v>2394</v>
      </c>
      <c r="PS14" s="13" t="s">
        <v>2405</v>
      </c>
      <c r="PT14" t="s">
        <v>2385</v>
      </c>
      <c r="PU14" s="13" t="s">
        <v>2384</v>
      </c>
      <c r="PV14" s="13" t="s">
        <v>2393</v>
      </c>
      <c r="PW14" t="s">
        <v>2391</v>
      </c>
      <c r="PX14" t="s">
        <v>2386</v>
      </c>
      <c r="PY14" s="13" t="s">
        <v>2394</v>
      </c>
      <c r="PZ14" s="13" t="s">
        <v>2406</v>
      </c>
      <c r="QA14" t="s">
        <v>2386</v>
      </c>
      <c r="QB14" t="s">
        <v>2395</v>
      </c>
      <c r="QC14" s="13" t="s">
        <v>2385</v>
      </c>
      <c r="QD14" t="s">
        <v>2394</v>
      </c>
      <c r="QE14" t="s">
        <v>2385</v>
      </c>
      <c r="QF14" t="s">
        <v>2385</v>
      </c>
      <c r="QG14" t="s">
        <v>2386</v>
      </c>
      <c r="QH14" t="s">
        <v>2394</v>
      </c>
      <c r="QI14" s="13" t="s">
        <v>2407</v>
      </c>
      <c r="QJ14" s="30" t="s">
        <v>2394</v>
      </c>
      <c r="QK14" s="13" t="s">
        <v>2405</v>
      </c>
      <c r="QL14" t="s">
        <v>2401</v>
      </c>
      <c r="QM14" s="13" t="s">
        <v>2381</v>
      </c>
      <c r="QN14" t="s">
        <v>2380</v>
      </c>
      <c r="QO14" s="13" t="s">
        <v>2382</v>
      </c>
      <c r="QP14" t="s">
        <v>2394</v>
      </c>
      <c r="QQ14" t="s">
        <v>2381</v>
      </c>
      <c r="QR14" s="13" t="s">
        <v>2394</v>
      </c>
      <c r="QS14" s="13" t="s">
        <v>2386</v>
      </c>
      <c r="QT14" t="s">
        <v>2395</v>
      </c>
      <c r="QU14" s="13" t="s">
        <v>2388</v>
      </c>
      <c r="QV14" s="13" t="s">
        <v>2386</v>
      </c>
      <c r="QW14" s="13" t="s">
        <v>2386</v>
      </c>
      <c r="QX14" t="s">
        <v>2381</v>
      </c>
      <c r="QY14" t="s">
        <v>2394</v>
      </c>
      <c r="QZ14" t="s">
        <v>2381</v>
      </c>
      <c r="RA14" t="s">
        <v>2385</v>
      </c>
      <c r="RB14" t="s">
        <v>2386</v>
      </c>
      <c r="RC14" t="s">
        <v>2387</v>
      </c>
      <c r="RD14" t="s">
        <v>2394</v>
      </c>
      <c r="RE14" t="s">
        <v>2386</v>
      </c>
      <c r="RF14" s="13" t="s">
        <v>2405</v>
      </c>
      <c r="RG14" t="s">
        <v>2394</v>
      </c>
      <c r="RH14" t="s">
        <v>2386</v>
      </c>
      <c r="RI14" t="s">
        <v>2386</v>
      </c>
      <c r="RJ14" t="s">
        <v>2385</v>
      </c>
      <c r="RK14" s="13" t="s">
        <v>2394</v>
      </c>
      <c r="RL14" s="13" t="s">
        <v>2394</v>
      </c>
      <c r="RM14" s="13" t="s">
        <v>2395</v>
      </c>
      <c r="RN14" s="13" t="s">
        <v>2405</v>
      </c>
      <c r="RO14" s="13" t="s">
        <v>2405</v>
      </c>
      <c r="RP14" t="s">
        <v>2386</v>
      </c>
      <c r="RQ14" t="s">
        <v>2394</v>
      </c>
      <c r="RR14" s="13" t="s">
        <v>2405</v>
      </c>
      <c r="RS14" t="s">
        <v>2394</v>
      </c>
      <c r="RT14" s="13" t="s">
        <v>2395</v>
      </c>
      <c r="RU14" s="13" t="s">
        <v>2394</v>
      </c>
      <c r="RV14" t="s">
        <v>2394</v>
      </c>
      <c r="RW14" t="s">
        <v>2381</v>
      </c>
      <c r="RX14" t="s">
        <v>2381</v>
      </c>
      <c r="RY14" t="s">
        <v>2380</v>
      </c>
      <c r="RZ14" t="s">
        <v>2394</v>
      </c>
      <c r="SA14" t="s">
        <v>2395</v>
      </c>
      <c r="SB14" t="s">
        <v>2393</v>
      </c>
      <c r="SC14" t="s">
        <v>2387</v>
      </c>
      <c r="SD14" t="s">
        <v>2394</v>
      </c>
      <c r="SE14" t="s">
        <v>2394</v>
      </c>
      <c r="SF14" t="s">
        <v>2393</v>
      </c>
      <c r="SG14" t="s">
        <v>2394</v>
      </c>
      <c r="SH14" t="s">
        <v>2381</v>
      </c>
      <c r="SI14" s="13" t="s">
        <v>2394</v>
      </c>
      <c r="SJ14" s="13" t="s">
        <v>2394</v>
      </c>
      <c r="SK14" t="s">
        <v>2386</v>
      </c>
      <c r="SL14" t="s">
        <v>2408</v>
      </c>
      <c r="SM14" s="13" t="s">
        <v>2393</v>
      </c>
      <c r="SN14" t="s">
        <v>2405</v>
      </c>
      <c r="SO14" t="s">
        <v>2394</v>
      </c>
      <c r="SP14" s="13" t="s">
        <v>2405</v>
      </c>
      <c r="SQ14" t="s">
        <v>2394</v>
      </c>
      <c r="SR14" s="13" t="s">
        <v>2405</v>
      </c>
      <c r="SS14" s="13" t="s">
        <v>2405</v>
      </c>
      <c r="ST14" s="13" t="s">
        <v>2405</v>
      </c>
      <c r="SU14" t="s">
        <v>2394</v>
      </c>
      <c r="SV14" t="s">
        <v>2381</v>
      </c>
      <c r="SW14" t="s">
        <v>2394</v>
      </c>
      <c r="SX14" t="s">
        <v>2394</v>
      </c>
      <c r="SY14" t="s">
        <v>2384</v>
      </c>
      <c r="SZ14" t="s">
        <v>2381</v>
      </c>
      <c r="TA14" t="s">
        <v>2394</v>
      </c>
      <c r="TB14" t="s">
        <v>2382</v>
      </c>
      <c r="TC14" t="s">
        <v>2382</v>
      </c>
      <c r="TD14" t="s">
        <v>2384</v>
      </c>
      <c r="TE14" t="s">
        <v>2384</v>
      </c>
      <c r="TF14" t="s">
        <v>2394</v>
      </c>
      <c r="TG14" t="s">
        <v>2381</v>
      </c>
      <c r="TH14" t="s">
        <v>2397</v>
      </c>
      <c r="TI14" t="s">
        <v>2394</v>
      </c>
      <c r="TJ14" t="s">
        <v>2381</v>
      </c>
      <c r="TK14" t="s">
        <v>2394</v>
      </c>
      <c r="TL14" t="s">
        <v>2394</v>
      </c>
      <c r="TM14" t="s">
        <v>2394</v>
      </c>
      <c r="TN14" t="s">
        <v>2394</v>
      </c>
      <c r="TO14" t="s">
        <v>2397</v>
      </c>
      <c r="TP14" s="13" t="s">
        <v>2405</v>
      </c>
      <c r="TQ14" t="s">
        <v>2394</v>
      </c>
      <c r="TR14" t="s">
        <v>2381</v>
      </c>
      <c r="TS14" t="s">
        <v>2394</v>
      </c>
      <c r="TT14" s="13" t="s">
        <v>2405</v>
      </c>
      <c r="TU14" s="13" t="s">
        <v>2394</v>
      </c>
      <c r="TV14" s="13" t="s">
        <v>2381</v>
      </c>
      <c r="TW14" t="s">
        <v>2394</v>
      </c>
      <c r="TX14" t="s">
        <v>2385</v>
      </c>
      <c r="TY14" s="13" t="s">
        <v>2405</v>
      </c>
      <c r="TZ14" s="13" t="s">
        <v>2405</v>
      </c>
      <c r="UA14" t="s">
        <v>2380</v>
      </c>
      <c r="UB14" t="s">
        <v>2380</v>
      </c>
      <c r="UC14" t="s">
        <v>2380</v>
      </c>
      <c r="UD14" t="s">
        <v>2394</v>
      </c>
      <c r="UE14" s="13" t="s">
        <v>2405</v>
      </c>
      <c r="UF14" t="s">
        <v>2381</v>
      </c>
      <c r="UG14" t="s">
        <v>2381</v>
      </c>
      <c r="UH14" s="13" t="s">
        <v>2405</v>
      </c>
      <c r="UI14" s="13" t="s">
        <v>2405</v>
      </c>
      <c r="UJ14" t="s">
        <v>2394</v>
      </c>
      <c r="UK14" s="13" t="s">
        <v>2405</v>
      </c>
      <c r="UL14" t="s">
        <v>2382</v>
      </c>
      <c r="UM14" t="s">
        <v>2381</v>
      </c>
      <c r="UN14" t="s">
        <v>2391</v>
      </c>
      <c r="UO14" s="13" t="s">
        <v>2391</v>
      </c>
      <c r="UP14" s="13" t="s">
        <v>2391</v>
      </c>
      <c r="UQ14" t="s">
        <v>2386</v>
      </c>
      <c r="UR14" t="s">
        <v>2409</v>
      </c>
      <c r="US14" t="s">
        <v>2381</v>
      </c>
      <c r="UT14" t="s">
        <v>2394</v>
      </c>
      <c r="UU14" t="s">
        <v>2401</v>
      </c>
      <c r="UV14" t="s">
        <v>2401</v>
      </c>
      <c r="UW14" t="s">
        <v>2394</v>
      </c>
      <c r="UX14" t="s">
        <v>2394</v>
      </c>
      <c r="UY14" t="s">
        <v>2394</v>
      </c>
      <c r="UZ14" t="s">
        <v>2387</v>
      </c>
      <c r="VA14" s="13" t="s">
        <v>2384</v>
      </c>
      <c r="VB14" s="13" t="s">
        <v>2394</v>
      </c>
      <c r="VC14" t="s">
        <v>2384</v>
      </c>
      <c r="VD14" t="s">
        <v>2394</v>
      </c>
      <c r="VE14" t="s">
        <v>2382</v>
      </c>
      <c r="VF14" s="13" t="s">
        <v>2384</v>
      </c>
      <c r="VG14" s="13" t="s">
        <v>2385</v>
      </c>
      <c r="VH14" t="s">
        <v>2385</v>
      </c>
      <c r="VI14" s="13" t="s">
        <v>2405</v>
      </c>
      <c r="VJ14" t="s">
        <v>2381</v>
      </c>
      <c r="VK14" s="13" t="s">
        <v>2394</v>
      </c>
      <c r="VL14" s="13" t="s">
        <v>2380</v>
      </c>
      <c r="VM14" s="13" t="s">
        <v>2405</v>
      </c>
      <c r="VN14" s="13" t="s">
        <v>2405</v>
      </c>
      <c r="VO14" t="s">
        <v>2386</v>
      </c>
      <c r="VP14" t="s">
        <v>2394</v>
      </c>
      <c r="VQ14" t="s">
        <v>2385</v>
      </c>
      <c r="VR14" t="s">
        <v>2387</v>
      </c>
      <c r="VS14" s="13" t="s">
        <v>2410</v>
      </c>
      <c r="VT14" s="13" t="s">
        <v>2381</v>
      </c>
      <c r="VU14" s="13" t="s">
        <v>2405</v>
      </c>
      <c r="VV14" s="13" t="s">
        <v>2394</v>
      </c>
      <c r="VW14" s="13" t="s">
        <v>2386</v>
      </c>
      <c r="VX14" s="13" t="s">
        <v>2385</v>
      </c>
      <c r="VY14" s="13" t="s">
        <v>2385</v>
      </c>
      <c r="VZ14" s="13" t="s">
        <v>2380</v>
      </c>
      <c r="WA14" t="s">
        <v>2380</v>
      </c>
      <c r="WB14" s="13" t="s">
        <v>2405</v>
      </c>
      <c r="WC14" t="s">
        <v>2382</v>
      </c>
      <c r="WD14" s="13" t="s">
        <v>2405</v>
      </c>
      <c r="WE14" s="13" t="s">
        <v>2405</v>
      </c>
      <c r="WF14" s="13" t="s">
        <v>2383</v>
      </c>
      <c r="WG14" s="13" t="s">
        <v>2383</v>
      </c>
      <c r="WH14" s="13" t="s">
        <v>2405</v>
      </c>
      <c r="WI14" s="13" t="s">
        <v>2405</v>
      </c>
      <c r="WJ14" s="13" t="s">
        <v>2405</v>
      </c>
      <c r="WK14" s="13" t="s">
        <v>2382</v>
      </c>
      <c r="WL14" s="13" t="s">
        <v>2391</v>
      </c>
      <c r="WM14" s="13" t="s">
        <v>2405</v>
      </c>
      <c r="WN14" s="13" t="s">
        <v>2394</v>
      </c>
      <c r="WO14" s="13" t="s">
        <v>2394</v>
      </c>
      <c r="WP14" s="13" t="s">
        <v>2394</v>
      </c>
      <c r="WQ14" s="13" t="s">
        <v>2397</v>
      </c>
      <c r="WR14" s="13" t="s">
        <v>2394</v>
      </c>
      <c r="WS14" s="13" t="s">
        <v>2381</v>
      </c>
      <c r="WT14" s="13" t="s">
        <v>2381</v>
      </c>
      <c r="WU14" s="13" t="s">
        <v>2394</v>
      </c>
      <c r="WV14" s="13" t="s">
        <v>2394</v>
      </c>
      <c r="WW14" s="13" t="s">
        <v>2394</v>
      </c>
      <c r="WX14" s="13" t="s">
        <v>2405</v>
      </c>
      <c r="WY14" s="13" t="s">
        <v>2405</v>
      </c>
      <c r="WZ14" s="13" t="s">
        <v>2386</v>
      </c>
      <c r="XA14" s="13" t="s">
        <v>2397</v>
      </c>
      <c r="XB14" s="13" t="s">
        <v>2397</v>
      </c>
      <c r="XC14" s="13" t="s">
        <v>2397</v>
      </c>
      <c r="XD14" s="13" t="s">
        <v>2405</v>
      </c>
      <c r="XE14" s="13" t="s">
        <v>2411</v>
      </c>
      <c r="XF14" s="13" t="s">
        <v>2397</v>
      </c>
      <c r="XG14" s="13" t="s">
        <v>2381</v>
      </c>
      <c r="XH14" s="13" t="s">
        <v>2381</v>
      </c>
      <c r="XI14" s="13" t="s">
        <v>2381</v>
      </c>
      <c r="XJ14" s="13" t="s">
        <v>2394</v>
      </c>
      <c r="XK14" s="13" t="s">
        <v>2394</v>
      </c>
      <c r="XL14" s="13" t="s">
        <v>2405</v>
      </c>
      <c r="XM14" s="13" t="s">
        <v>2381</v>
      </c>
      <c r="XN14" s="13" t="s">
        <v>2394</v>
      </c>
      <c r="XO14" s="13" t="s">
        <v>2405</v>
      </c>
      <c r="XP14" t="s">
        <v>2412</v>
      </c>
      <c r="XQ14" t="s">
        <v>2383</v>
      </c>
      <c r="XR14" t="s">
        <v>2381</v>
      </c>
      <c r="XS14" t="s">
        <v>2405</v>
      </c>
      <c r="XT14" t="s">
        <v>2394</v>
      </c>
      <c r="XU14" t="s">
        <v>2394</v>
      </c>
      <c r="XV14" t="s">
        <v>2383</v>
      </c>
      <c r="XW14" t="s">
        <v>2394</v>
      </c>
      <c r="XX14" t="s">
        <v>2403</v>
      </c>
      <c r="XY14" t="s">
        <v>2387</v>
      </c>
      <c r="XZ14" t="s">
        <v>2387</v>
      </c>
      <c r="YA14" t="s">
        <v>2387</v>
      </c>
      <c r="YB14" t="s">
        <v>2387</v>
      </c>
      <c r="YC14" t="s">
        <v>2387</v>
      </c>
      <c r="YD14" t="s">
        <v>2381</v>
      </c>
      <c r="YE14" t="s">
        <v>2383</v>
      </c>
      <c r="YF14" t="s">
        <v>2383</v>
      </c>
      <c r="YG14" t="s">
        <v>2394</v>
      </c>
      <c r="YH14" t="s">
        <v>2381</v>
      </c>
      <c r="YI14" t="s">
        <v>2394</v>
      </c>
      <c r="YJ14" s="13" t="s">
        <v>2405</v>
      </c>
      <c r="YK14" s="13" t="s">
        <v>2405</v>
      </c>
      <c r="YL14" t="s">
        <v>2394</v>
      </c>
      <c r="YM14" t="s">
        <v>2381</v>
      </c>
      <c r="YN14" s="13" t="s">
        <v>2405</v>
      </c>
      <c r="YO14" s="13" t="s">
        <v>2405</v>
      </c>
      <c r="YP14" s="13" t="s">
        <v>2405</v>
      </c>
      <c r="YQ14" s="13" t="s">
        <v>2405</v>
      </c>
      <c r="YR14" t="s">
        <v>2394</v>
      </c>
      <c r="YS14" t="s">
        <v>2413</v>
      </c>
      <c r="YT14" s="13" t="s">
        <v>2405</v>
      </c>
      <c r="YU14" s="13" t="s">
        <v>2405</v>
      </c>
      <c r="YV14" t="s">
        <v>2405</v>
      </c>
      <c r="YW14" t="s">
        <v>2382</v>
      </c>
      <c r="YX14" s="13" t="s">
        <v>2405</v>
      </c>
      <c r="YY14" s="13" t="s">
        <v>2405</v>
      </c>
      <c r="YZ14" s="13" t="s">
        <v>2405</v>
      </c>
      <c r="ZA14" t="s">
        <v>2383</v>
      </c>
      <c r="ZB14" t="s">
        <v>2394</v>
      </c>
      <c r="ZC14" t="s">
        <v>2396</v>
      </c>
      <c r="ZD14" t="s">
        <v>2405</v>
      </c>
      <c r="ZE14" t="s">
        <v>2381</v>
      </c>
      <c r="ZF14" t="s">
        <v>2381</v>
      </c>
      <c r="ZG14" t="s">
        <v>2405</v>
      </c>
      <c r="ZH14" t="s">
        <v>2405</v>
      </c>
      <c r="ZI14" t="s">
        <v>2383</v>
      </c>
      <c r="ZJ14" t="s">
        <v>2394</v>
      </c>
      <c r="ZK14" t="s">
        <v>2381</v>
      </c>
      <c r="ZL14" t="s">
        <v>2381</v>
      </c>
      <c r="ZM14" t="s">
        <v>2405</v>
      </c>
      <c r="ZN14" t="s">
        <v>2381</v>
      </c>
      <c r="ZO14" t="s">
        <v>2405</v>
      </c>
      <c r="ZP14" t="s">
        <v>2381</v>
      </c>
      <c r="ZQ14" t="s">
        <v>2397</v>
      </c>
      <c r="ZR14" t="s">
        <v>2381</v>
      </c>
      <c r="ZS14" t="s">
        <v>2381</v>
      </c>
      <c r="ZT14" t="s">
        <v>2381</v>
      </c>
      <c r="ZU14" t="s">
        <v>2394</v>
      </c>
      <c r="ZV14" t="s">
        <v>2405</v>
      </c>
      <c r="ZW14" t="s">
        <v>2408</v>
      </c>
      <c r="ZX14" t="s">
        <v>2397</v>
      </c>
      <c r="ZY14" t="s">
        <v>2405</v>
      </c>
      <c r="ZZ14" t="s">
        <v>2397</v>
      </c>
      <c r="AAA14" t="s">
        <v>2405</v>
      </c>
      <c r="AAB14" s="36" t="s">
        <v>2394</v>
      </c>
      <c r="AAC14" s="36" t="s">
        <v>2394</v>
      </c>
      <c r="AAD14" t="s">
        <v>2381</v>
      </c>
      <c r="AAE14" t="s">
        <v>2405</v>
      </c>
      <c r="AAF14" s="13" t="s">
        <v>2405</v>
      </c>
      <c r="AAG14" t="s">
        <v>2405</v>
      </c>
      <c r="AAH14" s="13" t="s">
        <v>2405</v>
      </c>
      <c r="AAI14" s="13" t="s">
        <v>2405</v>
      </c>
      <c r="AAJ14" t="s">
        <v>2381</v>
      </c>
      <c r="AAK14" t="s">
        <v>2405</v>
      </c>
      <c r="AAL14" s="13" t="s">
        <v>2405</v>
      </c>
      <c r="AAM14" t="s">
        <v>2383</v>
      </c>
      <c r="AAN14" t="s">
        <v>2381</v>
      </c>
      <c r="AAO14" t="s">
        <v>2381</v>
      </c>
      <c r="AAP14" t="s">
        <v>2405</v>
      </c>
      <c r="AAQ14" t="s">
        <v>2405</v>
      </c>
      <c r="AAR14" t="s">
        <v>2381</v>
      </c>
      <c r="AAS14" t="s">
        <v>2405</v>
      </c>
      <c r="AAT14" t="s">
        <v>2405</v>
      </c>
      <c r="AAU14" t="s">
        <v>2405</v>
      </c>
      <c r="AAV14" t="s">
        <v>2381</v>
      </c>
      <c r="AAW14" t="s">
        <v>2405</v>
      </c>
      <c r="AAX14" t="s">
        <v>2405</v>
      </c>
      <c r="AAY14" t="s">
        <v>2405</v>
      </c>
      <c r="AAZ14" t="s">
        <v>2405</v>
      </c>
      <c r="ABA14" s="13"/>
      <c r="ABB14" t="s">
        <v>2380</v>
      </c>
      <c r="ABC14" t="s">
        <v>2405</v>
      </c>
      <c r="ABD14" t="s">
        <v>2405</v>
      </c>
      <c r="ABE14" t="s">
        <v>2405</v>
      </c>
      <c r="ABF14" t="s">
        <v>2399</v>
      </c>
      <c r="ABG14" t="s">
        <v>2381</v>
      </c>
      <c r="ABH14" t="s">
        <v>2405</v>
      </c>
      <c r="ABI14" t="s">
        <v>2383</v>
      </c>
      <c r="ABJ14" t="s">
        <v>2381</v>
      </c>
      <c r="ABK14" t="s">
        <v>2405</v>
      </c>
      <c r="ABL14" t="s">
        <v>2381</v>
      </c>
      <c r="ABM14" t="s">
        <v>2405</v>
      </c>
      <c r="ABN14" t="s">
        <v>2405</v>
      </c>
      <c r="ABO14" t="s">
        <v>2394</v>
      </c>
      <c r="ABP14" t="s">
        <v>2381</v>
      </c>
      <c r="ABR14" t="s">
        <v>2381</v>
      </c>
      <c r="ABS14" t="s">
        <v>2394</v>
      </c>
      <c r="ABT14" t="s">
        <v>2381</v>
      </c>
      <c r="ABU14" t="s">
        <v>2394</v>
      </c>
      <c r="ABV14" t="s">
        <v>2405</v>
      </c>
      <c r="ABW14" s="13" t="s">
        <v>2405</v>
      </c>
      <c r="ABX14" s="13" t="s">
        <v>2381</v>
      </c>
      <c r="ABY14" t="s">
        <v>2381</v>
      </c>
      <c r="ABZ14" t="s">
        <v>2381</v>
      </c>
      <c r="ACA14" t="s">
        <v>2405</v>
      </c>
      <c r="ACB14" t="s">
        <v>2405</v>
      </c>
      <c r="ACC14" t="s">
        <v>2394</v>
      </c>
      <c r="ACD14" s="13" t="s">
        <v>2405</v>
      </c>
      <c r="ACE14" s="13" t="s">
        <v>2385</v>
      </c>
      <c r="ACF14" t="s">
        <v>2385</v>
      </c>
      <c r="ACG14" t="s">
        <v>2381</v>
      </c>
      <c r="ACH14" t="s">
        <v>2394</v>
      </c>
      <c r="ACI14" t="s">
        <v>2405</v>
      </c>
      <c r="ACJ14" t="s">
        <v>2381</v>
      </c>
      <c r="ACK14" t="s">
        <v>2394</v>
      </c>
      <c r="ACL14" t="s">
        <v>2405</v>
      </c>
      <c r="ACM14" t="s">
        <v>2397</v>
      </c>
      <c r="ACN14" t="s">
        <v>2383</v>
      </c>
      <c r="ACO14" s="13" t="s">
        <v>2394</v>
      </c>
      <c r="ACP14" t="s">
        <v>2381</v>
      </c>
      <c r="ACQ14" s="13" t="s">
        <v>2394</v>
      </c>
      <c r="ACR14" s="13" t="s">
        <v>2405</v>
      </c>
      <c r="ACS14" s="13" t="s">
        <v>2381</v>
      </c>
      <c r="ACT14" s="13" t="s">
        <v>2381</v>
      </c>
      <c r="ACU14" s="13" t="s">
        <v>2405</v>
      </c>
      <c r="ACV14" t="s">
        <v>2409</v>
      </c>
      <c r="ACW14" s="13" t="s">
        <v>2405</v>
      </c>
      <c r="ACX14" s="13" t="s">
        <v>2381</v>
      </c>
      <c r="ACY14" t="s">
        <v>2405</v>
      </c>
      <c r="ACZ14" s="13" t="s">
        <v>2405</v>
      </c>
      <c r="ADA14" s="13" t="s">
        <v>2381</v>
      </c>
      <c r="ADB14" s="13" t="s">
        <v>2394</v>
      </c>
      <c r="ADC14" s="13" t="s">
        <v>2394</v>
      </c>
      <c r="ADD14" s="13" t="s">
        <v>2405</v>
      </c>
      <c r="ADE14" s="13" t="s">
        <v>2405</v>
      </c>
      <c r="ADF14" t="s">
        <v>2381</v>
      </c>
      <c r="ADG14" t="s">
        <v>2386</v>
      </c>
      <c r="ADH14" s="13" t="s">
        <v>2394</v>
      </c>
      <c r="ADI14" s="13" t="s">
        <v>2384</v>
      </c>
      <c r="ADJ14" s="13" t="s">
        <v>2397</v>
      </c>
      <c r="ADK14" t="s">
        <v>2381</v>
      </c>
      <c r="ADL14" t="s">
        <v>2381</v>
      </c>
      <c r="ADM14" t="s">
        <v>2381</v>
      </c>
      <c r="ADN14" s="13" t="s">
        <v>2405</v>
      </c>
      <c r="ADO14" s="13" t="s">
        <v>2405</v>
      </c>
      <c r="ADP14" s="13" t="s">
        <v>2381</v>
      </c>
      <c r="ADQ14" s="13" t="s">
        <v>2381</v>
      </c>
      <c r="ADR14" s="13" t="s">
        <v>2405</v>
      </c>
      <c r="ADS14" s="13" t="s">
        <v>2394</v>
      </c>
      <c r="ADT14" s="13" t="s">
        <v>2394</v>
      </c>
      <c r="ADU14" s="13" t="s">
        <v>2405</v>
      </c>
      <c r="ADV14" s="13" t="s">
        <v>2405</v>
      </c>
      <c r="ADW14" s="13" t="s">
        <v>2384</v>
      </c>
      <c r="ADX14" t="s">
        <v>2394</v>
      </c>
      <c r="ADY14" t="s">
        <v>2381</v>
      </c>
      <c r="ADZ14" t="s">
        <v>2381</v>
      </c>
      <c r="AEA14" t="s">
        <v>2391</v>
      </c>
      <c r="AEB14" s="13" t="s">
        <v>2414</v>
      </c>
      <c r="AEC14" s="13" t="s">
        <v>2407</v>
      </c>
      <c r="AED14" s="13" t="s">
        <v>2381</v>
      </c>
      <c r="AEE14" s="13" t="s">
        <v>2381</v>
      </c>
      <c r="AEF14" s="13" t="s">
        <v>2388</v>
      </c>
      <c r="AEG14" s="13" t="s">
        <v>2381</v>
      </c>
      <c r="AEH14" t="s">
        <v>2388</v>
      </c>
      <c r="AEI14" t="s">
        <v>2388</v>
      </c>
      <c r="AEJ14" t="s">
        <v>2394</v>
      </c>
      <c r="AEK14" t="s">
        <v>2381</v>
      </c>
      <c r="AEL14" t="s">
        <v>2405</v>
      </c>
      <c r="AEM14" t="s">
        <v>2405</v>
      </c>
      <c r="AEN14" s="13" t="s">
        <v>2381</v>
      </c>
      <c r="AEO14" s="13" t="s">
        <v>2383</v>
      </c>
      <c r="AEP14" s="13" t="s">
        <v>2380</v>
      </c>
      <c r="AEQ14" s="13" t="s">
        <v>2394</v>
      </c>
      <c r="AER14" s="13" t="s">
        <v>2381</v>
      </c>
      <c r="AES14" s="13" t="s">
        <v>2405</v>
      </c>
      <c r="AET14" s="13" t="s">
        <v>2405</v>
      </c>
      <c r="AEU14" t="s">
        <v>2405</v>
      </c>
      <c r="AEV14" t="s">
        <v>2405</v>
      </c>
      <c r="AEW14" t="s">
        <v>2405</v>
      </c>
      <c r="AEX14" t="s">
        <v>2381</v>
      </c>
      <c r="AEY14" t="s">
        <v>2405</v>
      </c>
      <c r="AEZ14" t="s">
        <v>2405</v>
      </c>
      <c r="AFA14" s="13" t="s">
        <v>2394</v>
      </c>
      <c r="AFB14" s="13" t="s">
        <v>2385</v>
      </c>
      <c r="AFC14" s="13" t="s">
        <v>2394</v>
      </c>
      <c r="AFD14" s="13" t="s">
        <v>2405</v>
      </c>
      <c r="AFE14" s="13" t="s">
        <v>2384</v>
      </c>
      <c r="AFF14" t="s">
        <v>2405</v>
      </c>
      <c r="AFG14" s="13" t="s">
        <v>2394</v>
      </c>
      <c r="AFH14" t="s">
        <v>2409</v>
      </c>
      <c r="AFI14" t="s">
        <v>2383</v>
      </c>
      <c r="AFJ14" t="s">
        <v>2381</v>
      </c>
      <c r="AFK14" t="s">
        <v>2381</v>
      </c>
      <c r="AFL14" s="13" t="s">
        <v>2394</v>
      </c>
      <c r="AFM14" s="13" t="s">
        <v>2385</v>
      </c>
      <c r="AFN14" s="13" t="s">
        <v>2405</v>
      </c>
      <c r="AFO14" t="s">
        <v>2394</v>
      </c>
      <c r="AFP14" t="s">
        <v>2394</v>
      </c>
      <c r="AFQ14" t="s">
        <v>2381</v>
      </c>
      <c r="AFR14" t="s">
        <v>2381</v>
      </c>
      <c r="AFS14" s="13" t="s">
        <v>2394</v>
      </c>
      <c r="AFT14" s="13" t="s">
        <v>2394</v>
      </c>
      <c r="AFU14" s="13" t="s">
        <v>2394</v>
      </c>
      <c r="AFV14" t="s">
        <v>2405</v>
      </c>
      <c r="AFW14" s="13" t="s">
        <v>2394</v>
      </c>
      <c r="AFX14" s="13" t="s">
        <v>2388</v>
      </c>
      <c r="AFY14" t="s">
        <v>2405</v>
      </c>
      <c r="AFZ14" t="s">
        <v>2405</v>
      </c>
      <c r="AGA14" t="s">
        <v>2394</v>
      </c>
      <c r="AGB14" t="s">
        <v>2394</v>
      </c>
      <c r="AGC14" t="s">
        <v>2394</v>
      </c>
      <c r="AGD14" t="s">
        <v>2394</v>
      </c>
      <c r="AGE14" t="s">
        <v>2381</v>
      </c>
      <c r="AGF14" t="s">
        <v>2381</v>
      </c>
      <c r="AGG14" t="s">
        <v>2384</v>
      </c>
      <c r="AGH14" t="s">
        <v>2394</v>
      </c>
      <c r="AGI14" t="s">
        <v>2385</v>
      </c>
      <c r="AGJ14" s="13" t="s">
        <v>2394</v>
      </c>
      <c r="AGK14" s="13" t="s">
        <v>2405</v>
      </c>
      <c r="AGL14" s="13" t="s">
        <v>2405</v>
      </c>
      <c r="AGM14" s="13" t="s">
        <v>2405</v>
      </c>
      <c r="AGN14" s="13" t="s">
        <v>2395</v>
      </c>
      <c r="AGO14" s="13" t="s">
        <v>2395</v>
      </c>
      <c r="AGP14" t="s">
        <v>2405</v>
      </c>
      <c r="AGQ14" t="s">
        <v>2405</v>
      </c>
      <c r="AGR14" t="s">
        <v>2405</v>
      </c>
      <c r="AGS14" s="13" t="s">
        <v>2394</v>
      </c>
      <c r="AGT14" t="s">
        <v>2405</v>
      </c>
      <c r="AGU14" t="s">
        <v>2405</v>
      </c>
      <c r="AGV14" t="s">
        <v>2405</v>
      </c>
      <c r="AGW14" t="s">
        <v>2405</v>
      </c>
      <c r="AGX14" t="s">
        <v>2405</v>
      </c>
      <c r="AGY14" t="s">
        <v>2405</v>
      </c>
      <c r="AGZ14" t="s">
        <v>2405</v>
      </c>
      <c r="AHA14" t="s">
        <v>2405</v>
      </c>
      <c r="AHB14" t="s">
        <v>2405</v>
      </c>
      <c r="AHC14" t="s">
        <v>2405</v>
      </c>
      <c r="AHD14" t="s">
        <v>2405</v>
      </c>
      <c r="AHE14" t="s">
        <v>2405</v>
      </c>
      <c r="AHF14" t="s">
        <v>2405</v>
      </c>
      <c r="AHG14" t="s">
        <v>2405</v>
      </c>
      <c r="AHH14" t="s">
        <v>2405</v>
      </c>
      <c r="AHI14" t="s">
        <v>2405</v>
      </c>
      <c r="AHJ14" t="s">
        <v>2405</v>
      </c>
      <c r="AHK14" t="s">
        <v>2405</v>
      </c>
      <c r="AHL14" t="s">
        <v>2405</v>
      </c>
      <c r="AHM14" t="s">
        <v>2405</v>
      </c>
      <c r="AHN14" t="s">
        <v>2405</v>
      </c>
      <c r="AHO14" t="s">
        <v>2405</v>
      </c>
      <c r="AHP14" t="s">
        <v>2405</v>
      </c>
      <c r="AHQ14" t="s">
        <v>2405</v>
      </c>
      <c r="AHR14" t="s">
        <v>2405</v>
      </c>
      <c r="AHS14" t="s">
        <v>2405</v>
      </c>
      <c r="AHT14" t="s">
        <v>2405</v>
      </c>
      <c r="AHU14" t="s">
        <v>2405</v>
      </c>
      <c r="AHV14" t="s">
        <v>2405</v>
      </c>
      <c r="AHW14" t="s">
        <v>2405</v>
      </c>
      <c r="AHX14" t="s">
        <v>2405</v>
      </c>
      <c r="AHY14" t="s">
        <v>2405</v>
      </c>
      <c r="AHZ14" t="s">
        <v>2405</v>
      </c>
      <c r="AIA14" t="s">
        <v>2405</v>
      </c>
      <c r="AIB14" t="s">
        <v>2382</v>
      </c>
      <c r="AIC14" t="s">
        <v>2394</v>
      </c>
      <c r="AID14" t="s">
        <v>2381</v>
      </c>
      <c r="AIE14" t="s">
        <v>2385</v>
      </c>
      <c r="AIF14" t="s">
        <v>2392</v>
      </c>
      <c r="AIG14" t="s">
        <v>2392</v>
      </c>
      <c r="AIH14" t="s">
        <v>2381</v>
      </c>
      <c r="AII14" s="13" t="s">
        <v>2394</v>
      </c>
      <c r="AIJ14" s="13" t="s">
        <v>2394</v>
      </c>
      <c r="AIK14" t="s">
        <v>2394</v>
      </c>
      <c r="AIL14" t="s">
        <v>2394</v>
      </c>
      <c r="AIM14" t="s">
        <v>2405</v>
      </c>
      <c r="AIN14" t="s">
        <v>2405</v>
      </c>
      <c r="AIO14" t="s">
        <v>2380</v>
      </c>
      <c r="AIP14" s="13" t="s">
        <v>2381</v>
      </c>
      <c r="AIQ14" t="s">
        <v>2381</v>
      </c>
      <c r="AIR14" s="2" t="s">
        <v>2388</v>
      </c>
      <c r="AIS14" s="13" t="s">
        <v>2394</v>
      </c>
      <c r="AIT14" t="s">
        <v>2405</v>
      </c>
      <c r="AIU14" t="s">
        <v>2383</v>
      </c>
      <c r="AIV14" t="s">
        <v>2394</v>
      </c>
      <c r="AIW14" t="s">
        <v>2394</v>
      </c>
      <c r="AIX14" t="s">
        <v>2385</v>
      </c>
      <c r="AIY14" s="13" t="s">
        <v>2405</v>
      </c>
      <c r="AIZ14" t="s">
        <v>2383</v>
      </c>
      <c r="AJA14" s="13" t="s">
        <v>2381</v>
      </c>
      <c r="AJB14" t="s">
        <v>2381</v>
      </c>
      <c r="AJC14" s="13" t="s">
        <v>2394</v>
      </c>
      <c r="AJD14" s="13" t="s">
        <v>2394</v>
      </c>
      <c r="AJE14" t="s">
        <v>2405</v>
      </c>
      <c r="AJF14" t="s">
        <v>2405</v>
      </c>
      <c r="AJG14" t="s">
        <v>2385</v>
      </c>
      <c r="AJH14" t="s">
        <v>2405</v>
      </c>
      <c r="AJI14" t="s">
        <v>2394</v>
      </c>
      <c r="AJJ14" t="s">
        <v>2381</v>
      </c>
      <c r="AJK14" t="s">
        <v>2381</v>
      </c>
      <c r="AJL14" s="8" t="s">
        <v>2381</v>
      </c>
      <c r="AJM14" t="s">
        <v>2405</v>
      </c>
      <c r="AJN14" t="s">
        <v>2388</v>
      </c>
      <c r="AJO14" t="s">
        <v>2404</v>
      </c>
      <c r="AJP14" t="s">
        <v>2385</v>
      </c>
      <c r="AJQ14" t="s">
        <v>2394</v>
      </c>
      <c r="AJR14" t="s">
        <v>2387</v>
      </c>
      <c r="AJS14" t="s">
        <v>2387</v>
      </c>
      <c r="AJT14" t="s">
        <v>2382</v>
      </c>
      <c r="AJU14" t="s">
        <v>2394</v>
      </c>
      <c r="AJV14" t="s">
        <v>2394</v>
      </c>
      <c r="AJW14" t="s">
        <v>2394</v>
      </c>
      <c r="AJX14" t="s">
        <v>2394</v>
      </c>
      <c r="AJY14" t="s">
        <v>2405</v>
      </c>
      <c r="AJZ14" t="s">
        <v>2405</v>
      </c>
      <c r="AKA14" t="s">
        <v>2405</v>
      </c>
      <c r="AKB14" t="s">
        <v>2405</v>
      </c>
      <c r="AKC14" t="s">
        <v>2385</v>
      </c>
      <c r="AKD14" t="s">
        <v>2381</v>
      </c>
      <c r="AKE14" t="s">
        <v>2385</v>
      </c>
      <c r="AKF14" t="s">
        <v>2381</v>
      </c>
      <c r="AKG14" t="s">
        <v>2405</v>
      </c>
      <c r="AKH14" t="s">
        <v>2405</v>
      </c>
      <c r="AKI14" t="s">
        <v>2381</v>
      </c>
      <c r="AKJ14" t="s">
        <v>2394</v>
      </c>
      <c r="AKK14" t="s">
        <v>2394</v>
      </c>
      <c r="AKL14" t="s">
        <v>2394</v>
      </c>
      <c r="AKM14" t="s">
        <v>2405</v>
      </c>
      <c r="AKN14" t="s">
        <v>2405</v>
      </c>
      <c r="AKO14" t="s">
        <v>2405</v>
      </c>
      <c r="AKP14" t="s">
        <v>2381</v>
      </c>
      <c r="AKQ14" t="s">
        <v>2405</v>
      </c>
      <c r="AKR14" t="s">
        <v>2405</v>
      </c>
      <c r="AKS14" t="s">
        <v>2405</v>
      </c>
      <c r="AKT14" t="s">
        <v>2405</v>
      </c>
      <c r="AKU14" t="s">
        <v>2405</v>
      </c>
      <c r="AKV14" s="13" t="s">
        <v>2405</v>
      </c>
      <c r="AKW14" t="s">
        <v>2405</v>
      </c>
      <c r="AKX14" t="s">
        <v>2405</v>
      </c>
      <c r="AKY14" t="s">
        <v>2405</v>
      </c>
      <c r="AKZ14" t="s">
        <v>2405</v>
      </c>
      <c r="ALA14" t="s">
        <v>2405</v>
      </c>
      <c r="ALB14" t="s">
        <v>2405</v>
      </c>
      <c r="ALC14" t="s">
        <v>2405</v>
      </c>
      <c r="ALD14" t="s">
        <v>2405</v>
      </c>
      <c r="ALE14" t="s">
        <v>2405</v>
      </c>
      <c r="ALF14" t="s">
        <v>2405</v>
      </c>
      <c r="ALG14" t="s">
        <v>2405</v>
      </c>
      <c r="ALH14" t="s">
        <v>2405</v>
      </c>
      <c r="ALI14" t="s">
        <v>2381</v>
      </c>
      <c r="ALJ14" t="s">
        <v>2381</v>
      </c>
      <c r="ALK14" t="s">
        <v>2381</v>
      </c>
      <c r="ALL14" t="s">
        <v>2405</v>
      </c>
      <c r="ALM14" t="s">
        <v>2405</v>
      </c>
      <c r="ALN14" t="s">
        <v>2405</v>
      </c>
      <c r="ALO14" t="s">
        <v>2405</v>
      </c>
      <c r="ALP14" t="s">
        <v>2405</v>
      </c>
      <c r="ALQ14" t="s">
        <v>2405</v>
      </c>
      <c r="ALR14" t="s">
        <v>2405</v>
      </c>
      <c r="ALS14" t="s">
        <v>2405</v>
      </c>
      <c r="ALT14" t="s">
        <v>2405</v>
      </c>
      <c r="ALU14" t="s">
        <v>2405</v>
      </c>
      <c r="ALV14" t="s">
        <v>2405</v>
      </c>
      <c r="ALW14" t="s">
        <v>2405</v>
      </c>
      <c r="ALX14" t="s">
        <v>2405</v>
      </c>
      <c r="ALY14" t="s">
        <v>2405</v>
      </c>
      <c r="ALZ14" t="s">
        <v>2405</v>
      </c>
      <c r="AMA14" t="s">
        <v>2405</v>
      </c>
      <c r="AMB14" t="s">
        <v>2405</v>
      </c>
      <c r="AMC14" t="s">
        <v>2405</v>
      </c>
      <c r="AMD14" t="s">
        <v>2405</v>
      </c>
      <c r="AME14" t="s">
        <v>2405</v>
      </c>
      <c r="AMF14" t="s">
        <v>2405</v>
      </c>
      <c r="AMG14" t="s">
        <v>2405</v>
      </c>
      <c r="AMH14" t="s">
        <v>2405</v>
      </c>
      <c r="AMI14" t="s">
        <v>2405</v>
      </c>
      <c r="AMJ14" t="s">
        <v>2405</v>
      </c>
      <c r="AMK14" t="s">
        <v>2394</v>
      </c>
      <c r="AML14" t="s">
        <v>2405</v>
      </c>
      <c r="AMM14" t="s">
        <v>2405</v>
      </c>
      <c r="AMN14" t="s">
        <v>2405</v>
      </c>
      <c r="AMO14" t="s">
        <v>2405</v>
      </c>
      <c r="AMP14" t="s">
        <v>2405</v>
      </c>
      <c r="AMQ14" t="s">
        <v>2405</v>
      </c>
      <c r="AMR14" t="s">
        <v>2388</v>
      </c>
      <c r="AMS14" t="s">
        <v>2405</v>
      </c>
      <c r="AMT14" t="s">
        <v>2405</v>
      </c>
      <c r="AMU14" t="s">
        <v>2405</v>
      </c>
      <c r="AMV14" t="s">
        <v>2405</v>
      </c>
      <c r="AMW14" t="s">
        <v>2405</v>
      </c>
      <c r="AMX14" t="s">
        <v>2405</v>
      </c>
      <c r="AMY14" t="s">
        <v>2405</v>
      </c>
      <c r="AMZ14" t="s">
        <v>2405</v>
      </c>
      <c r="ANA14" t="s">
        <v>2394</v>
      </c>
      <c r="ANB14" t="s">
        <v>2405</v>
      </c>
      <c r="ANC14" t="s">
        <v>2405</v>
      </c>
      <c r="AND14" t="s">
        <v>2405</v>
      </c>
      <c r="ANE14" t="s">
        <v>2405</v>
      </c>
      <c r="ANF14" t="s">
        <v>2405</v>
      </c>
      <c r="ANG14" t="s">
        <v>2405</v>
      </c>
      <c r="ANH14" t="s">
        <v>2405</v>
      </c>
      <c r="ANI14" t="s">
        <v>2405</v>
      </c>
      <c r="ANJ14" t="s">
        <v>2405</v>
      </c>
      <c r="ANK14" t="s">
        <v>2405</v>
      </c>
      <c r="ANL14" t="s">
        <v>2405</v>
      </c>
      <c r="ANM14" t="s">
        <v>2405</v>
      </c>
      <c r="ANN14" t="s">
        <v>2405</v>
      </c>
      <c r="ANO14" t="s">
        <v>2405</v>
      </c>
      <c r="ANP14" t="s">
        <v>2405</v>
      </c>
      <c r="ANQ14" t="s">
        <v>2405</v>
      </c>
      <c r="ANR14" t="s">
        <v>2405</v>
      </c>
      <c r="ANS14" t="s">
        <v>2405</v>
      </c>
      <c r="ANT14" t="s">
        <v>2405</v>
      </c>
      <c r="ANU14" t="s">
        <v>2405</v>
      </c>
      <c r="ANV14" t="s">
        <v>2405</v>
      </c>
      <c r="ANW14" t="s">
        <v>2405</v>
      </c>
      <c r="ANX14" t="s">
        <v>2405</v>
      </c>
      <c r="ANY14" t="s">
        <v>2405</v>
      </c>
      <c r="ANZ14" t="s">
        <v>2405</v>
      </c>
      <c r="AOA14" t="s">
        <v>2405</v>
      </c>
      <c r="AOB14" t="s">
        <v>2405</v>
      </c>
      <c r="AOC14" t="s">
        <v>2405</v>
      </c>
      <c r="AOD14" t="s">
        <v>2405</v>
      </c>
      <c r="AOE14" t="s">
        <v>2405</v>
      </c>
      <c r="AOF14" t="s">
        <v>2405</v>
      </c>
      <c r="AOG14" s="13" t="s">
        <v>2394</v>
      </c>
      <c r="AOH14" s="13" t="s">
        <v>2405</v>
      </c>
      <c r="AOI14" s="13" t="s">
        <v>2405</v>
      </c>
      <c r="AOJ14" s="13" t="s">
        <v>2405</v>
      </c>
      <c r="AOK14" s="13" t="s">
        <v>2405</v>
      </c>
      <c r="AOL14" t="s">
        <v>2394</v>
      </c>
      <c r="AOM14" s="13" t="s">
        <v>2405</v>
      </c>
      <c r="AON14" s="13" t="s">
        <v>2405</v>
      </c>
      <c r="AOO14" s="13" t="s">
        <v>2405</v>
      </c>
      <c r="AOP14" s="13" t="s">
        <v>2405</v>
      </c>
      <c r="AOQ14" s="13" t="s">
        <v>2405</v>
      </c>
      <c r="AOR14" s="13" t="s">
        <v>2405</v>
      </c>
      <c r="AOS14" s="13" t="s">
        <v>2405</v>
      </c>
      <c r="AOT14" t="s">
        <v>2394</v>
      </c>
      <c r="AOU14" t="s">
        <v>2405</v>
      </c>
      <c r="AOV14" t="s">
        <v>2405</v>
      </c>
      <c r="AOW14" t="s">
        <v>2405</v>
      </c>
      <c r="AOX14" t="s">
        <v>2405</v>
      </c>
      <c r="AOY14" t="s">
        <v>2405</v>
      </c>
      <c r="AOZ14" t="s">
        <v>2405</v>
      </c>
      <c r="APA14" t="s">
        <v>2405</v>
      </c>
      <c r="APB14" t="s">
        <v>2405</v>
      </c>
      <c r="APC14" t="s">
        <v>2405</v>
      </c>
      <c r="APD14" t="s">
        <v>2405</v>
      </c>
      <c r="APE14" t="s">
        <v>2405</v>
      </c>
      <c r="APF14" t="s">
        <v>2405</v>
      </c>
      <c r="APG14" t="s">
        <v>2405</v>
      </c>
      <c r="APH14" t="s">
        <v>2405</v>
      </c>
      <c r="API14" t="s">
        <v>2405</v>
      </c>
      <c r="APJ14" t="s">
        <v>2405</v>
      </c>
      <c r="APK14" t="s">
        <v>2405</v>
      </c>
      <c r="APL14" t="s">
        <v>2405</v>
      </c>
      <c r="APM14" t="s">
        <v>2405</v>
      </c>
      <c r="APN14" t="s">
        <v>2405</v>
      </c>
      <c r="APO14" t="s">
        <v>2405</v>
      </c>
      <c r="APP14" s="13" t="s">
        <v>2381</v>
      </c>
      <c r="APQ14" s="13" t="s">
        <v>2405</v>
      </c>
      <c r="APR14" t="s">
        <v>2405</v>
      </c>
      <c r="APS14" t="s">
        <v>2405</v>
      </c>
      <c r="APT14" t="s">
        <v>2405</v>
      </c>
      <c r="APU14" t="s">
        <v>2405</v>
      </c>
      <c r="APV14" t="s">
        <v>2405</v>
      </c>
      <c r="APW14" t="s">
        <v>2405</v>
      </c>
      <c r="APX14" t="s">
        <v>2405</v>
      </c>
      <c r="APY14" t="s">
        <v>2405</v>
      </c>
      <c r="APZ14" t="s">
        <v>2405</v>
      </c>
      <c r="AQA14" t="s">
        <v>2405</v>
      </c>
      <c r="AQB14" t="s">
        <v>2405</v>
      </c>
      <c r="AQC14" t="s">
        <v>2405</v>
      </c>
      <c r="AQD14" t="s">
        <v>2405</v>
      </c>
      <c r="AQE14" t="s">
        <v>2405</v>
      </c>
      <c r="AQF14" t="s">
        <v>2381</v>
      </c>
      <c r="AQG14" t="s">
        <v>2383</v>
      </c>
      <c r="AQH14" t="s">
        <v>2383</v>
      </c>
      <c r="AQI14" t="s">
        <v>2394</v>
      </c>
      <c r="AQJ14" t="s">
        <v>2405</v>
      </c>
      <c r="AQK14" t="s">
        <v>2405</v>
      </c>
      <c r="AQL14" t="s">
        <v>2405</v>
      </c>
      <c r="AQM14" t="s">
        <v>2405</v>
      </c>
      <c r="AQN14" t="s">
        <v>2405</v>
      </c>
      <c r="AQO14" t="s">
        <v>2405</v>
      </c>
      <c r="AQP14" t="s">
        <v>2405</v>
      </c>
      <c r="AQQ14" t="s">
        <v>2405</v>
      </c>
      <c r="AQR14" t="s">
        <v>2405</v>
      </c>
      <c r="AQS14" t="s">
        <v>2405</v>
      </c>
      <c r="AQT14" t="s">
        <v>2405</v>
      </c>
      <c r="AQU14" t="s">
        <v>2405</v>
      </c>
      <c r="AQV14" t="s">
        <v>2405</v>
      </c>
      <c r="AQW14" t="s">
        <v>2405</v>
      </c>
      <c r="AQX14" t="s">
        <v>2405</v>
      </c>
      <c r="AQY14" t="s">
        <v>2405</v>
      </c>
      <c r="AQZ14" t="s">
        <v>2405</v>
      </c>
      <c r="ARA14" t="s">
        <v>2405</v>
      </c>
      <c r="ARB14" t="s">
        <v>2405</v>
      </c>
      <c r="ARC14" t="s">
        <v>2405</v>
      </c>
      <c r="ARD14" t="s">
        <v>2405</v>
      </c>
      <c r="ARE14" t="s">
        <v>2405</v>
      </c>
      <c r="ARF14" t="s">
        <v>2394</v>
      </c>
      <c r="ARG14" t="s">
        <v>2405</v>
      </c>
      <c r="ARH14" t="s">
        <v>2405</v>
      </c>
      <c r="ARI14" t="s">
        <v>2405</v>
      </c>
      <c r="ARJ14" t="s">
        <v>2405</v>
      </c>
      <c r="ARK14" t="s">
        <v>2405</v>
      </c>
      <c r="ARL14" t="s">
        <v>2405</v>
      </c>
      <c r="ARM14" t="s">
        <v>2405</v>
      </c>
      <c r="ARN14" t="s">
        <v>2405</v>
      </c>
      <c r="ARO14" t="s">
        <v>2405</v>
      </c>
      <c r="ARP14" t="s">
        <v>2405</v>
      </c>
      <c r="ARQ14" t="s">
        <v>2405</v>
      </c>
      <c r="ARR14" t="s">
        <v>2405</v>
      </c>
      <c r="ARS14" t="s">
        <v>2405</v>
      </c>
      <c r="ART14" t="s">
        <v>2405</v>
      </c>
      <c r="ARU14" t="s">
        <v>2405</v>
      </c>
      <c r="ARV14" t="s">
        <v>2405</v>
      </c>
      <c r="ARW14" t="s">
        <v>2405</v>
      </c>
      <c r="ARX14" t="s">
        <v>2405</v>
      </c>
      <c r="ARY14" t="s">
        <v>2385</v>
      </c>
      <c r="ARZ14" t="s">
        <v>2405</v>
      </c>
      <c r="ASA14" t="s">
        <v>2405</v>
      </c>
      <c r="ASB14" t="s">
        <v>2405</v>
      </c>
      <c r="ASC14" t="s">
        <v>2405</v>
      </c>
      <c r="ASD14" t="s">
        <v>2394</v>
      </c>
      <c r="ASE14" t="s">
        <v>2405</v>
      </c>
      <c r="ASF14" t="s">
        <v>2405</v>
      </c>
      <c r="ASG14" t="s">
        <v>2405</v>
      </c>
      <c r="ASH14" t="s">
        <v>2405</v>
      </c>
      <c r="ASI14" t="s">
        <v>2405</v>
      </c>
      <c r="ASJ14" t="s">
        <v>2405</v>
      </c>
      <c r="ASK14" t="s">
        <v>2405</v>
      </c>
      <c r="ASL14" t="s">
        <v>2405</v>
      </c>
      <c r="ASM14" t="s">
        <v>2394</v>
      </c>
      <c r="ASN14" t="s">
        <v>2405</v>
      </c>
      <c r="ASO14" t="s">
        <v>2405</v>
      </c>
      <c r="ASP14" t="s">
        <v>2405</v>
      </c>
      <c r="ASQ14" t="s">
        <v>2405</v>
      </c>
      <c r="ASR14" t="s">
        <v>2405</v>
      </c>
      <c r="ASS14" t="s">
        <v>2405</v>
      </c>
      <c r="AST14" t="s">
        <v>2405</v>
      </c>
      <c r="ASU14" t="s">
        <v>2405</v>
      </c>
      <c r="ASV14" t="s">
        <v>2405</v>
      </c>
      <c r="ASW14" t="s">
        <v>2405</v>
      </c>
      <c r="ASX14" t="s">
        <v>2405</v>
      </c>
      <c r="ASY14" t="s">
        <v>2405</v>
      </c>
      <c r="ASZ14" t="s">
        <v>2405</v>
      </c>
      <c r="ATA14" t="s">
        <v>2405</v>
      </c>
      <c r="ATB14" t="s">
        <v>2405</v>
      </c>
      <c r="ATC14" t="s">
        <v>2405</v>
      </c>
      <c r="ATD14" t="s">
        <v>2405</v>
      </c>
      <c r="ATE14" t="s">
        <v>2405</v>
      </c>
      <c r="ATF14" t="s">
        <v>2405</v>
      </c>
      <c r="ATG14" t="s">
        <v>2405</v>
      </c>
      <c r="ATH14" t="s">
        <v>2405</v>
      </c>
      <c r="ATI14" t="s">
        <v>2405</v>
      </c>
      <c r="ATJ14" t="s">
        <v>2405</v>
      </c>
      <c r="ATK14" t="s">
        <v>2405</v>
      </c>
      <c r="ATL14" t="s">
        <v>2405</v>
      </c>
      <c r="ATM14" t="s">
        <v>2405</v>
      </c>
      <c r="ATN14" t="s">
        <v>2405</v>
      </c>
      <c r="ATO14" t="s">
        <v>2405</v>
      </c>
      <c r="ATP14" t="s">
        <v>2405</v>
      </c>
      <c r="ATQ14" t="s">
        <v>2405</v>
      </c>
    </row>
    <row r="15" spans="1:1213" x14ac:dyDescent="0.25">
      <c r="A15" t="s">
        <v>0</v>
      </c>
      <c r="B15" t="s">
        <v>1</v>
      </c>
      <c r="C15" s="1">
        <v>46022</v>
      </c>
      <c r="D15" t="s">
        <v>2</v>
      </c>
      <c r="E15">
        <v>7679510866.0565634</v>
      </c>
      <c r="F15">
        <v>9654564.9090650994</v>
      </c>
      <c r="G15">
        <v>12090.220000128154</v>
      </c>
      <c r="H15">
        <v>1000.0000000000001</v>
      </c>
      <c r="I15">
        <v>0</v>
      </c>
      <c r="J15">
        <v>0</v>
      </c>
      <c r="K15">
        <v>0</v>
      </c>
      <c r="L15">
        <v>1199022.48</v>
      </c>
      <c r="M15">
        <v>519.4100000742518</v>
      </c>
      <c r="N15">
        <v>1002.7400000044223</v>
      </c>
      <c r="O15">
        <v>100</v>
      </c>
      <c r="P15">
        <v>149.99999999999997</v>
      </c>
      <c r="Q15">
        <v>0</v>
      </c>
      <c r="R15">
        <v>50</v>
      </c>
      <c r="S15">
        <v>0</v>
      </c>
      <c r="T15">
        <v>100</v>
      </c>
      <c r="U15">
        <v>0</v>
      </c>
      <c r="V15">
        <v>1.0000000235918947</v>
      </c>
      <c r="W15">
        <v>0</v>
      </c>
      <c r="X15">
        <v>951817513.24565959</v>
      </c>
      <c r="Y15">
        <v>1132615150.527734</v>
      </c>
      <c r="Z15">
        <v>5587571.6199990995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485359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168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557855</v>
      </c>
      <c r="DS15">
        <v>0</v>
      </c>
      <c r="DT15">
        <v>4543932</v>
      </c>
      <c r="DU15">
        <v>0</v>
      </c>
      <c r="DV15">
        <v>0</v>
      </c>
      <c r="DW15">
        <v>37534</v>
      </c>
      <c r="DX15">
        <v>42101</v>
      </c>
      <c r="DY15">
        <v>9573171</v>
      </c>
      <c r="DZ15">
        <v>1782903</v>
      </c>
      <c r="EA15">
        <v>5787595</v>
      </c>
      <c r="EB15">
        <v>67</v>
      </c>
      <c r="EC15">
        <v>107975</v>
      </c>
      <c r="ED15">
        <v>4507037</v>
      </c>
      <c r="EE15">
        <v>0</v>
      </c>
      <c r="EF15">
        <v>3871542</v>
      </c>
      <c r="EG15">
        <v>2744470</v>
      </c>
      <c r="EH15">
        <v>0</v>
      </c>
      <c r="EI15">
        <v>189565</v>
      </c>
      <c r="EJ15">
        <v>18047705</v>
      </c>
      <c r="EK15">
        <v>9108836</v>
      </c>
      <c r="EL15">
        <v>1416597</v>
      </c>
      <c r="EM15">
        <v>12257765</v>
      </c>
      <c r="EN15">
        <v>330249</v>
      </c>
      <c r="EO15">
        <v>186626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4828</v>
      </c>
      <c r="GV15">
        <v>0</v>
      </c>
      <c r="GW15">
        <v>4800000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69608.471000000005</v>
      </c>
      <c r="HJ15">
        <v>0</v>
      </c>
      <c r="HK15">
        <v>0</v>
      </c>
      <c r="HL15">
        <v>0</v>
      </c>
      <c r="HM15">
        <v>56108</v>
      </c>
      <c r="HN15">
        <v>0</v>
      </c>
      <c r="HO15">
        <v>0</v>
      </c>
      <c r="HP15">
        <v>0</v>
      </c>
      <c r="HQ15">
        <v>42700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46600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7400</v>
      </c>
      <c r="IN15">
        <v>0</v>
      </c>
      <c r="IO15">
        <v>0</v>
      </c>
      <c r="IP15">
        <v>0</v>
      </c>
      <c r="IQ15">
        <v>1300</v>
      </c>
      <c r="IR15">
        <v>0</v>
      </c>
      <c r="IS15">
        <v>0</v>
      </c>
      <c r="IT15">
        <v>0</v>
      </c>
      <c r="IU15">
        <v>7102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18750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2893</v>
      </c>
      <c r="KA15">
        <v>0</v>
      </c>
      <c r="KB15">
        <v>0</v>
      </c>
      <c r="KC15">
        <v>0</v>
      </c>
      <c r="KD15">
        <v>1</v>
      </c>
      <c r="KE15">
        <v>0</v>
      </c>
      <c r="KF15">
        <v>0</v>
      </c>
      <c r="KG15">
        <v>0</v>
      </c>
      <c r="KH15">
        <v>108900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15000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12749</v>
      </c>
      <c r="MB15">
        <v>41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66706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661400</v>
      </c>
      <c r="MZ15">
        <v>0</v>
      </c>
      <c r="NA15">
        <v>0</v>
      </c>
      <c r="NB15">
        <v>31922</v>
      </c>
      <c r="NC15">
        <v>0</v>
      </c>
      <c r="ND15">
        <v>0</v>
      </c>
      <c r="NE15">
        <v>0</v>
      </c>
      <c r="NF15">
        <v>0</v>
      </c>
      <c r="NG15">
        <v>231270</v>
      </c>
      <c r="NH15">
        <v>0</v>
      </c>
      <c r="NI15">
        <v>0</v>
      </c>
      <c r="NJ15">
        <v>0</v>
      </c>
      <c r="NK15">
        <v>0</v>
      </c>
      <c r="NL15">
        <v>12000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584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3470</v>
      </c>
      <c r="OX15">
        <v>0</v>
      </c>
      <c r="OY15">
        <v>0</v>
      </c>
      <c r="OZ15">
        <v>0</v>
      </c>
      <c r="PA15">
        <v>2833</v>
      </c>
      <c r="PB15">
        <v>0</v>
      </c>
      <c r="PC15">
        <v>0</v>
      </c>
      <c r="PD15">
        <v>0</v>
      </c>
      <c r="PE15">
        <v>0</v>
      </c>
      <c r="PF15">
        <v>174200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20000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192</v>
      </c>
      <c r="QD15">
        <v>0</v>
      </c>
      <c r="QE15">
        <v>0</v>
      </c>
      <c r="QF15">
        <v>0</v>
      </c>
      <c r="QG15">
        <v>0</v>
      </c>
      <c r="QH15">
        <v>1.7130000000000001</v>
      </c>
      <c r="QI15">
        <v>0</v>
      </c>
      <c r="QJ15">
        <v>1</v>
      </c>
      <c r="QK15">
        <v>0</v>
      </c>
      <c r="QL15">
        <v>14182</v>
      </c>
      <c r="QM15">
        <v>0</v>
      </c>
      <c r="QN15">
        <v>205200</v>
      </c>
      <c r="QO15">
        <v>0</v>
      </c>
      <c r="QP15">
        <v>0</v>
      </c>
      <c r="QQ15">
        <v>0</v>
      </c>
      <c r="QR15">
        <v>154781.41899999999</v>
      </c>
      <c r="QS15">
        <v>0</v>
      </c>
      <c r="QT15">
        <v>0</v>
      </c>
      <c r="QU15">
        <v>25891</v>
      </c>
      <c r="QV15">
        <v>0</v>
      </c>
      <c r="QW15">
        <v>1800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59500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7500</v>
      </c>
      <c r="RJ15">
        <v>180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1</v>
      </c>
      <c r="RV15">
        <v>0</v>
      </c>
      <c r="RW15">
        <v>0</v>
      </c>
      <c r="RX15">
        <v>0</v>
      </c>
      <c r="RY15">
        <v>252870</v>
      </c>
      <c r="RZ15">
        <v>0</v>
      </c>
      <c r="SA15">
        <v>0</v>
      </c>
      <c r="SB15">
        <v>0</v>
      </c>
      <c r="SC15">
        <v>920</v>
      </c>
      <c r="SD15">
        <v>5760231.9210000001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1</v>
      </c>
      <c r="SK15">
        <v>0</v>
      </c>
      <c r="SL15">
        <v>0</v>
      </c>
      <c r="SM15">
        <v>0</v>
      </c>
      <c r="SN15">
        <v>0</v>
      </c>
      <c r="SO15">
        <v>57262.726000000002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1</v>
      </c>
      <c r="TB15">
        <v>0</v>
      </c>
      <c r="TC15">
        <v>0</v>
      </c>
      <c r="TD15">
        <v>0</v>
      </c>
      <c r="TE15">
        <v>0</v>
      </c>
      <c r="TF15">
        <v>156600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0.71799999999999997</v>
      </c>
      <c r="TN15">
        <v>32900</v>
      </c>
      <c r="TO15">
        <v>71529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1.198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1.274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1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4300</v>
      </c>
      <c r="VA15">
        <v>0</v>
      </c>
      <c r="VB15">
        <v>1.5369999999999999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30700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6773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505371</v>
      </c>
      <c r="WQ15">
        <v>0</v>
      </c>
      <c r="WR15">
        <v>319100</v>
      </c>
      <c r="WS15">
        <v>0</v>
      </c>
      <c r="WT15">
        <v>0</v>
      </c>
      <c r="WU15">
        <v>0</v>
      </c>
      <c r="WV15">
        <v>0</v>
      </c>
      <c r="WW15">
        <v>241800</v>
      </c>
      <c r="WX15">
        <v>0</v>
      </c>
      <c r="WY15">
        <v>0</v>
      </c>
      <c r="WZ15">
        <v>0</v>
      </c>
      <c r="XA15">
        <v>0</v>
      </c>
      <c r="XB15">
        <v>1200</v>
      </c>
      <c r="XC15">
        <v>0</v>
      </c>
      <c r="XD15">
        <v>0</v>
      </c>
      <c r="XE15">
        <v>0</v>
      </c>
      <c r="XF15">
        <v>18253</v>
      </c>
      <c r="XG15">
        <v>0</v>
      </c>
      <c r="XH15">
        <v>0</v>
      </c>
      <c r="XI15">
        <v>0</v>
      </c>
      <c r="XJ15">
        <v>0</v>
      </c>
      <c r="XK15">
        <v>1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196352.986</v>
      </c>
      <c r="XV15">
        <v>0</v>
      </c>
      <c r="XW15">
        <v>0</v>
      </c>
      <c r="XX15">
        <v>18557</v>
      </c>
      <c r="XY15">
        <v>2131</v>
      </c>
      <c r="XZ15">
        <v>1379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125000</v>
      </c>
      <c r="YI15">
        <v>0</v>
      </c>
      <c r="YJ15">
        <v>0</v>
      </c>
      <c r="YK15">
        <v>0</v>
      </c>
      <c r="YL15">
        <v>25600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1156296.0090000001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 s="2">
        <v>0</v>
      </c>
      <c r="ZH15">
        <v>0</v>
      </c>
      <c r="ZI15">
        <v>0</v>
      </c>
      <c r="ZJ15">
        <v>0</v>
      </c>
      <c r="ZK15">
        <v>0</v>
      </c>
      <c r="ZL15" s="2">
        <v>0</v>
      </c>
      <c r="ZM15">
        <v>0</v>
      </c>
      <c r="ZN15">
        <v>0</v>
      </c>
      <c r="ZO15">
        <v>0</v>
      </c>
      <c r="ZP15">
        <v>0</v>
      </c>
      <c r="ZQ15">
        <v>8400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31445</v>
      </c>
      <c r="ZY15">
        <v>0</v>
      </c>
      <c r="ZZ15" s="2">
        <v>0</v>
      </c>
      <c r="AAA15">
        <v>0</v>
      </c>
      <c r="AAB15">
        <v>0</v>
      </c>
      <c r="AAC15">
        <v>0</v>
      </c>
      <c r="AAD15">
        <v>0</v>
      </c>
      <c r="AAE15" s="2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4800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149758</v>
      </c>
      <c r="ABC15">
        <v>0</v>
      </c>
      <c r="ABD15" s="2">
        <v>0</v>
      </c>
      <c r="ABE15">
        <v>0</v>
      </c>
      <c r="ABF15">
        <v>0</v>
      </c>
      <c r="ABG15">
        <v>0</v>
      </c>
      <c r="ABH15">
        <v>0</v>
      </c>
      <c r="ABI15">
        <v>8200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1.01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1.99</v>
      </c>
      <c r="ABV15">
        <v>0</v>
      </c>
      <c r="ABW15">
        <v>0</v>
      </c>
      <c r="ABX15">
        <v>7140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75800</v>
      </c>
      <c r="ACG15">
        <v>0</v>
      </c>
      <c r="ACH15">
        <v>0</v>
      </c>
      <c r="ACI15">
        <v>0</v>
      </c>
      <c r="ACJ15">
        <v>0</v>
      </c>
      <c r="ACK15">
        <v>2916157.7740000002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1839</v>
      </c>
      <c r="ADH15">
        <v>0</v>
      </c>
      <c r="ADI15">
        <v>0</v>
      </c>
      <c r="ADJ15">
        <v>11581</v>
      </c>
      <c r="ADK15">
        <v>537000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79900</v>
      </c>
      <c r="ADY15">
        <v>0</v>
      </c>
      <c r="ADZ15">
        <v>0</v>
      </c>
      <c r="AEA15">
        <v>418965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67</v>
      </c>
      <c r="AEI15">
        <v>31050888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16900</v>
      </c>
      <c r="AEP15">
        <v>713081</v>
      </c>
      <c r="AEQ15">
        <v>0</v>
      </c>
      <c r="AER15">
        <v>1350000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762850.79700000002</v>
      </c>
      <c r="AFB15">
        <v>5500</v>
      </c>
      <c r="AFC15">
        <v>0</v>
      </c>
      <c r="AFD15">
        <v>0</v>
      </c>
      <c r="AFE15">
        <v>14479</v>
      </c>
      <c r="AFF15">
        <v>0</v>
      </c>
      <c r="AFG15">
        <v>0</v>
      </c>
      <c r="AFH15">
        <v>0</v>
      </c>
      <c r="AFI15">
        <v>12800</v>
      </c>
      <c r="AFJ15">
        <v>0</v>
      </c>
      <c r="AFK15">
        <v>0</v>
      </c>
      <c r="AFL15">
        <v>0</v>
      </c>
      <c r="AFM15">
        <v>700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1.19</v>
      </c>
      <c r="AGB15">
        <v>73050</v>
      </c>
      <c r="AGC15">
        <v>18425</v>
      </c>
      <c r="AGD15">
        <v>0</v>
      </c>
      <c r="AGE15">
        <v>0</v>
      </c>
      <c r="AGF15">
        <v>6269</v>
      </c>
      <c r="AGG15">
        <v>9200</v>
      </c>
      <c r="AGH15">
        <v>0</v>
      </c>
      <c r="AGI15">
        <v>14765</v>
      </c>
      <c r="AGJ15">
        <v>339125.86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7000</v>
      </c>
      <c r="AIC15">
        <v>0</v>
      </c>
      <c r="AID15">
        <v>0</v>
      </c>
      <c r="AIE15">
        <v>12500</v>
      </c>
      <c r="AIF15">
        <v>1923</v>
      </c>
      <c r="AIG15">
        <v>1.244</v>
      </c>
      <c r="AIH15">
        <v>0</v>
      </c>
      <c r="AII15">
        <v>0</v>
      </c>
      <c r="AIJ15">
        <v>0</v>
      </c>
      <c r="AIK15">
        <v>7300</v>
      </c>
      <c r="AIL15">
        <v>0</v>
      </c>
      <c r="AIM15">
        <v>0</v>
      </c>
      <c r="AIN15">
        <v>0</v>
      </c>
      <c r="AIO15">
        <v>287750</v>
      </c>
      <c r="AIP15">
        <v>0</v>
      </c>
      <c r="AIQ15">
        <v>127200</v>
      </c>
      <c r="AIR15" s="2">
        <v>819911</v>
      </c>
      <c r="AIS15">
        <v>0</v>
      </c>
      <c r="AIT15">
        <v>0</v>
      </c>
      <c r="AIU15">
        <v>4920</v>
      </c>
      <c r="AIV15">
        <v>0</v>
      </c>
      <c r="AIW15">
        <v>1.544</v>
      </c>
      <c r="AIX15">
        <v>11753</v>
      </c>
      <c r="AIY15">
        <v>0</v>
      </c>
      <c r="AIZ15">
        <v>1500</v>
      </c>
      <c r="AJA15">
        <v>0</v>
      </c>
      <c r="AJB15">
        <v>0</v>
      </c>
      <c r="AJC15">
        <v>68267.376699999993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312159.81699999998</v>
      </c>
      <c r="AJJ15">
        <v>4300</v>
      </c>
      <c r="AJK15">
        <v>20848</v>
      </c>
      <c r="AJL15">
        <v>15000</v>
      </c>
      <c r="AJM15">
        <v>0</v>
      </c>
      <c r="AJN15">
        <v>0</v>
      </c>
      <c r="AJO15">
        <v>20743</v>
      </c>
      <c r="AJP15">
        <v>114100</v>
      </c>
      <c r="AJQ15">
        <v>0</v>
      </c>
      <c r="AJR15">
        <v>6000</v>
      </c>
      <c r="AJS15">
        <v>6100</v>
      </c>
      <c r="AJT15">
        <v>4000</v>
      </c>
      <c r="AJU15">
        <v>138889.242</v>
      </c>
      <c r="AJV15">
        <v>0</v>
      </c>
      <c r="AJW15">
        <v>63400</v>
      </c>
      <c r="AJX15">
        <v>4870</v>
      </c>
      <c r="AJY15">
        <v>0</v>
      </c>
      <c r="AJZ15">
        <v>0</v>
      </c>
      <c r="AKA15">
        <v>0</v>
      </c>
      <c r="AKB15">
        <v>0</v>
      </c>
      <c r="AKC15">
        <v>60000</v>
      </c>
    </row>
    <row r="16" spans="1:1213" x14ac:dyDescent="0.25">
      <c r="A16" t="s">
        <v>3</v>
      </c>
      <c r="B16" t="s">
        <v>1</v>
      </c>
      <c r="C16" s="1">
        <v>46022</v>
      </c>
      <c r="D16" t="s">
        <v>4</v>
      </c>
      <c r="E16">
        <v>26256910350.436607</v>
      </c>
      <c r="F16">
        <v>52088536.688416697</v>
      </c>
      <c r="G16">
        <v>1056505.7799999535</v>
      </c>
      <c r="H16">
        <v>956749.12000036647</v>
      </c>
      <c r="I16">
        <v>0</v>
      </c>
      <c r="J16">
        <v>0</v>
      </c>
      <c r="K16">
        <v>0</v>
      </c>
      <c r="L16">
        <v>2590952.5299999998</v>
      </c>
      <c r="M16">
        <v>1000.0000000000001</v>
      </c>
      <c r="N16">
        <v>999.99999999999989</v>
      </c>
      <c r="O16">
        <v>100</v>
      </c>
      <c r="P16">
        <v>149.99999999999997</v>
      </c>
      <c r="Q16">
        <v>0</v>
      </c>
      <c r="R16">
        <v>50</v>
      </c>
      <c r="S16">
        <v>0</v>
      </c>
      <c r="T16">
        <v>100</v>
      </c>
      <c r="U16">
        <v>0</v>
      </c>
      <c r="V16">
        <v>1.0000000235918947</v>
      </c>
      <c r="W16">
        <v>0</v>
      </c>
      <c r="X16">
        <v>1487073411.5101318</v>
      </c>
      <c r="Y16">
        <v>4796644561.3871107</v>
      </c>
      <c r="Z16">
        <v>40198258.659999698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1594708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670</v>
      </c>
      <c r="CR16">
        <v>200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28241334</v>
      </c>
      <c r="DS16">
        <v>0</v>
      </c>
      <c r="DT16">
        <v>60201369</v>
      </c>
      <c r="DU16">
        <v>1000</v>
      </c>
      <c r="DV16">
        <v>0</v>
      </c>
      <c r="DW16">
        <v>8100639</v>
      </c>
      <c r="DX16">
        <v>1278126</v>
      </c>
      <c r="DY16">
        <v>67207682</v>
      </c>
      <c r="DZ16">
        <v>20850771</v>
      </c>
      <c r="EA16">
        <v>43392392</v>
      </c>
      <c r="EB16">
        <v>469</v>
      </c>
      <c r="EC16">
        <v>602713</v>
      </c>
      <c r="ED16">
        <v>78983145</v>
      </c>
      <c r="EE16">
        <v>0</v>
      </c>
      <c r="EF16">
        <v>13324872</v>
      </c>
      <c r="EG16">
        <v>42576246</v>
      </c>
      <c r="EH16">
        <v>0</v>
      </c>
      <c r="EI16">
        <v>4620255</v>
      </c>
      <c r="EJ16">
        <v>94062783</v>
      </c>
      <c r="EK16">
        <v>97915123</v>
      </c>
      <c r="EL16">
        <v>4024624</v>
      </c>
      <c r="EM16">
        <v>146770070</v>
      </c>
      <c r="EN16">
        <v>9842506</v>
      </c>
      <c r="EO16">
        <v>2023087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12746083</v>
      </c>
      <c r="EX16">
        <v>1878654</v>
      </c>
      <c r="EY16">
        <v>277</v>
      </c>
      <c r="EZ16">
        <v>280</v>
      </c>
      <c r="FA16">
        <v>0</v>
      </c>
      <c r="FB16">
        <v>18900</v>
      </c>
      <c r="FC16">
        <v>0</v>
      </c>
      <c r="FD16">
        <v>125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71800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29889494</v>
      </c>
      <c r="GK16">
        <v>0</v>
      </c>
      <c r="GL16">
        <v>187.8788543</v>
      </c>
      <c r="GM16">
        <v>11.8688628</v>
      </c>
      <c r="GN16">
        <v>0</v>
      </c>
      <c r="GO16">
        <v>6.1838566000000004</v>
      </c>
      <c r="GP16">
        <v>93.039966800000002</v>
      </c>
      <c r="GQ16">
        <v>400.993334</v>
      </c>
      <c r="GR16">
        <v>12.856045999999999</v>
      </c>
      <c r="GS16">
        <v>86.062040199999998</v>
      </c>
      <c r="GT16">
        <v>17.2440791</v>
      </c>
      <c r="GU16">
        <v>2641</v>
      </c>
      <c r="GV16">
        <v>0</v>
      </c>
      <c r="GW16">
        <v>8600000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1</v>
      </c>
      <c r="HI16">
        <v>1294087.6499999999</v>
      </c>
      <c r="HJ16">
        <v>0</v>
      </c>
      <c r="HK16">
        <v>0</v>
      </c>
      <c r="HL16">
        <v>0</v>
      </c>
      <c r="HM16">
        <v>222932</v>
      </c>
      <c r="HN16">
        <v>0</v>
      </c>
      <c r="HO16">
        <v>0</v>
      </c>
      <c r="HP16">
        <v>2500</v>
      </c>
      <c r="HQ16">
        <v>113000</v>
      </c>
      <c r="HR16">
        <v>0</v>
      </c>
      <c r="HS16">
        <v>0</v>
      </c>
      <c r="HT16">
        <v>0</v>
      </c>
      <c r="HU16">
        <v>1.81</v>
      </c>
      <c r="HV16">
        <v>876900</v>
      </c>
      <c r="HW16">
        <v>866600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1749000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36.0843068</v>
      </c>
      <c r="IJ16">
        <v>24000</v>
      </c>
      <c r="IK16">
        <v>0</v>
      </c>
      <c r="IL16">
        <v>583</v>
      </c>
      <c r="IM16">
        <v>0</v>
      </c>
      <c r="IN16">
        <v>0</v>
      </c>
      <c r="IO16">
        <v>0</v>
      </c>
      <c r="IP16">
        <v>0</v>
      </c>
      <c r="IQ16">
        <v>4300</v>
      </c>
      <c r="IR16">
        <v>0</v>
      </c>
      <c r="IS16">
        <v>58540</v>
      </c>
      <c r="IT16">
        <v>0</v>
      </c>
      <c r="IU16">
        <v>29776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6531646</v>
      </c>
      <c r="JD16">
        <v>1</v>
      </c>
      <c r="JE16">
        <v>0</v>
      </c>
      <c r="JF16">
        <v>0</v>
      </c>
      <c r="JG16">
        <v>1200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222.68817110000001</v>
      </c>
      <c r="JN16">
        <v>43.033019899999999</v>
      </c>
      <c r="JO16">
        <v>84.804227499999996</v>
      </c>
      <c r="JP16">
        <v>0</v>
      </c>
      <c r="JQ16">
        <v>251.52282400000001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1</v>
      </c>
      <c r="KE16">
        <v>0</v>
      </c>
      <c r="KF16">
        <v>0</v>
      </c>
      <c r="KG16">
        <v>0</v>
      </c>
      <c r="KH16">
        <v>1321700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3664</v>
      </c>
      <c r="KT16">
        <v>0</v>
      </c>
      <c r="KU16">
        <v>0</v>
      </c>
      <c r="KV16">
        <v>28000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49.052243900000001</v>
      </c>
      <c r="LE16">
        <v>23.3077252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5176</v>
      </c>
      <c r="LP16">
        <v>0</v>
      </c>
      <c r="LQ16">
        <v>0</v>
      </c>
      <c r="LR16">
        <v>0</v>
      </c>
      <c r="LS16">
        <v>5.4156978999999996</v>
      </c>
      <c r="LT16">
        <v>247109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481</v>
      </c>
      <c r="MC16">
        <v>0</v>
      </c>
      <c r="MD16">
        <v>0</v>
      </c>
      <c r="ME16">
        <v>0</v>
      </c>
      <c r="MF16">
        <v>0</v>
      </c>
      <c r="MG16">
        <v>23.197207899999999</v>
      </c>
      <c r="MH16">
        <v>0</v>
      </c>
      <c r="MI16">
        <v>0</v>
      </c>
      <c r="MJ16">
        <v>4.5089594999999996</v>
      </c>
      <c r="MK16">
        <v>19.903154099999998</v>
      </c>
      <c r="ML16">
        <v>0</v>
      </c>
      <c r="MM16">
        <v>0</v>
      </c>
      <c r="MN16">
        <v>0</v>
      </c>
      <c r="MO16">
        <v>554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12.8554569</v>
      </c>
      <c r="MX16">
        <v>0</v>
      </c>
      <c r="MY16">
        <v>1557600</v>
      </c>
      <c r="MZ16">
        <v>0</v>
      </c>
      <c r="NA16">
        <v>0</v>
      </c>
      <c r="NB16">
        <v>323464.53200000001</v>
      </c>
      <c r="NC16">
        <v>0</v>
      </c>
      <c r="ND16">
        <v>0</v>
      </c>
      <c r="NE16">
        <v>0</v>
      </c>
      <c r="NF16">
        <v>0</v>
      </c>
      <c r="NG16">
        <v>3637563</v>
      </c>
      <c r="NH16">
        <v>0</v>
      </c>
      <c r="NI16">
        <v>1.0389999999999999</v>
      </c>
      <c r="NJ16">
        <v>0</v>
      </c>
      <c r="NK16">
        <v>0</v>
      </c>
      <c r="NL16">
        <v>0</v>
      </c>
      <c r="NM16">
        <v>0</v>
      </c>
      <c r="NN16">
        <v>13350000</v>
      </c>
      <c r="NO16">
        <v>13350000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2.5896108999999998</v>
      </c>
      <c r="NY16">
        <v>2.9298397999999999</v>
      </c>
      <c r="NZ16">
        <v>0</v>
      </c>
      <c r="OA16">
        <v>0</v>
      </c>
      <c r="OB16">
        <v>0</v>
      </c>
      <c r="OC16">
        <v>0</v>
      </c>
      <c r="OD16">
        <v>7.3759750999999998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3.6194209000000002</v>
      </c>
      <c r="OK16">
        <v>409.43396790000003</v>
      </c>
      <c r="OL16">
        <v>0</v>
      </c>
      <c r="OM16">
        <v>0</v>
      </c>
      <c r="ON16">
        <v>1037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3470</v>
      </c>
      <c r="OX16">
        <v>0</v>
      </c>
      <c r="OY16">
        <v>0</v>
      </c>
      <c r="OZ16">
        <v>4.2803985999999998</v>
      </c>
      <c r="PA16">
        <v>0</v>
      </c>
      <c r="PB16">
        <v>0</v>
      </c>
      <c r="PC16">
        <v>12.346203300000001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9000</v>
      </c>
      <c r="PJ16">
        <v>0</v>
      </c>
      <c r="PK16">
        <v>0</v>
      </c>
      <c r="PL16">
        <v>33.866483799999997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5000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23.503587599999999</v>
      </c>
      <c r="QC16">
        <v>431</v>
      </c>
      <c r="QD16">
        <v>0</v>
      </c>
      <c r="QE16">
        <v>0</v>
      </c>
      <c r="QF16">
        <v>0</v>
      </c>
      <c r="QG16">
        <v>0</v>
      </c>
      <c r="QH16">
        <v>1</v>
      </c>
      <c r="QI16">
        <v>0</v>
      </c>
      <c r="QJ16">
        <v>0</v>
      </c>
      <c r="QK16">
        <v>0</v>
      </c>
      <c r="QL16">
        <v>1704</v>
      </c>
      <c r="QM16">
        <v>0</v>
      </c>
      <c r="QN16">
        <v>1357066</v>
      </c>
      <c r="QO16">
        <v>0</v>
      </c>
      <c r="QP16">
        <v>0</v>
      </c>
      <c r="QQ16">
        <v>0</v>
      </c>
      <c r="QR16">
        <v>0</v>
      </c>
      <c r="QS16">
        <v>971</v>
      </c>
      <c r="QT16">
        <v>914.99999319999995</v>
      </c>
      <c r="QU16">
        <v>2388362</v>
      </c>
      <c r="QV16">
        <v>0</v>
      </c>
      <c r="QW16">
        <v>1200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47500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5500</v>
      </c>
      <c r="RJ16">
        <v>0</v>
      </c>
      <c r="RK16">
        <v>0</v>
      </c>
      <c r="RL16">
        <v>0</v>
      </c>
      <c r="RM16">
        <v>33.958432999999999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9.0002978000000002</v>
      </c>
      <c r="RU16">
        <v>1.6619999999999999</v>
      </c>
      <c r="RV16">
        <v>0.997</v>
      </c>
      <c r="RW16">
        <v>0</v>
      </c>
      <c r="RX16">
        <v>0</v>
      </c>
      <c r="RY16">
        <v>249953</v>
      </c>
      <c r="RZ16">
        <v>0</v>
      </c>
      <c r="SA16">
        <v>28.9735105</v>
      </c>
      <c r="SB16">
        <v>1800</v>
      </c>
      <c r="SC16">
        <v>50</v>
      </c>
      <c r="SD16">
        <v>2396987.8560000001</v>
      </c>
      <c r="SE16">
        <v>0</v>
      </c>
      <c r="SF16">
        <v>24528385</v>
      </c>
      <c r="SG16">
        <v>0</v>
      </c>
      <c r="SH16">
        <v>0</v>
      </c>
      <c r="SI16">
        <v>1</v>
      </c>
      <c r="SJ16">
        <v>0</v>
      </c>
      <c r="SK16">
        <v>0</v>
      </c>
      <c r="SL16">
        <v>0</v>
      </c>
      <c r="SM16">
        <v>28012</v>
      </c>
      <c r="SN16">
        <v>0</v>
      </c>
      <c r="SO16">
        <v>2.91</v>
      </c>
      <c r="SP16">
        <v>0</v>
      </c>
      <c r="SQ16">
        <v>1.38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1</v>
      </c>
      <c r="SX16">
        <v>0</v>
      </c>
      <c r="SY16">
        <v>0</v>
      </c>
      <c r="SZ16">
        <v>0</v>
      </c>
      <c r="TA16">
        <v>1</v>
      </c>
      <c r="TB16">
        <v>0</v>
      </c>
      <c r="TC16">
        <v>0</v>
      </c>
      <c r="TD16">
        <v>0</v>
      </c>
      <c r="TE16">
        <v>0</v>
      </c>
      <c r="TF16">
        <v>737300</v>
      </c>
      <c r="TG16">
        <v>0</v>
      </c>
      <c r="TH16">
        <v>0</v>
      </c>
      <c r="TI16">
        <v>1.0045999999999999</v>
      </c>
      <c r="TJ16">
        <v>0</v>
      </c>
      <c r="TK16">
        <v>0</v>
      </c>
      <c r="TL16">
        <v>0</v>
      </c>
      <c r="TM16">
        <v>0</v>
      </c>
      <c r="TN16">
        <v>365900</v>
      </c>
      <c r="TO16">
        <v>112244</v>
      </c>
      <c r="TP16">
        <v>0</v>
      </c>
      <c r="TQ16">
        <v>0</v>
      </c>
      <c r="TR16">
        <v>0</v>
      </c>
      <c r="TS16">
        <v>1</v>
      </c>
      <c r="TT16">
        <v>0</v>
      </c>
      <c r="TU16">
        <v>0</v>
      </c>
      <c r="TV16">
        <v>0</v>
      </c>
      <c r="TW16">
        <v>1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3.8439999999999999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1</v>
      </c>
      <c r="UZ16">
        <v>12700</v>
      </c>
      <c r="VA16">
        <v>0</v>
      </c>
      <c r="VB16">
        <v>1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3251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21047</v>
      </c>
      <c r="WH16">
        <v>0</v>
      </c>
      <c r="WI16">
        <v>0</v>
      </c>
      <c r="WJ16">
        <v>0</v>
      </c>
      <c r="WK16">
        <v>0</v>
      </c>
      <c r="WL16">
        <v>831307</v>
      </c>
      <c r="WM16">
        <v>0</v>
      </c>
      <c r="WN16">
        <v>1.214</v>
      </c>
      <c r="WO16">
        <v>0</v>
      </c>
      <c r="WP16">
        <v>1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3360400</v>
      </c>
      <c r="WW16">
        <v>1650100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33564</v>
      </c>
      <c r="XG16">
        <v>0</v>
      </c>
      <c r="XH16">
        <v>0</v>
      </c>
      <c r="XI16">
        <v>0</v>
      </c>
      <c r="XJ16">
        <v>0</v>
      </c>
      <c r="XK16">
        <v>1.9359999999999999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4927.3220000000001</v>
      </c>
      <c r="XV16">
        <v>0</v>
      </c>
      <c r="XW16">
        <v>0</v>
      </c>
      <c r="XX16">
        <v>212084</v>
      </c>
      <c r="XY16">
        <v>24352</v>
      </c>
      <c r="XZ16">
        <v>15754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2500</v>
      </c>
      <c r="YG16">
        <v>0</v>
      </c>
      <c r="YH16">
        <v>175000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1.052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1184</v>
      </c>
      <c r="ZB16">
        <v>0</v>
      </c>
      <c r="ZC16">
        <v>1659131</v>
      </c>
      <c r="ZD16">
        <v>0</v>
      </c>
      <c r="ZE16">
        <v>0</v>
      </c>
      <c r="ZF16">
        <v>0</v>
      </c>
      <c r="ZG16" s="2">
        <v>0</v>
      </c>
      <c r="ZH16">
        <v>0</v>
      </c>
      <c r="ZI16">
        <v>0</v>
      </c>
      <c r="ZJ16">
        <v>1.855</v>
      </c>
      <c r="ZK16">
        <v>0</v>
      </c>
      <c r="ZL16" s="2">
        <v>0</v>
      </c>
      <c r="ZM16">
        <v>0</v>
      </c>
      <c r="ZN16">
        <v>0</v>
      </c>
      <c r="ZO16">
        <v>0</v>
      </c>
      <c r="ZP16">
        <v>0</v>
      </c>
      <c r="ZQ16">
        <v>1000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30004</v>
      </c>
      <c r="ZY16">
        <v>0</v>
      </c>
      <c r="ZZ16" s="2">
        <v>0</v>
      </c>
      <c r="AAA16">
        <v>0</v>
      </c>
      <c r="AAB16">
        <v>1121269</v>
      </c>
      <c r="AAC16">
        <v>0</v>
      </c>
      <c r="AAD16">
        <v>0</v>
      </c>
      <c r="AAE16" s="2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6000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1150077</v>
      </c>
      <c r="ABC16">
        <v>0</v>
      </c>
      <c r="ABD16" s="2">
        <v>0</v>
      </c>
      <c r="ABE16">
        <v>0</v>
      </c>
      <c r="ABF16">
        <v>0</v>
      </c>
      <c r="ABG16">
        <v>0</v>
      </c>
      <c r="ABH16">
        <v>0</v>
      </c>
      <c r="ABI16">
        <v>6700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1.01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1.24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127200</v>
      </c>
      <c r="ACG16">
        <v>0</v>
      </c>
      <c r="ACH16">
        <v>1.43</v>
      </c>
      <c r="ACI16">
        <v>0</v>
      </c>
      <c r="ACJ16">
        <v>0</v>
      </c>
      <c r="ACK16">
        <v>2708503.8730000001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149791</v>
      </c>
      <c r="ADH16">
        <v>0</v>
      </c>
      <c r="ADI16">
        <v>0</v>
      </c>
      <c r="ADJ16">
        <v>14000</v>
      </c>
      <c r="ADK16">
        <v>193000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1.325</v>
      </c>
      <c r="ADU16">
        <v>0</v>
      </c>
      <c r="ADV16">
        <v>0</v>
      </c>
      <c r="ADW16">
        <v>0</v>
      </c>
      <c r="ADX16">
        <v>1061700</v>
      </c>
      <c r="ADY16">
        <v>0</v>
      </c>
      <c r="ADZ16">
        <v>0</v>
      </c>
      <c r="AEA16">
        <v>7962108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469</v>
      </c>
      <c r="AEI16">
        <v>234904776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13478</v>
      </c>
      <c r="AEP16">
        <v>1801364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1.6080000000000001</v>
      </c>
      <c r="AFB16">
        <v>17486</v>
      </c>
      <c r="AFC16">
        <v>0</v>
      </c>
      <c r="AFD16">
        <v>0</v>
      </c>
      <c r="AFE16">
        <v>28895</v>
      </c>
      <c r="AFF16">
        <v>0</v>
      </c>
      <c r="AFG16">
        <v>0</v>
      </c>
      <c r="AFH16">
        <v>0</v>
      </c>
      <c r="AFI16">
        <v>11500</v>
      </c>
      <c r="AFJ16">
        <v>0</v>
      </c>
      <c r="AFK16">
        <v>0</v>
      </c>
      <c r="AFL16">
        <v>1.7769999999999999</v>
      </c>
      <c r="AFM16">
        <v>0</v>
      </c>
      <c r="AFN16">
        <v>0</v>
      </c>
      <c r="AFO16">
        <v>0</v>
      </c>
      <c r="AFP16">
        <v>915742.902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1.7889999999999999</v>
      </c>
      <c r="AGB16">
        <v>913700</v>
      </c>
      <c r="AGC16">
        <v>18270</v>
      </c>
      <c r="AGD16">
        <v>274810.15700000001</v>
      </c>
      <c r="AGE16">
        <v>0</v>
      </c>
      <c r="AGF16">
        <v>14200</v>
      </c>
      <c r="AGG16">
        <v>22196</v>
      </c>
      <c r="AGH16">
        <v>0</v>
      </c>
      <c r="AGI16">
        <v>11255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11000</v>
      </c>
      <c r="AIF16">
        <v>7500</v>
      </c>
      <c r="AIG16">
        <v>1.5169999999999999</v>
      </c>
      <c r="AIH16">
        <v>0</v>
      </c>
      <c r="AII16">
        <v>0</v>
      </c>
      <c r="AIJ16">
        <v>0</v>
      </c>
      <c r="AIK16">
        <v>0</v>
      </c>
      <c r="AIL16">
        <v>924800</v>
      </c>
      <c r="AIM16">
        <v>0</v>
      </c>
      <c r="AIN16">
        <v>0</v>
      </c>
      <c r="AIO16">
        <v>585950</v>
      </c>
      <c r="AIP16">
        <v>0</v>
      </c>
      <c r="AIQ16">
        <v>118800</v>
      </c>
      <c r="AIR16" s="2">
        <v>6653297</v>
      </c>
      <c r="AIS16">
        <v>1.667</v>
      </c>
      <c r="AIT16">
        <v>0</v>
      </c>
      <c r="AIU16">
        <v>0</v>
      </c>
      <c r="AIV16">
        <v>0</v>
      </c>
      <c r="AIW16">
        <v>71932.357999999993</v>
      </c>
      <c r="AIX16">
        <v>6933</v>
      </c>
      <c r="AIY16">
        <v>0</v>
      </c>
      <c r="AIZ16">
        <v>0</v>
      </c>
      <c r="AJA16">
        <v>0</v>
      </c>
      <c r="AJB16">
        <v>0</v>
      </c>
      <c r="AJC16">
        <v>29437.1499</v>
      </c>
      <c r="AJD16">
        <v>5122530.6449999996</v>
      </c>
      <c r="AJE16">
        <v>0</v>
      </c>
      <c r="AJF16">
        <v>0</v>
      </c>
      <c r="AJG16">
        <v>0</v>
      </c>
      <c r="AJH16">
        <v>0</v>
      </c>
      <c r="AJI16">
        <v>629379.63300000003</v>
      </c>
      <c r="AJJ16">
        <v>0</v>
      </c>
      <c r="AJK16">
        <v>19269</v>
      </c>
      <c r="AJL16">
        <v>0</v>
      </c>
      <c r="AJM16">
        <v>0</v>
      </c>
      <c r="AJN16">
        <v>0</v>
      </c>
      <c r="AJO16">
        <v>259732</v>
      </c>
      <c r="AJP16">
        <v>70000</v>
      </c>
      <c r="AJQ16">
        <v>0</v>
      </c>
      <c r="AJR16">
        <v>0</v>
      </c>
      <c r="AJS16">
        <v>0</v>
      </c>
      <c r="AJT16">
        <v>8500</v>
      </c>
      <c r="AJU16">
        <v>0</v>
      </c>
      <c r="AJV16">
        <v>0</v>
      </c>
      <c r="AJW16">
        <v>365900</v>
      </c>
      <c r="AJX16">
        <v>56338</v>
      </c>
      <c r="AJY16">
        <v>0</v>
      </c>
      <c r="AJZ16">
        <v>0</v>
      </c>
      <c r="AKA16">
        <v>0</v>
      </c>
      <c r="AKB16">
        <v>0</v>
      </c>
      <c r="AKC16">
        <v>0</v>
      </c>
    </row>
    <row r="17" spans="1:1139" x14ac:dyDescent="0.25">
      <c r="A17" t="s">
        <v>5</v>
      </c>
      <c r="B17" t="s">
        <v>1</v>
      </c>
      <c r="C17" s="1">
        <v>46022</v>
      </c>
      <c r="D17" t="s">
        <v>6</v>
      </c>
      <c r="E17">
        <v>3164069580.822104</v>
      </c>
      <c r="F17">
        <v>15273817.2080401</v>
      </c>
      <c r="G17">
        <v>1000</v>
      </c>
      <c r="H17">
        <v>0</v>
      </c>
      <c r="I17">
        <v>0</v>
      </c>
      <c r="J17">
        <v>0</v>
      </c>
      <c r="K17">
        <v>0</v>
      </c>
      <c r="L17">
        <v>3683158.2800000003</v>
      </c>
      <c r="M17">
        <v>2588.5099999298031</v>
      </c>
      <c r="N17">
        <v>999.99999999999989</v>
      </c>
      <c r="O17">
        <v>100</v>
      </c>
      <c r="P17">
        <v>149.99999999999997</v>
      </c>
      <c r="Q17">
        <v>0</v>
      </c>
      <c r="R17">
        <v>50</v>
      </c>
      <c r="S17">
        <v>0</v>
      </c>
      <c r="T17">
        <v>100</v>
      </c>
      <c r="U17">
        <v>0</v>
      </c>
      <c r="V17">
        <v>1.0000000235918947</v>
      </c>
      <c r="W17">
        <v>0</v>
      </c>
      <c r="X17">
        <v>351596887.70612651</v>
      </c>
      <c r="Y17">
        <v>362077122.37963301</v>
      </c>
      <c r="Z17">
        <v>2877523.820000099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8039325</v>
      </c>
      <c r="DS17">
        <v>0</v>
      </c>
      <c r="DT17">
        <v>6108151</v>
      </c>
      <c r="DU17">
        <v>0</v>
      </c>
      <c r="DV17">
        <v>0</v>
      </c>
      <c r="DW17">
        <v>719290</v>
      </c>
      <c r="DX17">
        <v>184002</v>
      </c>
      <c r="DY17">
        <v>102563357</v>
      </c>
      <c r="DZ17">
        <v>1511642</v>
      </c>
      <c r="EA17">
        <v>7636630</v>
      </c>
      <c r="EB17">
        <v>464</v>
      </c>
      <c r="EC17">
        <v>128955</v>
      </c>
      <c r="ED17">
        <v>35930684</v>
      </c>
      <c r="EE17">
        <v>0</v>
      </c>
      <c r="EF17">
        <v>4711571</v>
      </c>
      <c r="EG17">
        <v>7353165</v>
      </c>
      <c r="EH17">
        <v>0</v>
      </c>
      <c r="EI17">
        <v>814042</v>
      </c>
      <c r="EJ17">
        <v>25515237</v>
      </c>
      <c r="EK17">
        <v>11920643</v>
      </c>
      <c r="EL17">
        <v>613140</v>
      </c>
      <c r="EM17">
        <v>32355671</v>
      </c>
      <c r="EN17">
        <v>1874601</v>
      </c>
      <c r="EO17">
        <v>591832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4199577</v>
      </c>
      <c r="EX17">
        <v>541346</v>
      </c>
      <c r="EY17">
        <v>0</v>
      </c>
      <c r="EZ17">
        <v>70</v>
      </c>
      <c r="FA17">
        <v>0</v>
      </c>
      <c r="FB17">
        <v>7732</v>
      </c>
      <c r="FC17">
        <v>0</v>
      </c>
      <c r="FD17">
        <v>22</v>
      </c>
      <c r="FE17">
        <v>0</v>
      </c>
      <c r="FF17">
        <v>3500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21000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14391253</v>
      </c>
      <c r="GK17">
        <v>0</v>
      </c>
      <c r="GL17">
        <v>54.326408299999997</v>
      </c>
      <c r="GM17">
        <v>0</v>
      </c>
      <c r="GN17">
        <v>0</v>
      </c>
      <c r="GO17">
        <v>1.5462448</v>
      </c>
      <c r="GP17">
        <v>42.861291399999999</v>
      </c>
      <c r="GQ17">
        <v>44.562846</v>
      </c>
      <c r="GR17">
        <v>5.0355125000000003</v>
      </c>
      <c r="GS17">
        <v>53.7161963</v>
      </c>
      <c r="GT17">
        <v>4.3110198000000004</v>
      </c>
      <c r="GU17">
        <v>92531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318022.62699999998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1.1299999999999999</v>
      </c>
      <c r="HV17">
        <v>200900</v>
      </c>
      <c r="HW17">
        <v>164000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181000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13.346064399999999</v>
      </c>
      <c r="IJ17">
        <v>6000</v>
      </c>
      <c r="IK17">
        <v>0</v>
      </c>
      <c r="IL17">
        <v>146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14635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1632911</v>
      </c>
      <c r="JD17">
        <v>0</v>
      </c>
      <c r="JE17">
        <v>0</v>
      </c>
      <c r="JF17">
        <v>0</v>
      </c>
      <c r="JG17">
        <v>300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123.7155578</v>
      </c>
      <c r="JN17">
        <v>3.0737866999999999</v>
      </c>
      <c r="JO17">
        <v>9.4227498999999995</v>
      </c>
      <c r="JP17">
        <v>0</v>
      </c>
      <c r="JQ17">
        <v>50.304561999999997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1</v>
      </c>
      <c r="KE17">
        <v>0</v>
      </c>
      <c r="KF17">
        <v>0</v>
      </c>
      <c r="KG17">
        <v>0</v>
      </c>
      <c r="KH17">
        <v>271000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8.1753733000000004</v>
      </c>
      <c r="LE17">
        <v>15.5384829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255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13.268765999999999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3.2138627</v>
      </c>
      <c r="MX17">
        <v>0</v>
      </c>
      <c r="MY17">
        <v>0</v>
      </c>
      <c r="MZ17">
        <v>0</v>
      </c>
      <c r="NA17">
        <v>0</v>
      </c>
      <c r="NB17">
        <v>57976.968000000001</v>
      </c>
      <c r="NC17">
        <v>0</v>
      </c>
      <c r="ND17">
        <v>0</v>
      </c>
      <c r="NE17">
        <v>0</v>
      </c>
      <c r="NF17">
        <v>0</v>
      </c>
      <c r="NG17">
        <v>997146</v>
      </c>
      <c r="NH17">
        <v>0</v>
      </c>
      <c r="NI17">
        <v>1.661</v>
      </c>
      <c r="NJ17">
        <v>0</v>
      </c>
      <c r="NK17">
        <v>0</v>
      </c>
      <c r="NL17">
        <v>0</v>
      </c>
      <c r="NM17">
        <v>0</v>
      </c>
      <c r="NN17">
        <v>31150000</v>
      </c>
      <c r="NO17">
        <v>31150000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45.492653199999999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2.8535984000000001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85.000016599999995</v>
      </c>
      <c r="QU17">
        <v>120885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1.3779999999999999</v>
      </c>
      <c r="RV17">
        <v>1.0009999999999999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1.1100000000000001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1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1.0016</v>
      </c>
      <c r="TJ17">
        <v>0</v>
      </c>
      <c r="TK17">
        <v>0</v>
      </c>
      <c r="TL17">
        <v>0</v>
      </c>
      <c r="TM17">
        <v>0</v>
      </c>
      <c r="TN17">
        <v>121000</v>
      </c>
      <c r="TO17">
        <v>0</v>
      </c>
      <c r="TP17">
        <v>0</v>
      </c>
      <c r="TQ17">
        <v>0</v>
      </c>
      <c r="TR17">
        <v>0</v>
      </c>
      <c r="TS17">
        <v>1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1.288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1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1.0109999999999999</v>
      </c>
      <c r="WO17">
        <v>0</v>
      </c>
      <c r="WP17">
        <v>0</v>
      </c>
      <c r="WQ17">
        <v>0</v>
      </c>
      <c r="WR17">
        <v>95100</v>
      </c>
      <c r="WS17">
        <v>0</v>
      </c>
      <c r="WT17">
        <v>0</v>
      </c>
      <c r="WU17">
        <v>0</v>
      </c>
      <c r="WV17">
        <v>843700</v>
      </c>
      <c r="WW17">
        <v>257900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78200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 s="2">
        <v>0</v>
      </c>
      <c r="ZH17">
        <v>0</v>
      </c>
      <c r="ZI17">
        <v>0</v>
      </c>
      <c r="ZJ17">
        <v>1.3440000000000001</v>
      </c>
      <c r="ZK17">
        <v>0</v>
      </c>
      <c r="ZL17" s="2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 s="2">
        <v>0</v>
      </c>
      <c r="AAA17">
        <v>0</v>
      </c>
      <c r="AAB17">
        <v>232216</v>
      </c>
      <c r="AAC17">
        <v>0</v>
      </c>
      <c r="AAD17">
        <v>0</v>
      </c>
      <c r="AAE17" s="2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 s="2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1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1.83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1.77</v>
      </c>
      <c r="ACI17">
        <v>0</v>
      </c>
      <c r="ACJ17">
        <v>0</v>
      </c>
      <c r="ACK17">
        <v>1.163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1.1870000000000001</v>
      </c>
      <c r="ADU17">
        <v>0</v>
      </c>
      <c r="ADV17">
        <v>0</v>
      </c>
      <c r="ADW17">
        <v>0</v>
      </c>
      <c r="ADX17">
        <v>254000</v>
      </c>
      <c r="ADY17">
        <v>0</v>
      </c>
      <c r="ADZ17">
        <v>0</v>
      </c>
      <c r="AEA17">
        <v>615427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464</v>
      </c>
      <c r="AEI17">
        <v>115133816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1.635</v>
      </c>
      <c r="AFM17">
        <v>0</v>
      </c>
      <c r="AFN17">
        <v>0</v>
      </c>
      <c r="AFO17">
        <v>0</v>
      </c>
      <c r="AFP17">
        <v>181842.27100000001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213900</v>
      </c>
      <c r="AGC17">
        <v>0</v>
      </c>
      <c r="AGD17">
        <v>46537.165000000001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6100</v>
      </c>
      <c r="AIL17">
        <v>192400</v>
      </c>
      <c r="AIM17">
        <v>0</v>
      </c>
      <c r="AIN17">
        <v>0</v>
      </c>
      <c r="AIO17">
        <v>0</v>
      </c>
      <c r="AIP17">
        <v>0</v>
      </c>
      <c r="AIQ17">
        <v>0</v>
      </c>
      <c r="AIR17" s="2">
        <v>1866179</v>
      </c>
      <c r="AIS17">
        <v>1.5449999999999999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1.8220000000000001</v>
      </c>
      <c r="AJE17">
        <v>0</v>
      </c>
      <c r="AJF17">
        <v>0</v>
      </c>
      <c r="AJG17">
        <v>0</v>
      </c>
      <c r="AJH17">
        <v>0</v>
      </c>
      <c r="AJI17">
        <v>32002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397525</v>
      </c>
      <c r="AJP17">
        <v>0</v>
      </c>
      <c r="AJQ17">
        <v>88100</v>
      </c>
      <c r="AJR17">
        <v>0</v>
      </c>
      <c r="AJS17">
        <v>0</v>
      </c>
      <c r="AJT17">
        <v>0</v>
      </c>
      <c r="AJU17">
        <v>0</v>
      </c>
      <c r="AJV17">
        <v>20900</v>
      </c>
      <c r="AJW17">
        <v>118700</v>
      </c>
      <c r="AJX17">
        <v>12159</v>
      </c>
      <c r="AJY17">
        <v>0</v>
      </c>
      <c r="AJZ17">
        <v>0</v>
      </c>
      <c r="AKA17">
        <v>0</v>
      </c>
      <c r="AKB17">
        <v>80424135.610499993</v>
      </c>
      <c r="AKC17">
        <v>0</v>
      </c>
    </row>
    <row r="18" spans="1:1139" x14ac:dyDescent="0.25">
      <c r="A18" t="s">
        <v>0</v>
      </c>
      <c r="B18" t="s">
        <v>7</v>
      </c>
      <c r="C18" s="1">
        <v>46022</v>
      </c>
      <c r="D18" t="s">
        <v>8</v>
      </c>
      <c r="E18">
        <v>7679510866.0565634</v>
      </c>
      <c r="F18">
        <v>9654564.9090650994</v>
      </c>
      <c r="G18">
        <v>29623.110055000001</v>
      </c>
      <c r="H18">
        <v>611.31730000000005</v>
      </c>
      <c r="I18">
        <v>0</v>
      </c>
      <c r="J18">
        <v>0</v>
      </c>
      <c r="K18">
        <v>0</v>
      </c>
      <c r="L18">
        <v>4029794.6530319997</v>
      </c>
      <c r="M18">
        <v>2049.6088450000002</v>
      </c>
      <c r="N18">
        <v>4534.8184499999998</v>
      </c>
      <c r="O18">
        <v>2.14425</v>
      </c>
      <c r="P18">
        <v>336.45970499999999</v>
      </c>
      <c r="Q18">
        <v>0</v>
      </c>
      <c r="R18">
        <v>16.652464999999999</v>
      </c>
      <c r="S18">
        <v>0</v>
      </c>
      <c r="T18">
        <v>20.28622</v>
      </c>
      <c r="U18">
        <v>0</v>
      </c>
      <c r="V18">
        <v>4.2387439999999996</v>
      </c>
      <c r="W18">
        <v>0</v>
      </c>
      <c r="X18">
        <v>951817513.24565959</v>
      </c>
      <c r="Y18">
        <v>1132615150.527734</v>
      </c>
      <c r="Z18">
        <v>5587571.6199990995</v>
      </c>
      <c r="AA18">
        <v>37003559.994999997</v>
      </c>
      <c r="AB18">
        <v>149936713.45697999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520609340.5410527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581938.76615279994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998523.57578449999</v>
      </c>
      <c r="DS18">
        <v>0</v>
      </c>
      <c r="DT18">
        <v>7950988.5717551997</v>
      </c>
      <c r="DU18">
        <v>0</v>
      </c>
      <c r="DV18">
        <v>0</v>
      </c>
      <c r="DW18">
        <v>400753.36683060002</v>
      </c>
      <c r="DX18">
        <v>40609711.008299999</v>
      </c>
      <c r="DY18">
        <v>3152558.1737178001</v>
      </c>
      <c r="DZ18">
        <v>2139296.7517655999</v>
      </c>
      <c r="EA18">
        <v>15514392.682217</v>
      </c>
      <c r="EB18">
        <v>50.92</v>
      </c>
      <c r="EC18">
        <v>17775113.030902099</v>
      </c>
      <c r="ED18">
        <v>3307980.3694830001</v>
      </c>
      <c r="EE18">
        <v>0</v>
      </c>
      <c r="EF18">
        <v>27056061.042269401</v>
      </c>
      <c r="EG18">
        <v>11479549.081369</v>
      </c>
      <c r="EH18">
        <v>0</v>
      </c>
      <c r="EI18">
        <v>15939421.514521601</v>
      </c>
      <c r="EJ18">
        <v>70359786.479683995</v>
      </c>
      <c r="EK18">
        <v>21386231.612081598</v>
      </c>
      <c r="EL18">
        <v>436311.87599999999</v>
      </c>
      <c r="EM18">
        <v>66604209.893786497</v>
      </c>
      <c r="EN18">
        <v>30889459.437902998</v>
      </c>
      <c r="EO18">
        <v>6518897.7504613996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1173981.8632199999</v>
      </c>
      <c r="GV18">
        <v>0</v>
      </c>
      <c r="GW18">
        <v>77309293.020264596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7378691.8552002003</v>
      </c>
      <c r="HJ18">
        <v>0</v>
      </c>
      <c r="HK18">
        <v>0</v>
      </c>
      <c r="HL18">
        <v>0</v>
      </c>
      <c r="HM18">
        <v>16219868.964</v>
      </c>
      <c r="HN18">
        <v>0</v>
      </c>
      <c r="HO18">
        <v>0</v>
      </c>
      <c r="HP18">
        <v>0</v>
      </c>
      <c r="HQ18">
        <v>47670526.460129999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15226396.126800001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18281703.677503198</v>
      </c>
      <c r="IN18">
        <v>0</v>
      </c>
      <c r="IO18">
        <v>0</v>
      </c>
      <c r="IP18">
        <v>0</v>
      </c>
      <c r="IQ18">
        <v>14287508.905409999</v>
      </c>
      <c r="IR18">
        <v>0</v>
      </c>
      <c r="IS18">
        <v>0</v>
      </c>
      <c r="IT18">
        <v>0</v>
      </c>
      <c r="IU18">
        <v>8091510.0837399997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1468.9445298999999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18413306.34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10015025.198755</v>
      </c>
      <c r="KA18">
        <v>0</v>
      </c>
      <c r="KB18">
        <v>0</v>
      </c>
      <c r="KC18">
        <v>0</v>
      </c>
      <c r="KD18">
        <v>9056.5791100000006</v>
      </c>
      <c r="KE18">
        <v>0</v>
      </c>
      <c r="KF18">
        <v>0</v>
      </c>
      <c r="KG18">
        <v>0</v>
      </c>
      <c r="KH18">
        <v>31391992.397700001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16444915.308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6957636.3468535002</v>
      </c>
      <c r="MB18">
        <v>690.15202550000004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73619931.881155998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57395258.893200003</v>
      </c>
      <c r="MZ18">
        <v>0</v>
      </c>
      <c r="NA18">
        <v>0</v>
      </c>
      <c r="NB18">
        <v>23614818.232500002</v>
      </c>
      <c r="NC18">
        <v>0</v>
      </c>
      <c r="ND18">
        <v>0</v>
      </c>
      <c r="NE18">
        <v>0</v>
      </c>
      <c r="NF18">
        <v>0</v>
      </c>
      <c r="NG18">
        <v>6878886.7855500001</v>
      </c>
      <c r="NH18">
        <v>0</v>
      </c>
      <c r="NI18">
        <v>0</v>
      </c>
      <c r="NJ18">
        <v>0</v>
      </c>
      <c r="NK18">
        <v>0</v>
      </c>
      <c r="NL18">
        <v>30547552.419070199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6323612.6900391998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58341137.558402501</v>
      </c>
      <c r="OX18">
        <v>0</v>
      </c>
      <c r="OY18">
        <v>0</v>
      </c>
      <c r="OZ18">
        <v>0</v>
      </c>
      <c r="PA18">
        <v>5582694.2561788997</v>
      </c>
      <c r="PB18">
        <v>0</v>
      </c>
      <c r="PC18">
        <v>0</v>
      </c>
      <c r="PD18">
        <v>0</v>
      </c>
      <c r="PE18">
        <v>0</v>
      </c>
      <c r="PF18">
        <v>57668674.829999998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20536161.806000002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37878183.415296003</v>
      </c>
      <c r="QD18">
        <v>0</v>
      </c>
      <c r="QE18">
        <v>0</v>
      </c>
      <c r="QF18">
        <v>0</v>
      </c>
      <c r="QG18">
        <v>0</v>
      </c>
      <c r="QH18">
        <v>716.14080720000004</v>
      </c>
      <c r="QI18">
        <v>0</v>
      </c>
      <c r="QJ18">
        <v>1329.135123</v>
      </c>
      <c r="QK18">
        <v>0</v>
      </c>
      <c r="QL18">
        <v>48922762.583936401</v>
      </c>
      <c r="QM18">
        <v>0</v>
      </c>
      <c r="QN18">
        <v>209177636.95763999</v>
      </c>
      <c r="QO18">
        <v>0</v>
      </c>
      <c r="QP18">
        <v>0</v>
      </c>
      <c r="QQ18">
        <v>0</v>
      </c>
      <c r="QR18">
        <v>91067064.737759501</v>
      </c>
      <c r="QS18">
        <v>0</v>
      </c>
      <c r="QT18">
        <v>0</v>
      </c>
      <c r="QU18">
        <v>3686042.7420839998</v>
      </c>
      <c r="QV18">
        <v>0</v>
      </c>
      <c r="QW18">
        <v>18546905.86902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54897679.980149999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76040317.313250005</v>
      </c>
      <c r="RJ18">
        <v>1764204.2864099999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1806.0202460999999</v>
      </c>
      <c r="RV18">
        <v>0</v>
      </c>
      <c r="RW18">
        <v>0</v>
      </c>
      <c r="RX18">
        <v>0</v>
      </c>
      <c r="RY18">
        <v>230121651.39540601</v>
      </c>
      <c r="RZ18">
        <v>0</v>
      </c>
      <c r="SA18">
        <v>0</v>
      </c>
      <c r="SB18">
        <v>0</v>
      </c>
      <c r="SC18">
        <v>26724804.714830499</v>
      </c>
      <c r="SD18">
        <v>346923377.262137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5962.0013369999997</v>
      </c>
      <c r="SK18">
        <v>0</v>
      </c>
      <c r="SL18">
        <v>0</v>
      </c>
      <c r="SM18">
        <v>0</v>
      </c>
      <c r="SN18">
        <v>0</v>
      </c>
      <c r="SO18">
        <v>34376186.318189502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159.87801300000001</v>
      </c>
      <c r="TB18">
        <v>0</v>
      </c>
      <c r="TC18">
        <v>0</v>
      </c>
      <c r="TD18">
        <v>0</v>
      </c>
      <c r="TE18">
        <v>0</v>
      </c>
      <c r="TF18">
        <v>57847494.875399999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483.44570290000001</v>
      </c>
      <c r="TN18">
        <v>11456531.732100001</v>
      </c>
      <c r="TO18">
        <v>59781546.141988501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623.88420299999996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6477.1442255000002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371.64832200000001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42788373.05545</v>
      </c>
      <c r="VA18">
        <v>0</v>
      </c>
      <c r="VB18">
        <v>680.94300899999996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24515266.39144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22661029.036118001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148888593.98760131</v>
      </c>
      <c r="WQ18">
        <v>0</v>
      </c>
      <c r="WR18">
        <v>95663716.547999993</v>
      </c>
      <c r="WS18">
        <v>0</v>
      </c>
      <c r="WT18">
        <v>0</v>
      </c>
      <c r="WU18">
        <v>0</v>
      </c>
      <c r="WV18">
        <v>0</v>
      </c>
      <c r="WW18">
        <v>58341264.859800003</v>
      </c>
      <c r="WX18">
        <v>0</v>
      </c>
      <c r="WY18">
        <v>0</v>
      </c>
      <c r="WZ18">
        <v>0</v>
      </c>
      <c r="XA18">
        <v>0</v>
      </c>
      <c r="XB18">
        <v>3787689.4897924</v>
      </c>
      <c r="XC18">
        <v>0</v>
      </c>
      <c r="XD18">
        <v>0</v>
      </c>
      <c r="XE18">
        <v>0</v>
      </c>
      <c r="XF18">
        <v>44770170.119011298</v>
      </c>
      <c r="XG18">
        <v>0</v>
      </c>
      <c r="XH18">
        <v>0</v>
      </c>
      <c r="XI18">
        <v>0</v>
      </c>
      <c r="XJ18">
        <v>0</v>
      </c>
      <c r="XK18">
        <v>62150.962072800001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102267871.9087857</v>
      </c>
      <c r="XV18">
        <v>0</v>
      </c>
      <c r="XW18">
        <v>0</v>
      </c>
      <c r="XX18">
        <v>21246157.301315099</v>
      </c>
      <c r="XY18">
        <v>483453.35047469998</v>
      </c>
      <c r="XZ18">
        <v>312930.38543830003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74081493.609887496</v>
      </c>
      <c r="YI18">
        <v>0</v>
      </c>
      <c r="YJ18">
        <v>0</v>
      </c>
      <c r="YK18">
        <v>0</v>
      </c>
      <c r="YL18">
        <v>11191958.3232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43564248.827025197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 s="2">
        <v>0</v>
      </c>
      <c r="ZH18">
        <v>0</v>
      </c>
      <c r="ZI18">
        <v>0</v>
      </c>
      <c r="ZJ18">
        <v>0</v>
      </c>
      <c r="ZK18">
        <v>0</v>
      </c>
      <c r="ZL18" s="2">
        <v>0</v>
      </c>
      <c r="ZM18">
        <v>0</v>
      </c>
      <c r="ZN18">
        <v>0</v>
      </c>
      <c r="ZO18">
        <v>0</v>
      </c>
      <c r="ZP18">
        <v>0</v>
      </c>
      <c r="ZQ18">
        <v>31214596.801202599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79423117.501377806</v>
      </c>
      <c r="ZY18">
        <v>0</v>
      </c>
      <c r="ZZ18" s="2">
        <v>0</v>
      </c>
      <c r="AAA18">
        <v>0</v>
      </c>
      <c r="AAB18">
        <v>0</v>
      </c>
      <c r="AAC18">
        <v>0</v>
      </c>
      <c r="AAD18">
        <v>0</v>
      </c>
      <c r="AAE18" s="2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16416058.37383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175227589.6664986</v>
      </c>
      <c r="ABC18">
        <v>0</v>
      </c>
      <c r="ABD18" s="2">
        <v>0</v>
      </c>
      <c r="ABE18">
        <v>0</v>
      </c>
      <c r="ABF18">
        <v>0</v>
      </c>
      <c r="ABG18">
        <v>0</v>
      </c>
      <c r="ABH18">
        <v>0</v>
      </c>
      <c r="ABI18">
        <v>30555199.4459364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488.00581570000003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970.31673090000004</v>
      </c>
      <c r="ABV18">
        <v>0</v>
      </c>
      <c r="ABW18">
        <v>0</v>
      </c>
      <c r="ABX18">
        <v>140382300.68099999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82812605.391399994</v>
      </c>
      <c r="ACG18">
        <v>0</v>
      </c>
      <c r="ACH18">
        <v>0</v>
      </c>
      <c r="ACI18">
        <v>0</v>
      </c>
      <c r="ACJ18">
        <v>0</v>
      </c>
      <c r="ACK18">
        <v>142544502.8533867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2019528.500613</v>
      </c>
      <c r="ADH18">
        <v>0</v>
      </c>
      <c r="ADI18">
        <v>0</v>
      </c>
      <c r="ADJ18">
        <v>41516583.847609498</v>
      </c>
      <c r="ADK18">
        <v>270091043.39825022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80869589.296499997</v>
      </c>
      <c r="ADY18">
        <v>0</v>
      </c>
      <c r="ADZ18">
        <v>0</v>
      </c>
      <c r="AEA18">
        <v>6920527.2677838001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75.043899400000001</v>
      </c>
      <c r="AEI18">
        <v>4466719.9202207997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60957858.844433002</v>
      </c>
      <c r="AEP18">
        <v>800046939.44357765</v>
      </c>
      <c r="AEQ18">
        <v>0</v>
      </c>
      <c r="AER18">
        <v>113162263.515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51354220.830055103</v>
      </c>
      <c r="AFB18">
        <v>6225878.9411500003</v>
      </c>
      <c r="AFC18">
        <v>0</v>
      </c>
      <c r="AFD18">
        <v>0</v>
      </c>
      <c r="AFE18">
        <v>50270495.4011655</v>
      </c>
      <c r="AFF18">
        <v>0</v>
      </c>
      <c r="AFG18">
        <v>0</v>
      </c>
      <c r="AFH18">
        <v>0</v>
      </c>
      <c r="AFI18">
        <v>48322572.065660097</v>
      </c>
      <c r="AFJ18">
        <v>0</v>
      </c>
      <c r="AFK18">
        <v>0</v>
      </c>
      <c r="AFL18">
        <v>0</v>
      </c>
      <c r="AFM18">
        <v>7682536.6579499999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853.84706370000004</v>
      </c>
      <c r="AGB18">
        <v>88416864.986849993</v>
      </c>
      <c r="AGC18">
        <v>65703272.1073272</v>
      </c>
      <c r="AGD18">
        <v>0</v>
      </c>
      <c r="AGE18">
        <v>0</v>
      </c>
      <c r="AGF18">
        <v>22333797.332483701</v>
      </c>
      <c r="AGG18">
        <v>32575042.356295601</v>
      </c>
      <c r="AGH18">
        <v>0</v>
      </c>
      <c r="AGI18">
        <v>53056043.459974401</v>
      </c>
      <c r="AGJ18">
        <v>236091564.82932031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24638309.787842099</v>
      </c>
      <c r="AIC18">
        <v>0</v>
      </c>
      <c r="AID18">
        <v>0</v>
      </c>
      <c r="AIE18">
        <v>46769899.282871202</v>
      </c>
      <c r="AIF18">
        <v>6913697.9773255996</v>
      </c>
      <c r="AIG18">
        <v>603.34855760000005</v>
      </c>
      <c r="AIH18">
        <v>0</v>
      </c>
      <c r="AII18">
        <v>0</v>
      </c>
      <c r="AIJ18">
        <v>0</v>
      </c>
      <c r="AIK18">
        <v>15071831.696699999</v>
      </c>
      <c r="AIL18">
        <v>0</v>
      </c>
      <c r="AIM18">
        <v>0</v>
      </c>
      <c r="AIN18">
        <v>0</v>
      </c>
      <c r="AIO18">
        <v>321296213.45292503</v>
      </c>
      <c r="AIP18">
        <v>0</v>
      </c>
      <c r="AIQ18">
        <v>133012474.72319999</v>
      </c>
      <c r="AIR18" s="2">
        <v>19040516.551924501</v>
      </c>
      <c r="AIS18">
        <v>0</v>
      </c>
      <c r="AIT18">
        <v>0</v>
      </c>
      <c r="AIU18">
        <v>17937711.463011801</v>
      </c>
      <c r="AIV18">
        <v>0</v>
      </c>
      <c r="AIW18">
        <v>56.147464200000002</v>
      </c>
      <c r="AIX18">
        <v>41207481.119217001</v>
      </c>
      <c r="AIY18">
        <v>0</v>
      </c>
      <c r="AIZ18">
        <v>5456578.6905070003</v>
      </c>
      <c r="AJA18">
        <v>0</v>
      </c>
      <c r="AJB18">
        <v>0</v>
      </c>
      <c r="AJC18">
        <v>25476998.318018299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158325404.85864431</v>
      </c>
      <c r="AJJ18">
        <v>79540163.728499994</v>
      </c>
      <c r="AJK18">
        <v>72221175.800855994</v>
      </c>
      <c r="AJL18">
        <v>56603501.214966498</v>
      </c>
      <c r="AJM18">
        <v>0</v>
      </c>
      <c r="AJN18">
        <v>0</v>
      </c>
      <c r="AJO18">
        <v>1383845.7016950001</v>
      </c>
      <c r="AJP18">
        <v>117199526.5</v>
      </c>
      <c r="AJQ18">
        <v>0</v>
      </c>
      <c r="AJR18">
        <v>62097322.586400002</v>
      </c>
      <c r="AJS18">
        <v>20899788.396389201</v>
      </c>
      <c r="AJT18">
        <v>15392922</v>
      </c>
      <c r="AJU18">
        <v>103572660.4955181</v>
      </c>
      <c r="AJV18">
        <v>0</v>
      </c>
      <c r="AJW18">
        <v>17796530.131200001</v>
      </c>
      <c r="AJX18">
        <v>3987797.9221199998</v>
      </c>
      <c r="AJY18">
        <v>0</v>
      </c>
      <c r="AJZ18">
        <v>0</v>
      </c>
      <c r="AKA18">
        <v>0</v>
      </c>
      <c r="AKB18">
        <v>0</v>
      </c>
      <c r="AKC18">
        <v>60258705.408</v>
      </c>
    </row>
    <row r="19" spans="1:1139" x14ac:dyDescent="0.25">
      <c r="A19" t="s">
        <v>3</v>
      </c>
      <c r="B19" t="s">
        <v>7</v>
      </c>
      <c r="C19" s="1">
        <v>46022</v>
      </c>
      <c r="D19" t="s">
        <v>9</v>
      </c>
      <c r="E19">
        <v>26256910350.436607</v>
      </c>
      <c r="F19">
        <v>52088536.688416697</v>
      </c>
      <c r="G19">
        <v>2588620.1404400002</v>
      </c>
      <c r="H19">
        <v>584877.28881599999</v>
      </c>
      <c r="I19">
        <v>0</v>
      </c>
      <c r="J19">
        <v>0</v>
      </c>
      <c r="K19">
        <v>0</v>
      </c>
      <c r="L19">
        <v>8707932.358076999</v>
      </c>
      <c r="M19">
        <v>3946.0327000000002</v>
      </c>
      <c r="N19">
        <v>4522.4269999999997</v>
      </c>
      <c r="O19">
        <v>2.14425</v>
      </c>
      <c r="P19">
        <v>336.45970499999999</v>
      </c>
      <c r="Q19">
        <v>0</v>
      </c>
      <c r="R19">
        <v>16.652464999999999</v>
      </c>
      <c r="S19">
        <v>0</v>
      </c>
      <c r="T19">
        <v>20.28622</v>
      </c>
      <c r="U19">
        <v>0</v>
      </c>
      <c r="V19">
        <v>4.2387439999999996</v>
      </c>
      <c r="W19">
        <v>0</v>
      </c>
      <c r="X19">
        <v>1487073411.5101318</v>
      </c>
      <c r="Y19">
        <v>4796644561.3871107</v>
      </c>
      <c r="Z19">
        <v>40198258.659999698</v>
      </c>
      <c r="AA19">
        <v>279032363.41850001</v>
      </c>
      <c r="AB19">
        <v>249139050.263073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1710527424.5157523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2320827.2221570001</v>
      </c>
      <c r="CR19">
        <v>654431.38035999995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50550121.107822597</v>
      </c>
      <c r="DS19">
        <v>0</v>
      </c>
      <c r="DT19">
        <v>105340572.20112839</v>
      </c>
      <c r="DU19">
        <v>93565.851500000004</v>
      </c>
      <c r="DV19">
        <v>0</v>
      </c>
      <c r="DW19">
        <v>86491137.441500098</v>
      </c>
      <c r="DX19">
        <v>1232852604.2658</v>
      </c>
      <c r="DY19">
        <v>22132282.7332476</v>
      </c>
      <c r="DZ19">
        <v>25018740.0391992</v>
      </c>
      <c r="EA19">
        <v>116318887.01761121</v>
      </c>
      <c r="EB19">
        <v>356.44</v>
      </c>
      <c r="EC19">
        <v>99220112.990915507</v>
      </c>
      <c r="ED19">
        <v>57970390.121055</v>
      </c>
      <c r="EE19">
        <v>0</v>
      </c>
      <c r="EF19">
        <v>93120144.431450397</v>
      </c>
      <c r="EG19">
        <v>178087610.96220419</v>
      </c>
      <c r="EH19">
        <v>0</v>
      </c>
      <c r="EI19">
        <v>388490448.9202975</v>
      </c>
      <c r="EJ19">
        <v>366707973.53817838</v>
      </c>
      <c r="EK19">
        <v>229890569.86023879</v>
      </c>
      <c r="EL19">
        <v>1239584.192</v>
      </c>
      <c r="EM19">
        <v>797494857.21138704</v>
      </c>
      <c r="EN19">
        <v>920607450.30058205</v>
      </c>
      <c r="EO19">
        <v>70666987.950702906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18733193.118110299</v>
      </c>
      <c r="EX19">
        <v>18167180.784150701</v>
      </c>
      <c r="EY19">
        <v>9223122.1647929996</v>
      </c>
      <c r="EZ19">
        <v>78825094.00248</v>
      </c>
      <c r="FA19">
        <v>0</v>
      </c>
      <c r="FB19">
        <v>35956093.118904002</v>
      </c>
      <c r="FC19">
        <v>0</v>
      </c>
      <c r="FD19">
        <v>11521459.278750001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151334383.38060001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26540369.621611301</v>
      </c>
      <c r="GK19">
        <v>0</v>
      </c>
      <c r="GL19">
        <v>50245199.573045298</v>
      </c>
      <c r="GM19">
        <v>824570.88388009998</v>
      </c>
      <c r="GN19">
        <v>0</v>
      </c>
      <c r="GO19">
        <v>5516870.2886095</v>
      </c>
      <c r="GP19">
        <v>36471616.3175878</v>
      </c>
      <c r="GQ19">
        <v>1827260.8337458</v>
      </c>
      <c r="GR19">
        <v>3553926.5748053999</v>
      </c>
      <c r="GS19">
        <v>44177165.181748003</v>
      </c>
      <c r="GT19">
        <v>3059674.8329032999</v>
      </c>
      <c r="GU19">
        <v>642188.50471500005</v>
      </c>
      <c r="GV19">
        <v>0</v>
      </c>
      <c r="GW19">
        <v>138512483.32797411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190.66385700000001</v>
      </c>
      <c r="HI19">
        <v>137176896.2281929</v>
      </c>
      <c r="HJ19">
        <v>0</v>
      </c>
      <c r="HK19">
        <v>0</v>
      </c>
      <c r="HL19">
        <v>0</v>
      </c>
      <c r="HM19">
        <v>64445851.355999999</v>
      </c>
      <c r="HN19">
        <v>0</v>
      </c>
      <c r="HO19">
        <v>0</v>
      </c>
      <c r="HP19">
        <v>27463685.27375</v>
      </c>
      <c r="HQ19">
        <v>126153852.2247</v>
      </c>
      <c r="HR19">
        <v>0</v>
      </c>
      <c r="HS19">
        <v>0</v>
      </c>
      <c r="HT19">
        <v>0</v>
      </c>
      <c r="HU19">
        <v>234.57600170000001</v>
      </c>
      <c r="HV19">
        <v>187233914.03130001</v>
      </c>
      <c r="HW19">
        <v>283158688.48680001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846286483.977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196488.2967759</v>
      </c>
      <c r="IJ19">
        <v>104053.46400000001</v>
      </c>
      <c r="IK19">
        <v>0</v>
      </c>
      <c r="IL19">
        <v>6762765.0199999996</v>
      </c>
      <c r="IM19">
        <v>0</v>
      </c>
      <c r="IN19">
        <v>0</v>
      </c>
      <c r="IO19">
        <v>0</v>
      </c>
      <c r="IP19">
        <v>0</v>
      </c>
      <c r="IQ19">
        <v>47258683.302510001</v>
      </c>
      <c r="IR19">
        <v>0</v>
      </c>
      <c r="IS19">
        <v>37189314.615999997</v>
      </c>
      <c r="IT19">
        <v>0</v>
      </c>
      <c r="IU19">
        <v>33924641.545120001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3888132.1042960002</v>
      </c>
      <c r="JD19">
        <v>1468.9445298999999</v>
      </c>
      <c r="JE19">
        <v>0</v>
      </c>
      <c r="JF19">
        <v>0</v>
      </c>
      <c r="JG19">
        <v>77188836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124536687.50044151</v>
      </c>
      <c r="JN19">
        <v>149378712.63362721</v>
      </c>
      <c r="JO19">
        <v>71090160.114357203</v>
      </c>
      <c r="JP19">
        <v>0</v>
      </c>
      <c r="JQ19">
        <v>182909413.74430031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9056.5791100000006</v>
      </c>
      <c r="KE19">
        <v>0</v>
      </c>
      <c r="KF19">
        <v>0</v>
      </c>
      <c r="KG19">
        <v>0</v>
      </c>
      <c r="KH19">
        <v>380999048.2281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19086495.625355199</v>
      </c>
      <c r="KT19">
        <v>0</v>
      </c>
      <c r="KU19">
        <v>0</v>
      </c>
      <c r="KV19">
        <v>30697175.241599999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113609978.1696635</v>
      </c>
      <c r="LE19">
        <v>83376632.385706499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5479726.5060831998</v>
      </c>
      <c r="LP19">
        <v>0</v>
      </c>
      <c r="LQ19">
        <v>0</v>
      </c>
      <c r="LR19">
        <v>0</v>
      </c>
      <c r="LS19">
        <v>319805478.5766291</v>
      </c>
      <c r="LT19">
        <v>206963.99310170001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8096.6615683</v>
      </c>
      <c r="MC19">
        <v>0</v>
      </c>
      <c r="MD19">
        <v>0</v>
      </c>
      <c r="ME19">
        <v>0</v>
      </c>
      <c r="MF19">
        <v>0</v>
      </c>
      <c r="MG19">
        <v>133268181.6336017</v>
      </c>
      <c r="MH19">
        <v>0</v>
      </c>
      <c r="MI19">
        <v>0</v>
      </c>
      <c r="MJ19">
        <v>389165262.97355479</v>
      </c>
      <c r="MK19">
        <v>58502709.050992899</v>
      </c>
      <c r="ML19">
        <v>0</v>
      </c>
      <c r="MM19">
        <v>0</v>
      </c>
      <c r="MN19">
        <v>0</v>
      </c>
      <c r="MO19">
        <v>611420.89560399996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89813939.247549698</v>
      </c>
      <c r="MX19">
        <v>0</v>
      </c>
      <c r="MY19">
        <v>135166095.02880001</v>
      </c>
      <c r="MZ19">
        <v>0</v>
      </c>
      <c r="NA19">
        <v>0</v>
      </c>
      <c r="NB19">
        <v>239288143.84564501</v>
      </c>
      <c r="NC19">
        <v>0</v>
      </c>
      <c r="ND19">
        <v>0</v>
      </c>
      <c r="NE19">
        <v>0</v>
      </c>
      <c r="NF19">
        <v>0</v>
      </c>
      <c r="NG19">
        <v>108195546.55729499</v>
      </c>
      <c r="NH19">
        <v>0</v>
      </c>
      <c r="NI19">
        <v>40.757405499999997</v>
      </c>
      <c r="NJ19">
        <v>0</v>
      </c>
      <c r="NK19">
        <v>0</v>
      </c>
      <c r="NL19">
        <v>0</v>
      </c>
      <c r="NM19">
        <v>0</v>
      </c>
      <c r="NN19">
        <v>9870963.3000000007</v>
      </c>
      <c r="NO19">
        <v>9870963.3000000007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22515007.909478799</v>
      </c>
      <c r="NY19">
        <v>43528887.941578902</v>
      </c>
      <c r="NZ19">
        <v>0</v>
      </c>
      <c r="OA19">
        <v>0</v>
      </c>
      <c r="OB19">
        <v>0</v>
      </c>
      <c r="OC19">
        <v>0</v>
      </c>
      <c r="OD19">
        <v>121717974.6721701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259359113.5143142</v>
      </c>
      <c r="OK19">
        <v>369719582.1423595</v>
      </c>
      <c r="OL19">
        <v>0</v>
      </c>
      <c r="OM19">
        <v>0</v>
      </c>
      <c r="ON19">
        <v>11228743.7663881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58341137.558402501</v>
      </c>
      <c r="OX19">
        <v>0</v>
      </c>
      <c r="OY19">
        <v>0</v>
      </c>
      <c r="OZ19">
        <v>173028508.64186469</v>
      </c>
      <c r="PA19">
        <v>0</v>
      </c>
      <c r="PB19">
        <v>0</v>
      </c>
      <c r="PC19">
        <v>326558685.88154072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9639755.9001000002</v>
      </c>
      <c r="PJ19">
        <v>0</v>
      </c>
      <c r="PK19">
        <v>0</v>
      </c>
      <c r="PL19">
        <v>302413139.92907059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5134040.4515000004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750227874.08281195</v>
      </c>
      <c r="QC19">
        <v>85028630.479128003</v>
      </c>
      <c r="QD19">
        <v>0</v>
      </c>
      <c r="QE19">
        <v>0</v>
      </c>
      <c r="QF19">
        <v>0</v>
      </c>
      <c r="QG19">
        <v>0</v>
      </c>
      <c r="QH19">
        <v>418.06235099999998</v>
      </c>
      <c r="QI19">
        <v>0</v>
      </c>
      <c r="QJ19">
        <v>0</v>
      </c>
      <c r="QK19">
        <v>0</v>
      </c>
      <c r="QL19">
        <v>5878182.7276144</v>
      </c>
      <c r="QM19">
        <v>0</v>
      </c>
      <c r="QN19">
        <v>1383371632.9218161</v>
      </c>
      <c r="QO19">
        <v>0</v>
      </c>
      <c r="QP19">
        <v>0</v>
      </c>
      <c r="QQ19">
        <v>0</v>
      </c>
      <c r="QR19">
        <v>0</v>
      </c>
      <c r="QS19">
        <v>4974764.5104694003</v>
      </c>
      <c r="QT19">
        <v>315260163.52331293</v>
      </c>
      <c r="QU19">
        <v>340025662.02808797</v>
      </c>
      <c r="QV19">
        <v>0</v>
      </c>
      <c r="QW19">
        <v>12364603.91268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43825878.975749999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55762899.363049999</v>
      </c>
      <c r="RJ19">
        <v>0</v>
      </c>
      <c r="RK19">
        <v>0</v>
      </c>
      <c r="RL19">
        <v>0</v>
      </c>
      <c r="RM19">
        <v>466633305.23318958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250835938.69024989</v>
      </c>
      <c r="RU19">
        <v>3001.6056490000001</v>
      </c>
      <c r="RV19">
        <v>60.585740800000004</v>
      </c>
      <c r="RW19">
        <v>0</v>
      </c>
      <c r="RX19">
        <v>0</v>
      </c>
      <c r="RY19">
        <v>227467066.60037139</v>
      </c>
      <c r="RZ19">
        <v>0</v>
      </c>
      <c r="SA19">
        <v>89731899.502027795</v>
      </c>
      <c r="SB19">
        <v>55948808.842243701</v>
      </c>
      <c r="SC19">
        <v>1452435.0388493999</v>
      </c>
      <c r="SD19">
        <v>144364173.81532869</v>
      </c>
      <c r="SE19">
        <v>0</v>
      </c>
      <c r="SF19">
        <v>73550692.128507301</v>
      </c>
      <c r="SG19">
        <v>0</v>
      </c>
      <c r="SH19">
        <v>0</v>
      </c>
      <c r="SI19">
        <v>81.998559499999999</v>
      </c>
      <c r="SJ19">
        <v>0</v>
      </c>
      <c r="SK19">
        <v>0</v>
      </c>
      <c r="SL19">
        <v>0</v>
      </c>
      <c r="SM19">
        <v>95605727.982708007</v>
      </c>
      <c r="SN19">
        <v>0</v>
      </c>
      <c r="SO19">
        <v>1746.9427177</v>
      </c>
      <c r="SP19">
        <v>0</v>
      </c>
      <c r="SQ19">
        <v>107.9847632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325.738428</v>
      </c>
      <c r="SX19">
        <v>0</v>
      </c>
      <c r="SY19">
        <v>0</v>
      </c>
      <c r="SZ19">
        <v>0</v>
      </c>
      <c r="TA19">
        <v>159.87801300000001</v>
      </c>
      <c r="TB19">
        <v>0</v>
      </c>
      <c r="TC19">
        <v>0</v>
      </c>
      <c r="TD19">
        <v>0</v>
      </c>
      <c r="TE19">
        <v>0</v>
      </c>
      <c r="TF19">
        <v>272356053.4587</v>
      </c>
      <c r="TG19">
        <v>0</v>
      </c>
      <c r="TH19">
        <v>0</v>
      </c>
      <c r="TI19">
        <v>2714.9186960000002</v>
      </c>
      <c r="TJ19">
        <v>0</v>
      </c>
      <c r="TK19">
        <v>0</v>
      </c>
      <c r="TL19">
        <v>0</v>
      </c>
      <c r="TM19">
        <v>0</v>
      </c>
      <c r="TN19">
        <v>127414740.4491</v>
      </c>
      <c r="TO19">
        <v>93809781.559386507</v>
      </c>
      <c r="TP19">
        <v>0</v>
      </c>
      <c r="TQ19">
        <v>0</v>
      </c>
      <c r="TR19">
        <v>0</v>
      </c>
      <c r="TS19">
        <v>663.94579499999998</v>
      </c>
      <c r="TT19">
        <v>0</v>
      </c>
      <c r="TU19">
        <v>0</v>
      </c>
      <c r="TV19">
        <v>0</v>
      </c>
      <c r="TW19">
        <v>520.77145499999995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19543.282890900002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83.063988300000005</v>
      </c>
      <c r="UZ19">
        <v>126374962.28004999</v>
      </c>
      <c r="VA19">
        <v>0</v>
      </c>
      <c r="VB19">
        <v>443.033838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10570088.979660001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70418821.515307397</v>
      </c>
      <c r="WH19">
        <v>0</v>
      </c>
      <c r="WI19">
        <v>0</v>
      </c>
      <c r="WJ19">
        <v>0</v>
      </c>
      <c r="WK19">
        <v>0</v>
      </c>
      <c r="WL19">
        <v>4377382.6286139004</v>
      </c>
      <c r="WM19">
        <v>0</v>
      </c>
      <c r="WN19">
        <v>4042.3583242999998</v>
      </c>
      <c r="WO19">
        <v>0</v>
      </c>
      <c r="WP19">
        <v>294.61246089999997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342976321.89359421</v>
      </c>
      <c r="WW19">
        <v>398134496.05110002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82324329.692351699</v>
      </c>
      <c r="XG19">
        <v>0</v>
      </c>
      <c r="XH19">
        <v>0</v>
      </c>
      <c r="XI19">
        <v>0</v>
      </c>
      <c r="XJ19">
        <v>0</v>
      </c>
      <c r="XK19">
        <v>120324.262573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2566330.8993393001</v>
      </c>
      <c r="XV19">
        <v>0</v>
      </c>
      <c r="XW19">
        <v>0</v>
      </c>
      <c r="XX19">
        <v>242817805.95420119</v>
      </c>
      <c r="XY19">
        <v>5524662.5953823999</v>
      </c>
      <c r="XZ19">
        <v>3574985.7086258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8467700.0237617008</v>
      </c>
      <c r="YG19">
        <v>0</v>
      </c>
      <c r="YH19">
        <v>103714091.0538425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39.634824799999997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3807145.3642245</v>
      </c>
      <c r="ZB19">
        <v>0</v>
      </c>
      <c r="ZC19">
        <v>107731669.661028</v>
      </c>
      <c r="ZD19">
        <v>0</v>
      </c>
      <c r="ZE19">
        <v>0</v>
      </c>
      <c r="ZF19">
        <v>0</v>
      </c>
      <c r="ZG19" s="2">
        <v>0</v>
      </c>
      <c r="ZH19">
        <v>0</v>
      </c>
      <c r="ZI19">
        <v>0</v>
      </c>
      <c r="ZJ19">
        <v>3803.2757737000002</v>
      </c>
      <c r="ZK19">
        <v>0</v>
      </c>
      <c r="ZL19" s="2">
        <v>0</v>
      </c>
      <c r="ZM19">
        <v>0</v>
      </c>
      <c r="ZN19">
        <v>0</v>
      </c>
      <c r="ZO19">
        <v>0</v>
      </c>
      <c r="ZP19">
        <v>0</v>
      </c>
      <c r="ZQ19">
        <v>3716023.4287145999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75783470.106895804</v>
      </c>
      <c r="ZY19">
        <v>0</v>
      </c>
      <c r="ZZ19" s="2">
        <v>0</v>
      </c>
      <c r="AAA19">
        <v>0</v>
      </c>
      <c r="AAB19">
        <v>128316505.04050501</v>
      </c>
      <c r="AAC19">
        <v>0</v>
      </c>
      <c r="AAD19">
        <v>0</v>
      </c>
      <c r="AAE19" s="2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20520072.9672876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1345672489.221796</v>
      </c>
      <c r="ABC19">
        <v>0</v>
      </c>
      <c r="ABD19" s="2">
        <v>0</v>
      </c>
      <c r="ABE19">
        <v>0</v>
      </c>
      <c r="ABF19">
        <v>0</v>
      </c>
      <c r="ABG19">
        <v>0</v>
      </c>
      <c r="ABH19">
        <v>0</v>
      </c>
      <c r="ABI19">
        <v>24965833.693631001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488.00581570000003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604.61947050000003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138967854.9576</v>
      </c>
      <c r="ACG19">
        <v>0</v>
      </c>
      <c r="ACH19">
        <v>776.94337340000004</v>
      </c>
      <c r="ACI19">
        <v>0</v>
      </c>
      <c r="ACJ19">
        <v>0</v>
      </c>
      <c r="ACK19">
        <v>132394187.13744029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164495483.21659699</v>
      </c>
      <c r="ADH19">
        <v>0</v>
      </c>
      <c r="ADI19">
        <v>0</v>
      </c>
      <c r="ADJ19">
        <v>50188427.067311399</v>
      </c>
      <c r="ADK19">
        <v>97071827.515572205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983.00903049999999</v>
      </c>
      <c r="ADU19">
        <v>0</v>
      </c>
      <c r="ADV19">
        <v>0</v>
      </c>
      <c r="ADW19">
        <v>0</v>
      </c>
      <c r="ADX19">
        <v>1074583766.6594999</v>
      </c>
      <c r="ADY19">
        <v>0</v>
      </c>
      <c r="ADZ19">
        <v>0</v>
      </c>
      <c r="AEA19">
        <v>131519304.77018251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525.30729580000002</v>
      </c>
      <c r="AEI19">
        <v>33791427.8752416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48614794.171909399</v>
      </c>
      <c r="AEP19">
        <v>2021054768.0050943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108.24867380000001</v>
      </c>
      <c r="AFB19">
        <v>19793767.1208998</v>
      </c>
      <c r="AFC19">
        <v>0</v>
      </c>
      <c r="AFD19">
        <v>0</v>
      </c>
      <c r="AFE19">
        <v>100322257.38080519</v>
      </c>
      <c r="AFF19">
        <v>0</v>
      </c>
      <c r="AFG19">
        <v>0</v>
      </c>
      <c r="AFH19">
        <v>0</v>
      </c>
      <c r="AFI19">
        <v>43414810.840241499</v>
      </c>
      <c r="AFJ19">
        <v>0</v>
      </c>
      <c r="AFK19">
        <v>0</v>
      </c>
      <c r="AFL19">
        <v>8.8212218999999994</v>
      </c>
      <c r="AFM19">
        <v>0</v>
      </c>
      <c r="AFN19">
        <v>0</v>
      </c>
      <c r="AFO19">
        <v>0</v>
      </c>
      <c r="AFP19">
        <v>65516638.324499004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1283.6406698000001</v>
      </c>
      <c r="AGB19">
        <v>1105906769.8629</v>
      </c>
      <c r="AGC19">
        <v>65150544.4450946</v>
      </c>
      <c r="AGD19">
        <v>43557421.976146899</v>
      </c>
      <c r="AGE19">
        <v>0</v>
      </c>
      <c r="AGF19">
        <v>50588598.200872302</v>
      </c>
      <c r="AGG19">
        <v>78590830.450036794</v>
      </c>
      <c r="AGH19">
        <v>0</v>
      </c>
      <c r="AGI19">
        <v>40443330.114596099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41157511.368926696</v>
      </c>
      <c r="AIF19">
        <v>26964500.6915977</v>
      </c>
      <c r="AIG19">
        <v>735.75543560000006</v>
      </c>
      <c r="AIH19">
        <v>0</v>
      </c>
      <c r="AII19">
        <v>0</v>
      </c>
      <c r="AIJ19">
        <v>0</v>
      </c>
      <c r="AIK19">
        <v>0</v>
      </c>
      <c r="AIL19">
        <v>305594322.66240001</v>
      </c>
      <c r="AIM19">
        <v>0</v>
      </c>
      <c r="AIN19">
        <v>0</v>
      </c>
      <c r="AIO19">
        <v>654260699.47086501</v>
      </c>
      <c r="AIP19">
        <v>0</v>
      </c>
      <c r="AIQ19">
        <v>124228632.0528</v>
      </c>
      <c r="AIR19" s="2">
        <v>154507271.7079905</v>
      </c>
      <c r="AIS19">
        <v>12.5673151</v>
      </c>
      <c r="AIT19">
        <v>0</v>
      </c>
      <c r="AIU19">
        <v>0</v>
      </c>
      <c r="AIV19">
        <v>0</v>
      </c>
      <c r="AIW19">
        <v>2615815.7388638002</v>
      </c>
      <c r="AIX19">
        <v>24307961.082237002</v>
      </c>
      <c r="AIY19">
        <v>0</v>
      </c>
      <c r="AIZ19">
        <v>0</v>
      </c>
      <c r="AJA19">
        <v>0</v>
      </c>
      <c r="AJB19">
        <v>0</v>
      </c>
      <c r="AJC19">
        <v>10985777.6106629</v>
      </c>
      <c r="AJD19">
        <v>42978625.029104501</v>
      </c>
      <c r="AJE19">
        <v>0</v>
      </c>
      <c r="AJF19">
        <v>0</v>
      </c>
      <c r="AJG19">
        <v>0</v>
      </c>
      <c r="AJH19">
        <v>0</v>
      </c>
      <c r="AJI19">
        <v>319217207.91023523</v>
      </c>
      <c r="AJJ19">
        <v>0</v>
      </c>
      <c r="AJK19">
        <v>66751239.279868297</v>
      </c>
      <c r="AJL19">
        <v>0</v>
      </c>
      <c r="AJM19">
        <v>0</v>
      </c>
      <c r="AJN19">
        <v>0</v>
      </c>
      <c r="AJO19">
        <v>17327725.584180001</v>
      </c>
      <c r="AJP19">
        <v>71901550</v>
      </c>
      <c r="AJQ19">
        <v>0</v>
      </c>
      <c r="AJR19">
        <v>0</v>
      </c>
      <c r="AJS19">
        <v>0</v>
      </c>
      <c r="AJT19">
        <v>32709959.25</v>
      </c>
      <c r="AJU19">
        <v>0</v>
      </c>
      <c r="AJV19">
        <v>0</v>
      </c>
      <c r="AJW19">
        <v>102708996.45119999</v>
      </c>
      <c r="AJX19">
        <v>46132353.046488002</v>
      </c>
      <c r="AJY19">
        <v>0</v>
      </c>
      <c r="AJZ19">
        <v>0</v>
      </c>
      <c r="AKA19">
        <v>0</v>
      </c>
      <c r="AKB19">
        <v>0</v>
      </c>
      <c r="AKC19">
        <v>0</v>
      </c>
    </row>
    <row r="20" spans="1:1139" x14ac:dyDescent="0.25">
      <c r="A20" t="s">
        <v>5</v>
      </c>
      <c r="B20" t="s">
        <v>7</v>
      </c>
      <c r="C20" s="1">
        <v>46022</v>
      </c>
      <c r="D20" t="s">
        <v>10</v>
      </c>
      <c r="E20">
        <v>3164069580.822104</v>
      </c>
      <c r="F20">
        <v>15273817.2080401</v>
      </c>
      <c r="G20">
        <v>2450.1713</v>
      </c>
      <c r="H20">
        <v>0</v>
      </c>
      <c r="I20">
        <v>0</v>
      </c>
      <c r="J20">
        <v>0</v>
      </c>
      <c r="K20">
        <v>0</v>
      </c>
      <c r="L20">
        <v>12378726.663252002</v>
      </c>
      <c r="M20">
        <v>10214.345104</v>
      </c>
      <c r="N20">
        <v>4522.4269999999997</v>
      </c>
      <c r="O20">
        <v>2.14425</v>
      </c>
      <c r="P20">
        <v>336.45970499999999</v>
      </c>
      <c r="Q20">
        <v>0</v>
      </c>
      <c r="R20">
        <v>16.652464999999999</v>
      </c>
      <c r="S20">
        <v>0</v>
      </c>
      <c r="T20">
        <v>20.28622</v>
      </c>
      <c r="U20">
        <v>0</v>
      </c>
      <c r="V20">
        <v>4.2387439999999996</v>
      </c>
      <c r="W20">
        <v>0</v>
      </c>
      <c r="X20">
        <v>351596887.70612651</v>
      </c>
      <c r="Y20">
        <v>362077122.37963301</v>
      </c>
      <c r="Z20">
        <v>2877523.820000099</v>
      </c>
      <c r="AA20">
        <v>500063.33350000001</v>
      </c>
      <c r="AB20">
        <v>38625290.322984003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14389860.3506175</v>
      </c>
      <c r="DS20">
        <v>0</v>
      </c>
      <c r="DT20">
        <v>10688064.6091436</v>
      </c>
      <c r="DU20">
        <v>0</v>
      </c>
      <c r="DV20">
        <v>0</v>
      </c>
      <c r="DW20">
        <v>7679913.9241110003</v>
      </c>
      <c r="DX20">
        <v>177484336.35659999</v>
      </c>
      <c r="DY20">
        <v>33775323.707712598</v>
      </c>
      <c r="DZ20">
        <v>1813811.9799184001</v>
      </c>
      <c r="EA20">
        <v>20470968.785618</v>
      </c>
      <c r="EB20">
        <v>352.64</v>
      </c>
      <c r="EC20">
        <v>21228892.807594098</v>
      </c>
      <c r="ED20">
        <v>26371648.897955999</v>
      </c>
      <c r="EE20">
        <v>0</v>
      </c>
      <c r="EF20">
        <v>32926558.095194701</v>
      </c>
      <c r="EG20">
        <v>30756764.883895501</v>
      </c>
      <c r="EH20">
        <v>0</v>
      </c>
      <c r="EI20">
        <v>68448070.944131106</v>
      </c>
      <c r="EJ20">
        <v>99472294.527117595</v>
      </c>
      <c r="EK20">
        <v>27987948.4231508</v>
      </c>
      <c r="EL20">
        <v>188847.12</v>
      </c>
      <c r="EM20">
        <v>175808877.27398109</v>
      </c>
      <c r="EN20">
        <v>175338643.120047</v>
      </c>
      <c r="EO20">
        <v>20672855.301250201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6172208.9017757997</v>
      </c>
      <c r="EX20">
        <v>5234987.7352491999</v>
      </c>
      <c r="EY20">
        <v>0</v>
      </c>
      <c r="EZ20">
        <v>19706273.50062</v>
      </c>
      <c r="FA20">
        <v>0</v>
      </c>
      <c r="FB20">
        <v>14709656.719331499</v>
      </c>
      <c r="FC20">
        <v>0</v>
      </c>
      <c r="FD20">
        <v>2027776.8330600001</v>
      </c>
      <c r="FE20">
        <v>0</v>
      </c>
      <c r="FF20">
        <v>8021527.2479999997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44262145.556999996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12778709.935274299</v>
      </c>
      <c r="GK20">
        <v>0</v>
      </c>
      <c r="GL20">
        <v>14528730.4273296</v>
      </c>
      <c r="GM20">
        <v>0</v>
      </c>
      <c r="GN20">
        <v>0</v>
      </c>
      <c r="GO20">
        <v>1379467.9514458</v>
      </c>
      <c r="GP20">
        <v>16801602.887256399</v>
      </c>
      <c r="GQ20">
        <v>203065.577983</v>
      </c>
      <c r="GR20">
        <v>1392017.5527929999</v>
      </c>
      <c r="GS20">
        <v>27573472.245900799</v>
      </c>
      <c r="GT20">
        <v>764918.71266159997</v>
      </c>
      <c r="GU20">
        <v>22499941.132064998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33711284.4730388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146.4480011</v>
      </c>
      <c r="HV20">
        <v>42895761.579300001</v>
      </c>
      <c r="HW20">
        <v>53586458.472000003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87580247.913000003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72672.740456200001</v>
      </c>
      <c r="IJ20">
        <v>26013.366000000002</v>
      </c>
      <c r="IK20">
        <v>0</v>
      </c>
      <c r="IL20">
        <v>1693591.24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9297328.6539999992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972032.72843599995</v>
      </c>
      <c r="JD20">
        <v>0</v>
      </c>
      <c r="JE20">
        <v>0</v>
      </c>
      <c r="JF20">
        <v>0</v>
      </c>
      <c r="JG20">
        <v>19297209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69186996.707439393</v>
      </c>
      <c r="JN20">
        <v>10669906.5327824</v>
      </c>
      <c r="JO20">
        <v>7898955.2626788998</v>
      </c>
      <c r="JP20">
        <v>0</v>
      </c>
      <c r="JQ20">
        <v>36581880.712677598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9056.5791100000006</v>
      </c>
      <c r="KE20">
        <v>0</v>
      </c>
      <c r="KF20">
        <v>0</v>
      </c>
      <c r="KG20">
        <v>0</v>
      </c>
      <c r="KH20">
        <v>78119650.503000006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18934994.778941199</v>
      </c>
      <c r="LE20">
        <v>55584419.563385203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4292.4089395000001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39001796.040141501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22453474.157559201</v>
      </c>
      <c r="MX20">
        <v>0</v>
      </c>
      <c r="MY20">
        <v>0</v>
      </c>
      <c r="MZ20">
        <v>0</v>
      </c>
      <c r="NA20">
        <v>0</v>
      </c>
      <c r="NB20">
        <v>42889404.203730002</v>
      </c>
      <c r="NC20">
        <v>0</v>
      </c>
      <c r="ND20">
        <v>0</v>
      </c>
      <c r="NE20">
        <v>0</v>
      </c>
      <c r="NF20">
        <v>0</v>
      </c>
      <c r="NG20">
        <v>29659075.723889999</v>
      </c>
      <c r="NH20">
        <v>0</v>
      </c>
      <c r="NI20">
        <v>65.156930299999999</v>
      </c>
      <c r="NJ20">
        <v>0</v>
      </c>
      <c r="NK20">
        <v>0</v>
      </c>
      <c r="NL20">
        <v>0</v>
      </c>
      <c r="NM20">
        <v>0</v>
      </c>
      <c r="NN20">
        <v>23032247.699999999</v>
      </c>
      <c r="NO20">
        <v>23032247.699999999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41079944.631656103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115352312.1456051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29286469.215243999</v>
      </c>
      <c r="QU20">
        <v>17210122.31574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2488.6958991000001</v>
      </c>
      <c r="RV20">
        <v>60.828812999999997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86.8573095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325.738428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2706.8112341999999</v>
      </c>
      <c r="TJ20">
        <v>0</v>
      </c>
      <c r="TK20">
        <v>0</v>
      </c>
      <c r="TL20">
        <v>0</v>
      </c>
      <c r="TM20">
        <v>0</v>
      </c>
      <c r="TN20">
        <v>42134964.729000002</v>
      </c>
      <c r="TO20">
        <v>0</v>
      </c>
      <c r="TP20">
        <v>0</v>
      </c>
      <c r="TQ20">
        <v>0</v>
      </c>
      <c r="TR20">
        <v>0</v>
      </c>
      <c r="TS20">
        <v>663.94579499999998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6548.3216345999999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83.063988300000005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3366.4120806000001</v>
      </c>
      <c r="WO20">
        <v>0</v>
      </c>
      <c r="WP20">
        <v>0</v>
      </c>
      <c r="WQ20">
        <v>0</v>
      </c>
      <c r="WR20">
        <v>28510245.828000002</v>
      </c>
      <c r="WS20">
        <v>0</v>
      </c>
      <c r="WT20">
        <v>0</v>
      </c>
      <c r="WU20">
        <v>0</v>
      </c>
      <c r="WV20">
        <v>86111511.362226307</v>
      </c>
      <c r="WW20">
        <v>62225856.936899997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34187935.190399997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 s="2">
        <v>0</v>
      </c>
      <c r="ZH20">
        <v>0</v>
      </c>
      <c r="ZI20">
        <v>0</v>
      </c>
      <c r="ZJ20">
        <v>2755.5809379000002</v>
      </c>
      <c r="ZK20">
        <v>0</v>
      </c>
      <c r="ZL20" s="2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 s="2">
        <v>0</v>
      </c>
      <c r="AAA20">
        <v>0</v>
      </c>
      <c r="AAB20">
        <v>26574484.387320001</v>
      </c>
      <c r="AAC20">
        <v>0</v>
      </c>
      <c r="AAD20">
        <v>0</v>
      </c>
      <c r="AAE20" s="2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 s="2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483.17407489999999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892.30131530000006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961.67116850000002</v>
      </c>
      <c r="ACI20">
        <v>0</v>
      </c>
      <c r="ACJ20">
        <v>0</v>
      </c>
      <c r="ACK20">
        <v>56.848521099999999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880.6277126</v>
      </c>
      <c r="ADU20">
        <v>0</v>
      </c>
      <c r="ADV20">
        <v>0</v>
      </c>
      <c r="ADW20">
        <v>0</v>
      </c>
      <c r="ADX20">
        <v>257082298.88999999</v>
      </c>
      <c r="ADY20">
        <v>0</v>
      </c>
      <c r="ADZ20">
        <v>0</v>
      </c>
      <c r="AEA20">
        <v>10165716.312413599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519.70700480000005</v>
      </c>
      <c r="AEI20">
        <v>16562183.645705599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8.1163184000000008</v>
      </c>
      <c r="AFM20">
        <v>0</v>
      </c>
      <c r="AFN20">
        <v>0</v>
      </c>
      <c r="AFO20">
        <v>0</v>
      </c>
      <c r="AFP20">
        <v>13009868.0264873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258896200.14629999</v>
      </c>
      <c r="AGC20">
        <v>0</v>
      </c>
      <c r="AGD20">
        <v>7376142.7001352003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12594270.321900001</v>
      </c>
      <c r="AIL20">
        <v>63577365.571199998</v>
      </c>
      <c r="AIM20">
        <v>0</v>
      </c>
      <c r="AIN20">
        <v>0</v>
      </c>
      <c r="AIO20">
        <v>0</v>
      </c>
      <c r="AIP20">
        <v>0</v>
      </c>
      <c r="AIQ20">
        <v>0</v>
      </c>
      <c r="AIR20" s="2">
        <v>43337645.352183402</v>
      </c>
      <c r="AIS20">
        <v>11.6475715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15.2867908</v>
      </c>
      <c r="AJE20">
        <v>0</v>
      </c>
      <c r="AJF20">
        <v>0</v>
      </c>
      <c r="AJG20">
        <v>0</v>
      </c>
      <c r="AJH20">
        <v>0</v>
      </c>
      <c r="AJI20">
        <v>16231203.794838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26520429.184124999</v>
      </c>
      <c r="AJP20">
        <v>0</v>
      </c>
      <c r="AJQ20">
        <v>12652151.741699999</v>
      </c>
      <c r="AJR20">
        <v>0</v>
      </c>
      <c r="AJS20">
        <v>0</v>
      </c>
      <c r="AJT20">
        <v>0</v>
      </c>
      <c r="AJU20">
        <v>0</v>
      </c>
      <c r="AJV20">
        <v>6420895.2620999999</v>
      </c>
      <c r="AJW20">
        <v>33319371.081599999</v>
      </c>
      <c r="AJX20">
        <v>9956393.2104839999</v>
      </c>
      <c r="AJY20">
        <v>0</v>
      </c>
      <c r="AJZ20">
        <v>0</v>
      </c>
      <c r="AKA20">
        <v>0</v>
      </c>
      <c r="AKB20">
        <v>80424135.610499993</v>
      </c>
      <c r="AKC20">
        <v>0</v>
      </c>
    </row>
    <row r="21" spans="1:1139" s="2" customFormat="1" x14ac:dyDescent="0.25">
      <c r="A21" s="2" t="s">
        <v>0</v>
      </c>
      <c r="B21" s="2" t="s">
        <v>11</v>
      </c>
      <c r="C21" s="37">
        <v>46022</v>
      </c>
      <c r="D21" s="2" t="s">
        <v>12</v>
      </c>
      <c r="E21" s="2">
        <v>1</v>
      </c>
      <c r="F21" s="2">
        <v>1.2571848751120693E-3</v>
      </c>
      <c r="G21" s="2">
        <v>3.857421464944355E-6</v>
      </c>
      <c r="H21" s="2">
        <v>7.9603676674516137E-8</v>
      </c>
      <c r="I21" s="2">
        <v>0</v>
      </c>
      <c r="J21" s="2">
        <v>0</v>
      </c>
      <c r="K21" s="2">
        <v>0</v>
      </c>
      <c r="L21" s="2">
        <v>5.2474626617740605E-4</v>
      </c>
      <c r="M21" s="2">
        <v>2.6689314993475313E-7</v>
      </c>
      <c r="N21" s="2">
        <v>5.9050876144259347E-7</v>
      </c>
      <c r="O21" s="2">
        <v>2.7921700188974076E-10</v>
      </c>
      <c r="P21" s="2">
        <v>4.3812647819427124E-8</v>
      </c>
      <c r="Q21" s="2">
        <v>0</v>
      </c>
      <c r="R21" s="2">
        <v>2.1684278192252961E-9</v>
      </c>
      <c r="S21" s="2">
        <v>0</v>
      </c>
      <c r="T21" s="2">
        <v>2.6416031377291344E-9</v>
      </c>
      <c r="U21" s="2">
        <v>0</v>
      </c>
      <c r="V21" s="2">
        <v>5.5195494529934813E-10</v>
      </c>
      <c r="W21" s="2">
        <v>0</v>
      </c>
      <c r="X21" s="2">
        <v>0.1239424658480129</v>
      </c>
      <c r="Y21" s="2">
        <v>0.14748532429765712</v>
      </c>
      <c r="Z21" s="2">
        <v>7.2759472803094339E-4</v>
      </c>
      <c r="AA21" s="2">
        <v>4.8184787599631802E-3</v>
      </c>
      <c r="AB21" s="2">
        <v>1.9524253051024412E-2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6.7791992175197754E-2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7.5778103098332624E-5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1.3002437176018255E-4</v>
      </c>
      <c r="DS21" s="2">
        <v>0</v>
      </c>
      <c r="DT21" s="2">
        <v>1.0353509110715069E-3</v>
      </c>
      <c r="DU21" s="2">
        <v>0</v>
      </c>
      <c r="DV21" s="2">
        <v>0</v>
      </c>
      <c r="DW21" s="2">
        <v>5.2184751583844986E-5</v>
      </c>
      <c r="DX21" s="2">
        <v>5.2880595804343363E-3</v>
      </c>
      <c r="DY21" s="2">
        <v>4.1051549098681617E-4</v>
      </c>
      <c r="DZ21" s="2">
        <v>2.7857200661324553E-4</v>
      </c>
      <c r="EA21" s="2">
        <v>2.020231881016096E-3</v>
      </c>
      <c r="EB21" s="2">
        <v>6.6306306336600674E-9</v>
      </c>
      <c r="EC21" s="2">
        <v>2.3146152588269775E-3</v>
      </c>
      <c r="ED21" s="2">
        <v>4.3075404504006536E-4</v>
      </c>
      <c r="EE21" s="2">
        <v>0</v>
      </c>
      <c r="EF21" s="2">
        <v>3.523149001827341E-3</v>
      </c>
      <c r="EG21" s="2">
        <v>1.4948281578854982E-3</v>
      </c>
      <c r="EH21" s="2">
        <v>0</v>
      </c>
      <c r="EI21" s="2">
        <v>2.0755777018265369E-3</v>
      </c>
      <c r="EJ21" s="2">
        <v>9.1620140536130025E-3</v>
      </c>
      <c r="EK21" s="2">
        <v>2.7848429392305098E-3</v>
      </c>
      <c r="EL21" s="2">
        <v>5.6815060699828997E-5</v>
      </c>
      <c r="EM21" s="2">
        <v>8.6729755391293326E-3</v>
      </c>
      <c r="EN21" s="2">
        <v>4.0223212098617379E-3</v>
      </c>
      <c r="EO21" s="2">
        <v>8.4886887513564518E-4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1.528719580838149E-4</v>
      </c>
      <c r="GV21" s="2">
        <v>0</v>
      </c>
      <c r="GW21" s="2">
        <v>1.0066955352843064E-2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9.6082836314667088E-4</v>
      </c>
      <c r="HJ21" s="2">
        <v>0</v>
      </c>
      <c r="HK21" s="2">
        <v>0</v>
      </c>
      <c r="HL21" s="2">
        <v>0</v>
      </c>
      <c r="HM21" s="2">
        <v>2.1120966226757772E-3</v>
      </c>
      <c r="HN21" s="2">
        <v>0</v>
      </c>
      <c r="HO21" s="2">
        <v>0</v>
      </c>
      <c r="HP21" s="2">
        <v>0</v>
      </c>
      <c r="HQ21" s="2">
        <v>6.2074951506135264E-3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1.9827299410566197E-3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2.3805817839659977E-3</v>
      </c>
      <c r="IN21" s="2">
        <v>0</v>
      </c>
      <c r="IO21" s="2">
        <v>0</v>
      </c>
      <c r="IP21" s="2">
        <v>0</v>
      </c>
      <c r="IQ21" s="2">
        <v>1.8604712141968294E-3</v>
      </c>
      <c r="IR21" s="2">
        <v>0</v>
      </c>
      <c r="IS21" s="2">
        <v>0</v>
      </c>
      <c r="IT21" s="2">
        <v>0</v>
      </c>
      <c r="IU21" s="2">
        <v>1.0536491483467355E-3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1.912810015534628E-7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2.3977186387464872E-3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1.3041227981096309E-3</v>
      </c>
      <c r="KA21" s="2">
        <v>0</v>
      </c>
      <c r="KB21" s="2">
        <v>0</v>
      </c>
      <c r="KC21" s="2">
        <v>0</v>
      </c>
      <c r="KD21" s="2">
        <v>1.1793171815186925E-6</v>
      </c>
      <c r="KE21" s="2">
        <v>0</v>
      </c>
      <c r="KF21" s="2">
        <v>0</v>
      </c>
      <c r="KG21" s="2">
        <v>0</v>
      </c>
      <c r="KH21" s="2">
        <v>4.0877593567127564E-3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2.1414013984518889E-3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9.0599993517897755E-4</v>
      </c>
      <c r="MB21" s="2">
        <v>8.9869268699191752E-8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9.5865391904784037E-3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7.4738170040082935E-3</v>
      </c>
      <c r="MZ21" s="2">
        <v>0</v>
      </c>
      <c r="NA21" s="2">
        <v>0</v>
      </c>
      <c r="NB21" s="2">
        <v>3.0750419713418851E-3</v>
      </c>
      <c r="NC21" s="2">
        <v>0</v>
      </c>
      <c r="ND21" s="2">
        <v>0</v>
      </c>
      <c r="NE21" s="2">
        <v>0</v>
      </c>
      <c r="NF21" s="2">
        <v>0</v>
      </c>
      <c r="NG21" s="2">
        <v>8.9574543294868925E-4</v>
      </c>
      <c r="NH21" s="2">
        <v>0</v>
      </c>
      <c r="NI21" s="2">
        <v>0</v>
      </c>
      <c r="NJ21" s="2">
        <v>0</v>
      </c>
      <c r="NK21" s="2">
        <v>0</v>
      </c>
      <c r="NL21" s="2">
        <v>3.9777992312102035E-3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0</v>
      </c>
      <c r="NW21" s="2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8.2343951331452199E-4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7.5969861330973977E-3</v>
      </c>
      <c r="OX21" s="2">
        <v>0</v>
      </c>
      <c r="OY21" s="2">
        <v>0</v>
      </c>
      <c r="OZ21" s="2">
        <v>0</v>
      </c>
      <c r="PA21" s="2">
        <v>7.2695961416688749E-4</v>
      </c>
      <c r="PB21" s="2">
        <v>0</v>
      </c>
      <c r="PC21" s="2">
        <v>0</v>
      </c>
      <c r="PD21" s="2">
        <v>0</v>
      </c>
      <c r="PE21" s="2">
        <v>0</v>
      </c>
      <c r="PF21" s="2">
        <v>7.5094203049956643E-3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  <c r="PL21" s="2">
        <v>0</v>
      </c>
      <c r="PM21" s="2">
        <v>0</v>
      </c>
      <c r="PN21" s="2">
        <v>0</v>
      </c>
      <c r="PO21" s="2">
        <v>0</v>
      </c>
      <c r="PP21" s="2">
        <v>0</v>
      </c>
      <c r="PQ21" s="2">
        <v>0</v>
      </c>
      <c r="PR21" s="2">
        <v>0</v>
      </c>
      <c r="PS21" s="2">
        <v>0</v>
      </c>
      <c r="PT21" s="2">
        <v>0</v>
      </c>
      <c r="PU21" s="2">
        <v>2.6741497165880491E-3</v>
      </c>
      <c r="PV21" s="2">
        <v>0</v>
      </c>
      <c r="PW21" s="2">
        <v>0</v>
      </c>
      <c r="PX21" s="2">
        <v>0</v>
      </c>
      <c r="PY21" s="2">
        <v>0</v>
      </c>
      <c r="PZ21" s="2">
        <v>0</v>
      </c>
      <c r="QA21" s="2">
        <v>0</v>
      </c>
      <c r="QB21" s="2">
        <v>0</v>
      </c>
      <c r="QC21" s="2">
        <v>4.9323692714229456E-3</v>
      </c>
      <c r="QD21" s="2">
        <v>0</v>
      </c>
      <c r="QE21" s="2">
        <v>0</v>
      </c>
      <c r="QF21" s="2">
        <v>0</v>
      </c>
      <c r="QG21" s="2">
        <v>0</v>
      </c>
      <c r="QH21" s="2">
        <v>9.3253440185278242E-8</v>
      </c>
      <c r="QI21" s="2">
        <v>0</v>
      </c>
      <c r="QJ21" s="2">
        <v>1.7307549220026201E-7</v>
      </c>
      <c r="QK21" s="2">
        <v>0</v>
      </c>
      <c r="QL21" s="2">
        <v>6.3705571145390265E-3</v>
      </c>
      <c r="QM21" s="2">
        <v>0</v>
      </c>
      <c r="QN21" s="2">
        <v>2.7238406274311702E-2</v>
      </c>
      <c r="QO21" s="2">
        <v>0</v>
      </c>
      <c r="QP21" s="2">
        <v>0</v>
      </c>
      <c r="QQ21" s="2">
        <v>0</v>
      </c>
      <c r="QR21" s="2">
        <v>1.1858445977370239E-2</v>
      </c>
      <c r="QS21" s="2">
        <v>0</v>
      </c>
      <c r="QT21" s="2">
        <v>0</v>
      </c>
      <c r="QU21" s="2">
        <v>4.7998405189792853E-4</v>
      </c>
      <c r="QV21" s="2">
        <v>0</v>
      </c>
      <c r="QW21" s="2">
        <v>2.4151155187496797E-3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7.1485907029310595E-3</v>
      </c>
      <c r="RD21" s="2">
        <v>0</v>
      </c>
      <c r="RE21" s="2">
        <v>0</v>
      </c>
      <c r="RF21" s="2">
        <v>0</v>
      </c>
      <c r="RG21" s="2">
        <v>0</v>
      </c>
      <c r="RH21" s="2">
        <v>0</v>
      </c>
      <c r="RI21" s="2">
        <v>9.9017136168591414E-3</v>
      </c>
      <c r="RJ21" s="2">
        <v>2.2972873105861242E-4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>
        <v>2.3517386427338869E-7</v>
      </c>
      <c r="RV21" s="2">
        <v>0</v>
      </c>
      <c r="RW21" s="2">
        <v>0</v>
      </c>
      <c r="RX21" s="2">
        <v>0</v>
      </c>
      <c r="RY21" s="2">
        <v>2.9965665184815828E-2</v>
      </c>
      <c r="RZ21" s="2">
        <v>0</v>
      </c>
      <c r="SA21" s="2">
        <v>0</v>
      </c>
      <c r="SB21" s="2">
        <v>0</v>
      </c>
      <c r="SC21" s="2">
        <v>3.4800139202815807E-3</v>
      </c>
      <c r="SD21" s="2">
        <v>4.5175191924727687E-2</v>
      </c>
      <c r="SE21" s="2">
        <v>0</v>
      </c>
      <c r="SF21" s="2">
        <v>0</v>
      </c>
      <c r="SG21" s="2">
        <v>0</v>
      </c>
      <c r="SH21" s="2">
        <v>0</v>
      </c>
      <c r="SI21" s="2">
        <v>0</v>
      </c>
      <c r="SJ21" s="2">
        <v>7.7635170273044926E-7</v>
      </c>
      <c r="SK21" s="2">
        <v>0</v>
      </c>
      <c r="SL21" s="2">
        <v>0</v>
      </c>
      <c r="SM21" s="2">
        <v>0</v>
      </c>
      <c r="SN21" s="2">
        <v>0</v>
      </c>
      <c r="SO21" s="2">
        <v>4.476351022580388E-3</v>
      </c>
      <c r="SP21" s="2">
        <v>0</v>
      </c>
      <c r="SQ21" s="2">
        <v>0</v>
      </c>
      <c r="SR21" s="2">
        <v>0</v>
      </c>
      <c r="SS21" s="2">
        <v>0</v>
      </c>
      <c r="ST21" s="2">
        <v>0</v>
      </c>
      <c r="SU21" s="2">
        <v>0</v>
      </c>
      <c r="SV21" s="2">
        <v>0</v>
      </c>
      <c r="SW21" s="2">
        <v>0</v>
      </c>
      <c r="SX21" s="2">
        <v>0</v>
      </c>
      <c r="SY21" s="2">
        <v>0</v>
      </c>
      <c r="SZ21" s="2">
        <v>0</v>
      </c>
      <c r="TA21" s="2">
        <v>2.0818775542939954E-8</v>
      </c>
      <c r="TB21" s="2">
        <v>0</v>
      </c>
      <c r="TC21" s="2">
        <v>0</v>
      </c>
      <c r="TD21" s="2">
        <v>0</v>
      </c>
      <c r="TE21" s="2">
        <v>0</v>
      </c>
      <c r="TF21" s="2">
        <v>7.5327056481013545E-3</v>
      </c>
      <c r="TG21" s="2">
        <v>0</v>
      </c>
      <c r="TH21" s="2">
        <v>0</v>
      </c>
      <c r="TI21" s="2">
        <v>0</v>
      </c>
      <c r="TJ21" s="2">
        <v>0</v>
      </c>
      <c r="TK21" s="2">
        <v>0</v>
      </c>
      <c r="TL21" s="2">
        <v>0</v>
      </c>
      <c r="TM21" s="2">
        <v>6.2952668644148937E-8</v>
      </c>
      <c r="TN21" s="2">
        <v>1.491830916307166E-3</v>
      </c>
      <c r="TO21" s="2">
        <v>7.7845512799809844E-3</v>
      </c>
      <c r="TP21" s="2">
        <v>0</v>
      </c>
      <c r="TQ21" s="2">
        <v>0</v>
      </c>
      <c r="TR21" s="2">
        <v>0</v>
      </c>
      <c r="TS21" s="2">
        <v>0</v>
      </c>
      <c r="TT21" s="2">
        <v>0</v>
      </c>
      <c r="TU21" s="2">
        <v>0</v>
      </c>
      <c r="TV21" s="2">
        <v>0</v>
      </c>
      <c r="TW21" s="2">
        <v>8.1240096391759537E-8</v>
      </c>
      <c r="TX21" s="2">
        <v>0</v>
      </c>
      <c r="TY21" s="2">
        <v>0</v>
      </c>
      <c r="TZ21" s="2">
        <v>0</v>
      </c>
      <c r="UA21" s="2">
        <v>0</v>
      </c>
      <c r="UB21" s="2">
        <v>0</v>
      </c>
      <c r="UC21" s="2">
        <v>0</v>
      </c>
      <c r="UD21" s="2">
        <v>8.4343187196061883E-7</v>
      </c>
      <c r="UE21" s="2">
        <v>0</v>
      </c>
      <c r="UF21" s="2">
        <v>0</v>
      </c>
      <c r="UG21" s="2">
        <v>0</v>
      </c>
      <c r="UH21" s="2">
        <v>0</v>
      </c>
      <c r="UI21" s="2">
        <v>0</v>
      </c>
      <c r="UJ21" s="2">
        <v>4.8394790824853903E-8</v>
      </c>
      <c r="UK21" s="2">
        <v>0</v>
      </c>
      <c r="UL21" s="2">
        <v>0</v>
      </c>
      <c r="UM21" s="2">
        <v>0</v>
      </c>
      <c r="UN21" s="2">
        <v>0</v>
      </c>
      <c r="UO21" s="2">
        <v>0</v>
      </c>
      <c r="UP21" s="2">
        <v>0</v>
      </c>
      <c r="UQ21" s="2">
        <v>0</v>
      </c>
      <c r="UR21" s="2">
        <v>0</v>
      </c>
      <c r="US21" s="2">
        <v>0</v>
      </c>
      <c r="UT21" s="2">
        <v>0</v>
      </c>
      <c r="UU21" s="2">
        <v>0</v>
      </c>
      <c r="UV21" s="2">
        <v>0</v>
      </c>
      <c r="UW21" s="2">
        <v>0</v>
      </c>
      <c r="UX21" s="2">
        <v>0</v>
      </c>
      <c r="UY21" s="2">
        <v>0</v>
      </c>
      <c r="UZ21" s="2">
        <v>5.5717576030232079E-3</v>
      </c>
      <c r="VA21" s="2">
        <v>0</v>
      </c>
      <c r="VB21" s="2">
        <v>8.8670101634958021E-8</v>
      </c>
      <c r="VC21" s="2">
        <v>0</v>
      </c>
      <c r="VD21" s="2">
        <v>0</v>
      </c>
      <c r="VE21" s="2">
        <v>0</v>
      </c>
      <c r="VF21" s="2">
        <v>0</v>
      </c>
      <c r="VG21" s="2">
        <v>0</v>
      </c>
      <c r="VH21" s="2">
        <v>0</v>
      </c>
      <c r="VI21" s="2">
        <v>0</v>
      </c>
      <c r="VJ21" s="2">
        <v>0</v>
      </c>
      <c r="VK21" s="2">
        <v>0</v>
      </c>
      <c r="VL21" s="2">
        <v>0</v>
      </c>
      <c r="VM21" s="2">
        <v>0</v>
      </c>
      <c r="VN21" s="2">
        <v>0</v>
      </c>
      <c r="VO21" s="2">
        <v>0</v>
      </c>
      <c r="VP21" s="2">
        <v>0</v>
      </c>
      <c r="VQ21" s="2">
        <v>0</v>
      </c>
      <c r="VR21" s="2">
        <v>3.1922952931543432E-3</v>
      </c>
      <c r="VS21" s="2">
        <v>0</v>
      </c>
      <c r="VT21" s="2">
        <v>0</v>
      </c>
      <c r="VU21" s="2">
        <v>0</v>
      </c>
      <c r="VV21" s="2">
        <v>0</v>
      </c>
      <c r="VW21" s="2">
        <v>0</v>
      </c>
      <c r="VX21" s="2">
        <v>0</v>
      </c>
      <c r="VY21" s="2">
        <v>0</v>
      </c>
      <c r="VZ21" s="2">
        <v>0</v>
      </c>
      <c r="WA21" s="2">
        <v>0</v>
      </c>
      <c r="WB21" s="2">
        <v>0</v>
      </c>
      <c r="WC21" s="2">
        <v>0</v>
      </c>
      <c r="WD21" s="2">
        <v>0</v>
      </c>
      <c r="WE21" s="2">
        <v>0</v>
      </c>
      <c r="WF21" s="2">
        <v>0</v>
      </c>
      <c r="WG21" s="2">
        <v>2.9508427595668556E-3</v>
      </c>
      <c r="WH21" s="2">
        <v>0</v>
      </c>
      <c r="WI21" s="2">
        <v>0</v>
      </c>
      <c r="WJ21" s="2">
        <v>0</v>
      </c>
      <c r="WK21" s="2">
        <v>0</v>
      </c>
      <c r="WL21" s="2">
        <v>0</v>
      </c>
      <c r="WM21" s="2">
        <v>0</v>
      </c>
      <c r="WN21" s="2">
        <v>0</v>
      </c>
      <c r="WO21" s="2">
        <v>0</v>
      </c>
      <c r="WP21" s="2">
        <v>1.9387770469300184E-2</v>
      </c>
      <c r="WQ21" s="2">
        <v>0</v>
      </c>
      <c r="WR21" s="2">
        <v>1.2457006470403421E-2</v>
      </c>
      <c r="WS21" s="2">
        <v>0</v>
      </c>
      <c r="WT21" s="2">
        <v>0</v>
      </c>
      <c r="WU21" s="2">
        <v>0</v>
      </c>
      <c r="WV21" s="2">
        <v>0</v>
      </c>
      <c r="WW21" s="2">
        <v>7.5970027098559599E-3</v>
      </c>
      <c r="WX21" s="2">
        <v>0</v>
      </c>
      <c r="WY21" s="2">
        <v>0</v>
      </c>
      <c r="WZ21" s="2">
        <v>0</v>
      </c>
      <c r="XA21" s="2">
        <v>0</v>
      </c>
      <c r="XB21" s="2">
        <v>4.9322014850372662E-4</v>
      </c>
      <c r="XC21" s="2">
        <v>0</v>
      </c>
      <c r="XD21" s="2">
        <v>0</v>
      </c>
      <c r="XE21" s="2">
        <v>0</v>
      </c>
      <c r="XF21" s="2">
        <v>5.8298205315257048E-3</v>
      </c>
      <c r="XG21" s="2">
        <v>0</v>
      </c>
      <c r="XH21" s="2">
        <v>0</v>
      </c>
      <c r="XI21" s="2">
        <v>0</v>
      </c>
      <c r="XJ21" s="2">
        <v>0</v>
      </c>
      <c r="XK21" s="2">
        <v>8.0930886298380339E-6</v>
      </c>
      <c r="XL21" s="2">
        <v>0</v>
      </c>
      <c r="XM21" s="2">
        <v>0</v>
      </c>
      <c r="XN21" s="2">
        <v>0</v>
      </c>
      <c r="XO21" s="2">
        <v>0</v>
      </c>
      <c r="XP21" s="2">
        <v>0</v>
      </c>
      <c r="XQ21" s="2">
        <v>0</v>
      </c>
      <c r="XR21" s="2">
        <v>0</v>
      </c>
      <c r="XS21" s="2">
        <v>0</v>
      </c>
      <c r="XT21" s="2">
        <v>0</v>
      </c>
      <c r="XU21" s="2">
        <v>1.3316977303959511E-2</v>
      </c>
      <c r="XV21" s="2">
        <v>0</v>
      </c>
      <c r="XW21" s="2">
        <v>0</v>
      </c>
      <c r="XX21" s="2">
        <v>2.7666029349894027E-3</v>
      </c>
      <c r="XY21" s="2">
        <v>6.2953664485529106E-5</v>
      </c>
      <c r="XZ21" s="2">
        <v>4.0748739196587672E-5</v>
      </c>
      <c r="YA21" s="2">
        <v>0</v>
      </c>
      <c r="YB21" s="2">
        <v>0</v>
      </c>
      <c r="YC21" s="2">
        <v>0</v>
      </c>
      <c r="YD21" s="2">
        <v>0</v>
      </c>
      <c r="YE21" s="2">
        <v>0</v>
      </c>
      <c r="YF21" s="2">
        <v>0</v>
      </c>
      <c r="YG21" s="2">
        <v>0</v>
      </c>
      <c r="YH21" s="2">
        <v>9.6466422018266409E-3</v>
      </c>
      <c r="YI21" s="2">
        <v>0</v>
      </c>
      <c r="YJ21" s="2">
        <v>0</v>
      </c>
      <c r="YK21" s="2">
        <v>0</v>
      </c>
      <c r="YL21" s="2">
        <v>1.4573790594747972E-3</v>
      </c>
      <c r="YM21" s="2">
        <v>0</v>
      </c>
      <c r="YN21" s="2">
        <v>0</v>
      </c>
      <c r="YO21" s="2">
        <v>0</v>
      </c>
      <c r="YP21" s="2">
        <v>0</v>
      </c>
      <c r="YQ21" s="2">
        <v>0</v>
      </c>
      <c r="YR21" s="2">
        <v>5.672789528767928E-3</v>
      </c>
      <c r="YS21" s="2">
        <v>0</v>
      </c>
      <c r="YT21" s="2">
        <v>0</v>
      </c>
      <c r="YU21" s="2">
        <v>0</v>
      </c>
      <c r="YV21" s="2">
        <v>0</v>
      </c>
      <c r="YW21" s="2">
        <v>0</v>
      </c>
      <c r="YX21" s="2">
        <v>0</v>
      </c>
      <c r="YY21" s="2">
        <v>0</v>
      </c>
      <c r="YZ21" s="2">
        <v>0</v>
      </c>
      <c r="ZA21" s="2">
        <v>0</v>
      </c>
      <c r="ZB21" s="2">
        <v>0</v>
      </c>
      <c r="ZC21" s="2">
        <v>0</v>
      </c>
      <c r="ZD21" s="2">
        <v>0</v>
      </c>
      <c r="ZE21" s="2">
        <v>0</v>
      </c>
      <c r="ZF21" s="2">
        <v>0</v>
      </c>
      <c r="ZG21" s="2">
        <v>0</v>
      </c>
      <c r="ZH21" s="2">
        <v>0</v>
      </c>
      <c r="ZI21" s="2">
        <v>0</v>
      </c>
      <c r="ZJ21" s="2">
        <v>0</v>
      </c>
      <c r="ZK21" s="2">
        <v>0</v>
      </c>
      <c r="ZL21" s="2">
        <v>0</v>
      </c>
      <c r="ZM21" s="2">
        <v>0</v>
      </c>
      <c r="ZN21" s="2">
        <v>0</v>
      </c>
      <c r="ZO21" s="2">
        <v>0</v>
      </c>
      <c r="ZP21" s="2">
        <v>0</v>
      </c>
      <c r="ZQ21" s="2">
        <v>4.0646595005381283E-3</v>
      </c>
      <c r="ZR21" s="2">
        <v>0</v>
      </c>
      <c r="ZS21" s="2">
        <v>0</v>
      </c>
      <c r="ZT21" s="2">
        <v>0</v>
      </c>
      <c r="ZU21" s="2">
        <v>0</v>
      </c>
      <c r="ZV21" s="2">
        <v>0</v>
      </c>
      <c r="ZW21" s="2">
        <v>0</v>
      </c>
      <c r="ZX21" s="2">
        <v>1.0342210446296518E-2</v>
      </c>
      <c r="ZY21" s="2">
        <v>0</v>
      </c>
      <c r="ZZ21" s="2">
        <v>0</v>
      </c>
      <c r="AAA21" s="2">
        <v>0</v>
      </c>
      <c r="AAB21" s="2">
        <v>0</v>
      </c>
      <c r="AAC21" s="2">
        <v>0</v>
      </c>
      <c r="AAD21" s="2">
        <v>0</v>
      </c>
      <c r="AAE21" s="2">
        <v>0</v>
      </c>
      <c r="AAF21" s="2">
        <v>0</v>
      </c>
      <c r="AAG21" s="2">
        <v>0</v>
      </c>
      <c r="AAH21" s="2">
        <v>0</v>
      </c>
      <c r="AAI21" s="2">
        <v>0</v>
      </c>
      <c r="AAJ21" s="2">
        <v>0</v>
      </c>
      <c r="AAK21" s="2">
        <v>0</v>
      </c>
      <c r="AAL21" s="2">
        <v>0</v>
      </c>
      <c r="AAM21" s="2">
        <v>2.1376437458261793E-3</v>
      </c>
      <c r="AAN21" s="2">
        <v>0</v>
      </c>
      <c r="AAO21" s="2">
        <v>0</v>
      </c>
      <c r="AAP21" s="2">
        <v>0</v>
      </c>
      <c r="AAQ21" s="2">
        <v>0</v>
      </c>
      <c r="AAR21" s="2">
        <v>0</v>
      </c>
      <c r="AAS21" s="2">
        <v>0</v>
      </c>
      <c r="AAT21" s="2">
        <v>0</v>
      </c>
      <c r="AAU21" s="2">
        <v>0</v>
      </c>
      <c r="AAV21" s="2">
        <v>0</v>
      </c>
      <c r="AAW21" s="2">
        <v>0</v>
      </c>
      <c r="AAX21" s="2">
        <v>0</v>
      </c>
      <c r="AAY21" s="2">
        <v>0</v>
      </c>
      <c r="AAZ21" s="2">
        <v>0</v>
      </c>
      <c r="ABA21" s="2">
        <v>0</v>
      </c>
      <c r="ABB21" s="2">
        <v>2.2817545638356279E-2</v>
      </c>
      <c r="ABC21" s="2">
        <v>0</v>
      </c>
      <c r="ABD21" s="2">
        <v>0</v>
      </c>
      <c r="ABE21" s="2">
        <v>0</v>
      </c>
      <c r="ABF21" s="2">
        <v>0</v>
      </c>
      <c r="ABG21" s="2">
        <v>0</v>
      </c>
      <c r="ABH21" s="2">
        <v>0</v>
      </c>
      <c r="ABI21" s="2">
        <v>3.9787950012533189E-3</v>
      </c>
      <c r="ABJ21" s="2">
        <v>0</v>
      </c>
      <c r="ABK21" s="2">
        <v>0</v>
      </c>
      <c r="ABL21" s="2">
        <v>0</v>
      </c>
      <c r="ABM21" s="2">
        <v>0</v>
      </c>
      <c r="ABN21" s="2">
        <v>0</v>
      </c>
      <c r="ABO21" s="2">
        <v>6.3546471150524141E-8</v>
      </c>
      <c r="ABP21" s="2">
        <v>0</v>
      </c>
      <c r="ABQ21" s="2">
        <v>0</v>
      </c>
      <c r="ABR21" s="2">
        <v>0</v>
      </c>
      <c r="ABS21" s="2">
        <v>0</v>
      </c>
      <c r="ABT21" s="2">
        <v>0</v>
      </c>
      <c r="ABU21" s="2">
        <v>1.2635137156831171E-7</v>
      </c>
      <c r="ABV21" s="2">
        <v>0</v>
      </c>
      <c r="ABW21" s="2">
        <v>0</v>
      </c>
      <c r="ABX21" s="2">
        <v>1.8280109648843617E-2</v>
      </c>
      <c r="ABY21" s="2">
        <v>0</v>
      </c>
      <c r="ABZ21" s="2">
        <v>0</v>
      </c>
      <c r="ACA21" s="2">
        <v>0</v>
      </c>
      <c r="ACB21" s="2">
        <v>0</v>
      </c>
      <c r="ACC21" s="2">
        <v>0</v>
      </c>
      <c r="ACD21" s="2">
        <v>0</v>
      </c>
      <c r="ACE21" s="2">
        <v>0</v>
      </c>
      <c r="ACF21" s="2">
        <v>1.0783578125715232E-2</v>
      </c>
      <c r="ACG21" s="2">
        <v>0</v>
      </c>
      <c r="ACH21" s="2">
        <v>0</v>
      </c>
      <c r="ACI21" s="2">
        <v>0</v>
      </c>
      <c r="ACJ21" s="2">
        <v>0</v>
      </c>
      <c r="ACK21" s="2">
        <v>1.8561664322064231E-2</v>
      </c>
      <c r="ACL21" s="2">
        <v>0</v>
      </c>
      <c r="ACM21" s="2">
        <v>0</v>
      </c>
      <c r="ACN21" s="2">
        <v>0</v>
      </c>
      <c r="ACO21" s="2">
        <v>0</v>
      </c>
      <c r="ACP21" s="2">
        <v>0</v>
      </c>
      <c r="ACQ21" s="2">
        <v>0</v>
      </c>
      <c r="ACR21" s="2">
        <v>0</v>
      </c>
      <c r="ACS21" s="2">
        <v>0</v>
      </c>
      <c r="ACT21" s="2">
        <v>0</v>
      </c>
      <c r="ACU21" s="2">
        <v>0</v>
      </c>
      <c r="ACV21" s="2">
        <v>0</v>
      </c>
      <c r="ACW21" s="2">
        <v>0</v>
      </c>
      <c r="ACX21" s="2">
        <v>0</v>
      </c>
      <c r="ACY21" s="2">
        <v>0</v>
      </c>
      <c r="ACZ21" s="2">
        <v>0</v>
      </c>
      <c r="ADA21" s="2">
        <v>0</v>
      </c>
      <c r="ADB21" s="2">
        <v>0</v>
      </c>
      <c r="ADC21" s="2">
        <v>0</v>
      </c>
      <c r="ADD21" s="2">
        <v>0</v>
      </c>
      <c r="ADE21" s="2">
        <v>0</v>
      </c>
      <c r="ADF21" s="2">
        <v>0</v>
      </c>
      <c r="ADG21" s="2">
        <v>2.6297618895746545E-4</v>
      </c>
      <c r="ADH21" s="2">
        <v>0</v>
      </c>
      <c r="ADI21" s="2">
        <v>0</v>
      </c>
      <c r="ADJ21" s="2">
        <v>5.4061495024524007E-3</v>
      </c>
      <c r="ADK21" s="2">
        <v>3.5170344584321458E-2</v>
      </c>
      <c r="ADL21" s="2">
        <v>0</v>
      </c>
      <c r="ADM21" s="2">
        <v>0</v>
      </c>
      <c r="ADN21" s="2">
        <v>0</v>
      </c>
      <c r="ADO21" s="2">
        <v>0</v>
      </c>
      <c r="ADP21" s="2">
        <v>0</v>
      </c>
      <c r="ADQ21" s="2">
        <v>0</v>
      </c>
      <c r="ADR21" s="2">
        <v>0</v>
      </c>
      <c r="ADS21" s="2">
        <v>0</v>
      </c>
      <c r="ADT21" s="2">
        <v>0</v>
      </c>
      <c r="ADU21" s="2">
        <v>0</v>
      </c>
      <c r="ADV21" s="2">
        <v>0</v>
      </c>
      <c r="ADW21" s="2">
        <v>0</v>
      </c>
      <c r="ADX21" s="2">
        <v>1.0530565124133565E-2</v>
      </c>
      <c r="ADY21" s="2">
        <v>0</v>
      </c>
      <c r="ADZ21" s="2">
        <v>0</v>
      </c>
      <c r="AEA21" s="2">
        <v>9.0116771608105006E-4</v>
      </c>
      <c r="AEB21" s="2">
        <v>0</v>
      </c>
      <c r="AEC21" s="2">
        <v>0</v>
      </c>
      <c r="AED21" s="2">
        <v>0</v>
      </c>
      <c r="AEE21" s="2">
        <v>0</v>
      </c>
      <c r="AEF21" s="2">
        <v>0</v>
      </c>
      <c r="AEG21" s="2">
        <v>0</v>
      </c>
      <c r="AEH21" s="2">
        <v>9.7719634373712554E-9</v>
      </c>
      <c r="AEI21" s="2">
        <v>5.8164120060871338E-4</v>
      </c>
      <c r="AEJ21" s="2">
        <v>0</v>
      </c>
      <c r="AEK21" s="2">
        <v>0</v>
      </c>
      <c r="AEL21" s="2">
        <v>0</v>
      </c>
      <c r="AEM21" s="2">
        <v>0</v>
      </c>
      <c r="AEN21" s="2">
        <v>0</v>
      </c>
      <c r="AEO21" s="2">
        <v>7.9377267520860904E-3</v>
      </c>
      <c r="AEP21" s="2">
        <v>0.10417941368893492</v>
      </c>
      <c r="AEQ21" s="2">
        <v>0</v>
      </c>
      <c r="AER21" s="2">
        <v>1.4735608229317987E-2</v>
      </c>
      <c r="AES21" s="2">
        <v>0</v>
      </c>
      <c r="AET21" s="2">
        <v>0</v>
      </c>
      <c r="AEU21" s="2">
        <v>0</v>
      </c>
      <c r="AEV21" s="2">
        <v>0</v>
      </c>
      <c r="AEW21" s="2">
        <v>0</v>
      </c>
      <c r="AEX21" s="2">
        <v>0</v>
      </c>
      <c r="AEY21" s="2">
        <v>0</v>
      </c>
      <c r="AEZ21" s="2">
        <v>0</v>
      </c>
      <c r="AFA21" s="2">
        <v>6.6871734054105908E-3</v>
      </c>
      <c r="AFB21" s="2">
        <v>8.1071295421540244E-4</v>
      </c>
      <c r="AFC21" s="2">
        <v>0</v>
      </c>
      <c r="AFD21" s="2">
        <v>0</v>
      </c>
      <c r="AFE21" s="2">
        <v>6.5460543357469658E-3</v>
      </c>
      <c r="AFF21" s="2">
        <v>0</v>
      </c>
      <c r="AFG21" s="2">
        <v>0</v>
      </c>
      <c r="AFH21" s="2">
        <v>0</v>
      </c>
      <c r="AFI21" s="2">
        <v>6.2924023298470549E-3</v>
      </c>
      <c r="AFJ21" s="2">
        <v>0</v>
      </c>
      <c r="AFK21" s="2">
        <v>0</v>
      </c>
      <c r="AFL21" s="2">
        <v>0</v>
      </c>
      <c r="AFM21" s="2">
        <v>1.000394008413584E-3</v>
      </c>
      <c r="AFN21" s="2">
        <v>0</v>
      </c>
      <c r="AFO21" s="2">
        <v>0</v>
      </c>
      <c r="AFP21" s="2">
        <v>0</v>
      </c>
      <c r="AFQ21" s="2">
        <v>0</v>
      </c>
      <c r="AFR21" s="2">
        <v>0</v>
      </c>
      <c r="AFS21" s="2">
        <v>0</v>
      </c>
      <c r="AFT21" s="2">
        <v>0</v>
      </c>
      <c r="AFU21" s="2">
        <v>0</v>
      </c>
      <c r="AFV21" s="2">
        <v>0</v>
      </c>
      <c r="AFW21" s="2">
        <v>0</v>
      </c>
      <c r="AFX21" s="2">
        <v>0</v>
      </c>
      <c r="AFY21" s="2">
        <v>0</v>
      </c>
      <c r="AFZ21" s="2">
        <v>0</v>
      </c>
      <c r="AGA21" s="2">
        <v>1.1118508438786172E-7</v>
      </c>
      <c r="AGB21" s="2">
        <v>1.1513345905616531E-2</v>
      </c>
      <c r="AGC21" s="2">
        <v>8.5556584596729532E-3</v>
      </c>
      <c r="AGD21" s="2">
        <v>0</v>
      </c>
      <c r="AGE21" s="2">
        <v>0</v>
      </c>
      <c r="AGF21" s="2">
        <v>2.9082317509568326E-3</v>
      </c>
      <c r="AGG21" s="2">
        <v>4.2418121315873488E-3</v>
      </c>
      <c r="AGH21" s="2">
        <v>0</v>
      </c>
      <c r="AGI21" s="2">
        <v>6.9087790075904581E-3</v>
      </c>
      <c r="AGJ21" s="2">
        <v>3.0743047174116907E-2</v>
      </c>
      <c r="AGK21" s="2">
        <v>0</v>
      </c>
      <c r="AGL21" s="2">
        <v>0</v>
      </c>
      <c r="AGM21" s="2">
        <v>0</v>
      </c>
      <c r="AGN21" s="2">
        <v>0</v>
      </c>
      <c r="AGO21" s="2">
        <v>0</v>
      </c>
      <c r="AGP21" s="2">
        <v>0</v>
      </c>
      <c r="AGQ21" s="2">
        <v>0</v>
      </c>
      <c r="AGR21" s="2">
        <v>0</v>
      </c>
      <c r="AGS21" s="2">
        <v>0</v>
      </c>
      <c r="AGT21" s="2">
        <v>0</v>
      </c>
      <c r="AGU21" s="2">
        <v>0</v>
      </c>
      <c r="AGV21" s="2">
        <v>0</v>
      </c>
      <c r="AGW21" s="2">
        <v>0</v>
      </c>
      <c r="AGX21" s="2">
        <v>0</v>
      </c>
      <c r="AGY21" s="2">
        <v>0</v>
      </c>
      <c r="AGZ21" s="2">
        <v>0</v>
      </c>
      <c r="AHA21" s="2">
        <v>0</v>
      </c>
      <c r="AHB21" s="2">
        <v>0</v>
      </c>
      <c r="AHC21" s="2">
        <v>0</v>
      </c>
      <c r="AHD21" s="2">
        <v>0</v>
      </c>
      <c r="AHE21" s="2">
        <v>0</v>
      </c>
      <c r="AHF21" s="2">
        <v>0</v>
      </c>
      <c r="AHG21" s="2">
        <v>0</v>
      </c>
      <c r="AHH21" s="2">
        <v>0</v>
      </c>
      <c r="AHI21" s="2">
        <v>0</v>
      </c>
      <c r="AHJ21" s="2">
        <v>0</v>
      </c>
      <c r="AHK21" s="2">
        <v>0</v>
      </c>
      <c r="AHL21" s="2">
        <v>0</v>
      </c>
      <c r="AHM21" s="2">
        <v>0</v>
      </c>
      <c r="AHN21" s="2">
        <v>0</v>
      </c>
      <c r="AHO21" s="2">
        <v>0</v>
      </c>
      <c r="AHP21" s="2">
        <v>0</v>
      </c>
      <c r="AHQ21" s="2">
        <v>0</v>
      </c>
      <c r="AHR21" s="2">
        <v>0</v>
      </c>
      <c r="AHS21" s="2">
        <v>0</v>
      </c>
      <c r="AHT21" s="2">
        <v>0</v>
      </c>
      <c r="AHU21" s="2">
        <v>0</v>
      </c>
      <c r="AHV21" s="2">
        <v>0</v>
      </c>
      <c r="AHW21" s="2">
        <v>0</v>
      </c>
      <c r="AHX21" s="2">
        <v>0</v>
      </c>
      <c r="AHY21" s="2">
        <v>0</v>
      </c>
      <c r="AHZ21" s="2">
        <v>0</v>
      </c>
      <c r="AIA21" s="2">
        <v>0</v>
      </c>
      <c r="AIB21" s="2">
        <v>3.2083175891766003E-3</v>
      </c>
      <c r="AIC21" s="2">
        <v>0</v>
      </c>
      <c r="AID21" s="2">
        <v>0</v>
      </c>
      <c r="AIE21" s="2">
        <v>6.0902185176394692E-3</v>
      </c>
      <c r="AIF21" s="2">
        <v>9.0027842891454756E-4</v>
      </c>
      <c r="AIG21" s="2">
        <v>7.8566013919818843E-8</v>
      </c>
      <c r="AIH21" s="2">
        <v>0</v>
      </c>
      <c r="AII21" s="2">
        <v>0</v>
      </c>
      <c r="AIJ21" s="2">
        <v>0</v>
      </c>
      <c r="AIK21" s="2">
        <v>1.9626030823548272E-3</v>
      </c>
      <c r="AIL21" s="2">
        <v>0</v>
      </c>
      <c r="AIM21" s="2">
        <v>0</v>
      </c>
      <c r="AIN21" s="2">
        <v>0</v>
      </c>
      <c r="AIO21" s="2">
        <v>4.1838109100548866E-2</v>
      </c>
      <c r="AIP21" s="2">
        <v>0</v>
      </c>
      <c r="AIQ21" s="2">
        <v>1.7320435772949436E-2</v>
      </c>
      <c r="AIR21" s="2">
        <v>2.4793918368009064E-3</v>
      </c>
      <c r="AIS21" s="2">
        <v>0</v>
      </c>
      <c r="AIT21" s="2">
        <v>0</v>
      </c>
      <c r="AIU21" s="2">
        <v>2.3357882781697053E-3</v>
      </c>
      <c r="AIV21" s="2">
        <v>0</v>
      </c>
      <c r="AIW21" s="2">
        <v>7.3113333881942645E-9</v>
      </c>
      <c r="AIX21" s="2">
        <v>5.3658991878446395E-3</v>
      </c>
      <c r="AIY21" s="2">
        <v>0</v>
      </c>
      <c r="AIZ21" s="2">
        <v>7.1053727062553903E-4</v>
      </c>
      <c r="AJA21" s="2">
        <v>0</v>
      </c>
      <c r="AJB21" s="2">
        <v>0</v>
      </c>
      <c r="AJC21" s="2">
        <v>3.3175287804626499E-3</v>
      </c>
      <c r="AJD21" s="2">
        <v>0</v>
      </c>
      <c r="AJE21" s="2">
        <v>0</v>
      </c>
      <c r="AJF21" s="2">
        <v>0</v>
      </c>
      <c r="AJG21" s="2">
        <v>0</v>
      </c>
      <c r="AJH21" s="2">
        <v>0</v>
      </c>
      <c r="AJI21" s="2">
        <v>2.0616600148121746E-2</v>
      </c>
      <c r="AJJ21" s="2">
        <v>1.0357451811165149E-2</v>
      </c>
      <c r="AJK21" s="2">
        <v>9.4043978920680445E-3</v>
      </c>
      <c r="AJL21" s="2">
        <v>7.3707169899523113E-3</v>
      </c>
      <c r="AJM21" s="2">
        <v>0</v>
      </c>
      <c r="AJN21" s="2">
        <v>0</v>
      </c>
      <c r="AJO21" s="2">
        <v>1.8019971920498189E-4</v>
      </c>
      <c r="AJP21" s="2">
        <v>1.526132699649165E-2</v>
      </c>
      <c r="AJQ21" s="2">
        <v>0</v>
      </c>
      <c r="AJR21" s="2">
        <v>8.086103876858897E-3</v>
      </c>
      <c r="AJS21" s="2">
        <v>2.7214999445819214E-3</v>
      </c>
      <c r="AJT21" s="2">
        <v>2.0044143785298506E-3</v>
      </c>
      <c r="AJU21" s="2">
        <v>1.3486882472334176E-2</v>
      </c>
      <c r="AJV21" s="2">
        <v>0</v>
      </c>
      <c r="AJW21" s="2">
        <v>2.3174041213823477E-3</v>
      </c>
      <c r="AJX21" s="2">
        <v>5.1927759354388912E-4</v>
      </c>
      <c r="AJY21" s="2">
        <v>0</v>
      </c>
      <c r="AJZ21" s="2">
        <v>0</v>
      </c>
      <c r="AKA21" s="2">
        <v>0</v>
      </c>
      <c r="AKB21" s="2">
        <v>0</v>
      </c>
      <c r="AKC21" s="2">
        <v>7.8466853500192921E-3</v>
      </c>
    </row>
    <row r="22" spans="1:1139" s="2" customFormat="1" x14ac:dyDescent="0.25">
      <c r="A22" s="2" t="s">
        <v>3</v>
      </c>
      <c r="B22" s="2" t="s">
        <v>11</v>
      </c>
      <c r="C22" s="37">
        <v>46022</v>
      </c>
      <c r="D22" s="2" t="s">
        <v>13</v>
      </c>
      <c r="E22" s="2">
        <v>1</v>
      </c>
      <c r="F22" s="2">
        <v>1.9838029681794054E-3</v>
      </c>
      <c r="G22" s="2">
        <v>9.858814711598221E-5</v>
      </c>
      <c r="H22" s="2">
        <v>2.2275175601773515E-5</v>
      </c>
      <c r="I22" s="2">
        <v>0</v>
      </c>
      <c r="J22" s="2">
        <v>0</v>
      </c>
      <c r="K22" s="2">
        <v>0</v>
      </c>
      <c r="L22" s="2">
        <v>3.3164345088043467E-4</v>
      </c>
      <c r="M22" s="2">
        <v>1.5028549236503693E-7</v>
      </c>
      <c r="N22" s="2">
        <v>1.7223759153844236E-7</v>
      </c>
      <c r="O22" s="2">
        <v>8.1664216062814296E-11</v>
      </c>
      <c r="P22" s="2">
        <v>1.2814139230757028E-8</v>
      </c>
      <c r="Q22" s="2">
        <v>0</v>
      </c>
      <c r="R22" s="2">
        <v>6.3421266164787353E-10</v>
      </c>
      <c r="S22" s="2">
        <v>0</v>
      </c>
      <c r="T22" s="2">
        <v>7.7260499157177779E-10</v>
      </c>
      <c r="U22" s="2">
        <v>0</v>
      </c>
      <c r="V22" s="2">
        <v>1.6143346431197746E-10</v>
      </c>
      <c r="W22" s="2">
        <v>0</v>
      </c>
      <c r="X22" s="2">
        <v>5.6635506297693719E-2</v>
      </c>
      <c r="Y22" s="2">
        <v>0.18268122552763907</v>
      </c>
      <c r="Z22" s="2">
        <v>1.5309592074427474E-3</v>
      </c>
      <c r="AA22" s="2">
        <v>1.0627006745820731E-2</v>
      </c>
      <c r="AB22" s="2">
        <v>9.4885135736821474E-3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6.5145799779421087E-2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8.8389197022124456E-5</v>
      </c>
      <c r="CR22" s="2">
        <v>2.4924157931213636E-5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1.9252120844820584E-3</v>
      </c>
      <c r="DS22" s="2">
        <v>0</v>
      </c>
      <c r="DT22" s="2">
        <v>4.0119180358696221E-3</v>
      </c>
      <c r="DU22" s="2">
        <v>3.5634753004533973E-6</v>
      </c>
      <c r="DV22" s="2">
        <v>0</v>
      </c>
      <c r="DW22" s="2">
        <v>3.2940333149312022E-3</v>
      </c>
      <c r="DX22" s="2">
        <v>4.6953452931498461E-2</v>
      </c>
      <c r="DY22" s="2">
        <v>8.429126823323894E-4</v>
      </c>
      <c r="DZ22" s="2">
        <v>9.5284402107055903E-4</v>
      </c>
      <c r="EA22" s="2">
        <v>4.4300294842449742E-3</v>
      </c>
      <c r="EB22" s="2">
        <v>1.3575093003814632E-8</v>
      </c>
      <c r="EC22" s="2">
        <v>3.7788190486496309E-3</v>
      </c>
      <c r="ED22" s="2">
        <v>2.2078146037502488E-3</v>
      </c>
      <c r="EE22" s="2">
        <v>0</v>
      </c>
      <c r="EF22" s="2">
        <v>3.5465004522096015E-3</v>
      </c>
      <c r="EG22" s="2">
        <v>6.7825044373220744E-3</v>
      </c>
      <c r="EH22" s="2">
        <v>0</v>
      </c>
      <c r="EI22" s="2">
        <v>1.4795741149104299E-2</v>
      </c>
      <c r="EJ22" s="2">
        <v>1.3966150953936614E-2</v>
      </c>
      <c r="EK22" s="2">
        <v>8.7554311147814128E-3</v>
      </c>
      <c r="EL22" s="2">
        <v>4.720982687817982E-5</v>
      </c>
      <c r="EM22" s="2">
        <v>3.037276079202236E-2</v>
      </c>
      <c r="EN22" s="2">
        <v>3.5061530013003758E-2</v>
      </c>
      <c r="EO22" s="2">
        <v>2.6913672251437548E-3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7.1345763336541222E-4</v>
      </c>
      <c r="EX22" s="2">
        <v>6.9190093357075473E-4</v>
      </c>
      <c r="EY22" s="2">
        <v>3.5126456394514959E-4</v>
      </c>
      <c r="EZ22" s="2">
        <v>3.002070424526139E-3</v>
      </c>
      <c r="FA22" s="2">
        <v>0</v>
      </c>
      <c r="FB22" s="2">
        <v>1.3693954330124037E-3</v>
      </c>
      <c r="FC22" s="2">
        <v>0</v>
      </c>
      <c r="FD22" s="2">
        <v>4.3879722042614272E-4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5.7636020903001472E-3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1.0107956064666984E-3</v>
      </c>
      <c r="GK22" s="2">
        <v>0</v>
      </c>
      <c r="GL22" s="2">
        <v>1.9135990831537348E-3</v>
      </c>
      <c r="GM22" s="2">
        <v>3.140395701074513E-5</v>
      </c>
      <c r="GN22" s="2">
        <v>0</v>
      </c>
      <c r="GO22" s="2">
        <v>2.1011117511462137E-4</v>
      </c>
      <c r="GP22" s="2">
        <v>1.3890292433809273E-3</v>
      </c>
      <c r="GQ22" s="2">
        <v>6.9591616430050225E-5</v>
      </c>
      <c r="GR22" s="2">
        <v>1.3535204741811155E-4</v>
      </c>
      <c r="GS22" s="2">
        <v>1.6824967062818727E-3</v>
      </c>
      <c r="GT22" s="2">
        <v>1.1652836499296737E-4</v>
      </c>
      <c r="GU22" s="2">
        <v>2.4457885415460601E-5</v>
      </c>
      <c r="GV22" s="2">
        <v>0</v>
      </c>
      <c r="GW22" s="2">
        <v>5.2752773071669066E-3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7.2614734351953026E-9</v>
      </c>
      <c r="HI22" s="2">
        <v>5.2244111891828838E-3</v>
      </c>
      <c r="HJ22" s="2">
        <v>0</v>
      </c>
      <c r="HK22" s="2">
        <v>0</v>
      </c>
      <c r="HL22" s="2">
        <v>0</v>
      </c>
      <c r="HM22" s="2">
        <v>2.4544339183809709E-3</v>
      </c>
      <c r="HN22" s="2">
        <v>0</v>
      </c>
      <c r="HO22" s="2">
        <v>0</v>
      </c>
      <c r="HP22" s="2">
        <v>1.0459602789211384E-3</v>
      </c>
      <c r="HQ22" s="2">
        <v>4.8045962202328306E-3</v>
      </c>
      <c r="HR22" s="2">
        <v>0</v>
      </c>
      <c r="HS22" s="2">
        <v>0</v>
      </c>
      <c r="HT22" s="2">
        <v>0</v>
      </c>
      <c r="HU22" s="2">
        <v>8.9338767802168089E-9</v>
      </c>
      <c r="HV22" s="2">
        <v>7.130843329713644E-3</v>
      </c>
      <c r="HW22" s="2">
        <v>1.0784158711273948E-2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3.2231000246490449E-2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7.483298459471365E-6</v>
      </c>
      <c r="IJ22" s="2">
        <v>3.9628982470235601E-6</v>
      </c>
      <c r="IK22" s="2">
        <v>0</v>
      </c>
      <c r="IL22" s="2">
        <v>2.5756134022400496E-4</v>
      </c>
      <c r="IM22" s="2">
        <v>0</v>
      </c>
      <c r="IN22" s="2">
        <v>0</v>
      </c>
      <c r="IO22" s="2">
        <v>0</v>
      </c>
      <c r="IP22" s="2">
        <v>0</v>
      </c>
      <c r="IQ22" s="2">
        <v>1.7998569775260771E-3</v>
      </c>
      <c r="IR22" s="2">
        <v>0</v>
      </c>
      <c r="IS22" s="2">
        <v>1.4163629353055854E-3</v>
      </c>
      <c r="IT22" s="2">
        <v>0</v>
      </c>
      <c r="IU22" s="2">
        <v>1.2920271689374867E-3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1.4808033589646419E-4</v>
      </c>
      <c r="JD22" s="2">
        <v>5.5945063996289032E-8</v>
      </c>
      <c r="JE22" s="2">
        <v>0</v>
      </c>
      <c r="JF22" s="2">
        <v>0</v>
      </c>
      <c r="JG22" s="2">
        <v>2.9397531914380961E-3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4.743006158695693E-3</v>
      </c>
      <c r="JN22" s="2">
        <v>5.6891199550880628E-3</v>
      </c>
      <c r="JO22" s="2">
        <v>2.7074838267547763E-3</v>
      </c>
      <c r="JP22" s="2">
        <v>0</v>
      </c>
      <c r="JQ22" s="2">
        <v>6.9661438190216788E-3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3.4492173637822567E-7</v>
      </c>
      <c r="KE22" s="2">
        <v>0</v>
      </c>
      <c r="KF22" s="2">
        <v>0</v>
      </c>
      <c r="KG22" s="2">
        <v>0</v>
      </c>
      <c r="KH22" s="2">
        <v>1.4510429564755118E-2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7.2691323429216123E-4</v>
      </c>
      <c r="KT22" s="2">
        <v>0</v>
      </c>
      <c r="KU22" s="2">
        <v>0</v>
      </c>
      <c r="KV22" s="2">
        <v>1.1691084301961505E-3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4.3268601161893508E-3</v>
      </c>
      <c r="LE22" s="2">
        <v>3.1754167292695232E-3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2.0869654627860972E-4</v>
      </c>
      <c r="LP22" s="2">
        <v>0</v>
      </c>
      <c r="LQ22" s="2">
        <v>0</v>
      </c>
      <c r="LR22" s="2">
        <v>0</v>
      </c>
      <c r="LS22" s="2">
        <v>1.2179859484926461E-2</v>
      </c>
      <c r="LT22" s="2">
        <v>7.8822675760196046E-6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3.0836307319628588E-7</v>
      </c>
      <c r="MC22" s="2">
        <v>0</v>
      </c>
      <c r="MD22" s="2">
        <v>0</v>
      </c>
      <c r="ME22" s="2">
        <v>0</v>
      </c>
      <c r="MF22" s="2">
        <v>0</v>
      </c>
      <c r="MG22" s="2">
        <v>5.0755469647778143E-3</v>
      </c>
      <c r="MH22" s="2">
        <v>0</v>
      </c>
      <c r="MI22" s="2">
        <v>0</v>
      </c>
      <c r="MJ22" s="2">
        <v>1.4821441585456136E-2</v>
      </c>
      <c r="MK22" s="2">
        <v>2.2280880831060954E-3</v>
      </c>
      <c r="ML22" s="2">
        <v>0</v>
      </c>
      <c r="MM22" s="2">
        <v>0</v>
      </c>
      <c r="MN22" s="2">
        <v>0</v>
      </c>
      <c r="MO22" s="2">
        <v>2.3286094496408755E-5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3.4205829265078116E-3</v>
      </c>
      <c r="MX22" s="2">
        <v>0</v>
      </c>
      <c r="MY22" s="2">
        <v>5.1478293989967649E-3</v>
      </c>
      <c r="MZ22" s="2">
        <v>0</v>
      </c>
      <c r="NA22" s="2">
        <v>0</v>
      </c>
      <c r="NB22" s="2">
        <v>9.1133397133172627E-3</v>
      </c>
      <c r="NC22" s="2">
        <v>0</v>
      </c>
      <c r="ND22" s="2">
        <v>0</v>
      </c>
      <c r="NE22" s="2">
        <v>0</v>
      </c>
      <c r="NF22" s="2">
        <v>0</v>
      </c>
      <c r="NG22" s="2">
        <v>4.1206503397874412E-3</v>
      </c>
      <c r="NH22" s="2">
        <v>0</v>
      </c>
      <c r="NI22" s="2">
        <v>1.5522544334437379E-9</v>
      </c>
      <c r="NJ22" s="2">
        <v>0</v>
      </c>
      <c r="NK22" s="2">
        <v>0</v>
      </c>
      <c r="NL22" s="2">
        <v>0</v>
      </c>
      <c r="NM22" s="2">
        <v>0</v>
      </c>
      <c r="NN22" s="2">
        <v>3.7593773099186683E-4</v>
      </c>
      <c r="NO22" s="2">
        <v>3.7593773099186683E-4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8.5748885184826825E-4</v>
      </c>
      <c r="NY22" s="2">
        <v>1.6578069300851725E-3</v>
      </c>
      <c r="NZ22" s="2">
        <v>0</v>
      </c>
      <c r="OA22" s="2">
        <v>0</v>
      </c>
      <c r="OB22" s="2">
        <v>0</v>
      </c>
      <c r="OC22" s="2">
        <v>0</v>
      </c>
      <c r="OD22" s="2">
        <v>4.6356548827591266E-3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9.8777468503639648E-3</v>
      </c>
      <c r="OK22" s="2">
        <v>1.4080848706413461E-2</v>
      </c>
      <c r="OL22" s="2">
        <v>0</v>
      </c>
      <c r="OM22" s="2">
        <v>0</v>
      </c>
      <c r="ON22" s="2">
        <v>4.2764908805050574E-4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2.2219345985401663E-3</v>
      </c>
      <c r="OX22" s="2">
        <v>0</v>
      </c>
      <c r="OY22" s="2">
        <v>0</v>
      </c>
      <c r="OZ22" s="2">
        <v>6.5898274523753146E-3</v>
      </c>
      <c r="PA22" s="2">
        <v>0</v>
      </c>
      <c r="PB22" s="2">
        <v>0</v>
      </c>
      <c r="PC22" s="2">
        <v>1.2437056817544057E-2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3.6713214812571075E-4</v>
      </c>
      <c r="PJ22" s="2">
        <v>0</v>
      </c>
      <c r="PK22" s="2">
        <v>0</v>
      </c>
      <c r="PL22" s="2">
        <v>1.1517468578478122E-2</v>
      </c>
      <c r="PM22" s="2">
        <v>0</v>
      </c>
      <c r="PN22" s="2">
        <v>0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</v>
      </c>
      <c r="PU22" s="2">
        <v>1.9553101956699297E-4</v>
      </c>
      <c r="PV22" s="2">
        <v>0</v>
      </c>
      <c r="PW22" s="2">
        <v>0</v>
      </c>
      <c r="PX22" s="2">
        <v>0</v>
      </c>
      <c r="PY22" s="2">
        <v>0</v>
      </c>
      <c r="PZ22" s="2">
        <v>0</v>
      </c>
      <c r="QA22" s="2">
        <v>0</v>
      </c>
      <c r="QB22" s="2">
        <v>2.8572587713860131E-2</v>
      </c>
      <c r="QC22" s="2">
        <v>3.238333427059674E-3</v>
      </c>
      <c r="QD22" s="2">
        <v>0</v>
      </c>
      <c r="QE22" s="2">
        <v>0</v>
      </c>
      <c r="QF22" s="2">
        <v>0</v>
      </c>
      <c r="QG22" s="2">
        <v>0</v>
      </c>
      <c r="QH22" s="2">
        <v>1.592199331225002E-8</v>
      </c>
      <c r="QI22" s="2">
        <v>0</v>
      </c>
      <c r="QJ22" s="2">
        <v>0</v>
      </c>
      <c r="QK22" s="2">
        <v>0</v>
      </c>
      <c r="QL22" s="2">
        <v>2.2387183599142143E-4</v>
      </c>
      <c r="QM22" s="2">
        <v>0</v>
      </c>
      <c r="QN22" s="2">
        <v>5.2686002064169478E-2</v>
      </c>
      <c r="QO22" s="2">
        <v>0</v>
      </c>
      <c r="QP22" s="2">
        <v>0</v>
      </c>
      <c r="QQ22" s="2">
        <v>0</v>
      </c>
      <c r="QR22" s="2">
        <v>0</v>
      </c>
      <c r="QS22" s="2">
        <v>1.8946496156912378E-4</v>
      </c>
      <c r="QT22" s="2">
        <v>1.2006750197022732E-2</v>
      </c>
      <c r="QU22" s="2">
        <v>1.2949949460540164E-2</v>
      </c>
      <c r="QV22" s="2">
        <v>0</v>
      </c>
      <c r="QW22" s="2">
        <v>4.7090856264718131E-4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1.6691178966157857E-3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2.1237418500049364E-3</v>
      </c>
      <c r="RJ22" s="2">
        <v>0</v>
      </c>
      <c r="RK22" s="2">
        <v>0</v>
      </c>
      <c r="RL22" s="2">
        <v>0</v>
      </c>
      <c r="RM22" s="2">
        <v>1.7771828406514336E-2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9.5531399293549753E-3</v>
      </c>
      <c r="RU22" s="2">
        <v>1.1431678780706537E-7</v>
      </c>
      <c r="RV22" s="2">
        <v>2.307420789094958E-9</v>
      </c>
      <c r="RW22" s="2">
        <v>0</v>
      </c>
      <c r="RX22" s="2">
        <v>0</v>
      </c>
      <c r="RY22" s="2">
        <v>8.663131479084667E-3</v>
      </c>
      <c r="RZ22" s="2">
        <v>0</v>
      </c>
      <c r="SA22" s="2">
        <v>3.4174584253983146E-3</v>
      </c>
      <c r="SB22" s="2">
        <v>2.1308222519529365E-3</v>
      </c>
      <c r="SC22" s="2">
        <v>5.5316296527829991E-5</v>
      </c>
      <c r="SD22" s="2">
        <v>5.4981401805688137E-3</v>
      </c>
      <c r="SE22" s="2">
        <v>0</v>
      </c>
      <c r="SF22" s="2">
        <v>2.8011937104124775E-3</v>
      </c>
      <c r="SG22" s="2">
        <v>0</v>
      </c>
      <c r="SH22" s="2">
        <v>0</v>
      </c>
      <c r="SI22" s="2">
        <v>3.122932531116956E-9</v>
      </c>
      <c r="SJ22" s="2">
        <v>0</v>
      </c>
      <c r="SK22" s="2">
        <v>0</v>
      </c>
      <c r="SL22" s="2">
        <v>0</v>
      </c>
      <c r="SM22" s="2">
        <v>3.6411644289716764E-3</v>
      </c>
      <c r="SN22" s="2">
        <v>0</v>
      </c>
      <c r="SO22" s="2">
        <v>6.6532683944322165E-8</v>
      </c>
      <c r="SP22" s="2">
        <v>0</v>
      </c>
      <c r="SQ22" s="2">
        <v>4.1126226109160021E-9</v>
      </c>
      <c r="SR22" s="2">
        <v>0</v>
      </c>
      <c r="SS22" s="2">
        <v>0</v>
      </c>
      <c r="ST22" s="2">
        <v>0</v>
      </c>
      <c r="SU22" s="2">
        <v>0</v>
      </c>
      <c r="SV22" s="2">
        <v>0</v>
      </c>
      <c r="SW22" s="2">
        <v>1.240581712214223E-8</v>
      </c>
      <c r="SX22" s="2">
        <v>0</v>
      </c>
      <c r="SY22" s="2">
        <v>0</v>
      </c>
      <c r="SZ22" s="2">
        <v>0</v>
      </c>
      <c r="TA22" s="2">
        <v>6.0889880365281257E-9</v>
      </c>
      <c r="TB22" s="2">
        <v>0</v>
      </c>
      <c r="TC22" s="2">
        <v>0</v>
      </c>
      <c r="TD22" s="2">
        <v>0</v>
      </c>
      <c r="TE22" s="2">
        <v>0</v>
      </c>
      <c r="TF22" s="2">
        <v>1.0372738064902262E-2</v>
      </c>
      <c r="TG22" s="2">
        <v>0</v>
      </c>
      <c r="TH22" s="2">
        <v>0</v>
      </c>
      <c r="TI22" s="2">
        <v>1.0339825439343269E-7</v>
      </c>
      <c r="TJ22" s="2">
        <v>0</v>
      </c>
      <c r="TK22" s="2">
        <v>0</v>
      </c>
      <c r="TL22" s="2">
        <v>0</v>
      </c>
      <c r="TM22" s="2">
        <v>0</v>
      </c>
      <c r="TN22" s="2">
        <v>4.8526174157037224E-3</v>
      </c>
      <c r="TO22" s="2">
        <v>3.5727654285046761E-3</v>
      </c>
      <c r="TP22" s="2">
        <v>0</v>
      </c>
      <c r="TQ22" s="2">
        <v>0</v>
      </c>
      <c r="TR22" s="2">
        <v>0</v>
      </c>
      <c r="TS22" s="2">
        <v>2.528651643086254E-8</v>
      </c>
      <c r="TT22" s="2">
        <v>0</v>
      </c>
      <c r="TU22" s="2">
        <v>0</v>
      </c>
      <c r="TV22" s="2">
        <v>0</v>
      </c>
      <c r="TW22" s="2">
        <v>1.9833691323523921E-8</v>
      </c>
      <c r="TX22" s="2">
        <v>0</v>
      </c>
      <c r="TY22" s="2">
        <v>0</v>
      </c>
      <c r="TZ22" s="2">
        <v>0</v>
      </c>
      <c r="UA22" s="2">
        <v>0</v>
      </c>
      <c r="UB22" s="2">
        <v>0</v>
      </c>
      <c r="UC22" s="2">
        <v>0</v>
      </c>
      <c r="UD22" s="2">
        <v>7.4431007418871855E-7</v>
      </c>
      <c r="UE22" s="2">
        <v>0</v>
      </c>
      <c r="UF22" s="2">
        <v>0</v>
      </c>
      <c r="UG22" s="2">
        <v>0</v>
      </c>
      <c r="UH22" s="2">
        <v>0</v>
      </c>
      <c r="UI22" s="2">
        <v>0</v>
      </c>
      <c r="UJ22" s="2">
        <v>0</v>
      </c>
      <c r="UK22" s="2">
        <v>0</v>
      </c>
      <c r="UL22" s="2">
        <v>0</v>
      </c>
      <c r="UM22" s="2">
        <v>0</v>
      </c>
      <c r="UN22" s="2">
        <v>0</v>
      </c>
      <c r="UO22" s="2">
        <v>0</v>
      </c>
      <c r="UP22" s="2">
        <v>0</v>
      </c>
      <c r="UQ22" s="2">
        <v>0</v>
      </c>
      <c r="UR22" s="2">
        <v>0</v>
      </c>
      <c r="US22" s="2">
        <v>0</v>
      </c>
      <c r="UT22" s="2">
        <v>0</v>
      </c>
      <c r="UU22" s="2">
        <v>0</v>
      </c>
      <c r="UV22" s="2">
        <v>0</v>
      </c>
      <c r="UW22" s="2">
        <v>0</v>
      </c>
      <c r="UX22" s="2">
        <v>0</v>
      </c>
      <c r="UY22" s="2">
        <v>3.1635096129510451E-9</v>
      </c>
      <c r="UZ22" s="2">
        <v>4.813017243590071E-3</v>
      </c>
      <c r="VA22" s="2">
        <v>0</v>
      </c>
      <c r="VB22" s="2">
        <v>1.6873037691299925E-8</v>
      </c>
      <c r="VC22" s="2">
        <v>0</v>
      </c>
      <c r="VD22" s="2">
        <v>0</v>
      </c>
      <c r="VE22" s="2">
        <v>0</v>
      </c>
      <c r="VF22" s="2">
        <v>0</v>
      </c>
      <c r="VG22" s="2">
        <v>0</v>
      </c>
      <c r="VH22" s="2">
        <v>0</v>
      </c>
      <c r="VI22" s="2">
        <v>0</v>
      </c>
      <c r="VJ22" s="2">
        <v>0</v>
      </c>
      <c r="VK22" s="2">
        <v>0</v>
      </c>
      <c r="VL22" s="2">
        <v>0</v>
      </c>
      <c r="VM22" s="2">
        <v>0</v>
      </c>
      <c r="VN22" s="2">
        <v>0</v>
      </c>
      <c r="VO22" s="2">
        <v>0</v>
      </c>
      <c r="VP22" s="2">
        <v>0</v>
      </c>
      <c r="VQ22" s="2">
        <v>0</v>
      </c>
      <c r="VR22" s="2">
        <v>0</v>
      </c>
      <c r="VS22" s="2">
        <v>0</v>
      </c>
      <c r="VT22" s="2">
        <v>0</v>
      </c>
      <c r="VU22" s="2">
        <v>0</v>
      </c>
      <c r="VV22" s="2">
        <v>0</v>
      </c>
      <c r="VW22" s="2">
        <v>0</v>
      </c>
      <c r="VX22" s="2">
        <v>0</v>
      </c>
      <c r="VY22" s="2">
        <v>4.0256408079194426E-4</v>
      </c>
      <c r="VZ22" s="2">
        <v>0</v>
      </c>
      <c r="WA22" s="2">
        <v>0</v>
      </c>
      <c r="WB22" s="2">
        <v>0</v>
      </c>
      <c r="WC22" s="2">
        <v>0</v>
      </c>
      <c r="WD22" s="2">
        <v>0</v>
      </c>
      <c r="WE22" s="2">
        <v>0</v>
      </c>
      <c r="WF22" s="2">
        <v>0</v>
      </c>
      <c r="WG22" s="2">
        <v>2.6819157538136031E-3</v>
      </c>
      <c r="WH22" s="2">
        <v>0</v>
      </c>
      <c r="WI22" s="2">
        <v>0</v>
      </c>
      <c r="WJ22" s="2">
        <v>0</v>
      </c>
      <c r="WK22" s="2">
        <v>0</v>
      </c>
      <c r="WL22" s="2">
        <v>1.6671354588911532E-4</v>
      </c>
      <c r="WM22" s="2">
        <v>0</v>
      </c>
      <c r="WN22" s="2">
        <v>1.5395407419794851E-7</v>
      </c>
      <c r="WO22" s="2">
        <v>0</v>
      </c>
      <c r="WP22" s="2">
        <v>1.1220378063068684E-8</v>
      </c>
      <c r="WQ22" s="2">
        <v>0</v>
      </c>
      <c r="WR22" s="2">
        <v>0</v>
      </c>
      <c r="WS22" s="2">
        <v>0</v>
      </c>
      <c r="WT22" s="2">
        <v>0</v>
      </c>
      <c r="WU22" s="2">
        <v>0</v>
      </c>
      <c r="WV22" s="2">
        <v>1.3062325967376855E-2</v>
      </c>
      <c r="WW22" s="2">
        <v>1.516303672966152E-2</v>
      </c>
      <c r="WX22" s="2">
        <v>0</v>
      </c>
      <c r="WY22" s="2">
        <v>0</v>
      </c>
      <c r="WZ22" s="2">
        <v>0</v>
      </c>
      <c r="XA22" s="2">
        <v>0</v>
      </c>
      <c r="XB22" s="2">
        <v>0</v>
      </c>
      <c r="XC22" s="2">
        <v>0</v>
      </c>
      <c r="XD22" s="2">
        <v>0</v>
      </c>
      <c r="XE22" s="2">
        <v>0</v>
      </c>
      <c r="XF22" s="2">
        <v>3.1353395579911702E-3</v>
      </c>
      <c r="XG22" s="2">
        <v>0</v>
      </c>
      <c r="XH22" s="2">
        <v>0</v>
      </c>
      <c r="XI22" s="2">
        <v>0</v>
      </c>
      <c r="XJ22" s="2">
        <v>0</v>
      </c>
      <c r="XK22" s="2">
        <v>4.5825750618445944E-6</v>
      </c>
      <c r="XL22" s="2">
        <v>0</v>
      </c>
      <c r="XM22" s="2">
        <v>0</v>
      </c>
      <c r="XN22" s="2">
        <v>0</v>
      </c>
      <c r="XO22" s="2">
        <v>0</v>
      </c>
      <c r="XP22" s="2">
        <v>0</v>
      </c>
      <c r="XQ22" s="2">
        <v>0</v>
      </c>
      <c r="XR22" s="2">
        <v>0</v>
      </c>
      <c r="XS22" s="2">
        <v>0</v>
      </c>
      <c r="XT22" s="2">
        <v>0</v>
      </c>
      <c r="XU22" s="2">
        <v>9.7739256640933244E-5</v>
      </c>
      <c r="XV22" s="2">
        <v>0</v>
      </c>
      <c r="XW22" s="2">
        <v>0</v>
      </c>
      <c r="XX22" s="2">
        <v>9.2477676433915818E-3</v>
      </c>
      <c r="XY22" s="2">
        <v>2.104079467708787E-4</v>
      </c>
      <c r="XZ22" s="2">
        <v>1.3615408899647456E-4</v>
      </c>
      <c r="YA22" s="2">
        <v>0</v>
      </c>
      <c r="YB22" s="2">
        <v>0</v>
      </c>
      <c r="YC22" s="2">
        <v>0</v>
      </c>
      <c r="YD22" s="2">
        <v>0</v>
      </c>
      <c r="YE22" s="2">
        <v>0</v>
      </c>
      <c r="YF22" s="2">
        <v>3.224941514728102E-4</v>
      </c>
      <c r="YG22" s="2">
        <v>0</v>
      </c>
      <c r="YH22" s="2">
        <v>3.9499731563853975E-3</v>
      </c>
      <c r="YI22" s="2">
        <v>0</v>
      </c>
      <c r="YJ22" s="2">
        <v>0</v>
      </c>
      <c r="YK22" s="2">
        <v>0</v>
      </c>
      <c r="YL22" s="2">
        <v>0</v>
      </c>
      <c r="YM22" s="2">
        <v>0</v>
      </c>
      <c r="YN22" s="2">
        <v>0</v>
      </c>
      <c r="YO22" s="2">
        <v>0</v>
      </c>
      <c r="YP22" s="2">
        <v>0</v>
      </c>
      <c r="YQ22" s="2">
        <v>0</v>
      </c>
      <c r="YR22" s="2">
        <v>1.5095007093757678E-9</v>
      </c>
      <c r="YS22" s="2">
        <v>0</v>
      </c>
      <c r="YT22" s="2">
        <v>0</v>
      </c>
      <c r="YU22" s="2">
        <v>0</v>
      </c>
      <c r="YV22" s="2">
        <v>0</v>
      </c>
      <c r="YW22" s="2">
        <v>0</v>
      </c>
      <c r="YX22" s="2">
        <v>0</v>
      </c>
      <c r="YY22" s="2">
        <v>0</v>
      </c>
      <c r="YZ22" s="2">
        <v>0</v>
      </c>
      <c r="ZA22" s="2">
        <v>1.4499593872289675E-4</v>
      </c>
      <c r="ZB22" s="2">
        <v>0</v>
      </c>
      <c r="ZC22" s="2">
        <v>4.102983489801061E-3</v>
      </c>
      <c r="ZD22" s="2">
        <v>0</v>
      </c>
      <c r="ZE22" s="2">
        <v>0</v>
      </c>
      <c r="ZF22" s="2">
        <v>0</v>
      </c>
      <c r="ZG22" s="2">
        <v>0</v>
      </c>
      <c r="ZH22" s="2">
        <v>0</v>
      </c>
      <c r="ZI22" s="2">
        <v>0</v>
      </c>
      <c r="ZJ22" s="2">
        <v>1.4484856454699965E-7</v>
      </c>
      <c r="ZK22" s="2">
        <v>0</v>
      </c>
      <c r="ZL22" s="2">
        <v>0</v>
      </c>
      <c r="ZM22" s="2">
        <v>0</v>
      </c>
      <c r="ZN22" s="2">
        <v>0</v>
      </c>
      <c r="ZO22" s="2">
        <v>0</v>
      </c>
      <c r="ZP22" s="2">
        <v>0</v>
      </c>
      <c r="ZQ22" s="2">
        <v>1.4152554048130073E-4</v>
      </c>
      <c r="ZR22" s="2">
        <v>0</v>
      </c>
      <c r="ZS22" s="2">
        <v>0</v>
      </c>
      <c r="ZT22" s="2">
        <v>0</v>
      </c>
      <c r="ZU22" s="2">
        <v>0</v>
      </c>
      <c r="ZV22" s="2">
        <v>0</v>
      </c>
      <c r="ZW22" s="2">
        <v>0</v>
      </c>
      <c r="ZX22" s="2">
        <v>2.8862295333097199E-3</v>
      </c>
      <c r="ZY22" s="2">
        <v>0</v>
      </c>
      <c r="ZZ22" s="2">
        <v>0</v>
      </c>
      <c r="AAA22" s="2">
        <v>0</v>
      </c>
      <c r="AAB22" s="2">
        <v>4.8869613114389645E-3</v>
      </c>
      <c r="AAC22" s="2">
        <v>0</v>
      </c>
      <c r="AAD22" s="2">
        <v>0</v>
      </c>
      <c r="AAE22" s="2">
        <v>0</v>
      </c>
      <c r="AAF22" s="2">
        <v>0</v>
      </c>
      <c r="AAG22" s="2">
        <v>0</v>
      </c>
      <c r="AAH22" s="2">
        <v>0</v>
      </c>
      <c r="AAI22" s="2">
        <v>0</v>
      </c>
      <c r="AAJ22" s="2">
        <v>0</v>
      </c>
      <c r="AAK22" s="2">
        <v>0</v>
      </c>
      <c r="AAL22" s="2">
        <v>0</v>
      </c>
      <c r="AAM22" s="2">
        <v>7.8151133143303686E-4</v>
      </c>
      <c r="AAN22" s="2">
        <v>0</v>
      </c>
      <c r="AAO22" s="2">
        <v>0</v>
      </c>
      <c r="AAP22" s="2">
        <v>0</v>
      </c>
      <c r="AAQ22" s="2">
        <v>0</v>
      </c>
      <c r="AAR22" s="2">
        <v>0</v>
      </c>
      <c r="AAS22" s="2">
        <v>0</v>
      </c>
      <c r="AAT22" s="2">
        <v>0</v>
      </c>
      <c r="AAU22" s="2">
        <v>0</v>
      </c>
      <c r="AAV22" s="2">
        <v>0</v>
      </c>
      <c r="AAW22" s="2">
        <v>0</v>
      </c>
      <c r="AAX22" s="2">
        <v>0</v>
      </c>
      <c r="AAY22" s="2">
        <v>0</v>
      </c>
      <c r="AAZ22" s="2">
        <v>0</v>
      </c>
      <c r="ABA22" s="2">
        <v>0</v>
      </c>
      <c r="ABB22" s="2">
        <v>5.1250222180060111E-2</v>
      </c>
      <c r="ABC22" s="2">
        <v>0</v>
      </c>
      <c r="ABD22" s="2">
        <v>0</v>
      </c>
      <c r="ABE22" s="2">
        <v>0</v>
      </c>
      <c r="ABF22" s="2">
        <v>0</v>
      </c>
      <c r="ABG22" s="2">
        <v>0</v>
      </c>
      <c r="ABH22" s="2">
        <v>0</v>
      </c>
      <c r="ABI22" s="2">
        <v>9.5082907167772933E-4</v>
      </c>
      <c r="ABJ22" s="2">
        <v>0</v>
      </c>
      <c r="ABK22" s="2">
        <v>0</v>
      </c>
      <c r="ABL22" s="2">
        <v>0</v>
      </c>
      <c r="ABM22" s="2">
        <v>0</v>
      </c>
      <c r="ABN22" s="2">
        <v>0</v>
      </c>
      <c r="ABO22" s="2">
        <v>1.8585805000925608E-8</v>
      </c>
      <c r="ABP22" s="2">
        <v>0</v>
      </c>
      <c r="ABQ22" s="2">
        <v>0</v>
      </c>
      <c r="ABR22" s="2">
        <v>0</v>
      </c>
      <c r="ABS22" s="2">
        <v>0</v>
      </c>
      <c r="ABT22" s="2">
        <v>0</v>
      </c>
      <c r="ABU22" s="2">
        <v>2.3027060778685496E-8</v>
      </c>
      <c r="ABV22" s="2">
        <v>0</v>
      </c>
      <c r="ABW22" s="2">
        <v>0</v>
      </c>
      <c r="ABX22" s="2">
        <v>0</v>
      </c>
      <c r="ABY22" s="2">
        <v>0</v>
      </c>
      <c r="ABZ22" s="2">
        <v>0</v>
      </c>
      <c r="ACA22" s="2">
        <v>0</v>
      </c>
      <c r="ACB22" s="2">
        <v>0</v>
      </c>
      <c r="ACC22" s="2">
        <v>0</v>
      </c>
      <c r="ACD22" s="2">
        <v>0</v>
      </c>
      <c r="ACE22" s="2">
        <v>0</v>
      </c>
      <c r="ACF22" s="2">
        <v>5.2926202322692243E-3</v>
      </c>
      <c r="ACG22" s="2">
        <v>0</v>
      </c>
      <c r="ACH22" s="2">
        <v>2.9590053171929301E-8</v>
      </c>
      <c r="ACI22" s="2">
        <v>0</v>
      </c>
      <c r="ACJ22" s="2">
        <v>0</v>
      </c>
      <c r="ACK22" s="2">
        <v>5.0422606990101863E-3</v>
      </c>
      <c r="ACL22" s="2">
        <v>0</v>
      </c>
      <c r="ACM22" s="2">
        <v>0</v>
      </c>
      <c r="ACN22" s="2">
        <v>0</v>
      </c>
      <c r="ACO22" s="2">
        <v>0</v>
      </c>
      <c r="ACP22" s="2">
        <v>0</v>
      </c>
      <c r="ACQ22" s="2">
        <v>0</v>
      </c>
      <c r="ACR22" s="2">
        <v>0</v>
      </c>
      <c r="ACS22" s="2">
        <v>0</v>
      </c>
      <c r="ACT22" s="2">
        <v>0</v>
      </c>
      <c r="ACU22" s="2">
        <v>0</v>
      </c>
      <c r="ACV22" s="2">
        <v>0</v>
      </c>
      <c r="ACW22" s="2">
        <v>0</v>
      </c>
      <c r="ACX22" s="2">
        <v>0</v>
      </c>
      <c r="ACY22" s="2">
        <v>0</v>
      </c>
      <c r="ACZ22" s="2">
        <v>0</v>
      </c>
      <c r="ADA22" s="2">
        <v>0</v>
      </c>
      <c r="ADB22" s="2">
        <v>0</v>
      </c>
      <c r="ADC22" s="2">
        <v>0</v>
      </c>
      <c r="ADD22" s="2">
        <v>0</v>
      </c>
      <c r="ADE22" s="2">
        <v>0</v>
      </c>
      <c r="ADF22" s="2">
        <v>0</v>
      </c>
      <c r="ADG22" s="2">
        <v>6.2648453691301004E-3</v>
      </c>
      <c r="ADH22" s="2">
        <v>0</v>
      </c>
      <c r="ADI22" s="2">
        <v>0</v>
      </c>
      <c r="ADJ22" s="2">
        <v>1.9114368902309502E-3</v>
      </c>
      <c r="ADK22" s="2">
        <v>3.69700114065241E-3</v>
      </c>
      <c r="ADL22" s="2">
        <v>0</v>
      </c>
      <c r="ADM22" s="2">
        <v>0</v>
      </c>
      <c r="ADN22" s="2">
        <v>0</v>
      </c>
      <c r="ADO22" s="2">
        <v>0</v>
      </c>
      <c r="ADP22" s="2">
        <v>0</v>
      </c>
      <c r="ADQ22" s="2">
        <v>0</v>
      </c>
      <c r="ADR22" s="2">
        <v>0</v>
      </c>
      <c r="ADS22" s="2">
        <v>0</v>
      </c>
      <c r="ADT22" s="2">
        <v>3.7438107430779806E-8</v>
      </c>
      <c r="ADU22" s="2">
        <v>0</v>
      </c>
      <c r="ADV22" s="2">
        <v>0</v>
      </c>
      <c r="ADW22" s="2">
        <v>0</v>
      </c>
      <c r="ADX22" s="2">
        <v>4.092575068115855E-2</v>
      </c>
      <c r="ADY22" s="2">
        <v>0</v>
      </c>
      <c r="ADZ22" s="2">
        <v>0</v>
      </c>
      <c r="AEA22" s="2">
        <v>5.0089406184835291E-3</v>
      </c>
      <c r="AEB22" s="2">
        <v>0</v>
      </c>
      <c r="AEC22" s="2">
        <v>0</v>
      </c>
      <c r="AED22" s="2">
        <v>0</v>
      </c>
      <c r="AEE22" s="2">
        <v>0</v>
      </c>
      <c r="AEF22" s="2">
        <v>0</v>
      </c>
      <c r="AEG22" s="2">
        <v>0</v>
      </c>
      <c r="AEH22" s="2">
        <v>2.0006439782480541E-8</v>
      </c>
      <c r="AEI22" s="2">
        <v>1.286953698064468E-3</v>
      </c>
      <c r="AEJ22" s="2">
        <v>0</v>
      </c>
      <c r="AEK22" s="2">
        <v>0</v>
      </c>
      <c r="AEL22" s="2">
        <v>0</v>
      </c>
      <c r="AEM22" s="2">
        <v>0</v>
      </c>
      <c r="AEN22" s="2">
        <v>0</v>
      </c>
      <c r="AEO22" s="2">
        <v>1.8515047476292663E-3</v>
      </c>
      <c r="AEP22" s="2">
        <v>7.6972299521580523E-2</v>
      </c>
      <c r="AEQ22" s="2">
        <v>0</v>
      </c>
      <c r="AER22" s="2">
        <v>0</v>
      </c>
      <c r="AES22" s="2">
        <v>0</v>
      </c>
      <c r="AET22" s="2">
        <v>0</v>
      </c>
      <c r="AEU22" s="2">
        <v>0</v>
      </c>
      <c r="AEV22" s="2">
        <v>0</v>
      </c>
      <c r="AEW22" s="2">
        <v>0</v>
      </c>
      <c r="AEX22" s="2">
        <v>0</v>
      </c>
      <c r="AEY22" s="2">
        <v>0</v>
      </c>
      <c r="AEZ22" s="2">
        <v>0</v>
      </c>
      <c r="AFA22" s="2">
        <v>4.1226737020945811E-9</v>
      </c>
      <c r="AFB22" s="2">
        <v>7.5384981921799738E-4</v>
      </c>
      <c r="AFC22" s="2">
        <v>0</v>
      </c>
      <c r="AFD22" s="2">
        <v>0</v>
      </c>
      <c r="AFE22" s="2">
        <v>3.8207944515123429E-3</v>
      </c>
      <c r="AFF22" s="2">
        <v>0</v>
      </c>
      <c r="AFG22" s="2">
        <v>0</v>
      </c>
      <c r="AFH22" s="2">
        <v>0</v>
      </c>
      <c r="AFI22" s="2">
        <v>1.6534622794840592E-3</v>
      </c>
      <c r="AFJ22" s="2">
        <v>0</v>
      </c>
      <c r="AFK22" s="2">
        <v>0</v>
      </c>
      <c r="AFL22" s="2">
        <v>3.359581071142027E-10</v>
      </c>
      <c r="AFM22" s="2">
        <v>0</v>
      </c>
      <c r="AFN22" s="2">
        <v>0</v>
      </c>
      <c r="AFO22" s="2">
        <v>0</v>
      </c>
      <c r="AFP22" s="2">
        <v>2.4952150671988557E-3</v>
      </c>
      <c r="AFQ22" s="2">
        <v>0</v>
      </c>
      <c r="AFR22" s="2">
        <v>0</v>
      </c>
      <c r="AFS22" s="2">
        <v>0</v>
      </c>
      <c r="AFT22" s="2">
        <v>0</v>
      </c>
      <c r="AFU22" s="2">
        <v>0</v>
      </c>
      <c r="AFV22" s="2">
        <v>0</v>
      </c>
      <c r="AFW22" s="2">
        <v>0</v>
      </c>
      <c r="AFX22" s="2">
        <v>0</v>
      </c>
      <c r="AFY22" s="2">
        <v>0</v>
      </c>
      <c r="AFZ22" s="2">
        <v>0</v>
      </c>
      <c r="AGA22" s="2">
        <v>4.8887727179929045E-8</v>
      </c>
      <c r="AGB22" s="2">
        <v>4.2118693902023038E-2</v>
      </c>
      <c r="AGC22" s="2">
        <v>2.481272304150258E-3</v>
      </c>
      <c r="AGD22" s="2">
        <v>1.6588936548439948E-3</v>
      </c>
      <c r="AGE22" s="2">
        <v>0</v>
      </c>
      <c r="AGF22" s="2">
        <v>1.9266774927321599E-3</v>
      </c>
      <c r="AGG22" s="2">
        <v>2.9931484474421404E-3</v>
      </c>
      <c r="AGH22" s="2">
        <v>0</v>
      </c>
      <c r="AGI22" s="2">
        <v>1.5402928057726942E-3</v>
      </c>
      <c r="AGJ22" s="2">
        <v>0</v>
      </c>
      <c r="AGK22" s="2">
        <v>0</v>
      </c>
      <c r="AGL22" s="2">
        <v>0</v>
      </c>
      <c r="AGM22" s="2">
        <v>0</v>
      </c>
      <c r="AGN22" s="2">
        <v>0</v>
      </c>
      <c r="AGO22" s="2">
        <v>0</v>
      </c>
      <c r="AGP22" s="2">
        <v>0</v>
      </c>
      <c r="AGQ22" s="2">
        <v>0</v>
      </c>
      <c r="AGR22" s="2">
        <v>0</v>
      </c>
      <c r="AGS22" s="2">
        <v>0</v>
      </c>
      <c r="AGT22" s="2">
        <v>0</v>
      </c>
      <c r="AGU22" s="2">
        <v>0</v>
      </c>
      <c r="AGV22" s="2">
        <v>0</v>
      </c>
      <c r="AGW22" s="2">
        <v>0</v>
      </c>
      <c r="AGX22" s="2">
        <v>0</v>
      </c>
      <c r="AGY22" s="2">
        <v>0</v>
      </c>
      <c r="AGZ22" s="2">
        <v>0</v>
      </c>
      <c r="AHA22" s="2">
        <v>0</v>
      </c>
      <c r="AHB22" s="2">
        <v>0</v>
      </c>
      <c r="AHC22" s="2">
        <v>0</v>
      </c>
      <c r="AHD22" s="2">
        <v>0</v>
      </c>
      <c r="AHE22" s="2">
        <v>0</v>
      </c>
      <c r="AHF22" s="2">
        <v>0</v>
      </c>
      <c r="AHG22" s="2">
        <v>0</v>
      </c>
      <c r="AHH22" s="2">
        <v>0</v>
      </c>
      <c r="AHI22" s="2">
        <v>0</v>
      </c>
      <c r="AHJ22" s="2">
        <v>0</v>
      </c>
      <c r="AHK22" s="2">
        <v>0</v>
      </c>
      <c r="AHL22" s="2">
        <v>0</v>
      </c>
      <c r="AHM22" s="2">
        <v>0</v>
      </c>
      <c r="AHN22" s="2">
        <v>0</v>
      </c>
      <c r="AHO22" s="2">
        <v>0</v>
      </c>
      <c r="AHP22" s="2">
        <v>0</v>
      </c>
      <c r="AHQ22" s="2">
        <v>0</v>
      </c>
      <c r="AHR22" s="2">
        <v>0</v>
      </c>
      <c r="AHS22" s="2">
        <v>0</v>
      </c>
      <c r="AHT22" s="2">
        <v>0</v>
      </c>
      <c r="AHU22" s="2">
        <v>0</v>
      </c>
      <c r="AHV22" s="2">
        <v>0</v>
      </c>
      <c r="AHW22" s="2">
        <v>0</v>
      </c>
      <c r="AHX22" s="2">
        <v>0</v>
      </c>
      <c r="AHY22" s="2">
        <v>0</v>
      </c>
      <c r="AHZ22" s="2">
        <v>0</v>
      </c>
      <c r="AIA22" s="2">
        <v>0</v>
      </c>
      <c r="AIB22" s="2">
        <v>0</v>
      </c>
      <c r="AIC22" s="2">
        <v>0</v>
      </c>
      <c r="AID22" s="2">
        <v>0</v>
      </c>
      <c r="AIE22" s="2">
        <v>1.567492550327511E-3</v>
      </c>
      <c r="AIF22" s="2">
        <v>1.02694872822877E-3</v>
      </c>
      <c r="AIG22" s="2">
        <v>2.8021401824520673E-8</v>
      </c>
      <c r="AIH22" s="2">
        <v>0</v>
      </c>
      <c r="AII22" s="2">
        <v>0</v>
      </c>
      <c r="AIJ22" s="2">
        <v>0</v>
      </c>
      <c r="AIK22" s="2">
        <v>0</v>
      </c>
      <c r="AIL22" s="2">
        <v>1.1638624597631628E-2</v>
      </c>
      <c r="AIM22" s="2">
        <v>0</v>
      </c>
      <c r="AIN22" s="2">
        <v>0</v>
      </c>
      <c r="AIO22" s="2">
        <v>2.4917657513348131E-2</v>
      </c>
      <c r="AIP22" s="2">
        <v>0</v>
      </c>
      <c r="AIQ22" s="2">
        <v>4.731273801631207E-3</v>
      </c>
      <c r="AIR22" s="2">
        <v>5.8844422152441594E-3</v>
      </c>
      <c r="AIS22" s="2">
        <v>4.7862886121295027E-10</v>
      </c>
      <c r="AIT22" s="2">
        <v>0</v>
      </c>
      <c r="AIU22" s="2">
        <v>0</v>
      </c>
      <c r="AIV22" s="2">
        <v>0</v>
      </c>
      <c r="AIW22" s="2">
        <v>9.96238972503596E-5</v>
      </c>
      <c r="AIX22" s="2">
        <v>9.2577385373267273E-4</v>
      </c>
      <c r="AIY22" s="2">
        <v>0</v>
      </c>
      <c r="AIZ22" s="2">
        <v>0</v>
      </c>
      <c r="AJA22" s="2">
        <v>0</v>
      </c>
      <c r="AJB22" s="2">
        <v>0</v>
      </c>
      <c r="AJC22" s="2">
        <v>4.1839567047461946E-4</v>
      </c>
      <c r="AJD22" s="2">
        <v>1.6368500503483588E-3</v>
      </c>
      <c r="AJE22" s="2">
        <v>0</v>
      </c>
      <c r="AJF22" s="2">
        <v>0</v>
      </c>
      <c r="AJG22" s="2">
        <v>0</v>
      </c>
      <c r="AJH22" s="2">
        <v>0</v>
      </c>
      <c r="AJI22" s="2">
        <v>1.2157455071819872E-2</v>
      </c>
      <c r="AJJ22" s="2">
        <v>0</v>
      </c>
      <c r="AJK22" s="2">
        <v>2.54223510645297E-3</v>
      </c>
      <c r="AJL22" s="2">
        <v>0</v>
      </c>
      <c r="AJM22" s="2">
        <v>0</v>
      </c>
      <c r="AJN22" s="2">
        <v>0</v>
      </c>
      <c r="AJO22" s="2">
        <v>6.5993010422461492E-4</v>
      </c>
      <c r="AJP22" s="2">
        <v>2.7383857826518572E-3</v>
      </c>
      <c r="AJQ22" s="2">
        <v>0</v>
      </c>
      <c r="AJR22" s="2">
        <v>0</v>
      </c>
      <c r="AJS22" s="2">
        <v>0</v>
      </c>
      <c r="AJT22" s="2">
        <v>1.2457657360838759E-3</v>
      </c>
      <c r="AJU22" s="2">
        <v>0</v>
      </c>
      <c r="AJV22" s="2">
        <v>0</v>
      </c>
      <c r="AJW22" s="2">
        <v>3.911693915255041E-3</v>
      </c>
      <c r="AJX22" s="2">
        <v>1.7569604508216976E-3</v>
      </c>
      <c r="AJY22" s="2">
        <v>0</v>
      </c>
      <c r="AJZ22" s="2">
        <v>0</v>
      </c>
      <c r="AKA22" s="2">
        <v>0</v>
      </c>
      <c r="AKB22" s="2">
        <v>0</v>
      </c>
      <c r="AKC22" s="2">
        <v>0</v>
      </c>
    </row>
    <row r="23" spans="1:1139" s="2" customFormat="1" x14ac:dyDescent="0.25">
      <c r="A23" s="2" t="s">
        <v>5</v>
      </c>
      <c r="B23" s="2" t="s">
        <v>11</v>
      </c>
      <c r="C23" s="37">
        <v>46022</v>
      </c>
      <c r="D23" s="2" t="s">
        <v>14</v>
      </c>
      <c r="E23" s="2">
        <v>1</v>
      </c>
      <c r="F23" s="2">
        <v>4.8272696974228932E-3</v>
      </c>
      <c r="G23" s="2">
        <v>7.7437339395152758E-7</v>
      </c>
      <c r="H23" s="2">
        <v>0</v>
      </c>
      <c r="I23" s="2">
        <v>0</v>
      </c>
      <c r="J23" s="2">
        <v>0</v>
      </c>
      <c r="K23" s="2">
        <v>0</v>
      </c>
      <c r="L23" s="2">
        <v>3.912280165480969E-3</v>
      </c>
      <c r="M23" s="2">
        <v>3.2282302405454874E-6</v>
      </c>
      <c r="N23" s="2">
        <v>1.4293070630971904E-6</v>
      </c>
      <c r="O23" s="2">
        <v>6.7768737229946453E-10</v>
      </c>
      <c r="P23" s="2">
        <v>1.0633764410218165E-7</v>
      </c>
      <c r="Q23" s="2">
        <v>0</v>
      </c>
      <c r="R23" s="2">
        <v>5.2629895059618998E-9</v>
      </c>
      <c r="S23" s="2">
        <v>0</v>
      </c>
      <c r="T23" s="2">
        <v>6.4114329605637608E-9</v>
      </c>
      <c r="U23" s="2">
        <v>0</v>
      </c>
      <c r="V23" s="2">
        <v>1.3396494267040324E-9</v>
      </c>
      <c r="W23" s="2">
        <v>0</v>
      </c>
      <c r="X23" s="2">
        <v>0.11112173064625618</v>
      </c>
      <c r="Y23" s="2">
        <v>0.11443399493305592</v>
      </c>
      <c r="Z23" s="2">
        <v>9.0943759184096288E-4</v>
      </c>
      <c r="AA23" s="2">
        <v>1.5804435418581127E-4</v>
      </c>
      <c r="AB23" s="2">
        <v>1.2207471844834774E-2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4.5478963034936348E-3</v>
      </c>
      <c r="DS23" s="2">
        <v>0</v>
      </c>
      <c r="DT23" s="2">
        <v>3.3779486626733962E-3</v>
      </c>
      <c r="DU23" s="2">
        <v>0</v>
      </c>
      <c r="DV23" s="2">
        <v>0</v>
      </c>
      <c r="DW23" s="2">
        <v>2.4272266231628089E-3</v>
      </c>
      <c r="DX23" s="2">
        <v>5.6093689415795067E-2</v>
      </c>
      <c r="DY23" s="2">
        <v>1.0674646320178878E-2</v>
      </c>
      <c r="DZ23" s="2">
        <v>5.7325287373962449E-4</v>
      </c>
      <c r="EA23" s="2">
        <v>6.4698225695463789E-3</v>
      </c>
      <c r="EB23" s="2">
        <v>1.1145140490506386E-7</v>
      </c>
      <c r="EC23" s="2">
        <v>6.709363452771574E-3</v>
      </c>
      <c r="ED23" s="2">
        <v>8.3347247032108523E-3</v>
      </c>
      <c r="EE23" s="2">
        <v>0</v>
      </c>
      <c r="EF23" s="2">
        <v>1.0406395072588625E-2</v>
      </c>
      <c r="EG23" s="2">
        <v>9.7206348021917164E-3</v>
      </c>
      <c r="EH23" s="2">
        <v>0</v>
      </c>
      <c r="EI23" s="2">
        <v>2.1632922157908612E-2</v>
      </c>
      <c r="EJ23" s="2">
        <v>3.1438086927681352E-2</v>
      </c>
      <c r="EK23" s="2">
        <v>8.8455540272533561E-3</v>
      </c>
      <c r="EL23" s="2">
        <v>5.968488213553534E-5</v>
      </c>
      <c r="EM23" s="2">
        <v>5.5564162791989412E-2</v>
      </c>
      <c r="EN23" s="2">
        <v>5.541554591049469E-2</v>
      </c>
      <c r="EO23" s="2">
        <v>6.5336285353999324E-3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1.9507184479085021E-3</v>
      </c>
      <c r="EX23" s="2">
        <v>1.6545109396390138E-3</v>
      </c>
      <c r="EY23" s="2">
        <v>0</v>
      </c>
      <c r="EZ23" s="2">
        <v>6.2281416376120972E-3</v>
      </c>
      <c r="FA23" s="2">
        <v>0</v>
      </c>
      <c r="FB23" s="2">
        <v>4.6489675222343135E-3</v>
      </c>
      <c r="FC23" s="2">
        <v>0</v>
      </c>
      <c r="FD23" s="2">
        <v>6.4087618216446848E-4</v>
      </c>
      <c r="FE23" s="2">
        <v>0</v>
      </c>
      <c r="FF23" s="2">
        <v>2.5351930616885508E-3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1.3988992475159029E-2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4.0386943487993945E-3</v>
      </c>
      <c r="GK23" s="2">
        <v>0</v>
      </c>
      <c r="GL23" s="2">
        <v>4.5917860072959187E-3</v>
      </c>
      <c r="GM23" s="2">
        <v>0</v>
      </c>
      <c r="GN23" s="2">
        <v>0</v>
      </c>
      <c r="GO23" s="2">
        <v>4.3597901885816933E-4</v>
      </c>
      <c r="GP23" s="2">
        <v>5.3101243376863175E-3</v>
      </c>
      <c r="GQ23" s="2">
        <v>6.4178606947777202E-5</v>
      </c>
      <c r="GR23" s="2">
        <v>4.3994530374117725E-4</v>
      </c>
      <c r="GS23" s="2">
        <v>8.7145593804345244E-3</v>
      </c>
      <c r="GT23" s="2">
        <v>2.4175154595141839E-4</v>
      </c>
      <c r="GU23" s="2">
        <v>7.1110765921332721E-3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1.0654406804884414E-2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4.6284696767619495E-8</v>
      </c>
      <c r="HV23" s="2">
        <v>1.3557148628872636E-2</v>
      </c>
      <c r="HW23" s="2">
        <v>1.6935929221277398E-2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2.7679621347089491E-2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2.2968123361344605E-5</v>
      </c>
      <c r="IJ23" s="2">
        <v>8.2214898678811868E-6</v>
      </c>
      <c r="IK23" s="2">
        <v>0</v>
      </c>
      <c r="IL23" s="2">
        <v>5.3525726812871251E-4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2.9384084061717512E-3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3.0720965630074473E-4</v>
      </c>
      <c r="JD23" s="2">
        <v>0</v>
      </c>
      <c r="JE23" s="2">
        <v>0</v>
      </c>
      <c r="JF23" s="2">
        <v>0</v>
      </c>
      <c r="JG23" s="2">
        <v>6.0988573440240541E-3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2.1866458666646292E-2</v>
      </c>
      <c r="JN23" s="2">
        <v>3.3722098266910088E-3</v>
      </c>
      <c r="JO23" s="2">
        <v>2.4964543480824955E-3</v>
      </c>
      <c r="JP23" s="2">
        <v>0</v>
      </c>
      <c r="JQ23" s="2">
        <v>1.1561654944128225E-2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2.8623198316791999E-6</v>
      </c>
      <c r="KE23" s="2">
        <v>0</v>
      </c>
      <c r="KF23" s="2">
        <v>0</v>
      </c>
      <c r="KG23" s="2">
        <v>0</v>
      </c>
      <c r="KH23" s="2">
        <v>2.4689612066844176E-2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5.9843800192350433E-3</v>
      </c>
      <c r="LE23" s="2">
        <v>1.7567382177778465E-2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1.356610159750256E-6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1.232646597803575E-2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7.0963907663892873E-3</v>
      </c>
      <c r="MX23" s="2">
        <v>0</v>
      </c>
      <c r="MY23" s="2">
        <v>0</v>
      </c>
      <c r="MZ23" s="2">
        <v>0</v>
      </c>
      <c r="NA23" s="2">
        <v>0</v>
      </c>
      <c r="NB23" s="2">
        <v>1.3555139388744501E-2</v>
      </c>
      <c r="NC23" s="2">
        <v>0</v>
      </c>
      <c r="ND23" s="2">
        <v>0</v>
      </c>
      <c r="NE23" s="2">
        <v>0</v>
      </c>
      <c r="NF23" s="2">
        <v>0</v>
      </c>
      <c r="NG23" s="2">
        <v>9.3737115971336618E-3</v>
      </c>
      <c r="NH23" s="2">
        <v>0</v>
      </c>
      <c r="NI23" s="2">
        <v>2.0592761516663804E-8</v>
      </c>
      <c r="NJ23" s="2">
        <v>0</v>
      </c>
      <c r="NK23" s="2">
        <v>0</v>
      </c>
      <c r="NL23" s="2">
        <v>0</v>
      </c>
      <c r="NM23" s="2">
        <v>0</v>
      </c>
      <c r="NN23" s="2">
        <v>7.2793113778539748E-3</v>
      </c>
      <c r="NO23" s="2">
        <v>7.2793113778539748E-3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1.2983262087739079E-2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0</v>
      </c>
      <c r="OZ23" s="2">
        <v>3.6456945461873724E-2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0</v>
      </c>
      <c r="PO23" s="2">
        <v>0</v>
      </c>
      <c r="PP23" s="2">
        <v>0</v>
      </c>
      <c r="PQ23" s="2">
        <v>0</v>
      </c>
      <c r="PR23" s="2">
        <v>0</v>
      </c>
      <c r="PS23" s="2">
        <v>0</v>
      </c>
      <c r="PT23" s="2">
        <v>0</v>
      </c>
      <c r="PU23" s="2">
        <v>0</v>
      </c>
      <c r="PV23" s="2">
        <v>0</v>
      </c>
      <c r="PW23" s="2">
        <v>0</v>
      </c>
      <c r="PX23" s="2">
        <v>0</v>
      </c>
      <c r="PY23" s="2">
        <v>0</v>
      </c>
      <c r="PZ23" s="2">
        <v>0</v>
      </c>
      <c r="QA23" s="2">
        <v>0</v>
      </c>
      <c r="QB23" s="2">
        <v>0</v>
      </c>
      <c r="QC23" s="2">
        <v>0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0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0</v>
      </c>
      <c r="QR23" s="2">
        <v>0</v>
      </c>
      <c r="QS23" s="2">
        <v>0</v>
      </c>
      <c r="QT23" s="2">
        <v>9.2559498036179876E-3</v>
      </c>
      <c r="QU23" s="2">
        <v>5.4392363619476351E-3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0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7.8654904246871048E-7</v>
      </c>
      <c r="RV23" s="2">
        <v>1.9224865776875602E-8</v>
      </c>
      <c r="RW23" s="2">
        <v>0</v>
      </c>
      <c r="RX23" s="2">
        <v>0</v>
      </c>
      <c r="RY23" s="2">
        <v>0</v>
      </c>
      <c r="RZ23" s="2">
        <v>0</v>
      </c>
      <c r="SA23" s="2">
        <v>0</v>
      </c>
      <c r="SB23" s="2">
        <v>0</v>
      </c>
      <c r="SC23" s="2">
        <v>0</v>
      </c>
      <c r="SD23" s="2">
        <v>0</v>
      </c>
      <c r="SE23" s="2">
        <v>0</v>
      </c>
      <c r="SF23" s="2">
        <v>0</v>
      </c>
      <c r="SG23" s="2">
        <v>0</v>
      </c>
      <c r="SH23" s="2">
        <v>0</v>
      </c>
      <c r="SI23" s="2">
        <v>0</v>
      </c>
      <c r="SJ23" s="2">
        <v>0</v>
      </c>
      <c r="SK23" s="2">
        <v>0</v>
      </c>
      <c r="SL23" s="2">
        <v>0</v>
      </c>
      <c r="SM23" s="2">
        <v>0</v>
      </c>
      <c r="SN23" s="2">
        <v>0</v>
      </c>
      <c r="SO23" s="2">
        <v>0</v>
      </c>
      <c r="SP23" s="2">
        <v>0</v>
      </c>
      <c r="SQ23" s="2">
        <v>2.7451137619240442E-8</v>
      </c>
      <c r="SR23" s="2">
        <v>0</v>
      </c>
      <c r="SS23" s="2">
        <v>0</v>
      </c>
      <c r="ST23" s="2">
        <v>0</v>
      </c>
      <c r="SU23" s="2">
        <v>0</v>
      </c>
      <c r="SV23" s="2">
        <v>0</v>
      </c>
      <c r="SW23" s="2">
        <v>1.029491987073701E-7</v>
      </c>
      <c r="SX23" s="2">
        <v>0</v>
      </c>
      <c r="SY23" s="2">
        <v>0</v>
      </c>
      <c r="SZ23" s="2">
        <v>0</v>
      </c>
      <c r="TA23" s="2">
        <v>0</v>
      </c>
      <c r="TB23" s="2">
        <v>0</v>
      </c>
      <c r="TC23" s="2">
        <v>0</v>
      </c>
      <c r="TD23" s="2">
        <v>0</v>
      </c>
      <c r="TE23" s="2">
        <v>0</v>
      </c>
      <c r="TF23" s="2">
        <v>0</v>
      </c>
      <c r="TG23" s="2">
        <v>0</v>
      </c>
      <c r="TH23" s="2">
        <v>0</v>
      </c>
      <c r="TI23" s="2">
        <v>8.5548410521891974E-7</v>
      </c>
      <c r="TJ23" s="2">
        <v>0</v>
      </c>
      <c r="TK23" s="2">
        <v>0</v>
      </c>
      <c r="TL23" s="2">
        <v>0</v>
      </c>
      <c r="TM23" s="2">
        <v>0</v>
      </c>
      <c r="TN23" s="2">
        <v>1.3316699792060922E-2</v>
      </c>
      <c r="TO23" s="2">
        <v>0</v>
      </c>
      <c r="TP23" s="2">
        <v>0</v>
      </c>
      <c r="TQ23" s="2">
        <v>0</v>
      </c>
      <c r="TR23" s="2">
        <v>0</v>
      </c>
      <c r="TS23" s="2">
        <v>2.0983918906975817E-7</v>
      </c>
      <c r="TT23" s="2">
        <v>0</v>
      </c>
      <c r="TU23" s="2">
        <v>0</v>
      </c>
      <c r="TV23" s="2">
        <v>0</v>
      </c>
      <c r="TW23" s="2">
        <v>0</v>
      </c>
      <c r="TX23" s="2">
        <v>0</v>
      </c>
      <c r="TY23" s="2">
        <v>0</v>
      </c>
      <c r="TZ23" s="2">
        <v>0</v>
      </c>
      <c r="UA23" s="2">
        <v>0</v>
      </c>
      <c r="UB23" s="2">
        <v>0</v>
      </c>
      <c r="UC23" s="2">
        <v>0</v>
      </c>
      <c r="UD23" s="2">
        <v>2.069588378931472E-6</v>
      </c>
      <c r="UE23" s="2">
        <v>0</v>
      </c>
      <c r="UF23" s="2">
        <v>0</v>
      </c>
      <c r="UG23" s="2">
        <v>0</v>
      </c>
      <c r="UH23" s="2">
        <v>0</v>
      </c>
      <c r="UI23" s="2">
        <v>0</v>
      </c>
      <c r="UJ23" s="2">
        <v>0</v>
      </c>
      <c r="UK23" s="2">
        <v>0</v>
      </c>
      <c r="UL23" s="2">
        <v>0</v>
      </c>
      <c r="UM23" s="2">
        <v>0</v>
      </c>
      <c r="UN23" s="2">
        <v>0</v>
      </c>
      <c r="UO23" s="2">
        <v>0</v>
      </c>
      <c r="UP23" s="2">
        <v>0</v>
      </c>
      <c r="UQ23" s="2">
        <v>0</v>
      </c>
      <c r="UR23" s="2">
        <v>0</v>
      </c>
      <c r="US23" s="2">
        <v>0</v>
      </c>
      <c r="UT23" s="2">
        <v>0</v>
      </c>
      <c r="UU23" s="2">
        <v>0</v>
      </c>
      <c r="UV23" s="2">
        <v>0</v>
      </c>
      <c r="UW23" s="2">
        <v>0</v>
      </c>
      <c r="UX23" s="2">
        <v>0</v>
      </c>
      <c r="UY23" s="2">
        <v>2.6252263478484538E-8</v>
      </c>
      <c r="UZ23" s="2">
        <v>0</v>
      </c>
      <c r="VA23" s="2">
        <v>0</v>
      </c>
      <c r="VB23" s="2">
        <v>0</v>
      </c>
      <c r="VC23" s="2">
        <v>0</v>
      </c>
      <c r="VD23" s="2">
        <v>0</v>
      </c>
      <c r="VE23" s="2">
        <v>0</v>
      </c>
      <c r="VF23" s="2">
        <v>0</v>
      </c>
      <c r="VG23" s="2">
        <v>0</v>
      </c>
      <c r="VH23" s="2">
        <v>0</v>
      </c>
      <c r="VI23" s="2">
        <v>0</v>
      </c>
      <c r="VJ23" s="2">
        <v>0</v>
      </c>
      <c r="VK23" s="2">
        <v>0</v>
      </c>
      <c r="VL23" s="2">
        <v>0</v>
      </c>
      <c r="VM23" s="2">
        <v>0</v>
      </c>
      <c r="VN23" s="2">
        <v>0</v>
      </c>
      <c r="VO23" s="2">
        <v>0</v>
      </c>
      <c r="VP23" s="2">
        <v>0</v>
      </c>
      <c r="VQ23" s="2">
        <v>0</v>
      </c>
      <c r="VR23" s="2">
        <v>0</v>
      </c>
      <c r="VS23" s="2">
        <v>0</v>
      </c>
      <c r="VT23" s="2">
        <v>0</v>
      </c>
      <c r="VU23" s="2">
        <v>0</v>
      </c>
      <c r="VV23" s="2">
        <v>0</v>
      </c>
      <c r="VW23" s="2">
        <v>0</v>
      </c>
      <c r="VX23" s="2">
        <v>0</v>
      </c>
      <c r="VY23" s="2">
        <v>0</v>
      </c>
      <c r="VZ23" s="2">
        <v>0</v>
      </c>
      <c r="WA23" s="2">
        <v>0</v>
      </c>
      <c r="WB23" s="2">
        <v>0</v>
      </c>
      <c r="WC23" s="2">
        <v>0</v>
      </c>
      <c r="WD23" s="2">
        <v>0</v>
      </c>
      <c r="WE23" s="2">
        <v>0</v>
      </c>
      <c r="WF23" s="2">
        <v>0</v>
      </c>
      <c r="WG23" s="2">
        <v>0</v>
      </c>
      <c r="WH23" s="2">
        <v>0</v>
      </c>
      <c r="WI23" s="2">
        <v>0</v>
      </c>
      <c r="WJ23" s="2">
        <v>0</v>
      </c>
      <c r="WK23" s="2">
        <v>0</v>
      </c>
      <c r="WL23" s="2">
        <v>0</v>
      </c>
      <c r="WM23" s="2">
        <v>0</v>
      </c>
      <c r="WN23" s="2">
        <v>1.0639500790388188E-6</v>
      </c>
      <c r="WO23" s="2">
        <v>0</v>
      </c>
      <c r="WP23" s="2">
        <v>0</v>
      </c>
      <c r="WQ23" s="2">
        <v>0</v>
      </c>
      <c r="WR23" s="2">
        <v>9.0106254302385891E-3</v>
      </c>
      <c r="WS23" s="2">
        <v>0</v>
      </c>
      <c r="WT23" s="2">
        <v>0</v>
      </c>
      <c r="WU23" s="2">
        <v>0</v>
      </c>
      <c r="WV23" s="2">
        <v>2.7215429105655886E-2</v>
      </c>
      <c r="WW23" s="2">
        <v>1.9666399662656018E-2</v>
      </c>
      <c r="WX23" s="2">
        <v>0</v>
      </c>
      <c r="WY23" s="2">
        <v>0</v>
      </c>
      <c r="WZ23" s="2">
        <v>0</v>
      </c>
      <c r="XA23" s="2">
        <v>0</v>
      </c>
      <c r="XB23" s="2">
        <v>0</v>
      </c>
      <c r="XC23" s="2">
        <v>0</v>
      </c>
      <c r="XD23" s="2">
        <v>0</v>
      </c>
      <c r="XE23" s="2">
        <v>0</v>
      </c>
      <c r="XF23" s="2">
        <v>0</v>
      </c>
      <c r="XG23" s="2">
        <v>0</v>
      </c>
      <c r="XH23" s="2">
        <v>0</v>
      </c>
      <c r="XI23" s="2">
        <v>0</v>
      </c>
      <c r="XJ23" s="2">
        <v>0</v>
      </c>
      <c r="XK23" s="2">
        <v>0</v>
      </c>
      <c r="XL23" s="2">
        <v>0</v>
      </c>
      <c r="XM23" s="2">
        <v>0</v>
      </c>
      <c r="XN23" s="2">
        <v>0</v>
      </c>
      <c r="XO23" s="2">
        <v>0</v>
      </c>
      <c r="XP23" s="2">
        <v>0</v>
      </c>
      <c r="XQ23" s="2">
        <v>0</v>
      </c>
      <c r="XR23" s="2">
        <v>0</v>
      </c>
      <c r="XS23" s="2">
        <v>0</v>
      </c>
      <c r="XT23" s="2">
        <v>0</v>
      </c>
      <c r="XU23" s="2">
        <v>0</v>
      </c>
      <c r="XV23" s="2">
        <v>0</v>
      </c>
      <c r="XW23" s="2">
        <v>0</v>
      </c>
      <c r="XX23" s="2">
        <v>0</v>
      </c>
      <c r="XY23" s="2">
        <v>0</v>
      </c>
      <c r="XZ23" s="2">
        <v>0</v>
      </c>
      <c r="YA23" s="2">
        <v>0</v>
      </c>
      <c r="YB23" s="2">
        <v>0</v>
      </c>
      <c r="YC23" s="2">
        <v>0</v>
      </c>
      <c r="YD23" s="2">
        <v>0</v>
      </c>
      <c r="YE23" s="2">
        <v>0</v>
      </c>
      <c r="YF23" s="2">
        <v>0</v>
      </c>
      <c r="YG23" s="2">
        <v>0</v>
      </c>
      <c r="YH23" s="2">
        <v>0</v>
      </c>
      <c r="YI23" s="2">
        <v>0</v>
      </c>
      <c r="YJ23" s="2">
        <v>0</v>
      </c>
      <c r="YK23" s="2">
        <v>0</v>
      </c>
      <c r="YL23" s="2">
        <v>1.0805051632751111E-2</v>
      </c>
      <c r="YM23" s="2">
        <v>0</v>
      </c>
      <c r="YN23" s="2">
        <v>0</v>
      </c>
      <c r="YO23" s="2">
        <v>0</v>
      </c>
      <c r="YP23" s="2">
        <v>0</v>
      </c>
      <c r="YQ23" s="2">
        <v>0</v>
      </c>
      <c r="YR23" s="2">
        <v>0</v>
      </c>
      <c r="YS23" s="2">
        <v>0</v>
      </c>
      <c r="YT23" s="2">
        <v>0</v>
      </c>
      <c r="YU23" s="2">
        <v>0</v>
      </c>
      <c r="YV23" s="2">
        <v>0</v>
      </c>
      <c r="YW23" s="2">
        <v>0</v>
      </c>
      <c r="YX23" s="2">
        <v>0</v>
      </c>
      <c r="YY23" s="2">
        <v>0</v>
      </c>
      <c r="YZ23" s="2">
        <v>0</v>
      </c>
      <c r="ZA23" s="2">
        <v>0</v>
      </c>
      <c r="ZB23" s="2">
        <v>0</v>
      </c>
      <c r="ZC23" s="2">
        <v>0</v>
      </c>
      <c r="ZD23" s="2">
        <v>0</v>
      </c>
      <c r="ZE23" s="2">
        <v>0</v>
      </c>
      <c r="ZF23" s="2">
        <v>0</v>
      </c>
      <c r="ZG23" s="2">
        <v>0</v>
      </c>
      <c r="ZH23" s="2">
        <v>0</v>
      </c>
      <c r="ZI23" s="2">
        <v>0</v>
      </c>
      <c r="ZJ23" s="2">
        <v>8.7089770547461589E-7</v>
      </c>
      <c r="ZK23" s="2">
        <v>0</v>
      </c>
      <c r="ZL23" s="2">
        <v>0</v>
      </c>
      <c r="ZM23" s="2">
        <v>0</v>
      </c>
      <c r="ZN23" s="2">
        <v>0</v>
      </c>
      <c r="ZO23" s="2">
        <v>0</v>
      </c>
      <c r="ZP23" s="2">
        <v>0</v>
      </c>
      <c r="ZQ23" s="2">
        <v>0</v>
      </c>
      <c r="ZR23" s="2">
        <v>0</v>
      </c>
      <c r="ZS23" s="2">
        <v>0</v>
      </c>
      <c r="ZT23" s="2">
        <v>0</v>
      </c>
      <c r="ZU23" s="2">
        <v>0</v>
      </c>
      <c r="ZV23" s="2">
        <v>0</v>
      </c>
      <c r="ZW23" s="2">
        <v>0</v>
      </c>
      <c r="ZX23" s="2">
        <v>0</v>
      </c>
      <c r="ZY23" s="2">
        <v>0</v>
      </c>
      <c r="ZZ23" s="2">
        <v>0</v>
      </c>
      <c r="AAA23" s="2">
        <v>0</v>
      </c>
      <c r="AAB23" s="2">
        <v>8.398830590955364E-3</v>
      </c>
      <c r="AAC23" s="2">
        <v>0</v>
      </c>
      <c r="AAD23" s="2">
        <v>0</v>
      </c>
      <c r="AAE23" s="2">
        <v>0</v>
      </c>
      <c r="AAF23" s="2">
        <v>0</v>
      </c>
      <c r="AAG23" s="2">
        <v>0</v>
      </c>
      <c r="AAH23" s="2">
        <v>0</v>
      </c>
      <c r="AAI23" s="2">
        <v>0</v>
      </c>
      <c r="AAJ23" s="2">
        <v>0</v>
      </c>
      <c r="AAK23" s="2">
        <v>0</v>
      </c>
      <c r="AAL23" s="2">
        <v>0</v>
      </c>
      <c r="AAM23" s="2">
        <v>0</v>
      </c>
      <c r="AAN23" s="2">
        <v>0</v>
      </c>
      <c r="AAO23" s="2">
        <v>0</v>
      </c>
      <c r="AAP23" s="2">
        <v>0</v>
      </c>
      <c r="AAQ23" s="2">
        <v>0</v>
      </c>
      <c r="AAR23" s="2">
        <v>0</v>
      </c>
      <c r="AAS23" s="2">
        <v>0</v>
      </c>
      <c r="AAT23" s="2">
        <v>0</v>
      </c>
      <c r="AAU23" s="2">
        <v>0</v>
      </c>
      <c r="AAV23" s="2">
        <v>0</v>
      </c>
      <c r="AAW23" s="2">
        <v>0</v>
      </c>
      <c r="AAX23" s="2">
        <v>0</v>
      </c>
      <c r="AAY23" s="2">
        <v>0</v>
      </c>
      <c r="AAZ23" s="2">
        <v>0</v>
      </c>
      <c r="ABA23" s="2">
        <v>0</v>
      </c>
      <c r="ABB23" s="2">
        <v>0</v>
      </c>
      <c r="ABC23" s="2">
        <v>0</v>
      </c>
      <c r="ABD23" s="2">
        <v>0</v>
      </c>
      <c r="ABE23" s="2">
        <v>0</v>
      </c>
      <c r="ABF23" s="2">
        <v>0</v>
      </c>
      <c r="ABG23" s="2">
        <v>0</v>
      </c>
      <c r="ABH23" s="2">
        <v>0</v>
      </c>
      <c r="ABI23" s="2">
        <v>0</v>
      </c>
      <c r="ABJ23" s="2">
        <v>0</v>
      </c>
      <c r="ABK23" s="2">
        <v>0</v>
      </c>
      <c r="ABL23" s="2">
        <v>0</v>
      </c>
      <c r="ABM23" s="2">
        <v>0</v>
      </c>
      <c r="ABN23" s="2">
        <v>0</v>
      </c>
      <c r="ABO23" s="2">
        <v>1.5270652637621812E-7</v>
      </c>
      <c r="ABP23" s="2">
        <v>0</v>
      </c>
      <c r="ABQ23" s="2">
        <v>0</v>
      </c>
      <c r="ABR23" s="2">
        <v>0</v>
      </c>
      <c r="ABS23" s="2">
        <v>0</v>
      </c>
      <c r="ABT23" s="2">
        <v>0</v>
      </c>
      <c r="ABU23" s="2">
        <v>2.8201064878862684E-7</v>
      </c>
      <c r="ABV23" s="2">
        <v>0</v>
      </c>
      <c r="ABW23" s="2">
        <v>0</v>
      </c>
      <c r="ABX23" s="2">
        <v>0</v>
      </c>
      <c r="ABY23" s="2">
        <v>0</v>
      </c>
      <c r="ABZ23" s="2">
        <v>0</v>
      </c>
      <c r="ACA23" s="2">
        <v>0</v>
      </c>
      <c r="ACB23" s="2">
        <v>0</v>
      </c>
      <c r="ACC23" s="2">
        <v>0</v>
      </c>
      <c r="ACD23" s="2">
        <v>0</v>
      </c>
      <c r="ACE23" s="2">
        <v>0</v>
      </c>
      <c r="ACF23" s="2">
        <v>0</v>
      </c>
      <c r="ACG23" s="2">
        <v>0</v>
      </c>
      <c r="ACH23" s="2">
        <v>3.0393489900754138E-7</v>
      </c>
      <c r="ACI23" s="2">
        <v>0</v>
      </c>
      <c r="ACJ23" s="2">
        <v>0</v>
      </c>
      <c r="ACK23" s="2">
        <v>1.7966899794039719E-8</v>
      </c>
      <c r="ACL23" s="2">
        <v>0</v>
      </c>
      <c r="ACM23" s="2">
        <v>0</v>
      </c>
      <c r="ACN23" s="2">
        <v>0</v>
      </c>
      <c r="ACO23" s="2">
        <v>0</v>
      </c>
      <c r="ACP23" s="2">
        <v>0</v>
      </c>
      <c r="ACQ23" s="2">
        <v>0</v>
      </c>
      <c r="ACR23" s="2">
        <v>0</v>
      </c>
      <c r="ACS23" s="2">
        <v>0</v>
      </c>
      <c r="ACT23" s="2">
        <v>0</v>
      </c>
      <c r="ACU23" s="2">
        <v>0</v>
      </c>
      <c r="ACV23" s="2">
        <v>0</v>
      </c>
      <c r="ACW23" s="2">
        <v>0</v>
      </c>
      <c r="ACX23" s="2">
        <v>0</v>
      </c>
      <c r="ACY23" s="2">
        <v>0</v>
      </c>
      <c r="ACZ23" s="2">
        <v>0</v>
      </c>
      <c r="ADA23" s="2">
        <v>0</v>
      </c>
      <c r="ADB23" s="2">
        <v>0</v>
      </c>
      <c r="ADC23" s="2">
        <v>0</v>
      </c>
      <c r="ADD23" s="2">
        <v>0</v>
      </c>
      <c r="ADE23" s="2">
        <v>0</v>
      </c>
      <c r="ADF23" s="2">
        <v>0</v>
      </c>
      <c r="ADG23" s="2">
        <v>0</v>
      </c>
      <c r="ADH23" s="2">
        <v>0</v>
      </c>
      <c r="ADI23" s="2">
        <v>0</v>
      </c>
      <c r="ADJ23" s="2">
        <v>0</v>
      </c>
      <c r="ADK23" s="2">
        <v>0</v>
      </c>
      <c r="ADL23" s="2">
        <v>0</v>
      </c>
      <c r="ADM23" s="2">
        <v>0</v>
      </c>
      <c r="ADN23" s="2">
        <v>0</v>
      </c>
      <c r="ADO23" s="2">
        <v>0</v>
      </c>
      <c r="ADP23" s="2">
        <v>0</v>
      </c>
      <c r="ADQ23" s="2">
        <v>0</v>
      </c>
      <c r="ADR23" s="2">
        <v>0</v>
      </c>
      <c r="ADS23" s="2">
        <v>0</v>
      </c>
      <c r="ADT23" s="2">
        <v>2.7832122211774844E-7</v>
      </c>
      <c r="ADU23" s="2">
        <v>0</v>
      </c>
      <c r="ADV23" s="2">
        <v>0</v>
      </c>
      <c r="ADW23" s="2">
        <v>0</v>
      </c>
      <c r="ADX23" s="2">
        <v>8.125052004172538E-2</v>
      </c>
      <c r="ADY23" s="2">
        <v>0</v>
      </c>
      <c r="ADZ23" s="2">
        <v>0</v>
      </c>
      <c r="AEA23" s="2">
        <v>3.2128611753766468E-3</v>
      </c>
      <c r="AEB23" s="2">
        <v>0</v>
      </c>
      <c r="AEC23" s="2">
        <v>0</v>
      </c>
      <c r="AED23" s="2">
        <v>0</v>
      </c>
      <c r="AEE23" s="2">
        <v>0</v>
      </c>
      <c r="AEF23" s="2">
        <v>0</v>
      </c>
      <c r="AEG23" s="2">
        <v>0</v>
      </c>
      <c r="AEH23" s="2">
        <v>1.6425271048083817E-7</v>
      </c>
      <c r="AEI23" s="2">
        <v>5.2344562035207621E-3</v>
      </c>
      <c r="AEJ23" s="2">
        <v>0</v>
      </c>
      <c r="AEK23" s="2">
        <v>0</v>
      </c>
      <c r="AEL23" s="2">
        <v>0</v>
      </c>
      <c r="AEM23" s="2">
        <v>0</v>
      </c>
      <c r="AEN23" s="2">
        <v>0</v>
      </c>
      <c r="AEO23" s="2">
        <v>0</v>
      </c>
      <c r="AEP23" s="2">
        <v>0</v>
      </c>
      <c r="AEQ23" s="2">
        <v>0</v>
      </c>
      <c r="AER23" s="2">
        <v>0</v>
      </c>
      <c r="AES23" s="2">
        <v>0</v>
      </c>
      <c r="AET23" s="2">
        <v>0</v>
      </c>
      <c r="AEU23" s="2">
        <v>0</v>
      </c>
      <c r="AEV23" s="2">
        <v>0</v>
      </c>
      <c r="AEW23" s="2">
        <v>0</v>
      </c>
      <c r="AEX23" s="2">
        <v>0</v>
      </c>
      <c r="AEY23" s="2">
        <v>0</v>
      </c>
      <c r="AEZ23" s="2">
        <v>0</v>
      </c>
      <c r="AFA23" s="2">
        <v>0</v>
      </c>
      <c r="AFB23" s="2">
        <v>0</v>
      </c>
      <c r="AFC23" s="2">
        <v>0</v>
      </c>
      <c r="AFD23" s="2">
        <v>0</v>
      </c>
      <c r="AFE23" s="2">
        <v>0</v>
      </c>
      <c r="AFF23" s="2">
        <v>0</v>
      </c>
      <c r="AFG23" s="2">
        <v>0</v>
      </c>
      <c r="AFH23" s="2">
        <v>0</v>
      </c>
      <c r="AFI23" s="2">
        <v>0</v>
      </c>
      <c r="AFJ23" s="2">
        <v>0</v>
      </c>
      <c r="AFK23" s="2">
        <v>0</v>
      </c>
      <c r="AFL23" s="2">
        <v>2.5651516797210193E-9</v>
      </c>
      <c r="AFM23" s="2">
        <v>0</v>
      </c>
      <c r="AFN23" s="2">
        <v>0</v>
      </c>
      <c r="AFO23" s="2">
        <v>0</v>
      </c>
      <c r="AFP23" s="2">
        <v>4.1117515573431268E-3</v>
      </c>
      <c r="AFQ23" s="2">
        <v>0</v>
      </c>
      <c r="AFR23" s="2">
        <v>0</v>
      </c>
      <c r="AFS23" s="2">
        <v>0</v>
      </c>
      <c r="AFT23" s="2">
        <v>0</v>
      </c>
      <c r="AFU23" s="2">
        <v>0</v>
      </c>
      <c r="AFV23" s="2">
        <v>0</v>
      </c>
      <c r="AFW23" s="2">
        <v>0</v>
      </c>
      <c r="AFX23" s="2">
        <v>0</v>
      </c>
      <c r="AFY23" s="2">
        <v>0</v>
      </c>
      <c r="AFZ23" s="2">
        <v>0</v>
      </c>
      <c r="AGA23" s="2">
        <v>0</v>
      </c>
      <c r="AGB23" s="2">
        <v>8.1823801131147164E-2</v>
      </c>
      <c r="AGC23" s="2">
        <v>0</v>
      </c>
      <c r="AGD23" s="2">
        <v>2.3312201301902771E-3</v>
      </c>
      <c r="AGE23" s="2">
        <v>0</v>
      </c>
      <c r="AGF23" s="2">
        <v>0</v>
      </c>
      <c r="AGG23" s="2">
        <v>0</v>
      </c>
      <c r="AGH23" s="2">
        <v>0</v>
      </c>
      <c r="AGI23" s="2">
        <v>0</v>
      </c>
      <c r="AGJ23" s="2">
        <v>0</v>
      </c>
      <c r="AGK23" s="2">
        <v>0</v>
      </c>
      <c r="AGL23" s="2">
        <v>0</v>
      </c>
      <c r="AGM23" s="2">
        <v>0</v>
      </c>
      <c r="AGN23" s="2">
        <v>0</v>
      </c>
      <c r="AGO23" s="2">
        <v>0</v>
      </c>
      <c r="AGP23" s="2">
        <v>0</v>
      </c>
      <c r="AGQ23" s="2">
        <v>0</v>
      </c>
      <c r="AGR23" s="2">
        <v>0</v>
      </c>
      <c r="AGS23" s="2">
        <v>0</v>
      </c>
      <c r="AGT23" s="2">
        <v>0</v>
      </c>
      <c r="AGU23" s="2">
        <v>0</v>
      </c>
      <c r="AGV23" s="2">
        <v>0</v>
      </c>
      <c r="AGW23" s="2">
        <v>0</v>
      </c>
      <c r="AGX23" s="2">
        <v>0</v>
      </c>
      <c r="AGY23" s="2">
        <v>0</v>
      </c>
      <c r="AGZ23" s="2">
        <v>0</v>
      </c>
      <c r="AHA23" s="2">
        <v>0</v>
      </c>
      <c r="AHB23" s="2">
        <v>0</v>
      </c>
      <c r="AHC23" s="2">
        <v>0</v>
      </c>
      <c r="AHD23" s="2">
        <v>0</v>
      </c>
      <c r="AHE23" s="2">
        <v>0</v>
      </c>
      <c r="AHF23" s="2">
        <v>0</v>
      </c>
      <c r="AHG23" s="2">
        <v>0</v>
      </c>
      <c r="AHH23" s="2">
        <v>0</v>
      </c>
      <c r="AHI23" s="2">
        <v>0</v>
      </c>
      <c r="AHJ23" s="2">
        <v>0</v>
      </c>
      <c r="AHK23" s="2">
        <v>0</v>
      </c>
      <c r="AHL23" s="2">
        <v>0</v>
      </c>
      <c r="AHM23" s="2">
        <v>0</v>
      </c>
      <c r="AHN23" s="2">
        <v>0</v>
      </c>
      <c r="AHO23" s="2">
        <v>0</v>
      </c>
      <c r="AHP23" s="2">
        <v>0</v>
      </c>
      <c r="AHQ23" s="2">
        <v>0</v>
      </c>
      <c r="AHR23" s="2">
        <v>0</v>
      </c>
      <c r="AHS23" s="2">
        <v>0</v>
      </c>
      <c r="AHT23" s="2">
        <v>0</v>
      </c>
      <c r="AHU23" s="2">
        <v>0</v>
      </c>
      <c r="AHV23" s="2">
        <v>0</v>
      </c>
      <c r="AHW23" s="2">
        <v>0</v>
      </c>
      <c r="AHX23" s="2">
        <v>0</v>
      </c>
      <c r="AHY23" s="2">
        <v>0</v>
      </c>
      <c r="AHZ23" s="2">
        <v>0</v>
      </c>
      <c r="AIA23" s="2">
        <v>0</v>
      </c>
      <c r="AIB23" s="2">
        <v>0</v>
      </c>
      <c r="AIC23" s="2">
        <v>0</v>
      </c>
      <c r="AID23" s="2">
        <v>0</v>
      </c>
      <c r="AIE23" s="2">
        <v>0</v>
      </c>
      <c r="AIF23" s="2">
        <v>0</v>
      </c>
      <c r="AIG23" s="2">
        <v>0</v>
      </c>
      <c r="AIH23" s="2">
        <v>0</v>
      </c>
      <c r="AII23" s="2">
        <v>0</v>
      </c>
      <c r="AIJ23" s="2">
        <v>0</v>
      </c>
      <c r="AIK23" s="2">
        <v>3.9804024532948783E-3</v>
      </c>
      <c r="AIL23" s="2">
        <v>2.0093542176364217E-2</v>
      </c>
      <c r="AIM23" s="2">
        <v>0</v>
      </c>
      <c r="AIN23" s="2">
        <v>0</v>
      </c>
      <c r="AIO23" s="2">
        <v>0</v>
      </c>
      <c r="AIP23" s="2">
        <v>0</v>
      </c>
      <c r="AIQ23" s="2">
        <v>0</v>
      </c>
      <c r="AIR23" s="2">
        <v>1.3696805409988235E-2</v>
      </c>
      <c r="AIS23" s="2">
        <v>3.6811995445984063E-9</v>
      </c>
      <c r="AIT23" s="2">
        <v>0</v>
      </c>
      <c r="AIU23" s="2">
        <v>0</v>
      </c>
      <c r="AIV23" s="2">
        <v>0</v>
      </c>
      <c r="AIW23" s="2">
        <v>0</v>
      </c>
      <c r="AIX23" s="2">
        <v>0</v>
      </c>
      <c r="AIY23" s="2">
        <v>0</v>
      </c>
      <c r="AIZ23" s="2">
        <v>0</v>
      </c>
      <c r="AJA23" s="2">
        <v>0</v>
      </c>
      <c r="AJB23" s="2">
        <v>0</v>
      </c>
      <c r="AJC23" s="2">
        <v>0</v>
      </c>
      <c r="AJD23" s="2">
        <v>4.8313699839774421E-9</v>
      </c>
      <c r="AJE23" s="2">
        <v>0</v>
      </c>
      <c r="AJF23" s="2">
        <v>0</v>
      </c>
      <c r="AJG23" s="2">
        <v>0</v>
      </c>
      <c r="AJH23" s="2">
        <v>0</v>
      </c>
      <c r="AJI23" s="2">
        <v>5.1298504600586978E-3</v>
      </c>
      <c r="AJJ23" s="2">
        <v>0</v>
      </c>
      <c r="AJK23" s="2">
        <v>0</v>
      </c>
      <c r="AJL23" s="2">
        <v>0</v>
      </c>
      <c r="AJM23" s="2">
        <v>0</v>
      </c>
      <c r="AJN23" s="2">
        <v>0</v>
      </c>
      <c r="AJO23" s="2">
        <v>8.3817465155852644E-3</v>
      </c>
      <c r="AJP23" s="2">
        <v>0</v>
      </c>
      <c r="AJQ23" s="2">
        <v>3.9986957993549104E-3</v>
      </c>
      <c r="AJR23" s="2">
        <v>0</v>
      </c>
      <c r="AJS23" s="2">
        <v>0</v>
      </c>
      <c r="AJT23" s="2">
        <v>0</v>
      </c>
      <c r="AJU23" s="2">
        <v>0</v>
      </c>
      <c r="AJV23" s="2">
        <v>2.0293154426874807E-3</v>
      </c>
      <c r="AJW23" s="2">
        <v>1.0530543096635314E-2</v>
      </c>
      <c r="AJX23" s="2">
        <v>3.14670488627405E-3</v>
      </c>
      <c r="AJY23" s="2">
        <v>0</v>
      </c>
      <c r="AJZ23" s="2">
        <v>0</v>
      </c>
      <c r="AKA23" s="2">
        <v>0</v>
      </c>
      <c r="AKB23" s="2">
        <v>2.5417941532627043E-2</v>
      </c>
      <c r="AKC23" s="2">
        <v>0</v>
      </c>
    </row>
    <row r="24" spans="1:1139" x14ac:dyDescent="0.25">
      <c r="A24" t="s">
        <v>0</v>
      </c>
      <c r="B24" t="s">
        <v>1</v>
      </c>
      <c r="C24" s="1">
        <v>46203</v>
      </c>
      <c r="D24" t="s">
        <v>15</v>
      </c>
      <c r="E24">
        <v>7928996892.6624365</v>
      </c>
      <c r="F24">
        <v>14969963.1901967</v>
      </c>
      <c r="G24">
        <v>1000</v>
      </c>
      <c r="H24">
        <v>9.9994964609699619E-3</v>
      </c>
      <c r="I24">
        <v>0</v>
      </c>
      <c r="J24">
        <v>0</v>
      </c>
      <c r="K24">
        <v>0</v>
      </c>
      <c r="L24">
        <v>2936031.66</v>
      </c>
      <c r="M24">
        <v>1293.4400001027916</v>
      </c>
      <c r="N24">
        <v>1000.0000000000001</v>
      </c>
      <c r="O24">
        <v>1100</v>
      </c>
      <c r="P24">
        <v>200</v>
      </c>
      <c r="Q24">
        <v>0</v>
      </c>
      <c r="R24">
        <v>200</v>
      </c>
      <c r="S24">
        <v>0</v>
      </c>
      <c r="T24">
        <v>300</v>
      </c>
      <c r="U24">
        <v>300</v>
      </c>
      <c r="V24">
        <v>1.0000000474424062</v>
      </c>
      <c r="W24">
        <v>1000</v>
      </c>
      <c r="X24">
        <v>224719771.04608059</v>
      </c>
      <c r="Y24">
        <v>337589861.89924502</v>
      </c>
      <c r="Z24">
        <v>4952556.4999997038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100000</v>
      </c>
      <c r="AL24">
        <v>472589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168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2977340</v>
      </c>
      <c r="DS24">
        <v>0</v>
      </c>
      <c r="DT24">
        <v>3763932</v>
      </c>
      <c r="DU24">
        <v>0</v>
      </c>
      <c r="DV24">
        <v>0</v>
      </c>
      <c r="DW24">
        <v>37534</v>
      </c>
      <c r="DX24">
        <v>12051</v>
      </c>
      <c r="DY24">
        <v>9573171</v>
      </c>
      <c r="DZ24">
        <v>1782903</v>
      </c>
      <c r="EA24">
        <v>5787330</v>
      </c>
      <c r="EB24">
        <v>67</v>
      </c>
      <c r="EC24">
        <v>0</v>
      </c>
      <c r="ED24">
        <v>7699074</v>
      </c>
      <c r="EE24">
        <v>0</v>
      </c>
      <c r="EF24">
        <v>3488495</v>
      </c>
      <c r="EG24">
        <v>2639321</v>
      </c>
      <c r="EH24">
        <v>0</v>
      </c>
      <c r="EI24">
        <v>45101</v>
      </c>
      <c r="EJ24">
        <v>13938481</v>
      </c>
      <c r="EK24">
        <v>9108836</v>
      </c>
      <c r="EL24">
        <v>1416597</v>
      </c>
      <c r="EM24">
        <v>11562490</v>
      </c>
      <c r="EN24">
        <v>283249</v>
      </c>
      <c r="EO24">
        <v>10998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63500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1.4710000000000001</v>
      </c>
      <c r="HJ24">
        <v>0</v>
      </c>
      <c r="HK24">
        <v>0</v>
      </c>
      <c r="HL24">
        <v>0</v>
      </c>
      <c r="HM24">
        <v>56108</v>
      </c>
      <c r="HN24">
        <v>0</v>
      </c>
      <c r="HO24">
        <v>0</v>
      </c>
      <c r="HP24">
        <v>0</v>
      </c>
      <c r="HQ24">
        <v>42700</v>
      </c>
      <c r="HR24">
        <v>0</v>
      </c>
      <c r="HS24">
        <v>0</v>
      </c>
      <c r="HT24">
        <v>0</v>
      </c>
      <c r="HU24">
        <v>0</v>
      </c>
      <c r="HV24">
        <v>30600</v>
      </c>
      <c r="HW24">
        <v>205600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1300</v>
      </c>
      <c r="IR24">
        <v>0</v>
      </c>
      <c r="IS24">
        <v>0</v>
      </c>
      <c r="IT24">
        <v>0</v>
      </c>
      <c r="IU24">
        <v>7102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1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18750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788</v>
      </c>
      <c r="KA24">
        <v>0</v>
      </c>
      <c r="KB24">
        <v>0</v>
      </c>
      <c r="KC24">
        <v>0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4500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12749</v>
      </c>
      <c r="MB24">
        <v>23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195206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31922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12000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3470</v>
      </c>
      <c r="OX24">
        <v>0</v>
      </c>
      <c r="OY24">
        <v>0</v>
      </c>
      <c r="OZ24">
        <v>0</v>
      </c>
      <c r="PA24">
        <v>2833</v>
      </c>
      <c r="PB24">
        <v>0</v>
      </c>
      <c r="PC24">
        <v>0</v>
      </c>
      <c r="PD24">
        <v>0</v>
      </c>
      <c r="PE24">
        <v>0</v>
      </c>
      <c r="PF24">
        <v>95400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20000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192</v>
      </c>
      <c r="QD24">
        <v>0</v>
      </c>
      <c r="QE24">
        <v>0</v>
      </c>
      <c r="QF24">
        <v>0</v>
      </c>
      <c r="QG24">
        <v>0</v>
      </c>
      <c r="QH24">
        <v>1.7130000000000001</v>
      </c>
      <c r="QI24">
        <v>0</v>
      </c>
      <c r="QJ24">
        <v>1</v>
      </c>
      <c r="QK24">
        <v>0</v>
      </c>
      <c r="QL24">
        <v>11238</v>
      </c>
      <c r="QM24">
        <v>0</v>
      </c>
      <c r="QN24">
        <v>369200</v>
      </c>
      <c r="QO24">
        <v>0</v>
      </c>
      <c r="QP24">
        <v>0</v>
      </c>
      <c r="QQ24">
        <v>0</v>
      </c>
      <c r="QR24">
        <v>146999.41899999999</v>
      </c>
      <c r="QS24">
        <v>0</v>
      </c>
      <c r="QT24">
        <v>0</v>
      </c>
      <c r="QU24">
        <v>0</v>
      </c>
      <c r="QV24">
        <v>0</v>
      </c>
      <c r="QW24">
        <v>1800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59500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3600</v>
      </c>
      <c r="RJ24">
        <v>180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1</v>
      </c>
      <c r="RV24">
        <v>0</v>
      </c>
      <c r="RW24">
        <v>0</v>
      </c>
      <c r="RX24">
        <v>0</v>
      </c>
      <c r="RY24">
        <v>185020</v>
      </c>
      <c r="RZ24">
        <v>0</v>
      </c>
      <c r="SA24">
        <v>0</v>
      </c>
      <c r="SB24">
        <v>0</v>
      </c>
      <c r="SC24">
        <v>920</v>
      </c>
      <c r="SD24">
        <v>2844298.9210000001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1</v>
      </c>
      <c r="SK24">
        <v>0</v>
      </c>
      <c r="SL24">
        <v>0</v>
      </c>
      <c r="SM24">
        <v>0</v>
      </c>
      <c r="SN24">
        <v>0</v>
      </c>
      <c r="SO24">
        <v>1.726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1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0.71799999999999997</v>
      </c>
      <c r="TN24">
        <v>0</v>
      </c>
      <c r="TO24">
        <v>71529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136825.198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1.274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1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3300</v>
      </c>
      <c r="VA24">
        <v>0</v>
      </c>
      <c r="VB24">
        <v>1.5369999999999999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30700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6773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631749</v>
      </c>
      <c r="WQ24">
        <v>0</v>
      </c>
      <c r="WR24">
        <v>540100</v>
      </c>
      <c r="WS24">
        <v>0</v>
      </c>
      <c r="WT24">
        <v>0</v>
      </c>
      <c r="WU24">
        <v>0</v>
      </c>
      <c r="WV24">
        <v>0</v>
      </c>
      <c r="WW24">
        <v>144300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1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2214.9859999999999</v>
      </c>
      <c r="XV24">
        <v>0</v>
      </c>
      <c r="XW24">
        <v>0</v>
      </c>
      <c r="XX24">
        <v>18557</v>
      </c>
      <c r="XY24">
        <v>2131</v>
      </c>
      <c r="XZ24">
        <v>1379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52848.008999999998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14900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9645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4800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87500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8200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1.01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1.99</v>
      </c>
      <c r="ABV24">
        <v>0</v>
      </c>
      <c r="ABW24">
        <v>0</v>
      </c>
      <c r="ABX24">
        <v>6020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75800</v>
      </c>
      <c r="ACG24">
        <v>0</v>
      </c>
      <c r="ACH24">
        <v>0</v>
      </c>
      <c r="ACI24">
        <v>0</v>
      </c>
      <c r="ACJ24">
        <v>0</v>
      </c>
      <c r="ACK24">
        <v>6141100.7740000002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4550000</v>
      </c>
      <c r="ADB24">
        <v>0</v>
      </c>
      <c r="ADC24">
        <v>0</v>
      </c>
      <c r="ADD24">
        <v>0</v>
      </c>
      <c r="ADE24">
        <v>0</v>
      </c>
      <c r="ADF24">
        <v>13300</v>
      </c>
      <c r="ADG24">
        <v>0</v>
      </c>
      <c r="ADH24">
        <v>0</v>
      </c>
      <c r="ADI24">
        <v>0</v>
      </c>
      <c r="ADJ24">
        <v>0</v>
      </c>
      <c r="ADK24">
        <v>326000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99100</v>
      </c>
      <c r="ADY24">
        <v>0</v>
      </c>
      <c r="ADZ24">
        <v>0</v>
      </c>
      <c r="AEA24">
        <v>418965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67</v>
      </c>
      <c r="AEI24">
        <v>30713698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16500</v>
      </c>
      <c r="AEP24">
        <v>384081</v>
      </c>
      <c r="AEQ24">
        <v>0</v>
      </c>
      <c r="AER24">
        <v>930000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135411.79699999999</v>
      </c>
      <c r="AFB24">
        <v>5500</v>
      </c>
      <c r="AFC24">
        <v>0</v>
      </c>
      <c r="AFD24">
        <v>0</v>
      </c>
      <c r="AFE24">
        <v>3638</v>
      </c>
      <c r="AFF24">
        <v>0</v>
      </c>
      <c r="AFG24">
        <v>0</v>
      </c>
      <c r="AFH24">
        <v>0</v>
      </c>
      <c r="AFI24">
        <v>14300</v>
      </c>
      <c r="AFJ24">
        <v>0</v>
      </c>
      <c r="AFK24">
        <v>0</v>
      </c>
      <c r="AFL24">
        <v>0</v>
      </c>
      <c r="AFM24">
        <v>700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1.19</v>
      </c>
      <c r="AGB24">
        <v>0</v>
      </c>
      <c r="AGC24">
        <v>18425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13765</v>
      </c>
      <c r="AGJ24">
        <v>279438.86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21947</v>
      </c>
      <c r="AIF24">
        <v>0</v>
      </c>
      <c r="AIG24">
        <v>1.244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6000</v>
      </c>
      <c r="AIP24">
        <v>0</v>
      </c>
      <c r="AIQ24">
        <v>130700</v>
      </c>
      <c r="AIR24" s="2">
        <v>349911</v>
      </c>
      <c r="AIS24">
        <v>0</v>
      </c>
      <c r="AIT24">
        <v>0</v>
      </c>
      <c r="AIU24">
        <v>6920</v>
      </c>
      <c r="AIV24">
        <v>0</v>
      </c>
      <c r="AIW24">
        <v>3431335.6919999998</v>
      </c>
      <c r="AIX24">
        <v>12253</v>
      </c>
      <c r="AIY24">
        <v>0</v>
      </c>
      <c r="AIZ24">
        <v>700</v>
      </c>
      <c r="AJA24">
        <v>1570000</v>
      </c>
      <c r="AJB24">
        <v>4170000</v>
      </c>
      <c r="AJC24">
        <v>65090.376700000001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738214.81700000004</v>
      </c>
      <c r="AJJ24">
        <v>0</v>
      </c>
      <c r="AJK24">
        <v>21563</v>
      </c>
      <c r="AJL24">
        <v>0</v>
      </c>
      <c r="AJM24">
        <v>0</v>
      </c>
      <c r="AJN24">
        <v>0</v>
      </c>
      <c r="AJO24">
        <v>0</v>
      </c>
      <c r="AJP24">
        <v>114100</v>
      </c>
      <c r="AJQ24">
        <v>0</v>
      </c>
      <c r="AJR24">
        <v>6000</v>
      </c>
      <c r="AJS24">
        <v>0</v>
      </c>
      <c r="AJT24">
        <v>14788</v>
      </c>
      <c r="AJU24">
        <v>1.242</v>
      </c>
      <c r="AJV24">
        <v>0</v>
      </c>
      <c r="AJW24">
        <v>0</v>
      </c>
      <c r="AJX24">
        <v>4870</v>
      </c>
      <c r="AJY24">
        <v>0</v>
      </c>
      <c r="AJZ24">
        <v>0</v>
      </c>
      <c r="AKA24">
        <v>0</v>
      </c>
      <c r="AKB24">
        <v>0</v>
      </c>
      <c r="AKC24">
        <v>60000</v>
      </c>
      <c r="AKD24">
        <v>298000000</v>
      </c>
      <c r="AKE24">
        <v>4900</v>
      </c>
      <c r="AKF24">
        <v>0</v>
      </c>
      <c r="AKG24">
        <v>0</v>
      </c>
      <c r="AKH24">
        <v>0</v>
      </c>
      <c r="AKI24">
        <v>267000000</v>
      </c>
      <c r="AKJ24">
        <v>0</v>
      </c>
      <c r="AKK24">
        <v>24952</v>
      </c>
      <c r="AKL24">
        <v>0</v>
      </c>
      <c r="AKM24">
        <v>0</v>
      </c>
      <c r="AKN24">
        <v>0</v>
      </c>
      <c r="AKO24">
        <v>0</v>
      </c>
      <c r="AKP24">
        <v>834000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4000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1190201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9573171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6500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6200</v>
      </c>
      <c r="AQG24">
        <v>6000</v>
      </c>
      <c r="AQH24">
        <v>6000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</row>
    <row r="25" spans="1:1139" x14ac:dyDescent="0.25">
      <c r="A25" t="s">
        <v>3</v>
      </c>
      <c r="B25" t="s">
        <v>1</v>
      </c>
      <c r="C25" s="1">
        <v>46203</v>
      </c>
      <c r="D25" t="s">
        <v>16</v>
      </c>
      <c r="E25">
        <v>27857085026.771736</v>
      </c>
      <c r="F25">
        <v>81514256.669704095</v>
      </c>
      <c r="G25">
        <v>1018.77999998416</v>
      </c>
      <c r="H25">
        <v>0</v>
      </c>
      <c r="I25">
        <v>0</v>
      </c>
      <c r="J25">
        <v>0</v>
      </c>
      <c r="K25">
        <v>0</v>
      </c>
      <c r="L25">
        <v>11105085.25</v>
      </c>
      <c r="M25">
        <v>1540.5899999100575</v>
      </c>
      <c r="N25">
        <v>1000.0000000000001</v>
      </c>
      <c r="O25">
        <v>1000</v>
      </c>
      <c r="P25">
        <v>200</v>
      </c>
      <c r="Q25">
        <v>0</v>
      </c>
      <c r="R25">
        <v>200</v>
      </c>
      <c r="S25">
        <v>0</v>
      </c>
      <c r="T25">
        <v>300</v>
      </c>
      <c r="U25">
        <v>300</v>
      </c>
      <c r="V25">
        <v>1.0000000474424062</v>
      </c>
      <c r="W25">
        <v>1000</v>
      </c>
      <c r="X25">
        <v>3200798618.2683797</v>
      </c>
      <c r="Y25">
        <v>3821043893.4215856</v>
      </c>
      <c r="Z25">
        <v>43659795.170000099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120000</v>
      </c>
      <c r="AL25">
        <v>1638808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670</v>
      </c>
      <c r="CR25">
        <v>200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25572242</v>
      </c>
      <c r="DS25">
        <v>0</v>
      </c>
      <c r="DT25">
        <v>47268704</v>
      </c>
      <c r="DU25">
        <v>1000</v>
      </c>
      <c r="DV25">
        <v>0</v>
      </c>
      <c r="DW25">
        <v>6186422</v>
      </c>
      <c r="DX25">
        <v>973254</v>
      </c>
      <c r="DY25">
        <v>67711490</v>
      </c>
      <c r="DZ25">
        <v>20858116</v>
      </c>
      <c r="EA25">
        <v>43225395</v>
      </c>
      <c r="EB25">
        <v>469</v>
      </c>
      <c r="EC25">
        <v>0</v>
      </c>
      <c r="ED25">
        <v>65265667</v>
      </c>
      <c r="EE25">
        <v>0</v>
      </c>
      <c r="EF25">
        <v>12858333</v>
      </c>
      <c r="EG25">
        <v>41509231</v>
      </c>
      <c r="EH25">
        <v>0</v>
      </c>
      <c r="EI25">
        <v>3611359</v>
      </c>
      <c r="EJ25">
        <v>86687643</v>
      </c>
      <c r="EK25">
        <v>96603188</v>
      </c>
      <c r="EL25">
        <v>3091246</v>
      </c>
      <c r="EM25">
        <v>142907840</v>
      </c>
      <c r="EN25">
        <v>10679550</v>
      </c>
      <c r="EO25">
        <v>1883062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12434068</v>
      </c>
      <c r="EX25">
        <v>1878654</v>
      </c>
      <c r="EY25">
        <v>139</v>
      </c>
      <c r="EZ25">
        <v>280</v>
      </c>
      <c r="FA25">
        <v>0</v>
      </c>
      <c r="FB25">
        <v>18367</v>
      </c>
      <c r="FC25">
        <v>0</v>
      </c>
      <c r="FD25">
        <v>125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29889494</v>
      </c>
      <c r="GK25">
        <v>0</v>
      </c>
      <c r="GL25">
        <v>188.03611069999999</v>
      </c>
      <c r="GM25">
        <v>11.868832599999999</v>
      </c>
      <c r="GN25">
        <v>0</v>
      </c>
      <c r="GO25">
        <v>6.1836443000000001</v>
      </c>
      <c r="GP25">
        <v>92.841144900000003</v>
      </c>
      <c r="GQ25">
        <v>401.02175979999998</v>
      </c>
      <c r="GR25">
        <v>12.856049199999999</v>
      </c>
      <c r="GS25">
        <v>85.689041099999997</v>
      </c>
      <c r="GT25">
        <v>17.777373000000001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1</v>
      </c>
      <c r="HI25">
        <v>8029.65</v>
      </c>
      <c r="HJ25">
        <v>0</v>
      </c>
      <c r="HK25">
        <v>0</v>
      </c>
      <c r="HL25">
        <v>0</v>
      </c>
      <c r="HM25">
        <v>222932</v>
      </c>
      <c r="HN25">
        <v>0</v>
      </c>
      <c r="HO25">
        <v>0</v>
      </c>
      <c r="HP25">
        <v>2500</v>
      </c>
      <c r="HQ25">
        <v>113000</v>
      </c>
      <c r="HR25">
        <v>0</v>
      </c>
      <c r="HS25">
        <v>0</v>
      </c>
      <c r="HT25">
        <v>0</v>
      </c>
      <c r="HU25">
        <v>1.81</v>
      </c>
      <c r="HV25">
        <v>180900</v>
      </c>
      <c r="HW25">
        <v>2193300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345700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24000</v>
      </c>
      <c r="IK25">
        <v>0</v>
      </c>
      <c r="IL25">
        <v>583</v>
      </c>
      <c r="IM25">
        <v>0</v>
      </c>
      <c r="IN25">
        <v>0</v>
      </c>
      <c r="IO25">
        <v>0</v>
      </c>
      <c r="IP25">
        <v>0</v>
      </c>
      <c r="IQ25">
        <v>4300</v>
      </c>
      <c r="IR25">
        <v>0</v>
      </c>
      <c r="IS25">
        <v>58540</v>
      </c>
      <c r="IT25">
        <v>0</v>
      </c>
      <c r="IU25">
        <v>29776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4911646</v>
      </c>
      <c r="JD25">
        <v>1</v>
      </c>
      <c r="JE25">
        <v>0</v>
      </c>
      <c r="JF25">
        <v>0</v>
      </c>
      <c r="JG25">
        <v>1200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222.76141999999999</v>
      </c>
      <c r="JN25">
        <v>43.117439699999998</v>
      </c>
      <c r="JO25">
        <v>85.847351599999996</v>
      </c>
      <c r="JP25">
        <v>0</v>
      </c>
      <c r="JQ25">
        <v>251.52658270000001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1</v>
      </c>
      <c r="KE25">
        <v>0</v>
      </c>
      <c r="KF25">
        <v>0</v>
      </c>
      <c r="KG25">
        <v>0</v>
      </c>
      <c r="KH25">
        <v>740900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28000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49.052244799999997</v>
      </c>
      <c r="LE25">
        <v>23.307762499999999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4251</v>
      </c>
      <c r="LP25">
        <v>0</v>
      </c>
      <c r="LQ25">
        <v>0</v>
      </c>
      <c r="LR25">
        <v>0</v>
      </c>
      <c r="LS25">
        <v>5.4176466000000003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276</v>
      </c>
      <c r="MC25">
        <v>0</v>
      </c>
      <c r="MD25">
        <v>0</v>
      </c>
      <c r="ME25">
        <v>0</v>
      </c>
      <c r="MF25">
        <v>0</v>
      </c>
      <c r="MG25">
        <v>22.889307899999999</v>
      </c>
      <c r="MH25">
        <v>0</v>
      </c>
      <c r="MI25">
        <v>0</v>
      </c>
      <c r="MJ25">
        <v>4.5199878</v>
      </c>
      <c r="MK25">
        <v>19.846667499999999</v>
      </c>
      <c r="ML25">
        <v>0</v>
      </c>
      <c r="MM25">
        <v>0</v>
      </c>
      <c r="MN25">
        <v>0</v>
      </c>
      <c r="MO25">
        <v>293054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12.863576999999999</v>
      </c>
      <c r="MX25">
        <v>0</v>
      </c>
      <c r="MY25">
        <v>0</v>
      </c>
      <c r="MZ25">
        <v>0</v>
      </c>
      <c r="NA25">
        <v>0</v>
      </c>
      <c r="NB25">
        <v>278396.53200000001</v>
      </c>
      <c r="NC25">
        <v>0</v>
      </c>
      <c r="ND25">
        <v>0</v>
      </c>
      <c r="NE25">
        <v>0</v>
      </c>
      <c r="NF25">
        <v>0</v>
      </c>
      <c r="NG25">
        <v>761854</v>
      </c>
      <c r="NH25">
        <v>0</v>
      </c>
      <c r="NI25">
        <v>1.0389999999999999</v>
      </c>
      <c r="NJ25">
        <v>0</v>
      </c>
      <c r="NK25">
        <v>0</v>
      </c>
      <c r="NL25">
        <v>0</v>
      </c>
      <c r="NM25">
        <v>0</v>
      </c>
      <c r="NN25">
        <v>13350000</v>
      </c>
      <c r="NO25">
        <v>13350000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2.5794065000000002</v>
      </c>
      <c r="NY25">
        <v>2.8224798999999998</v>
      </c>
      <c r="NZ25">
        <v>0</v>
      </c>
      <c r="OA25">
        <v>0</v>
      </c>
      <c r="OB25">
        <v>0</v>
      </c>
      <c r="OC25">
        <v>0</v>
      </c>
      <c r="OD25">
        <v>7.3830308000000002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3.5896050000000002</v>
      </c>
      <c r="OK25">
        <v>409.57964629999998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3470</v>
      </c>
      <c r="OX25">
        <v>0</v>
      </c>
      <c r="OY25">
        <v>0</v>
      </c>
      <c r="OZ25">
        <v>4.3055477</v>
      </c>
      <c r="PA25">
        <v>0</v>
      </c>
      <c r="PB25">
        <v>0</v>
      </c>
      <c r="PC25">
        <v>12.265549999999999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9000</v>
      </c>
      <c r="PJ25">
        <v>0</v>
      </c>
      <c r="PK25">
        <v>0</v>
      </c>
      <c r="PL25">
        <v>34.164374600000002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5000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23.505664700000001</v>
      </c>
      <c r="QC25">
        <v>431</v>
      </c>
      <c r="QD25">
        <v>0</v>
      </c>
      <c r="QE25">
        <v>0</v>
      </c>
      <c r="QF25">
        <v>0</v>
      </c>
      <c r="QG25">
        <v>0</v>
      </c>
      <c r="QH25">
        <v>1</v>
      </c>
      <c r="QI25">
        <v>0</v>
      </c>
      <c r="QJ25">
        <v>0</v>
      </c>
      <c r="QK25">
        <v>0</v>
      </c>
      <c r="QL25">
        <v>1350</v>
      </c>
      <c r="QM25">
        <v>0</v>
      </c>
      <c r="QN25">
        <v>1081566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914.99998779999999</v>
      </c>
      <c r="QU25">
        <v>1587032</v>
      </c>
      <c r="QV25">
        <v>0</v>
      </c>
      <c r="QW25">
        <v>1200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47500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5500</v>
      </c>
      <c r="RJ25">
        <v>0</v>
      </c>
      <c r="RK25">
        <v>0</v>
      </c>
      <c r="RL25">
        <v>0</v>
      </c>
      <c r="RM25">
        <v>32.6982505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9.1649341</v>
      </c>
      <c r="RU25">
        <v>1.6619999999999999</v>
      </c>
      <c r="RV25">
        <v>0.997</v>
      </c>
      <c r="RW25">
        <v>0</v>
      </c>
      <c r="RX25">
        <v>0</v>
      </c>
      <c r="RY25">
        <v>224803</v>
      </c>
      <c r="RZ25">
        <v>0</v>
      </c>
      <c r="SA25">
        <v>28.973511599999998</v>
      </c>
      <c r="SB25">
        <v>1800</v>
      </c>
      <c r="SC25">
        <v>50</v>
      </c>
      <c r="SD25">
        <v>7449298.8559999997</v>
      </c>
      <c r="SE25">
        <v>0</v>
      </c>
      <c r="SF25">
        <v>26932294</v>
      </c>
      <c r="SG25">
        <v>0</v>
      </c>
      <c r="SH25">
        <v>0</v>
      </c>
      <c r="SI25">
        <v>1</v>
      </c>
      <c r="SJ25">
        <v>0</v>
      </c>
      <c r="SK25">
        <v>0</v>
      </c>
      <c r="SL25">
        <v>0</v>
      </c>
      <c r="SM25">
        <v>28776</v>
      </c>
      <c r="SN25">
        <v>0</v>
      </c>
      <c r="SO25">
        <v>2.91</v>
      </c>
      <c r="SP25">
        <v>0</v>
      </c>
      <c r="SQ25">
        <v>1.38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1</v>
      </c>
      <c r="SX25">
        <v>0</v>
      </c>
      <c r="SY25">
        <v>0</v>
      </c>
      <c r="SZ25">
        <v>0</v>
      </c>
      <c r="TA25">
        <v>1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1.0045999999999999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109544</v>
      </c>
      <c r="TP25">
        <v>0</v>
      </c>
      <c r="TQ25">
        <v>0</v>
      </c>
      <c r="TR25">
        <v>0</v>
      </c>
      <c r="TS25">
        <v>1</v>
      </c>
      <c r="TT25">
        <v>0</v>
      </c>
      <c r="TU25">
        <v>0</v>
      </c>
      <c r="TV25">
        <v>0</v>
      </c>
      <c r="TW25">
        <v>1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3.8439999999999999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1</v>
      </c>
      <c r="UZ25">
        <v>12700</v>
      </c>
      <c r="VA25">
        <v>0</v>
      </c>
      <c r="VB25">
        <v>1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900000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21047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1.214</v>
      </c>
      <c r="WO25">
        <v>0</v>
      </c>
      <c r="WP25">
        <v>1</v>
      </c>
      <c r="WQ25">
        <v>0</v>
      </c>
      <c r="WR25">
        <v>387600</v>
      </c>
      <c r="WS25">
        <v>0</v>
      </c>
      <c r="WT25">
        <v>0</v>
      </c>
      <c r="WU25">
        <v>683400</v>
      </c>
      <c r="WV25">
        <v>0</v>
      </c>
      <c r="WW25">
        <v>2015100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33564</v>
      </c>
      <c r="XG25">
        <v>0</v>
      </c>
      <c r="XH25">
        <v>0</v>
      </c>
      <c r="XI25">
        <v>0</v>
      </c>
      <c r="XJ25">
        <v>0</v>
      </c>
      <c r="XK25">
        <v>1.9359999999999999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4927.3220000000001</v>
      </c>
      <c r="XV25">
        <v>0</v>
      </c>
      <c r="XW25">
        <v>0</v>
      </c>
      <c r="XX25">
        <v>212084</v>
      </c>
      <c r="XY25">
        <v>24352</v>
      </c>
      <c r="XZ25">
        <v>15754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2500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1.052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1184</v>
      </c>
      <c r="ZB25">
        <v>164400</v>
      </c>
      <c r="ZC25">
        <v>1649820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1.855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1000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30004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6000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919577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6700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1.01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1.24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127200</v>
      </c>
      <c r="ACG25">
        <v>0</v>
      </c>
      <c r="ACH25">
        <v>1.43</v>
      </c>
      <c r="ACI25">
        <v>0</v>
      </c>
      <c r="ACJ25">
        <v>0</v>
      </c>
      <c r="ACK25">
        <v>2708503.8730000001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109370</v>
      </c>
      <c r="ADH25">
        <v>0</v>
      </c>
      <c r="ADI25">
        <v>0</v>
      </c>
      <c r="ADJ25">
        <v>8281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679090</v>
      </c>
      <c r="ADY25">
        <v>0</v>
      </c>
      <c r="ADZ25">
        <v>0</v>
      </c>
      <c r="AEA25">
        <v>7837958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469</v>
      </c>
      <c r="AEI25">
        <v>235441033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13478</v>
      </c>
      <c r="AEP25">
        <v>1258364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1.6080000000000001</v>
      </c>
      <c r="AFB25">
        <v>17486</v>
      </c>
      <c r="AFC25">
        <v>0</v>
      </c>
      <c r="AFD25">
        <v>0</v>
      </c>
      <c r="AFE25">
        <v>25395</v>
      </c>
      <c r="AFF25">
        <v>0</v>
      </c>
      <c r="AFG25">
        <v>0</v>
      </c>
      <c r="AFH25">
        <v>0</v>
      </c>
      <c r="AFI25">
        <v>11500</v>
      </c>
      <c r="AFJ25">
        <v>0</v>
      </c>
      <c r="AFK25">
        <v>0</v>
      </c>
      <c r="AFL25">
        <v>1.7769999999999999</v>
      </c>
      <c r="AFM25">
        <v>0</v>
      </c>
      <c r="AFN25">
        <v>0</v>
      </c>
      <c r="AFO25">
        <v>0</v>
      </c>
      <c r="AFP25">
        <v>1850838.902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1.7889999999999999</v>
      </c>
      <c r="AGB25">
        <v>586400</v>
      </c>
      <c r="AGC25">
        <v>18270</v>
      </c>
      <c r="AGD25">
        <v>1.157</v>
      </c>
      <c r="AGE25">
        <v>0</v>
      </c>
      <c r="AGF25">
        <v>14200</v>
      </c>
      <c r="AGG25">
        <v>22196</v>
      </c>
      <c r="AGH25">
        <v>0</v>
      </c>
      <c r="AGI25">
        <v>11255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11000</v>
      </c>
      <c r="AIF25">
        <v>7500</v>
      </c>
      <c r="AIG25">
        <v>181057.04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412700</v>
      </c>
      <c r="AIP25">
        <v>0</v>
      </c>
      <c r="AIQ25">
        <v>118800</v>
      </c>
      <c r="AIR25" s="2">
        <v>7172268</v>
      </c>
      <c r="AIS25">
        <v>1.667</v>
      </c>
      <c r="AIT25">
        <v>0</v>
      </c>
      <c r="AIU25">
        <v>0</v>
      </c>
      <c r="AIV25">
        <v>0</v>
      </c>
      <c r="AIW25">
        <v>74461.615000000005</v>
      </c>
      <c r="AIX25">
        <v>6933</v>
      </c>
      <c r="AIY25">
        <v>0</v>
      </c>
      <c r="AIZ25">
        <v>0</v>
      </c>
      <c r="AJA25">
        <v>870000</v>
      </c>
      <c r="AJB25">
        <v>0</v>
      </c>
      <c r="AJC25">
        <v>228104.14989999999</v>
      </c>
      <c r="AJD25">
        <v>1.645</v>
      </c>
      <c r="AJE25">
        <v>0</v>
      </c>
      <c r="AJF25">
        <v>0</v>
      </c>
      <c r="AJG25">
        <v>0</v>
      </c>
      <c r="AJH25">
        <v>0</v>
      </c>
      <c r="AJI25">
        <v>282468.63299999997</v>
      </c>
      <c r="AJJ25">
        <v>0</v>
      </c>
      <c r="AJK25">
        <v>19269</v>
      </c>
      <c r="AJL25">
        <v>0</v>
      </c>
      <c r="AJM25">
        <v>0</v>
      </c>
      <c r="AJN25">
        <v>0</v>
      </c>
      <c r="AJO25">
        <v>0</v>
      </c>
      <c r="AJP25">
        <v>70000</v>
      </c>
      <c r="AJQ25">
        <v>0</v>
      </c>
      <c r="AJR25">
        <v>0</v>
      </c>
      <c r="AJS25">
        <v>0</v>
      </c>
      <c r="AJT25">
        <v>8500</v>
      </c>
      <c r="AJU25">
        <v>0</v>
      </c>
      <c r="AJV25">
        <v>0</v>
      </c>
      <c r="AJW25">
        <v>0</v>
      </c>
      <c r="AJX25">
        <v>164203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432795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31148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67711490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1.8180000000000001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</row>
    <row r="26" spans="1:1139" x14ac:dyDescent="0.25">
      <c r="A26" t="s">
        <v>5</v>
      </c>
      <c r="B26" t="s">
        <v>1</v>
      </c>
      <c r="C26" s="1">
        <v>46203</v>
      </c>
      <c r="D26" t="s">
        <v>17</v>
      </c>
      <c r="E26">
        <v>3525404726.9048524</v>
      </c>
      <c r="F26">
        <v>18226455.0145486</v>
      </c>
      <c r="G26">
        <v>1000</v>
      </c>
      <c r="H26">
        <v>0</v>
      </c>
      <c r="I26">
        <v>0</v>
      </c>
      <c r="J26">
        <v>0</v>
      </c>
      <c r="K26">
        <v>0</v>
      </c>
      <c r="L26">
        <v>4595517.87</v>
      </c>
      <c r="M26">
        <v>1238.5000001284895</v>
      </c>
      <c r="N26">
        <v>1054.7199999202887</v>
      </c>
      <c r="O26">
        <v>1100</v>
      </c>
      <c r="P26">
        <v>200</v>
      </c>
      <c r="Q26">
        <v>0</v>
      </c>
      <c r="R26">
        <v>200</v>
      </c>
      <c r="S26">
        <v>0</v>
      </c>
      <c r="T26">
        <v>300</v>
      </c>
      <c r="U26">
        <v>300</v>
      </c>
      <c r="V26">
        <v>1.0000000474424062</v>
      </c>
      <c r="W26">
        <v>1000</v>
      </c>
      <c r="X26">
        <v>703100598.8503294</v>
      </c>
      <c r="Y26">
        <v>716498050.44947505</v>
      </c>
      <c r="Z26">
        <v>2554315.7299996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4449137</v>
      </c>
      <c r="DS26">
        <v>0</v>
      </c>
      <c r="DT26">
        <v>5099304</v>
      </c>
      <c r="DU26">
        <v>0</v>
      </c>
      <c r="DV26">
        <v>0</v>
      </c>
      <c r="DW26">
        <v>715760</v>
      </c>
      <c r="DX26">
        <v>176691</v>
      </c>
      <c r="DY26">
        <v>102059549</v>
      </c>
      <c r="DZ26">
        <v>1470222</v>
      </c>
      <c r="EA26">
        <v>7599119</v>
      </c>
      <c r="EB26">
        <v>464</v>
      </c>
      <c r="EC26">
        <v>0</v>
      </c>
      <c r="ED26">
        <v>33905039</v>
      </c>
      <c r="EE26">
        <v>0</v>
      </c>
      <c r="EF26">
        <v>3862958</v>
      </c>
      <c r="EG26">
        <v>6819108</v>
      </c>
      <c r="EH26">
        <v>0</v>
      </c>
      <c r="EI26">
        <v>695118</v>
      </c>
      <c r="EJ26">
        <v>21490838</v>
      </c>
      <c r="EK26">
        <v>9169500</v>
      </c>
      <c r="EL26">
        <v>195032</v>
      </c>
      <c r="EM26">
        <v>30260274</v>
      </c>
      <c r="EN26">
        <v>1875884</v>
      </c>
      <c r="EO26">
        <v>416289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4096774</v>
      </c>
      <c r="EX26">
        <v>541346</v>
      </c>
      <c r="EY26">
        <v>0</v>
      </c>
      <c r="EZ26">
        <v>70</v>
      </c>
      <c r="FA26">
        <v>0</v>
      </c>
      <c r="FB26">
        <v>7513</v>
      </c>
      <c r="FC26">
        <v>0</v>
      </c>
      <c r="FD26">
        <v>22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14391253</v>
      </c>
      <c r="GK26">
        <v>0</v>
      </c>
      <c r="GL26">
        <v>54.371874099999999</v>
      </c>
      <c r="GM26">
        <v>0</v>
      </c>
      <c r="GN26">
        <v>0</v>
      </c>
      <c r="GO26">
        <v>1.5462032999999999</v>
      </c>
      <c r="GP26">
        <v>42.769928999999998</v>
      </c>
      <c r="GQ26">
        <v>44.578637899999997</v>
      </c>
      <c r="GR26">
        <v>5.0355198000000003</v>
      </c>
      <c r="GS26">
        <v>53.585876399999997</v>
      </c>
      <c r="GT26">
        <v>4.4443491000000002</v>
      </c>
      <c r="GU26">
        <v>308954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1226.627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1.1299999999999999</v>
      </c>
      <c r="HV26">
        <v>94900</v>
      </c>
      <c r="HW26">
        <v>449300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80800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6000</v>
      </c>
      <c r="IK26">
        <v>0</v>
      </c>
      <c r="IL26">
        <v>146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14635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1227911</v>
      </c>
      <c r="JD26">
        <v>0</v>
      </c>
      <c r="JE26">
        <v>0</v>
      </c>
      <c r="JF26">
        <v>0</v>
      </c>
      <c r="JG26">
        <v>300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123.75622989999999</v>
      </c>
      <c r="JN26">
        <v>3.0798169999999998</v>
      </c>
      <c r="JO26">
        <v>9.5386600999999995</v>
      </c>
      <c r="JP26">
        <v>0</v>
      </c>
      <c r="JQ26">
        <v>50.305978000000003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1</v>
      </c>
      <c r="KE26">
        <v>0</v>
      </c>
      <c r="KF26">
        <v>0</v>
      </c>
      <c r="KG26">
        <v>0</v>
      </c>
      <c r="KH26">
        <v>133400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8.1753737999999991</v>
      </c>
      <c r="LE26">
        <v>15.5385087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146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13.231109399999999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3.2158924999999998</v>
      </c>
      <c r="MX26">
        <v>0</v>
      </c>
      <c r="MY26">
        <v>0</v>
      </c>
      <c r="MZ26">
        <v>0</v>
      </c>
      <c r="NA26">
        <v>0</v>
      </c>
      <c r="NB26">
        <v>57976.968000000001</v>
      </c>
      <c r="NC26">
        <v>0</v>
      </c>
      <c r="ND26">
        <v>0</v>
      </c>
      <c r="NE26">
        <v>0</v>
      </c>
      <c r="NF26">
        <v>0</v>
      </c>
      <c r="NG26">
        <v>300058</v>
      </c>
      <c r="NH26">
        <v>0</v>
      </c>
      <c r="NI26">
        <v>1.661</v>
      </c>
      <c r="NJ26">
        <v>0</v>
      </c>
      <c r="NK26">
        <v>0</v>
      </c>
      <c r="NL26">
        <v>0</v>
      </c>
      <c r="NM26">
        <v>0</v>
      </c>
      <c r="NN26">
        <v>31150000</v>
      </c>
      <c r="NO26">
        <v>31150000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45.508839899999998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2.8703645999999998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104100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85.0000122</v>
      </c>
      <c r="QU26">
        <v>69304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1.3779999999999999</v>
      </c>
      <c r="RV26">
        <v>1.0009999999999999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1.1100000000000001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1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1.0016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1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1.288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1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157900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1.0109999999999999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141600</v>
      </c>
      <c r="WV26">
        <v>0</v>
      </c>
      <c r="WW26">
        <v>476400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51500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1.3440000000000001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1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1.83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1.77</v>
      </c>
      <c r="ACI26">
        <v>0</v>
      </c>
      <c r="ACJ26">
        <v>0</v>
      </c>
      <c r="ACK26">
        <v>1.163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77000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172910</v>
      </c>
      <c r="ADY26">
        <v>0</v>
      </c>
      <c r="ADZ26">
        <v>0</v>
      </c>
      <c r="AEA26">
        <v>615427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464</v>
      </c>
      <c r="AEI26">
        <v>92486252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1.635</v>
      </c>
      <c r="AFM26">
        <v>0</v>
      </c>
      <c r="AFN26">
        <v>0</v>
      </c>
      <c r="AFO26">
        <v>0</v>
      </c>
      <c r="AFP26">
        <v>365879.27100000001</v>
      </c>
      <c r="AFQ26">
        <v>0</v>
      </c>
      <c r="AFR26">
        <v>0</v>
      </c>
      <c r="AFS26">
        <v>0</v>
      </c>
      <c r="AFT26">
        <v>0</v>
      </c>
      <c r="AFU26">
        <v>63000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122700</v>
      </c>
      <c r="AGC26">
        <v>0</v>
      </c>
      <c r="AGD26">
        <v>1.165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92500</v>
      </c>
      <c r="AIM26">
        <v>0</v>
      </c>
      <c r="AIN26">
        <v>0</v>
      </c>
      <c r="AIO26">
        <v>0</v>
      </c>
      <c r="AIP26">
        <v>0</v>
      </c>
      <c r="AIQ26">
        <v>0</v>
      </c>
      <c r="AIR26" s="2">
        <v>1932243</v>
      </c>
      <c r="AIS26">
        <v>1.5449999999999999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348000</v>
      </c>
      <c r="AJB26">
        <v>0</v>
      </c>
      <c r="AJC26">
        <v>0</v>
      </c>
      <c r="AJD26">
        <v>1.8220000000000001</v>
      </c>
      <c r="AJE26">
        <v>0</v>
      </c>
      <c r="AJF26">
        <v>0</v>
      </c>
      <c r="AJG26">
        <v>0</v>
      </c>
      <c r="AJH26">
        <v>0</v>
      </c>
      <c r="AJI26">
        <v>1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180000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41433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130654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102059549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53600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1.629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25</v>
      </c>
      <c r="AOV26">
        <v>-25</v>
      </c>
      <c r="AOW26">
        <v>25</v>
      </c>
      <c r="AOX26">
        <v>-25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102600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-150</v>
      </c>
      <c r="AQS26">
        <v>-100</v>
      </c>
      <c r="AQT26">
        <v>100</v>
      </c>
      <c r="AQU26">
        <v>150</v>
      </c>
    </row>
    <row r="27" spans="1:1139" x14ac:dyDescent="0.25">
      <c r="A27" t="s">
        <v>0</v>
      </c>
      <c r="B27" t="s">
        <v>7</v>
      </c>
      <c r="C27" s="1">
        <v>46203</v>
      </c>
      <c r="D27" t="s">
        <v>18</v>
      </c>
      <c r="E27">
        <v>7928996892.6624365</v>
      </c>
      <c r="F27">
        <v>14969963.1901967</v>
      </c>
      <c r="G27">
        <v>2398.9721</v>
      </c>
      <c r="H27">
        <v>6.5929999999999999E-3</v>
      </c>
      <c r="I27">
        <v>0</v>
      </c>
      <c r="J27">
        <v>0</v>
      </c>
      <c r="K27">
        <v>0</v>
      </c>
      <c r="L27">
        <v>10004527.881450001</v>
      </c>
      <c r="M27">
        <v>5033.2471459999997</v>
      </c>
      <c r="N27">
        <v>4516.3005000000003</v>
      </c>
      <c r="O27">
        <v>23.04918</v>
      </c>
      <c r="P27">
        <v>471.59800000000001</v>
      </c>
      <c r="Q27">
        <v>0</v>
      </c>
      <c r="R27">
        <v>68.811279999999996</v>
      </c>
      <c r="S27">
        <v>0</v>
      </c>
      <c r="T27">
        <v>62.381399999999999</v>
      </c>
      <c r="U27">
        <v>105.37791</v>
      </c>
      <c r="V27">
        <v>4.2156380000000002</v>
      </c>
      <c r="W27">
        <v>194.84899999999999</v>
      </c>
      <c r="X27">
        <v>224719771.04608059</v>
      </c>
      <c r="Y27">
        <v>337589861.89924502</v>
      </c>
      <c r="Z27">
        <v>4952556.4999997038</v>
      </c>
      <c r="AA27">
        <v>500000</v>
      </c>
      <c r="AB27">
        <v>213567837.22725001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116592246.19</v>
      </c>
      <c r="AL27">
        <v>496487113.25482363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500173.96413600002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5781850.1767440001</v>
      </c>
      <c r="DS27">
        <v>0</v>
      </c>
      <c r="DT27">
        <v>7466858.5665371995</v>
      </c>
      <c r="DU27">
        <v>0</v>
      </c>
      <c r="DV27">
        <v>0</v>
      </c>
      <c r="DW27">
        <v>448429.92441939999</v>
      </c>
      <c r="DX27">
        <v>15997628.38635</v>
      </c>
      <c r="DY27">
        <v>4033165.4544948</v>
      </c>
      <c r="DZ27">
        <v>2406919.0499999998</v>
      </c>
      <c r="EA27">
        <v>16161330.262545001</v>
      </c>
      <c r="EB27">
        <v>134</v>
      </c>
      <c r="EC27">
        <v>0</v>
      </c>
      <c r="ED27">
        <v>6507897.9077567998</v>
      </c>
      <c r="EE27">
        <v>0</v>
      </c>
      <c r="EF27">
        <v>28485872.8029375</v>
      </c>
      <c r="EG27">
        <v>11809129.786226001</v>
      </c>
      <c r="EH27">
        <v>0</v>
      </c>
      <c r="EI27">
        <v>5619120.5041027004</v>
      </c>
      <c r="EJ27">
        <v>58225368.610742897</v>
      </c>
      <c r="EK27">
        <v>32967216.6330848</v>
      </c>
      <c r="EL27">
        <v>536425.19420489995</v>
      </c>
      <c r="EM27">
        <v>77224578.023617998</v>
      </c>
      <c r="EN27">
        <v>28269857.638075002</v>
      </c>
      <c r="EO27">
        <v>448838.78410799999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18067416.875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176.0867537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45027884.726089999</v>
      </c>
      <c r="HR27">
        <v>0</v>
      </c>
      <c r="HS27">
        <v>0</v>
      </c>
      <c r="HT27">
        <v>0</v>
      </c>
      <c r="HU27">
        <v>0</v>
      </c>
      <c r="HV27">
        <v>11324710.395</v>
      </c>
      <c r="HW27">
        <v>141447505.80000001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14003825.750849999</v>
      </c>
      <c r="IR27">
        <v>0</v>
      </c>
      <c r="IS27">
        <v>0</v>
      </c>
      <c r="IT27">
        <v>0</v>
      </c>
      <c r="IU27">
        <v>8267981.2473280001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1518.672319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17603295.588750001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2485251.0074677002</v>
      </c>
      <c r="KA27">
        <v>0</v>
      </c>
      <c r="KB27">
        <v>0</v>
      </c>
      <c r="KC27">
        <v>0</v>
      </c>
      <c r="KD27">
        <v>9128.8309807999995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4884775.5104999999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6142958.5125161</v>
      </c>
      <c r="MB27">
        <v>206.91195039999999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216032956.14867559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29909291.308974002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28725599.818185002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58720646.194702201</v>
      </c>
      <c r="OX27">
        <v>0</v>
      </c>
      <c r="OY27">
        <v>0</v>
      </c>
      <c r="OZ27">
        <v>0</v>
      </c>
      <c r="PA27">
        <v>4798302.6378870001</v>
      </c>
      <c r="PB27">
        <v>0</v>
      </c>
      <c r="PC27">
        <v>0</v>
      </c>
      <c r="PD27">
        <v>0</v>
      </c>
      <c r="PE27">
        <v>0</v>
      </c>
      <c r="PF27">
        <v>39574691.369999997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20490249.495999999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32556142.079999998</v>
      </c>
      <c r="QD27">
        <v>0</v>
      </c>
      <c r="QE27">
        <v>0</v>
      </c>
      <c r="QF27">
        <v>0</v>
      </c>
      <c r="QG27">
        <v>0</v>
      </c>
      <c r="QH27">
        <v>749.82712179999999</v>
      </c>
      <c r="QI27">
        <v>0</v>
      </c>
      <c r="QJ27">
        <v>1376.4937</v>
      </c>
      <c r="QK27">
        <v>0</v>
      </c>
      <c r="QL27">
        <v>40483809.150091</v>
      </c>
      <c r="QM27">
        <v>0</v>
      </c>
      <c r="QN27">
        <v>368127714.97684002</v>
      </c>
      <c r="QO27">
        <v>0</v>
      </c>
      <c r="QP27">
        <v>0</v>
      </c>
      <c r="QQ27">
        <v>0</v>
      </c>
      <c r="QR27">
        <v>91865155.412474498</v>
      </c>
      <c r="QS27">
        <v>0</v>
      </c>
      <c r="QT27">
        <v>0</v>
      </c>
      <c r="QU27">
        <v>0</v>
      </c>
      <c r="QV27">
        <v>0</v>
      </c>
      <c r="QW27">
        <v>18364823.806499999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51720812.806950003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36467236.027800001</v>
      </c>
      <c r="RJ27">
        <v>1692627.075036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1681.9257803</v>
      </c>
      <c r="RV27">
        <v>0</v>
      </c>
      <c r="RW27">
        <v>0</v>
      </c>
      <c r="RX27">
        <v>0</v>
      </c>
      <c r="RY27">
        <v>164918074.648294</v>
      </c>
      <c r="RZ27">
        <v>0</v>
      </c>
      <c r="SA27">
        <v>0</v>
      </c>
      <c r="SB27">
        <v>0</v>
      </c>
      <c r="SC27">
        <v>25873992.755672202</v>
      </c>
      <c r="SD27">
        <v>177459578.3772603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6495.4446500000004</v>
      </c>
      <c r="SK27">
        <v>0</v>
      </c>
      <c r="SL27">
        <v>0</v>
      </c>
      <c r="SM27">
        <v>0</v>
      </c>
      <c r="SN27">
        <v>0</v>
      </c>
      <c r="SO27">
        <v>1090.4013629999999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164.03704999999999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499.32353260000002</v>
      </c>
      <c r="TN27">
        <v>0</v>
      </c>
      <c r="TO27">
        <v>69484038.565629303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73846464.651482105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8463.0816725000004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392.20325000000003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33221799.521790002</v>
      </c>
      <c r="VA27">
        <v>0</v>
      </c>
      <c r="VB27">
        <v>722.96068809999997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23454684.724569999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22296154.696819302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205146332.93984321</v>
      </c>
      <c r="WQ27">
        <v>0</v>
      </c>
      <c r="WR27">
        <v>198430930.66499999</v>
      </c>
      <c r="WS27">
        <v>0</v>
      </c>
      <c r="WT27">
        <v>0</v>
      </c>
      <c r="WU27">
        <v>0</v>
      </c>
      <c r="WV27">
        <v>0</v>
      </c>
      <c r="WW27">
        <v>37846322.182499997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62919.052634799998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1158695.0526174</v>
      </c>
      <c r="XV27">
        <v>0</v>
      </c>
      <c r="XW27">
        <v>0</v>
      </c>
      <c r="XX27">
        <v>21812407.777906898</v>
      </c>
      <c r="XY27">
        <v>334926.57641600003</v>
      </c>
      <c r="XZ27">
        <v>216774.21854830001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2094325.639463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57832600.170559198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27251829.826635599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16412019.300000001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100429968.2225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30164323.946486998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512.00001529999997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1018.7831243000001</v>
      </c>
      <c r="ABV27">
        <v>0</v>
      </c>
      <c r="ABW27">
        <v>0</v>
      </c>
      <c r="ABX27">
        <v>116693824.85075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82291185.605199993</v>
      </c>
      <c r="ACG27">
        <v>0</v>
      </c>
      <c r="ACH27">
        <v>0</v>
      </c>
      <c r="ACI27">
        <v>0</v>
      </c>
      <c r="ACJ27">
        <v>0</v>
      </c>
      <c r="ACK27">
        <v>322550294.87846059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77590255.621494904</v>
      </c>
      <c r="ADB27">
        <v>0</v>
      </c>
      <c r="ADC27">
        <v>0</v>
      </c>
      <c r="ADD27">
        <v>0</v>
      </c>
      <c r="ADE27">
        <v>0</v>
      </c>
      <c r="ADF27">
        <v>45607983.609999999</v>
      </c>
      <c r="ADG27">
        <v>0</v>
      </c>
      <c r="ADH27">
        <v>0</v>
      </c>
      <c r="ADI27">
        <v>0</v>
      </c>
      <c r="ADJ27">
        <v>0</v>
      </c>
      <c r="ADK27">
        <v>172280488.93332919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216373919.27000001</v>
      </c>
      <c r="ADY27">
        <v>0</v>
      </c>
      <c r="ADZ27">
        <v>0</v>
      </c>
      <c r="AEA27">
        <v>7237193.2401825003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120.1546041</v>
      </c>
      <c r="AEI27">
        <v>4234749.3955835998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60148003.745321199</v>
      </c>
      <c r="AEP27">
        <v>423090603.9921903</v>
      </c>
      <c r="AEQ27">
        <v>0</v>
      </c>
      <c r="AER27">
        <v>99168630.145199999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9394423.6169298999</v>
      </c>
      <c r="AFB27">
        <v>6059503.9752500001</v>
      </c>
      <c r="AFC27">
        <v>0</v>
      </c>
      <c r="AFD27">
        <v>0</v>
      </c>
      <c r="AFE27">
        <v>12711149.1067845</v>
      </c>
      <c r="AFF27">
        <v>0</v>
      </c>
      <c r="AFG27">
        <v>0</v>
      </c>
      <c r="AFH27">
        <v>0</v>
      </c>
      <c r="AFI27">
        <v>53991992.499337703</v>
      </c>
      <c r="AFJ27">
        <v>0</v>
      </c>
      <c r="AFK27">
        <v>0</v>
      </c>
      <c r="AFL27">
        <v>0</v>
      </c>
      <c r="AFM27">
        <v>7562870.5774299996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884.70353650000004</v>
      </c>
      <c r="AGB27">
        <v>0</v>
      </c>
      <c r="AGC27">
        <v>64886131.523246601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49672369.265426397</v>
      </c>
      <c r="AGJ27">
        <v>210090741.66488799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82304389.673515201</v>
      </c>
      <c r="AIF27">
        <v>0</v>
      </c>
      <c r="AIG27">
        <v>602.49319409999998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6470092.1568</v>
      </c>
      <c r="AIP27">
        <v>0</v>
      </c>
      <c r="AIQ27">
        <v>137051148.62310001</v>
      </c>
      <c r="AIR27" s="2">
        <v>7310482.7154059</v>
      </c>
      <c r="AIS27">
        <v>0</v>
      </c>
      <c r="AIT27">
        <v>0</v>
      </c>
      <c r="AIU27">
        <v>25482994.4213067</v>
      </c>
      <c r="AIV27">
        <v>0</v>
      </c>
      <c r="AIW27">
        <v>125458125.4553577</v>
      </c>
      <c r="AIX27">
        <v>44996206.499794297</v>
      </c>
      <c r="AIY27">
        <v>0</v>
      </c>
      <c r="AIZ27">
        <v>2541628.1110675</v>
      </c>
      <c r="AJA27">
        <v>160497383.4646</v>
      </c>
      <c r="AJB27">
        <v>87158590.874967098</v>
      </c>
      <c r="AJC27">
        <v>25180438.415454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396085432.07652408</v>
      </c>
      <c r="AJJ27">
        <v>0</v>
      </c>
      <c r="AJK27">
        <v>75078105.842725396</v>
      </c>
      <c r="AJL27">
        <v>0</v>
      </c>
      <c r="AJM27">
        <v>0</v>
      </c>
      <c r="AJN27">
        <v>0</v>
      </c>
      <c r="AJO27">
        <v>0</v>
      </c>
      <c r="AJP27">
        <v>117614280</v>
      </c>
      <c r="AJQ27">
        <v>0</v>
      </c>
      <c r="AJR27">
        <v>62293955.888400003</v>
      </c>
      <c r="AJS27">
        <v>0</v>
      </c>
      <c r="AJT27">
        <v>56493532.104645401</v>
      </c>
      <c r="AJU27">
        <v>923.16571869999996</v>
      </c>
      <c r="AJV27">
        <v>0</v>
      </c>
      <c r="AJW27">
        <v>0</v>
      </c>
      <c r="AJX27">
        <v>7101626.9737499999</v>
      </c>
      <c r="AJY27">
        <v>0</v>
      </c>
      <c r="AJZ27">
        <v>0</v>
      </c>
      <c r="AKA27">
        <v>0</v>
      </c>
      <c r="AKB27">
        <v>0</v>
      </c>
      <c r="AKC27">
        <v>61519751.207999997</v>
      </c>
      <c r="AKD27">
        <v>66116829.921751201</v>
      </c>
      <c r="AKE27">
        <v>16945851.6016072</v>
      </c>
      <c r="AKF27">
        <v>0</v>
      </c>
      <c r="AKG27">
        <v>0</v>
      </c>
      <c r="AKH27">
        <v>0</v>
      </c>
      <c r="AKI27">
        <v>56292321.103876799</v>
      </c>
      <c r="AKJ27">
        <v>0</v>
      </c>
      <c r="AKK27">
        <v>3999478.2521168999</v>
      </c>
      <c r="AKL27">
        <v>0</v>
      </c>
      <c r="AKM27">
        <v>0</v>
      </c>
      <c r="AKN27">
        <v>0</v>
      </c>
      <c r="AKO27">
        <v>0</v>
      </c>
      <c r="AKP27">
        <v>429166778.92395842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14657565.699999999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101821764.58165801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583765.26636030001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22097161.862408701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23253410.387499999</v>
      </c>
      <c r="AQG27">
        <v>20522804.592420001</v>
      </c>
      <c r="AQH27">
        <v>20555261.029920001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</row>
    <row r="28" spans="1:1139" x14ac:dyDescent="0.25">
      <c r="A28" t="s">
        <v>3</v>
      </c>
      <c r="B28" t="s">
        <v>7</v>
      </c>
      <c r="C28" s="1">
        <v>46203</v>
      </c>
      <c r="D28" t="s">
        <v>19</v>
      </c>
      <c r="E28">
        <v>27857085026.771736</v>
      </c>
      <c r="F28">
        <v>81514256.669704095</v>
      </c>
      <c r="G28">
        <v>2444.0247960000002</v>
      </c>
      <c r="H28">
        <v>0</v>
      </c>
      <c r="I28">
        <v>0</v>
      </c>
      <c r="J28">
        <v>0</v>
      </c>
      <c r="K28">
        <v>0</v>
      </c>
      <c r="L28">
        <v>37840577.989375003</v>
      </c>
      <c r="M28">
        <v>5994.9980050000004</v>
      </c>
      <c r="N28">
        <v>4516.3005000000003</v>
      </c>
      <c r="O28">
        <v>20.953800000000001</v>
      </c>
      <c r="P28">
        <v>471.59800000000001</v>
      </c>
      <c r="Q28">
        <v>0</v>
      </c>
      <c r="R28">
        <v>68.811279999999996</v>
      </c>
      <c r="S28">
        <v>0</v>
      </c>
      <c r="T28">
        <v>62.381399999999999</v>
      </c>
      <c r="U28">
        <v>105.37791</v>
      </c>
      <c r="V28">
        <v>4.2156380000000002</v>
      </c>
      <c r="W28">
        <v>194.84899999999999</v>
      </c>
      <c r="X28">
        <v>3200798618.2683797</v>
      </c>
      <c r="Y28">
        <v>3821043893.4215856</v>
      </c>
      <c r="Z28">
        <v>43659795.170000099</v>
      </c>
      <c r="AA28">
        <v>187500000</v>
      </c>
      <c r="AB28">
        <v>312841321.78964996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139910695.428</v>
      </c>
      <c r="AL28">
        <v>1721680049.8930593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1994741.4045899999</v>
      </c>
      <c r="CR28">
        <v>562481.06640000001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49660056.267487198</v>
      </c>
      <c r="DS28">
        <v>0</v>
      </c>
      <c r="DT28">
        <v>93771281.572438404</v>
      </c>
      <c r="DU28">
        <v>99848.145499999999</v>
      </c>
      <c r="DV28">
        <v>0</v>
      </c>
      <c r="DW28">
        <v>73911033.992820203</v>
      </c>
      <c r="DX28">
        <v>1291988699.4879</v>
      </c>
      <c r="DY28">
        <v>28526769.483212002</v>
      </c>
      <c r="DZ28">
        <v>28158456.600000001</v>
      </c>
      <c r="EA28">
        <v>120708493.2644175</v>
      </c>
      <c r="EB28">
        <v>938</v>
      </c>
      <c r="EC28">
        <v>0</v>
      </c>
      <c r="ED28">
        <v>55167971.851894401</v>
      </c>
      <c r="EE28">
        <v>0</v>
      </c>
      <c r="EF28">
        <v>104996807.5906125</v>
      </c>
      <c r="EG28">
        <v>185725001.31868601</v>
      </c>
      <c r="EH28">
        <v>0</v>
      </c>
      <c r="EI28">
        <v>449938169.98682588</v>
      </c>
      <c r="EJ28">
        <v>362121235.99920869</v>
      </c>
      <c r="EK28">
        <v>349631745.07067841</v>
      </c>
      <c r="EL28">
        <v>1170567.3779382</v>
      </c>
      <c r="EM28">
        <v>954465486.26348805</v>
      </c>
      <c r="EN28">
        <v>1065879696.44625</v>
      </c>
      <c r="EO28">
        <v>76849541.596652001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14880023.252552001</v>
      </c>
      <c r="EX28">
        <v>18638646.721158002</v>
      </c>
      <c r="EY28">
        <v>4128135.4101</v>
      </c>
      <c r="EZ28">
        <v>8586117.5613857005</v>
      </c>
      <c r="FA28">
        <v>0</v>
      </c>
      <c r="FB28">
        <v>35041669.620415702</v>
      </c>
      <c r="FC28">
        <v>0</v>
      </c>
      <c r="FD28">
        <v>8494454.5250000004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29322168.986759499</v>
      </c>
      <c r="GK28">
        <v>0</v>
      </c>
      <c r="GL28">
        <v>42756291.160461798</v>
      </c>
      <c r="GM28">
        <v>755917.10534709995</v>
      </c>
      <c r="GN28">
        <v>0</v>
      </c>
      <c r="GO28">
        <v>5426031.4133841004</v>
      </c>
      <c r="GP28">
        <v>17334173.9842088</v>
      </c>
      <c r="GQ28">
        <v>360022.81996320002</v>
      </c>
      <c r="GR28">
        <v>3518168.7916148002</v>
      </c>
      <c r="GS28">
        <v>36743668.806620903</v>
      </c>
      <c r="GT28">
        <v>2942070.3941873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222.16900000000001</v>
      </c>
      <c r="HI28">
        <v>961193.06733370002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27285968.89875</v>
      </c>
      <c r="HQ28">
        <v>119160444.3571</v>
      </c>
      <c r="HR28">
        <v>0</v>
      </c>
      <c r="HS28">
        <v>0</v>
      </c>
      <c r="HT28">
        <v>0</v>
      </c>
      <c r="HU28">
        <v>309.33040679999999</v>
      </c>
      <c r="HV28">
        <v>66949023.217500001</v>
      </c>
      <c r="HW28">
        <v>1508933922.5250001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224427368.33000001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817.8</v>
      </c>
      <c r="IK28">
        <v>0</v>
      </c>
      <c r="IL28">
        <v>6299857.1900000004</v>
      </c>
      <c r="IM28">
        <v>0</v>
      </c>
      <c r="IN28">
        <v>0</v>
      </c>
      <c r="IO28">
        <v>0</v>
      </c>
      <c r="IP28">
        <v>0</v>
      </c>
      <c r="IQ28">
        <v>46320346.71435</v>
      </c>
      <c r="IR28">
        <v>0</v>
      </c>
      <c r="IS28">
        <v>12845361.952</v>
      </c>
      <c r="IT28">
        <v>0</v>
      </c>
      <c r="IU28">
        <v>34664518.392063998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1930679.6329719999</v>
      </c>
      <c r="JD28">
        <v>1518.672319</v>
      </c>
      <c r="JE28">
        <v>0</v>
      </c>
      <c r="JF28">
        <v>0</v>
      </c>
      <c r="JG28">
        <v>74831460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103837742.5126339</v>
      </c>
      <c r="JN28">
        <v>151227146.69133821</v>
      </c>
      <c r="JO28">
        <v>53115438.736321598</v>
      </c>
      <c r="JP28">
        <v>0</v>
      </c>
      <c r="JQ28">
        <v>187099872.1091195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9128.8309807999995</v>
      </c>
      <c r="KE28">
        <v>0</v>
      </c>
      <c r="KF28">
        <v>0</v>
      </c>
      <c r="KG28">
        <v>0</v>
      </c>
      <c r="KH28">
        <v>190482333.78749999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30394158.732000001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90386632.896004796</v>
      </c>
      <c r="LE28">
        <v>75495946.383799806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4394529.3956030998</v>
      </c>
      <c r="LP28">
        <v>0</v>
      </c>
      <c r="LQ28">
        <v>0</v>
      </c>
      <c r="LR28">
        <v>0</v>
      </c>
      <c r="LS28">
        <v>277997931.2046535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2482.9434052000001</v>
      </c>
      <c r="MC28">
        <v>0</v>
      </c>
      <c r="MD28">
        <v>0</v>
      </c>
      <c r="ME28">
        <v>0</v>
      </c>
      <c r="MF28">
        <v>0</v>
      </c>
      <c r="MG28">
        <v>121075583.23032691</v>
      </c>
      <c r="MH28">
        <v>0</v>
      </c>
      <c r="MI28">
        <v>0</v>
      </c>
      <c r="MJ28">
        <v>322010647.47200602</v>
      </c>
      <c r="MK28">
        <v>49155048.0808286</v>
      </c>
      <c r="ML28">
        <v>0</v>
      </c>
      <c r="MM28">
        <v>0</v>
      </c>
      <c r="MN28">
        <v>0</v>
      </c>
      <c r="MO28">
        <v>324320573.81020039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73301676.445810497</v>
      </c>
      <c r="MX28">
        <v>0</v>
      </c>
      <c r="MY28">
        <v>0</v>
      </c>
      <c r="MZ28">
        <v>0</v>
      </c>
      <c r="NA28">
        <v>0</v>
      </c>
      <c r="NB28">
        <v>260843398.7530888</v>
      </c>
      <c r="NC28">
        <v>0</v>
      </c>
      <c r="ND28">
        <v>0</v>
      </c>
      <c r="NE28">
        <v>0</v>
      </c>
      <c r="NF28">
        <v>0</v>
      </c>
      <c r="NG28">
        <v>31775254.2612</v>
      </c>
      <c r="NH28">
        <v>0</v>
      </c>
      <c r="NI28">
        <v>44.301290299999998</v>
      </c>
      <c r="NJ28">
        <v>0</v>
      </c>
      <c r="NK28">
        <v>0</v>
      </c>
      <c r="NL28">
        <v>0</v>
      </c>
      <c r="NM28">
        <v>0</v>
      </c>
      <c r="NN28">
        <v>7278420</v>
      </c>
      <c r="NO28">
        <v>7278420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22159923.4133798</v>
      </c>
      <c r="NY28">
        <v>31328800.003360301</v>
      </c>
      <c r="NZ28">
        <v>0</v>
      </c>
      <c r="OA28">
        <v>0</v>
      </c>
      <c r="OB28">
        <v>0</v>
      </c>
      <c r="OC28">
        <v>0</v>
      </c>
      <c r="OD28">
        <v>113310248.6374616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209506183.6664325</v>
      </c>
      <c r="OK28">
        <v>351000622.09592497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58720646.194702201</v>
      </c>
      <c r="OX28">
        <v>0</v>
      </c>
      <c r="OY28">
        <v>0</v>
      </c>
      <c r="OZ28">
        <v>158472122.66189811</v>
      </c>
      <c r="PA28">
        <v>0</v>
      </c>
      <c r="PB28">
        <v>0</v>
      </c>
      <c r="PC28">
        <v>284586931.17759252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9677844.6489000004</v>
      </c>
      <c r="PJ28">
        <v>0</v>
      </c>
      <c r="PK28">
        <v>0</v>
      </c>
      <c r="PL28">
        <v>284879809.09034908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5122562.3739999998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678466080.52369785</v>
      </c>
      <c r="QC28">
        <v>73081756.439999998</v>
      </c>
      <c r="QD28">
        <v>0</v>
      </c>
      <c r="QE28">
        <v>0</v>
      </c>
      <c r="QF28">
        <v>0</v>
      </c>
      <c r="QG28">
        <v>0</v>
      </c>
      <c r="QH28">
        <v>437.72744999999998</v>
      </c>
      <c r="QI28">
        <v>0</v>
      </c>
      <c r="QJ28">
        <v>0</v>
      </c>
      <c r="QK28">
        <v>0</v>
      </c>
      <c r="QL28">
        <v>4863244.5588737</v>
      </c>
      <c r="QM28">
        <v>0</v>
      </c>
      <c r="QN28">
        <v>1078424756.7081282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340820722.65019858</v>
      </c>
      <c r="QU28">
        <v>308028945.31840003</v>
      </c>
      <c r="QV28">
        <v>0</v>
      </c>
      <c r="QW28">
        <v>12243215.870999999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41289724.509750001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55713832.820249997</v>
      </c>
      <c r="RJ28">
        <v>0</v>
      </c>
      <c r="RK28">
        <v>0</v>
      </c>
      <c r="RL28">
        <v>0</v>
      </c>
      <c r="RM28">
        <v>422920999.8170234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225928623.0637013</v>
      </c>
      <c r="RU28">
        <v>2795.3606467999998</v>
      </c>
      <c r="RV28">
        <v>76.941326799999999</v>
      </c>
      <c r="RW28">
        <v>0</v>
      </c>
      <c r="RX28">
        <v>0</v>
      </c>
      <c r="RY28">
        <v>200378758.70262909</v>
      </c>
      <c r="RZ28">
        <v>0</v>
      </c>
      <c r="SA28">
        <v>79689263.735919699</v>
      </c>
      <c r="SB28">
        <v>66414513.701846197</v>
      </c>
      <c r="SC28">
        <v>1406195.2584603999</v>
      </c>
      <c r="SD28">
        <v>464771625.94682419</v>
      </c>
      <c r="SE28">
        <v>0</v>
      </c>
      <c r="SF28">
        <v>114944169.23576251</v>
      </c>
      <c r="SG28">
        <v>0</v>
      </c>
      <c r="SH28">
        <v>0</v>
      </c>
      <c r="SI28">
        <v>93.548414600000001</v>
      </c>
      <c r="SJ28">
        <v>0</v>
      </c>
      <c r="SK28">
        <v>0</v>
      </c>
      <c r="SL28">
        <v>0</v>
      </c>
      <c r="SM28">
        <v>113080862.522826</v>
      </c>
      <c r="SN28">
        <v>0</v>
      </c>
      <c r="SO28">
        <v>1838.393955</v>
      </c>
      <c r="SP28">
        <v>0</v>
      </c>
      <c r="SQ28">
        <v>115.13459450000001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293.38574999999997</v>
      </c>
      <c r="SX28">
        <v>0</v>
      </c>
      <c r="SY28">
        <v>0</v>
      </c>
      <c r="SZ28">
        <v>0</v>
      </c>
      <c r="TA28">
        <v>164.03704999999999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4006.8052131999998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106412217.7107649</v>
      </c>
      <c r="TP28">
        <v>0</v>
      </c>
      <c r="TQ28">
        <v>0</v>
      </c>
      <c r="TR28">
        <v>0</v>
      </c>
      <c r="TS28">
        <v>621.32354999999995</v>
      </c>
      <c r="TT28">
        <v>0</v>
      </c>
      <c r="TU28">
        <v>0</v>
      </c>
      <c r="TV28">
        <v>0</v>
      </c>
      <c r="TW28">
        <v>539.71392500000002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25535.389285000001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95.338442499999999</v>
      </c>
      <c r="UZ28">
        <v>127853592.09901001</v>
      </c>
      <c r="VA28">
        <v>0</v>
      </c>
      <c r="VB28">
        <v>470.37130000000002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229546237.5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69284979.758446306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5179.4938697999996</v>
      </c>
      <c r="WO28">
        <v>0</v>
      </c>
      <c r="WP28">
        <v>324.7275942</v>
      </c>
      <c r="WQ28">
        <v>0</v>
      </c>
      <c r="WR28">
        <v>142402941.53999999</v>
      </c>
      <c r="WS28">
        <v>0</v>
      </c>
      <c r="WT28">
        <v>0</v>
      </c>
      <c r="WU28">
        <v>132804934.065</v>
      </c>
      <c r="WV28">
        <v>0</v>
      </c>
      <c r="WW28">
        <v>528510906.65249997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92908815.361995295</v>
      </c>
      <c r="XG28">
        <v>0</v>
      </c>
      <c r="XH28">
        <v>0</v>
      </c>
      <c r="XI28">
        <v>0</v>
      </c>
      <c r="XJ28">
        <v>0</v>
      </c>
      <c r="XK28">
        <v>121811.285901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2577561.9457879998</v>
      </c>
      <c r="XV28">
        <v>0</v>
      </c>
      <c r="XW28">
        <v>0</v>
      </c>
      <c r="XX28">
        <v>249289362.0288628</v>
      </c>
      <c r="XY28">
        <v>3827373.059072</v>
      </c>
      <c r="XZ28">
        <v>2476476.4604858002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8546024.4818750005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41.689944699999998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3905896.5594031001</v>
      </c>
      <c r="ZB28">
        <v>57307743.899999999</v>
      </c>
      <c r="ZC28">
        <v>138532395.5974333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3784.7095684999999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3881382.5617824998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84775935.937623098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20515024.125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1055463873.0073358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24646459.809934501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512.00001529999997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634.81963519999999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138092860.27680001</v>
      </c>
      <c r="ACG28">
        <v>0</v>
      </c>
      <c r="ACH28">
        <v>978.73310709999998</v>
      </c>
      <c r="ACI28">
        <v>0</v>
      </c>
      <c r="ACJ28">
        <v>0</v>
      </c>
      <c r="ACK28">
        <v>142259304.16487291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119808211.99028</v>
      </c>
      <c r="ADH28">
        <v>0</v>
      </c>
      <c r="ADI28">
        <v>0</v>
      </c>
      <c r="ADJ28">
        <v>31464451.193970501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1482718111.3729999</v>
      </c>
      <c r="ADY28">
        <v>0</v>
      </c>
      <c r="ADZ28">
        <v>0</v>
      </c>
      <c r="AEA28">
        <v>135392733.65181899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841.08222869999997</v>
      </c>
      <c r="AEI28">
        <v>32462185.836180601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49131805.726026602</v>
      </c>
      <c r="AEP28">
        <v>1386171106.6208131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111.55773360000001</v>
      </c>
      <c r="AFB28">
        <v>19264815.729313001</v>
      </c>
      <c r="AFC28">
        <v>0</v>
      </c>
      <c r="AFD28">
        <v>0</v>
      </c>
      <c r="AFE28">
        <v>88729970.194280505</v>
      </c>
      <c r="AFF28">
        <v>0</v>
      </c>
      <c r="AFG28">
        <v>0</v>
      </c>
      <c r="AFH28">
        <v>0</v>
      </c>
      <c r="AFI28">
        <v>43420133.828138702</v>
      </c>
      <c r="AFJ28">
        <v>0</v>
      </c>
      <c r="AFK28">
        <v>0</v>
      </c>
      <c r="AFL28">
        <v>11.243717800000001</v>
      </c>
      <c r="AFM28">
        <v>0</v>
      </c>
      <c r="AFN28">
        <v>0</v>
      </c>
      <c r="AFO28">
        <v>0</v>
      </c>
      <c r="AFP28">
        <v>191419832.68015489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1330.0290981000001</v>
      </c>
      <c r="AGB28">
        <v>1310571850.6199999</v>
      </c>
      <c r="AGC28">
        <v>64340278.042318404</v>
      </c>
      <c r="AGD28">
        <v>172.91706310000001</v>
      </c>
      <c r="AGE28">
        <v>0</v>
      </c>
      <c r="AGF28">
        <v>52235253.466939002</v>
      </c>
      <c r="AGG28">
        <v>78819990.812396005</v>
      </c>
      <c r="AGH28">
        <v>0</v>
      </c>
      <c r="AGI28">
        <v>40614785.040492103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41251573.627769999</v>
      </c>
      <c r="AIF28">
        <v>27091547.852249999</v>
      </c>
      <c r="AIG28">
        <v>87689416.682081804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445034505.51855999</v>
      </c>
      <c r="AIP28">
        <v>0</v>
      </c>
      <c r="AIQ28">
        <v>124572887.9604</v>
      </c>
      <c r="AIR28" s="2">
        <v>149845935.80727419</v>
      </c>
      <c r="AIS28">
        <v>14.139721</v>
      </c>
      <c r="AIT28">
        <v>0</v>
      </c>
      <c r="AIU28">
        <v>0</v>
      </c>
      <c r="AIV28">
        <v>0</v>
      </c>
      <c r="AIW28">
        <v>2722500.9368970999</v>
      </c>
      <c r="AIX28">
        <v>25459781.250556901</v>
      </c>
      <c r="AIY28">
        <v>0</v>
      </c>
      <c r="AIZ28">
        <v>0</v>
      </c>
      <c r="AJA28">
        <v>88938040.518600002</v>
      </c>
      <c r="AJB28">
        <v>0</v>
      </c>
      <c r="AJC28">
        <v>88242883.050735906</v>
      </c>
      <c r="AJD28">
        <v>15.5887677</v>
      </c>
      <c r="AJE28">
        <v>0</v>
      </c>
      <c r="AJF28">
        <v>0</v>
      </c>
      <c r="AJG28">
        <v>0</v>
      </c>
      <c r="AJH28">
        <v>0</v>
      </c>
      <c r="AJI28">
        <v>151557118.56955329</v>
      </c>
      <c r="AJJ28">
        <v>0</v>
      </c>
      <c r="AJK28">
        <v>67090851.063556798</v>
      </c>
      <c r="AJL28">
        <v>0</v>
      </c>
      <c r="AJM28">
        <v>0</v>
      </c>
      <c r="AJN28">
        <v>0</v>
      </c>
      <c r="AJO28">
        <v>0</v>
      </c>
      <c r="AJP28">
        <v>72156000</v>
      </c>
      <c r="AJQ28">
        <v>0</v>
      </c>
      <c r="AJR28">
        <v>0</v>
      </c>
      <c r="AJS28">
        <v>0</v>
      </c>
      <c r="AJT28">
        <v>32471938.253278699</v>
      </c>
      <c r="AJU28">
        <v>0</v>
      </c>
      <c r="AJV28">
        <v>0</v>
      </c>
      <c r="AJW28">
        <v>0</v>
      </c>
      <c r="AJX28">
        <v>239447321.143875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69371360.6173843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2664713.206584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4128999.2621570001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948.4076804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</row>
    <row r="29" spans="1:1139" x14ac:dyDescent="0.25">
      <c r="A29" t="s">
        <v>5</v>
      </c>
      <c r="B29" t="s">
        <v>7</v>
      </c>
      <c r="C29" s="1">
        <v>46203</v>
      </c>
      <c r="D29" t="s">
        <v>20</v>
      </c>
      <c r="E29">
        <v>3525404726.9048524</v>
      </c>
      <c r="F29">
        <v>18226455.0145486</v>
      </c>
      <c r="G29">
        <v>2398.9721</v>
      </c>
      <c r="H29">
        <v>0</v>
      </c>
      <c r="I29">
        <v>0</v>
      </c>
      <c r="J29">
        <v>0</v>
      </c>
      <c r="K29">
        <v>0</v>
      </c>
      <c r="L29">
        <v>15659227.142025001</v>
      </c>
      <c r="M29">
        <v>4819.4555529999998</v>
      </c>
      <c r="N29">
        <v>4763.4324630000001</v>
      </c>
      <c r="O29">
        <v>23.04918</v>
      </c>
      <c r="P29">
        <v>471.59800000000001</v>
      </c>
      <c r="Q29">
        <v>0</v>
      </c>
      <c r="R29">
        <v>68.811279999999996</v>
      </c>
      <c r="S29">
        <v>0</v>
      </c>
      <c r="T29">
        <v>62.381399999999999</v>
      </c>
      <c r="U29">
        <v>105.37791</v>
      </c>
      <c r="V29">
        <v>4.2156380000000002</v>
      </c>
      <c r="W29">
        <v>194.84899999999999</v>
      </c>
      <c r="X29">
        <v>703100598.8503294</v>
      </c>
      <c r="Y29">
        <v>716498050.44947505</v>
      </c>
      <c r="Z29">
        <v>2554315.7299996</v>
      </c>
      <c r="AA29">
        <v>6000000</v>
      </c>
      <c r="AB29">
        <v>25580305.825525001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8640008.7157691997</v>
      </c>
      <c r="DS29">
        <v>0</v>
      </c>
      <c r="DT29">
        <v>10115958.990698401</v>
      </c>
      <c r="DU29">
        <v>0</v>
      </c>
      <c r="DV29">
        <v>0</v>
      </c>
      <c r="DW29">
        <v>8551398.803816</v>
      </c>
      <c r="DX29">
        <v>234556215.85034999</v>
      </c>
      <c r="DY29">
        <v>42997565.522241198</v>
      </c>
      <c r="DZ29">
        <v>1984799.7</v>
      </c>
      <c r="EA29">
        <v>21220817.175343499</v>
      </c>
      <c r="EB29">
        <v>928</v>
      </c>
      <c r="EC29">
        <v>0</v>
      </c>
      <c r="ED29">
        <v>28659359.8620448</v>
      </c>
      <c r="EE29">
        <v>0</v>
      </c>
      <c r="EF29">
        <v>31543611.279674999</v>
      </c>
      <c r="EG29">
        <v>30510775.839047998</v>
      </c>
      <c r="EH29">
        <v>0</v>
      </c>
      <c r="EI29">
        <v>86604549.933945194</v>
      </c>
      <c r="EJ29">
        <v>89773911.827534199</v>
      </c>
      <c r="EK29">
        <v>33186775.227600001</v>
      </c>
      <c r="EL29">
        <v>73853.098994400003</v>
      </c>
      <c r="EM29">
        <v>202104986.9473668</v>
      </c>
      <c r="EN29">
        <v>187223868.84169999</v>
      </c>
      <c r="EO29">
        <v>16989147.899394002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4902666.800636</v>
      </c>
      <c r="EX29">
        <v>5370843.6188420001</v>
      </c>
      <c r="EY29">
        <v>0</v>
      </c>
      <c r="EZ29">
        <v>2146529.3903464</v>
      </c>
      <c r="FA29">
        <v>0</v>
      </c>
      <c r="FB29">
        <v>14333754.2254142</v>
      </c>
      <c r="FC29">
        <v>0</v>
      </c>
      <c r="FD29">
        <v>1495023.9964000001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14118096.224620201</v>
      </c>
      <c r="GK29">
        <v>0</v>
      </c>
      <c r="GL29">
        <v>12363261.8825463</v>
      </c>
      <c r="GM29">
        <v>0</v>
      </c>
      <c r="GN29">
        <v>0</v>
      </c>
      <c r="GO29">
        <v>1356764.2752797999</v>
      </c>
      <c r="GP29">
        <v>7985483.0676292004</v>
      </c>
      <c r="GQ29">
        <v>40021.087471300001</v>
      </c>
      <c r="GR29">
        <v>1378013.4421015</v>
      </c>
      <c r="GS29">
        <v>22977753.8630214</v>
      </c>
      <c r="GT29">
        <v>735518.56669390004</v>
      </c>
      <c r="GU29">
        <v>87905523.042500004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146833.96768279999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193.11787820000001</v>
      </c>
      <c r="HV29">
        <v>35121405.767499998</v>
      </c>
      <c r="HW29">
        <v>309106830.52499998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52455109.520000003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204.45</v>
      </c>
      <c r="IK29">
        <v>0</v>
      </c>
      <c r="IL29">
        <v>1577665.78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3211340.4879999999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482669.711702</v>
      </c>
      <c r="JD29">
        <v>0</v>
      </c>
      <c r="JE29">
        <v>0</v>
      </c>
      <c r="JF29">
        <v>0</v>
      </c>
      <c r="JG29">
        <v>18707865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57687581.335630402</v>
      </c>
      <c r="JN29">
        <v>10801938.623491</v>
      </c>
      <c r="JO29">
        <v>5901755.9275310002</v>
      </c>
      <c r="JP29">
        <v>0</v>
      </c>
      <c r="JQ29">
        <v>37420466.453640498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9128.8309807999995</v>
      </c>
      <c r="KE29">
        <v>0</v>
      </c>
      <c r="KF29">
        <v>0</v>
      </c>
      <c r="KG29">
        <v>0</v>
      </c>
      <c r="KH29">
        <v>34296589.725000001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15064438.2017806</v>
      </c>
      <c r="LE29">
        <v>50330632.1101996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1313.4410766999999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32770026.439940199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18325409.139270399</v>
      </c>
      <c r="MX29">
        <v>0</v>
      </c>
      <c r="MY29">
        <v>0</v>
      </c>
      <c r="MZ29">
        <v>0</v>
      </c>
      <c r="NA29">
        <v>0</v>
      </c>
      <c r="NB29">
        <v>54321471.872785598</v>
      </c>
      <c r="NC29">
        <v>0</v>
      </c>
      <c r="ND29">
        <v>0</v>
      </c>
      <c r="NE29">
        <v>0</v>
      </c>
      <c r="NF29">
        <v>0</v>
      </c>
      <c r="NG29">
        <v>12514759.0524</v>
      </c>
      <c r="NH29">
        <v>0</v>
      </c>
      <c r="NI29">
        <v>70.822370800000002</v>
      </c>
      <c r="NJ29">
        <v>0</v>
      </c>
      <c r="NK29">
        <v>0</v>
      </c>
      <c r="NL29">
        <v>0</v>
      </c>
      <c r="NM29">
        <v>0</v>
      </c>
      <c r="NN29">
        <v>16982980</v>
      </c>
      <c r="NO29">
        <v>16982980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39000060.818607703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105648062.1444677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43183704.104999997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31660946.4148013</v>
      </c>
      <c r="QU29">
        <v>13451296.524800001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2317.6937251999998</v>
      </c>
      <c r="RV29">
        <v>77.2500182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92.608260799999996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293.38574999999997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3994.8398382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621.32354999999995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8556.0825700000005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95.338442499999999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40272612.112499997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4313.4005784999999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27517089.059999999</v>
      </c>
      <c r="WV29">
        <v>0</v>
      </c>
      <c r="WW29">
        <v>124947941.01000001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17952243.375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2742.1291968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506.93070820000003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936.87091329999998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1211.4388808000001</v>
      </c>
      <c r="ACI29">
        <v>0</v>
      </c>
      <c r="ACJ29">
        <v>0</v>
      </c>
      <c r="ACK29">
        <v>61.0844874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40692017.324743398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377529913.02700001</v>
      </c>
      <c r="ADY29">
        <v>0</v>
      </c>
      <c r="ADZ29">
        <v>0</v>
      </c>
      <c r="AEA29">
        <v>10630873.997173499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832.11546720000001</v>
      </c>
      <c r="AEI29">
        <v>12751837.9505064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10.3452327</v>
      </c>
      <c r="AFM29">
        <v>0</v>
      </c>
      <c r="AFN29">
        <v>0</v>
      </c>
      <c r="AFO29">
        <v>0</v>
      </c>
      <c r="AFP29">
        <v>37840434.821353801</v>
      </c>
      <c r="AFQ29">
        <v>0</v>
      </c>
      <c r="AFR29">
        <v>0</v>
      </c>
      <c r="AFS29">
        <v>0</v>
      </c>
      <c r="AFT29">
        <v>0</v>
      </c>
      <c r="AFU29">
        <v>19960249.050000001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274227772.97250003</v>
      </c>
      <c r="AGC29">
        <v>0</v>
      </c>
      <c r="AGD29">
        <v>174.11268670000001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41999567.1875</v>
      </c>
      <c r="AIM29">
        <v>0</v>
      </c>
      <c r="AIN29">
        <v>0</v>
      </c>
      <c r="AIO29">
        <v>0</v>
      </c>
      <c r="AIP29">
        <v>0</v>
      </c>
      <c r="AIQ29">
        <v>0</v>
      </c>
      <c r="AIR29" s="2">
        <v>40369205.465001397</v>
      </c>
      <c r="AIS29">
        <v>13.1049004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35575216.207439996</v>
      </c>
      <c r="AJB29">
        <v>0</v>
      </c>
      <c r="AJC29">
        <v>0</v>
      </c>
      <c r="AJD29">
        <v>17.266100099999999</v>
      </c>
      <c r="AJE29">
        <v>0</v>
      </c>
      <c r="AJF29">
        <v>0</v>
      </c>
      <c r="AJG29">
        <v>0</v>
      </c>
      <c r="AJH29">
        <v>0</v>
      </c>
      <c r="AJI29">
        <v>536.54494999999997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14481193.5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60419242.382624999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20942122.136585899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6223519.8563356996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35021603.5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849.81084239999996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181619.75</v>
      </c>
      <c r="AOV29">
        <v>-608238.75000000012</v>
      </c>
      <c r="AOW29">
        <v>101799.0625</v>
      </c>
      <c r="AOX29">
        <v>-312978.875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20598991.739999998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-3824973.27</v>
      </c>
      <c r="AQS29">
        <v>-27709.790000000005</v>
      </c>
      <c r="AQT29">
        <v>1003638.2350000001</v>
      </c>
      <c r="AQU29">
        <v>1129484.0250000001</v>
      </c>
    </row>
    <row r="30" spans="1:1139" s="2" customFormat="1" x14ac:dyDescent="0.25">
      <c r="A30" s="2" t="s">
        <v>0</v>
      </c>
      <c r="B30" s="2" t="s">
        <v>11</v>
      </c>
      <c r="C30" s="37">
        <v>46203</v>
      </c>
      <c r="D30" s="2" t="s">
        <v>21</v>
      </c>
      <c r="E30" s="2">
        <v>1</v>
      </c>
      <c r="F30" s="2">
        <v>1.8880021511989791E-3</v>
      </c>
      <c r="G30" s="2">
        <v>3.0255682181185237E-7</v>
      </c>
      <c r="H30" s="2">
        <v>8.3150492921761891E-13</v>
      </c>
      <c r="I30" s="2">
        <v>0</v>
      </c>
      <c r="J30" s="2">
        <v>0</v>
      </c>
      <c r="K30" s="2">
        <v>0</v>
      </c>
      <c r="L30" s="2">
        <v>1.2617646364205641E-3</v>
      </c>
      <c r="M30" s="2">
        <v>6.3478990017738695E-7</v>
      </c>
      <c r="N30" s="2">
        <v>5.6959292091278585E-7</v>
      </c>
      <c r="O30" s="2">
        <v>2.9069477907514271E-9</v>
      </c>
      <c r="P30" s="2">
        <v>5.9477637131680673E-8</v>
      </c>
      <c r="Q30" s="2">
        <v>0</v>
      </c>
      <c r="R30" s="2">
        <v>8.6784344768350911E-9</v>
      </c>
      <c r="S30" s="2">
        <v>0</v>
      </c>
      <c r="T30" s="2">
        <v>7.8675021373420263E-9</v>
      </c>
      <c r="U30" s="2">
        <v>1.3290194387327563E-8</v>
      </c>
      <c r="V30" s="2">
        <v>5.3167355935038748E-10</v>
      </c>
      <c r="W30" s="2">
        <v>2.457423084379248E-8</v>
      </c>
      <c r="X30" s="2">
        <v>2.8341513319804456E-2</v>
      </c>
      <c r="Y30" s="2">
        <v>4.2576616748538978E-2</v>
      </c>
      <c r="Z30" s="2">
        <v>6.2461324768368161E-4</v>
      </c>
      <c r="AA30" s="2">
        <v>6.3059679145883432E-5</v>
      </c>
      <c r="AB30" s="2">
        <v>2.6935038582861292E-2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1.4704539271278501E-2</v>
      </c>
      <c r="AL30" s="2">
        <v>6.261663612383013E-2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6.3081619391081544E-5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7.2920323403009217E-4</v>
      </c>
      <c r="DS30" s="2">
        <v>0</v>
      </c>
      <c r="DT30" s="2">
        <v>9.4171541086705379E-4</v>
      </c>
      <c r="DU30" s="2">
        <v>0</v>
      </c>
      <c r="DV30" s="2">
        <v>0</v>
      </c>
      <c r="DW30" s="2">
        <v>5.6555694306600246E-5</v>
      </c>
      <c r="DX30" s="2">
        <v>2.017610626276616E-3</v>
      </c>
      <c r="DY30" s="2">
        <v>5.0866023900540647E-4</v>
      </c>
      <c r="DZ30" s="2">
        <v>3.0355908604622913E-4</v>
      </c>
      <c r="EA30" s="2">
        <v>2.0382566018534876E-3</v>
      </c>
      <c r="EB30" s="2">
        <v>1.6899994011096761E-8</v>
      </c>
      <c r="EC30" s="2">
        <v>0</v>
      </c>
      <c r="ED30" s="2">
        <v>8.2077190795461978E-4</v>
      </c>
      <c r="EE30" s="2">
        <v>0</v>
      </c>
      <c r="EF30" s="2">
        <v>3.5926199982873721E-3</v>
      </c>
      <c r="EG30" s="2">
        <v>1.4893598706230133E-3</v>
      </c>
      <c r="EH30" s="2">
        <v>0</v>
      </c>
      <c r="EI30" s="2">
        <v>7.0867987214154218E-4</v>
      </c>
      <c r="EJ30" s="2">
        <v>7.3433461254884796E-3</v>
      </c>
      <c r="EK30" s="2">
        <v>4.1578042064303183E-3</v>
      </c>
      <c r="EL30" s="2">
        <v>6.7653601264658407E-5</v>
      </c>
      <c r="EM30" s="2">
        <v>9.7395142246911835E-3</v>
      </c>
      <c r="EN30" s="2">
        <v>3.5653763043136232E-3</v>
      </c>
      <c r="EO30" s="2">
        <v>5.6607259428157845E-5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2.2786510222648397E-3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2.2207948380324407E-8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5.6788879268901216E-3</v>
      </c>
      <c r="HR30" s="2">
        <v>0</v>
      </c>
      <c r="HS30" s="2">
        <v>0</v>
      </c>
      <c r="HT30" s="2">
        <v>0</v>
      </c>
      <c r="HU30" s="2">
        <v>0</v>
      </c>
      <c r="HV30" s="2">
        <v>1.4282652078575016E-3</v>
      </c>
      <c r="HW30" s="2">
        <v>1.7839268663466974E-2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1.7661535173269223E-3</v>
      </c>
      <c r="IR30" s="2">
        <v>0</v>
      </c>
      <c r="IS30" s="2">
        <v>0</v>
      </c>
      <c r="IT30" s="2">
        <v>0</v>
      </c>
      <c r="IU30" s="2">
        <v>1.0427524892813696E-3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1.9153397832774947E-7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2.2201163434734405E-3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3.1343826225579345E-4</v>
      </c>
      <c r="KA30" s="2">
        <v>0</v>
      </c>
      <c r="KB30" s="2">
        <v>0</v>
      </c>
      <c r="KC30" s="2">
        <v>0</v>
      </c>
      <c r="KD30" s="2">
        <v>1.1513223052524967E-6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6.1606475278359787E-4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7.7474598561147728E-4</v>
      </c>
      <c r="MB30" s="2">
        <v>2.6095602407345893E-8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2.7245937799344377E-2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3.7721406268493209E-3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3.6228542156155875E-3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0</v>
      </c>
      <c r="NZ30" s="2">
        <v>0</v>
      </c>
      <c r="OA30" s="2">
        <v>0</v>
      </c>
      <c r="OB30" s="2">
        <v>0</v>
      </c>
      <c r="OC30" s="2">
        <v>0</v>
      </c>
      <c r="OD30" s="2">
        <v>0</v>
      </c>
      <c r="OE30" s="2">
        <v>0</v>
      </c>
      <c r="OF30" s="2">
        <v>0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0</v>
      </c>
      <c r="OO30" s="2">
        <v>0</v>
      </c>
      <c r="OP30" s="2">
        <v>0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7.4058102165537234E-3</v>
      </c>
      <c r="OX30" s="2">
        <v>0</v>
      </c>
      <c r="OY30" s="2">
        <v>0</v>
      </c>
      <c r="OZ30" s="2">
        <v>0</v>
      </c>
      <c r="PA30" s="2">
        <v>6.0515884958000071E-4</v>
      </c>
      <c r="PB30" s="2">
        <v>0</v>
      </c>
      <c r="PC30" s="2">
        <v>0</v>
      </c>
      <c r="PD30" s="2">
        <v>0</v>
      </c>
      <c r="PE30" s="2">
        <v>0</v>
      </c>
      <c r="PF30" s="2">
        <v>4.9911346801791243E-3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0</v>
      </c>
      <c r="PQ30" s="2">
        <v>0</v>
      </c>
      <c r="PR30" s="2">
        <v>0</v>
      </c>
      <c r="PS30" s="2">
        <v>0</v>
      </c>
      <c r="PT30" s="2">
        <v>0</v>
      </c>
      <c r="PU30" s="2">
        <v>2.5842171176737195E-3</v>
      </c>
      <c r="PV30" s="2">
        <v>0</v>
      </c>
      <c r="PW30" s="2">
        <v>0</v>
      </c>
      <c r="PX30" s="2">
        <v>0</v>
      </c>
      <c r="PY30" s="2">
        <v>0</v>
      </c>
      <c r="PZ30" s="2">
        <v>0</v>
      </c>
      <c r="QA30" s="2">
        <v>0</v>
      </c>
      <c r="QB30" s="2">
        <v>0</v>
      </c>
      <c r="QC30" s="2">
        <v>4.1059597475851884E-3</v>
      </c>
      <c r="QD30" s="2">
        <v>0</v>
      </c>
      <c r="QE30" s="2">
        <v>0</v>
      </c>
      <c r="QF30" s="2">
        <v>0</v>
      </c>
      <c r="QG30" s="2">
        <v>0</v>
      </c>
      <c r="QH30" s="2">
        <v>9.4567715431178511E-8</v>
      </c>
      <c r="QI30" s="2">
        <v>0</v>
      </c>
      <c r="QJ30" s="2">
        <v>1.7360250213665986E-7</v>
      </c>
      <c r="QK30" s="2">
        <v>0</v>
      </c>
      <c r="QL30" s="2">
        <v>5.1057920312158368E-3</v>
      </c>
      <c r="QM30" s="2">
        <v>0</v>
      </c>
      <c r="QN30" s="2">
        <v>4.6428031182293522E-2</v>
      </c>
      <c r="QO30" s="2">
        <v>0</v>
      </c>
      <c r="QP30" s="2">
        <v>0</v>
      </c>
      <c r="QQ30" s="2">
        <v>0</v>
      </c>
      <c r="QR30" s="2">
        <v>1.1585974449994717E-2</v>
      </c>
      <c r="QS30" s="2">
        <v>0</v>
      </c>
      <c r="QT30" s="2">
        <v>0</v>
      </c>
      <c r="QU30" s="2">
        <v>0</v>
      </c>
      <c r="QV30" s="2">
        <v>0</v>
      </c>
      <c r="QW30" s="2">
        <v>2.3161597936171433E-3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6.5229957215411317E-3</v>
      </c>
      <c r="RD30" s="2">
        <v>0</v>
      </c>
      <c r="RE30" s="2">
        <v>0</v>
      </c>
      <c r="RF30" s="2">
        <v>0</v>
      </c>
      <c r="RG30" s="2">
        <v>0</v>
      </c>
      <c r="RH30" s="2">
        <v>0</v>
      </c>
      <c r="RI30" s="2">
        <v>4.5992244065005379E-3</v>
      </c>
      <c r="RJ30" s="2">
        <v>2.1347304053081064E-4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0</v>
      </c>
      <c r="RU30" s="2">
        <v>2.1212340010581527E-7</v>
      </c>
      <c r="RV30" s="2">
        <v>0</v>
      </c>
      <c r="RW30" s="2">
        <v>0</v>
      </c>
      <c r="RX30" s="2">
        <v>0</v>
      </c>
      <c r="RY30" s="2">
        <v>2.0799361745356546E-2</v>
      </c>
      <c r="RZ30" s="2">
        <v>0</v>
      </c>
      <c r="SA30" s="2">
        <v>0</v>
      </c>
      <c r="SB30" s="2">
        <v>0</v>
      </c>
      <c r="SC30" s="2">
        <v>3.2632113627912027E-3</v>
      </c>
      <c r="SD30" s="2">
        <v>2.2381088147667576E-2</v>
      </c>
      <c r="SE30" s="2">
        <v>0</v>
      </c>
      <c r="SF30" s="2">
        <v>0</v>
      </c>
      <c r="SG30" s="2">
        <v>0</v>
      </c>
      <c r="SH30" s="2">
        <v>0</v>
      </c>
      <c r="SI30" s="2">
        <v>0</v>
      </c>
      <c r="SJ30" s="2">
        <v>8.1920131107769031E-7</v>
      </c>
      <c r="SK30" s="2">
        <v>0</v>
      </c>
      <c r="SL30" s="2">
        <v>0</v>
      </c>
      <c r="SM30" s="2">
        <v>0</v>
      </c>
      <c r="SN30" s="2">
        <v>0</v>
      </c>
      <c r="SO30" s="2">
        <v>1.3752072018202793E-7</v>
      </c>
      <c r="SP30" s="2">
        <v>0</v>
      </c>
      <c r="SQ30" s="2">
        <v>0</v>
      </c>
      <c r="SR30" s="2">
        <v>0</v>
      </c>
      <c r="SS30" s="2">
        <v>0</v>
      </c>
      <c r="ST30" s="2">
        <v>0</v>
      </c>
      <c r="SU30" s="2">
        <v>0</v>
      </c>
      <c r="SV30" s="2">
        <v>0</v>
      </c>
      <c r="SW30" s="2">
        <v>0</v>
      </c>
      <c r="SX30" s="2">
        <v>0</v>
      </c>
      <c r="SY30" s="2">
        <v>0</v>
      </c>
      <c r="SZ30" s="2">
        <v>0</v>
      </c>
      <c r="TA30" s="2">
        <v>2.0688247482074474E-8</v>
      </c>
      <c r="TB30" s="2">
        <v>0</v>
      </c>
      <c r="TC30" s="2">
        <v>0</v>
      </c>
      <c r="TD30" s="2">
        <v>0</v>
      </c>
      <c r="TE30" s="2">
        <v>0</v>
      </c>
      <c r="TF30" s="2">
        <v>0</v>
      </c>
      <c r="TG30" s="2">
        <v>0</v>
      </c>
      <c r="TH30" s="2">
        <v>0</v>
      </c>
      <c r="TI30" s="2">
        <v>0</v>
      </c>
      <c r="TJ30" s="2">
        <v>0</v>
      </c>
      <c r="TK30" s="2">
        <v>0</v>
      </c>
      <c r="TL30" s="2">
        <v>0</v>
      </c>
      <c r="TM30" s="2">
        <v>6.2974363511490135E-8</v>
      </c>
      <c r="TN30" s="2">
        <v>0</v>
      </c>
      <c r="TO30" s="2">
        <v>8.7632823554175485E-3</v>
      </c>
      <c r="TP30" s="2">
        <v>0</v>
      </c>
      <c r="TQ30" s="2">
        <v>0</v>
      </c>
      <c r="TR30" s="2">
        <v>0</v>
      </c>
      <c r="TS30" s="2">
        <v>0</v>
      </c>
      <c r="TT30" s="2">
        <v>0</v>
      </c>
      <c r="TU30" s="2">
        <v>0</v>
      </c>
      <c r="TV30" s="2">
        <v>0</v>
      </c>
      <c r="TW30" s="2">
        <v>9.3134687339605695E-3</v>
      </c>
      <c r="TX30" s="2">
        <v>0</v>
      </c>
      <c r="TY30" s="2">
        <v>0</v>
      </c>
      <c r="TZ30" s="2">
        <v>0</v>
      </c>
      <c r="UA30" s="2">
        <v>0</v>
      </c>
      <c r="UB30" s="2">
        <v>0</v>
      </c>
      <c r="UC30" s="2">
        <v>0</v>
      </c>
      <c r="UD30" s="2">
        <v>1.0673584297065132E-6</v>
      </c>
      <c r="UE30" s="2">
        <v>0</v>
      </c>
      <c r="UF30" s="2">
        <v>0</v>
      </c>
      <c r="UG30" s="2">
        <v>0</v>
      </c>
      <c r="UH30" s="2">
        <v>0</v>
      </c>
      <c r="UI30" s="2">
        <v>0</v>
      </c>
      <c r="UJ30" s="2">
        <v>4.9464422209945415E-8</v>
      </c>
      <c r="UK30" s="2">
        <v>0</v>
      </c>
      <c r="UL30" s="2">
        <v>0</v>
      </c>
      <c r="UM30" s="2">
        <v>0</v>
      </c>
      <c r="UN30" s="2">
        <v>0</v>
      </c>
      <c r="UO30" s="2">
        <v>0</v>
      </c>
      <c r="UP30" s="2">
        <v>0</v>
      </c>
      <c r="UQ30" s="2">
        <v>0</v>
      </c>
      <c r="UR30" s="2">
        <v>0</v>
      </c>
      <c r="US30" s="2">
        <v>0</v>
      </c>
      <c r="UT30" s="2">
        <v>0</v>
      </c>
      <c r="UU30" s="2">
        <v>0</v>
      </c>
      <c r="UV30" s="2">
        <v>0</v>
      </c>
      <c r="UW30" s="2">
        <v>0</v>
      </c>
      <c r="UX30" s="2">
        <v>0</v>
      </c>
      <c r="UY30" s="2">
        <v>0</v>
      </c>
      <c r="UZ30" s="2">
        <v>4.1899120369858827E-3</v>
      </c>
      <c r="VA30" s="2">
        <v>0</v>
      </c>
      <c r="VB30" s="2">
        <v>9.1179338053346208E-8</v>
      </c>
      <c r="VC30" s="2">
        <v>0</v>
      </c>
      <c r="VD30" s="2">
        <v>0</v>
      </c>
      <c r="VE30" s="2">
        <v>0</v>
      </c>
      <c r="VF30" s="2">
        <v>0</v>
      </c>
      <c r="VG30" s="2">
        <v>0</v>
      </c>
      <c r="VH30" s="2">
        <v>0</v>
      </c>
      <c r="VI30" s="2">
        <v>0</v>
      </c>
      <c r="VJ30" s="2">
        <v>0</v>
      </c>
      <c r="VK30" s="2">
        <v>0</v>
      </c>
      <c r="VL30" s="2">
        <v>0</v>
      </c>
      <c r="VM30" s="2">
        <v>0</v>
      </c>
      <c r="VN30" s="2">
        <v>0</v>
      </c>
      <c r="VO30" s="2">
        <v>0</v>
      </c>
      <c r="VP30" s="2">
        <v>0</v>
      </c>
      <c r="VQ30" s="2">
        <v>0</v>
      </c>
      <c r="VR30" s="2">
        <v>2.9580897863984751E-3</v>
      </c>
      <c r="VS30" s="2">
        <v>0</v>
      </c>
      <c r="VT30" s="2">
        <v>0</v>
      </c>
      <c r="VU30" s="2">
        <v>0</v>
      </c>
      <c r="VV30" s="2">
        <v>0</v>
      </c>
      <c r="VW30" s="2">
        <v>0</v>
      </c>
      <c r="VX30" s="2">
        <v>0</v>
      </c>
      <c r="VY30" s="2">
        <v>0</v>
      </c>
      <c r="VZ30" s="2">
        <v>0</v>
      </c>
      <c r="WA30" s="2">
        <v>0</v>
      </c>
      <c r="WB30" s="2">
        <v>0</v>
      </c>
      <c r="WC30" s="2">
        <v>0</v>
      </c>
      <c r="WD30" s="2">
        <v>0</v>
      </c>
      <c r="WE30" s="2">
        <v>0</v>
      </c>
      <c r="WF30" s="2">
        <v>0</v>
      </c>
      <c r="WG30" s="2">
        <v>2.8119767227368143E-3</v>
      </c>
      <c r="WH30" s="2">
        <v>0</v>
      </c>
      <c r="WI30" s="2">
        <v>0</v>
      </c>
      <c r="WJ30" s="2">
        <v>0</v>
      </c>
      <c r="WK30" s="2">
        <v>0</v>
      </c>
      <c r="WL30" s="2">
        <v>0</v>
      </c>
      <c r="WM30" s="2">
        <v>0</v>
      </c>
      <c r="WN30" s="2">
        <v>0</v>
      </c>
      <c r="WO30" s="2">
        <v>0</v>
      </c>
      <c r="WP30" s="2">
        <v>2.587292386628218E-2</v>
      </c>
      <c r="WQ30" s="2">
        <v>0</v>
      </c>
      <c r="WR30" s="2">
        <v>2.5025981640707882E-2</v>
      </c>
      <c r="WS30" s="2">
        <v>0</v>
      </c>
      <c r="WT30" s="2">
        <v>0</v>
      </c>
      <c r="WU30" s="2">
        <v>0</v>
      </c>
      <c r="WV30" s="2">
        <v>0</v>
      </c>
      <c r="WW30" s="2">
        <v>4.7731538673603611E-3</v>
      </c>
      <c r="WX30" s="2">
        <v>0</v>
      </c>
      <c r="WY30" s="2">
        <v>0</v>
      </c>
      <c r="WZ30" s="2">
        <v>0</v>
      </c>
      <c r="XA30" s="2">
        <v>0</v>
      </c>
      <c r="XB30" s="2">
        <v>0</v>
      </c>
      <c r="XC30" s="2">
        <v>0</v>
      </c>
      <c r="XD30" s="2">
        <v>0</v>
      </c>
      <c r="XE30" s="2">
        <v>0</v>
      </c>
      <c r="XF30" s="2">
        <v>0</v>
      </c>
      <c r="XG30" s="2">
        <v>0</v>
      </c>
      <c r="XH30" s="2">
        <v>0</v>
      </c>
      <c r="XI30" s="2">
        <v>0</v>
      </c>
      <c r="XJ30" s="2">
        <v>0</v>
      </c>
      <c r="XK30" s="2">
        <v>7.9353105426268793E-6</v>
      </c>
      <c r="XL30" s="2">
        <v>0</v>
      </c>
      <c r="XM30" s="2">
        <v>0</v>
      </c>
      <c r="XN30" s="2">
        <v>0</v>
      </c>
      <c r="XO30" s="2">
        <v>0</v>
      </c>
      <c r="XP30" s="2">
        <v>0</v>
      </c>
      <c r="XQ30" s="2">
        <v>0</v>
      </c>
      <c r="XR30" s="2">
        <v>0</v>
      </c>
      <c r="XS30" s="2">
        <v>0</v>
      </c>
      <c r="XT30" s="2">
        <v>0</v>
      </c>
      <c r="XU30" s="2">
        <v>1.4613387649195153E-4</v>
      </c>
      <c r="XV30" s="2">
        <v>0</v>
      </c>
      <c r="XW30" s="2">
        <v>0</v>
      </c>
      <c r="XX30" s="2">
        <v>2.7509668717479625E-3</v>
      </c>
      <c r="XY30" s="2">
        <v>4.2240724892444345E-5</v>
      </c>
      <c r="XZ30" s="2">
        <v>2.7339425337510825E-5</v>
      </c>
      <c r="YA30" s="2">
        <v>0</v>
      </c>
      <c r="YB30" s="2">
        <v>0</v>
      </c>
      <c r="YC30" s="2">
        <v>0</v>
      </c>
      <c r="YD30" s="2">
        <v>0</v>
      </c>
      <c r="YE30" s="2">
        <v>0</v>
      </c>
      <c r="YF30" s="2">
        <v>0</v>
      </c>
      <c r="YG30" s="2">
        <v>0</v>
      </c>
      <c r="YH30" s="2">
        <v>0</v>
      </c>
      <c r="YI30" s="2">
        <v>0</v>
      </c>
      <c r="YJ30" s="2">
        <v>0</v>
      </c>
      <c r="YK30" s="2">
        <v>0</v>
      </c>
      <c r="YL30" s="2">
        <v>0</v>
      </c>
      <c r="YM30" s="2">
        <v>0</v>
      </c>
      <c r="YN30" s="2">
        <v>0</v>
      </c>
      <c r="YO30" s="2">
        <v>0</v>
      </c>
      <c r="YP30" s="2">
        <v>0</v>
      </c>
      <c r="YQ30" s="2">
        <v>0</v>
      </c>
      <c r="YR30" s="2">
        <v>2.6413500570306788E-4</v>
      </c>
      <c r="YS30" s="2">
        <v>0</v>
      </c>
      <c r="YT30" s="2">
        <v>0</v>
      </c>
      <c r="YU30" s="2">
        <v>0</v>
      </c>
      <c r="YV30" s="2">
        <v>0</v>
      </c>
      <c r="YW30" s="2">
        <v>0</v>
      </c>
      <c r="YX30" s="2">
        <v>0</v>
      </c>
      <c r="YY30" s="2">
        <v>0</v>
      </c>
      <c r="YZ30" s="2">
        <v>0</v>
      </c>
      <c r="ZA30" s="2">
        <v>0</v>
      </c>
      <c r="ZB30" s="2">
        <v>0</v>
      </c>
      <c r="ZC30" s="2">
        <v>0</v>
      </c>
      <c r="ZD30" s="2">
        <v>0</v>
      </c>
      <c r="ZE30" s="2">
        <v>0</v>
      </c>
      <c r="ZF30" s="2">
        <v>0</v>
      </c>
      <c r="ZG30" s="2">
        <v>0</v>
      </c>
      <c r="ZH30" s="2">
        <v>0</v>
      </c>
      <c r="ZI30" s="2">
        <v>0</v>
      </c>
      <c r="ZJ30" s="2">
        <v>0</v>
      </c>
      <c r="ZK30" s="2">
        <v>0</v>
      </c>
      <c r="ZL30" s="2">
        <v>0</v>
      </c>
      <c r="ZM30" s="2">
        <v>0</v>
      </c>
      <c r="ZN30" s="2">
        <v>0</v>
      </c>
      <c r="ZO30" s="2">
        <v>0</v>
      </c>
      <c r="ZP30" s="2">
        <v>0</v>
      </c>
      <c r="ZQ30" s="2">
        <v>7.2938104218552534E-3</v>
      </c>
      <c r="ZR30" s="2">
        <v>0</v>
      </c>
      <c r="ZS30" s="2">
        <v>0</v>
      </c>
      <c r="ZT30" s="2">
        <v>0</v>
      </c>
      <c r="ZU30" s="2">
        <v>0</v>
      </c>
      <c r="ZV30" s="2">
        <v>0</v>
      </c>
      <c r="ZW30" s="2">
        <v>0</v>
      </c>
      <c r="ZX30" s="2">
        <v>3.4369832900117141E-3</v>
      </c>
      <c r="ZY30" s="2">
        <v>0</v>
      </c>
      <c r="ZZ30" s="2">
        <v>0</v>
      </c>
      <c r="AAA30" s="2">
        <v>0</v>
      </c>
      <c r="AAB30" s="2">
        <v>0</v>
      </c>
      <c r="AAC30" s="2">
        <v>0</v>
      </c>
      <c r="AAD30" s="2">
        <v>0</v>
      </c>
      <c r="AAE30" s="2">
        <v>0</v>
      </c>
      <c r="AAF30" s="2">
        <v>0</v>
      </c>
      <c r="AAG30" s="2">
        <v>0</v>
      </c>
      <c r="AAH30" s="2">
        <v>0</v>
      </c>
      <c r="AAI30" s="2">
        <v>0</v>
      </c>
      <c r="AAJ30" s="2">
        <v>0</v>
      </c>
      <c r="AAK30" s="2">
        <v>0</v>
      </c>
      <c r="AAL30" s="2">
        <v>0</v>
      </c>
      <c r="AAM30" s="2">
        <v>2.069873342388093E-3</v>
      </c>
      <c r="AAN30" s="2">
        <v>0</v>
      </c>
      <c r="AAO30" s="2">
        <v>0</v>
      </c>
      <c r="AAP30" s="2">
        <v>0</v>
      </c>
      <c r="AAQ30" s="2">
        <v>0</v>
      </c>
      <c r="AAR30" s="2">
        <v>0</v>
      </c>
      <c r="AAS30" s="2">
        <v>0</v>
      </c>
      <c r="AAT30" s="2">
        <v>0</v>
      </c>
      <c r="AAU30" s="2">
        <v>0</v>
      </c>
      <c r="AAV30" s="2">
        <v>0</v>
      </c>
      <c r="AAW30" s="2">
        <v>0</v>
      </c>
      <c r="AAX30" s="2">
        <v>0</v>
      </c>
      <c r="AAY30" s="2">
        <v>0</v>
      </c>
      <c r="AAZ30" s="2">
        <v>0</v>
      </c>
      <c r="ABA30" s="2">
        <v>0</v>
      </c>
      <c r="ABB30" s="2">
        <v>1.2666163145484239E-2</v>
      </c>
      <c r="ABC30" s="2">
        <v>0</v>
      </c>
      <c r="ABD30" s="2">
        <v>0</v>
      </c>
      <c r="ABE30" s="2">
        <v>0</v>
      </c>
      <c r="ABF30" s="2">
        <v>0</v>
      </c>
      <c r="ABG30" s="2">
        <v>0</v>
      </c>
      <c r="ABH30" s="2">
        <v>0</v>
      </c>
      <c r="ABI30" s="2">
        <v>3.8043051794359171E-3</v>
      </c>
      <c r="ABJ30" s="2">
        <v>0</v>
      </c>
      <c r="ABK30" s="2">
        <v>0</v>
      </c>
      <c r="ABL30" s="2">
        <v>0</v>
      </c>
      <c r="ABM30" s="2">
        <v>0</v>
      </c>
      <c r="ABN30" s="2">
        <v>0</v>
      </c>
      <c r="ABO30" s="2">
        <v>6.4573113375010819E-8</v>
      </c>
      <c r="ABP30" s="2">
        <v>0</v>
      </c>
      <c r="ABQ30" s="2">
        <v>0</v>
      </c>
      <c r="ABR30" s="2">
        <v>0</v>
      </c>
      <c r="ABS30" s="2">
        <v>0</v>
      </c>
      <c r="ABT30" s="2">
        <v>0</v>
      </c>
      <c r="ABU30" s="2">
        <v>1.2848827387519736E-7</v>
      </c>
      <c r="ABV30" s="2">
        <v>0</v>
      </c>
      <c r="ABW30" s="2">
        <v>0</v>
      </c>
      <c r="ABX30" s="2">
        <v>1.4717350306788427E-2</v>
      </c>
      <c r="ABY30" s="2">
        <v>0</v>
      </c>
      <c r="ABZ30" s="2">
        <v>0</v>
      </c>
      <c r="ACA30" s="2">
        <v>0</v>
      </c>
      <c r="ACB30" s="2">
        <v>0</v>
      </c>
      <c r="ACC30" s="2">
        <v>0</v>
      </c>
      <c r="ACD30" s="2">
        <v>0</v>
      </c>
      <c r="ACE30" s="2">
        <v>0</v>
      </c>
      <c r="ACF30" s="2">
        <v>1.0378511521596506E-2</v>
      </c>
      <c r="ACG30" s="2">
        <v>0</v>
      </c>
      <c r="ACH30" s="2">
        <v>0</v>
      </c>
      <c r="ACI30" s="2">
        <v>0</v>
      </c>
      <c r="ACJ30" s="2">
        <v>0</v>
      </c>
      <c r="ACK30" s="2">
        <v>4.0679836206891626E-2</v>
      </c>
      <c r="ACL30" s="2">
        <v>0</v>
      </c>
      <c r="ACM30" s="2">
        <v>0</v>
      </c>
      <c r="ACN30" s="2">
        <v>0</v>
      </c>
      <c r="ACO30" s="2">
        <v>0</v>
      </c>
      <c r="ACP30" s="2">
        <v>0</v>
      </c>
      <c r="ACQ30" s="2">
        <v>0</v>
      </c>
      <c r="ACR30" s="2">
        <v>0</v>
      </c>
      <c r="ACS30" s="2">
        <v>0</v>
      </c>
      <c r="ACT30" s="2">
        <v>0</v>
      </c>
      <c r="ACU30" s="2">
        <v>0</v>
      </c>
      <c r="ACV30" s="2">
        <v>0</v>
      </c>
      <c r="ACW30" s="2">
        <v>0</v>
      </c>
      <c r="ACX30" s="2">
        <v>0</v>
      </c>
      <c r="ACY30" s="2">
        <v>0</v>
      </c>
      <c r="ACZ30" s="2">
        <v>0</v>
      </c>
      <c r="ADA30" s="2">
        <v>9.7856332486770947E-3</v>
      </c>
      <c r="ADB30" s="2">
        <v>0</v>
      </c>
      <c r="ADC30" s="2">
        <v>0</v>
      </c>
      <c r="ADD30" s="2">
        <v>0</v>
      </c>
      <c r="ADE30" s="2">
        <v>0</v>
      </c>
      <c r="ADF30" s="2">
        <v>5.7520496258746208E-3</v>
      </c>
      <c r="ADG30" s="2">
        <v>0</v>
      </c>
      <c r="ADH30" s="2">
        <v>0</v>
      </c>
      <c r="ADI30" s="2">
        <v>0</v>
      </c>
      <c r="ADJ30" s="2">
        <v>0</v>
      </c>
      <c r="ADK30" s="2">
        <v>2.1727904710463323E-2</v>
      </c>
      <c r="ADL30" s="2">
        <v>0</v>
      </c>
      <c r="ADM30" s="2">
        <v>0</v>
      </c>
      <c r="ADN30" s="2">
        <v>0</v>
      </c>
      <c r="ADO30" s="2">
        <v>0</v>
      </c>
      <c r="ADP30" s="2">
        <v>0</v>
      </c>
      <c r="ADQ30" s="2">
        <v>0</v>
      </c>
      <c r="ADR30" s="2">
        <v>0</v>
      </c>
      <c r="ADS30" s="2">
        <v>0</v>
      </c>
      <c r="ADT30" s="2">
        <v>0</v>
      </c>
      <c r="ADU30" s="2">
        <v>0</v>
      </c>
      <c r="ADV30" s="2">
        <v>0</v>
      </c>
      <c r="ADW30" s="2">
        <v>0</v>
      </c>
      <c r="ADX30" s="2">
        <v>2.728893984940697E-2</v>
      </c>
      <c r="ADY30" s="2">
        <v>0</v>
      </c>
      <c r="ADZ30" s="2">
        <v>0</v>
      </c>
      <c r="AEA30" s="2">
        <v>9.1275016728532994E-4</v>
      </c>
      <c r="AEB30" s="2">
        <v>0</v>
      </c>
      <c r="AEC30" s="2">
        <v>0</v>
      </c>
      <c r="AED30" s="2">
        <v>0</v>
      </c>
      <c r="AEE30" s="2">
        <v>0</v>
      </c>
      <c r="AEF30" s="2">
        <v>0</v>
      </c>
      <c r="AEG30" s="2">
        <v>0</v>
      </c>
      <c r="AEH30" s="2">
        <v>1.5153821564893301E-8</v>
      </c>
      <c r="AEI30" s="2">
        <v>5.3408387629745124E-4</v>
      </c>
      <c r="AEJ30" s="2">
        <v>0</v>
      </c>
      <c r="AEK30" s="2">
        <v>0</v>
      </c>
      <c r="AEL30" s="2">
        <v>0</v>
      </c>
      <c r="AEM30" s="2">
        <v>0</v>
      </c>
      <c r="AEN30" s="2">
        <v>0</v>
      </c>
      <c r="AEO30" s="2">
        <v>7.5858276348906998E-3</v>
      </c>
      <c r="AEP30" s="2">
        <v>5.3359915474771098E-2</v>
      </c>
      <c r="AEQ30" s="2">
        <v>0</v>
      </c>
      <c r="AER30" s="2">
        <v>1.2507083996586191E-2</v>
      </c>
      <c r="AES30" s="2">
        <v>0</v>
      </c>
      <c r="AET30" s="2">
        <v>0</v>
      </c>
      <c r="AEU30" s="2">
        <v>0</v>
      </c>
      <c r="AEV30" s="2">
        <v>0</v>
      </c>
      <c r="AEW30" s="2">
        <v>0</v>
      </c>
      <c r="AEX30" s="2">
        <v>0</v>
      </c>
      <c r="AEY30" s="2">
        <v>0</v>
      </c>
      <c r="AEZ30" s="2">
        <v>0</v>
      </c>
      <c r="AFA30" s="2">
        <v>1.1848186780882184E-3</v>
      </c>
      <c r="AFB30" s="2">
        <v>7.6422075292494041E-4</v>
      </c>
      <c r="AFC30" s="2">
        <v>0</v>
      </c>
      <c r="AFD30" s="2">
        <v>0</v>
      </c>
      <c r="AFE30" s="2">
        <v>1.6031219684986269E-3</v>
      </c>
      <c r="AFF30" s="2">
        <v>0</v>
      </c>
      <c r="AFG30" s="2">
        <v>0</v>
      </c>
      <c r="AFH30" s="2">
        <v>0</v>
      </c>
      <c r="AFI30" s="2">
        <v>6.8094354469103611E-3</v>
      </c>
      <c r="AFJ30" s="2">
        <v>0</v>
      </c>
      <c r="AFK30" s="2">
        <v>0</v>
      </c>
      <c r="AFL30" s="2">
        <v>0</v>
      </c>
      <c r="AFM30" s="2">
        <v>9.5382438406915596E-4</v>
      </c>
      <c r="AFN30" s="2">
        <v>0</v>
      </c>
      <c r="AFO30" s="2">
        <v>0</v>
      </c>
      <c r="AFP30" s="2">
        <v>0</v>
      </c>
      <c r="AFQ30" s="2">
        <v>0</v>
      </c>
      <c r="AFR30" s="2">
        <v>0</v>
      </c>
      <c r="AFS30" s="2">
        <v>0</v>
      </c>
      <c r="AFT30" s="2">
        <v>0</v>
      </c>
      <c r="AFU30" s="2">
        <v>0</v>
      </c>
      <c r="AFV30" s="2">
        <v>0</v>
      </c>
      <c r="AFW30" s="2">
        <v>0</v>
      </c>
      <c r="AFX30" s="2">
        <v>0</v>
      </c>
      <c r="AFY30" s="2">
        <v>0</v>
      </c>
      <c r="AFZ30" s="2">
        <v>0</v>
      </c>
      <c r="AGA30" s="2">
        <v>1.1157824230183675E-7</v>
      </c>
      <c r="AGB30" s="2">
        <v>0</v>
      </c>
      <c r="AGC30" s="2">
        <v>8.1833972697470461E-3</v>
      </c>
      <c r="AGD30" s="2">
        <v>0</v>
      </c>
      <c r="AGE30" s="2">
        <v>0</v>
      </c>
      <c r="AGF30" s="2">
        <v>0</v>
      </c>
      <c r="AGG30" s="2">
        <v>0</v>
      </c>
      <c r="AGH30" s="2">
        <v>0</v>
      </c>
      <c r="AGI30" s="2">
        <v>6.2646473365872606E-3</v>
      </c>
      <c r="AGJ30" s="2">
        <v>2.6496509521817042E-2</v>
      </c>
      <c r="AGK30" s="2">
        <v>0</v>
      </c>
      <c r="AGL30" s="2">
        <v>0</v>
      </c>
      <c r="AGM30" s="2">
        <v>0</v>
      </c>
      <c r="AGN30" s="2">
        <v>0</v>
      </c>
      <c r="AGO30" s="2">
        <v>0</v>
      </c>
      <c r="AGP30" s="2">
        <v>0</v>
      </c>
      <c r="AGQ30" s="2">
        <v>0</v>
      </c>
      <c r="AGR30" s="2">
        <v>0</v>
      </c>
      <c r="AGS30" s="2">
        <v>0</v>
      </c>
      <c r="AGT30" s="2">
        <v>0</v>
      </c>
      <c r="AGU30" s="2">
        <v>0</v>
      </c>
      <c r="AGV30" s="2">
        <v>0</v>
      </c>
      <c r="AGW30" s="2">
        <v>0</v>
      </c>
      <c r="AGX30" s="2">
        <v>0</v>
      </c>
      <c r="AGY30" s="2">
        <v>0</v>
      </c>
      <c r="AGZ30" s="2">
        <v>0</v>
      </c>
      <c r="AHA30" s="2">
        <v>0</v>
      </c>
      <c r="AHB30" s="2">
        <v>0</v>
      </c>
      <c r="AHC30" s="2">
        <v>0</v>
      </c>
      <c r="AHD30" s="2">
        <v>0</v>
      </c>
      <c r="AHE30" s="2">
        <v>0</v>
      </c>
      <c r="AHF30" s="2">
        <v>0</v>
      </c>
      <c r="AHG30" s="2">
        <v>0</v>
      </c>
      <c r="AHH30" s="2">
        <v>0</v>
      </c>
      <c r="AHI30" s="2">
        <v>0</v>
      </c>
      <c r="AHJ30" s="2">
        <v>0</v>
      </c>
      <c r="AHK30" s="2">
        <v>0</v>
      </c>
      <c r="AHL30" s="2">
        <v>0</v>
      </c>
      <c r="AHM30" s="2">
        <v>0</v>
      </c>
      <c r="AHN30" s="2">
        <v>0</v>
      </c>
      <c r="AHO30" s="2">
        <v>0</v>
      </c>
      <c r="AHP30" s="2">
        <v>0</v>
      </c>
      <c r="AHQ30" s="2">
        <v>0</v>
      </c>
      <c r="AHR30" s="2">
        <v>0</v>
      </c>
      <c r="AHS30" s="2">
        <v>0</v>
      </c>
      <c r="AHT30" s="2">
        <v>0</v>
      </c>
      <c r="AHU30" s="2">
        <v>0</v>
      </c>
      <c r="AHV30" s="2">
        <v>0</v>
      </c>
      <c r="AHW30" s="2">
        <v>0</v>
      </c>
      <c r="AHX30" s="2">
        <v>0</v>
      </c>
      <c r="AHY30" s="2">
        <v>0</v>
      </c>
      <c r="AHZ30" s="2">
        <v>0</v>
      </c>
      <c r="AIA30" s="2">
        <v>0</v>
      </c>
      <c r="AIB30" s="2">
        <v>0</v>
      </c>
      <c r="AIC30" s="2">
        <v>0</v>
      </c>
      <c r="AID30" s="2">
        <v>0</v>
      </c>
      <c r="AIE30" s="2">
        <v>1.0380176810219261E-2</v>
      </c>
      <c r="AIF30" s="2">
        <v>0</v>
      </c>
      <c r="AIG30" s="2">
        <v>7.5986055015048934E-8</v>
      </c>
      <c r="AIH30" s="2">
        <v>0</v>
      </c>
      <c r="AII30" s="2">
        <v>0</v>
      </c>
      <c r="AIJ30" s="2">
        <v>0</v>
      </c>
      <c r="AIK30" s="2">
        <v>0</v>
      </c>
      <c r="AIL30" s="2">
        <v>0</v>
      </c>
      <c r="AIM30" s="2">
        <v>0</v>
      </c>
      <c r="AIN30" s="2">
        <v>0</v>
      </c>
      <c r="AIO30" s="2">
        <v>8.160038709042099E-4</v>
      </c>
      <c r="AIP30" s="2">
        <v>0</v>
      </c>
      <c r="AIQ30" s="2">
        <v>1.7284802917494943E-2</v>
      </c>
      <c r="AIR30" s="2">
        <v>9.2199338887004551E-4</v>
      </c>
      <c r="AIS30" s="2">
        <v>0</v>
      </c>
      <c r="AIT30" s="2">
        <v>0</v>
      </c>
      <c r="AIU30" s="2">
        <v>3.2138989037678758E-3</v>
      </c>
      <c r="AIV30" s="2">
        <v>0</v>
      </c>
      <c r="AIW30" s="2">
        <v>1.5822698274917696E-2</v>
      </c>
      <c r="AIX30" s="2">
        <v>5.6748926893178866E-3</v>
      </c>
      <c r="AIY30" s="2">
        <v>0</v>
      </c>
      <c r="AIZ30" s="2">
        <v>3.2054850638414868E-4</v>
      </c>
      <c r="AJA30" s="2">
        <v>2.0241827010062986E-2</v>
      </c>
      <c r="AJB30" s="2">
        <v>1.0992385550765498E-2</v>
      </c>
      <c r="AJC30" s="2">
        <v>3.1757407344624134E-3</v>
      </c>
      <c r="AJD30" s="2">
        <v>0</v>
      </c>
      <c r="AJE30" s="2">
        <v>0</v>
      </c>
      <c r="AJF30" s="2">
        <v>0</v>
      </c>
      <c r="AJG30" s="2">
        <v>0</v>
      </c>
      <c r="AJH30" s="2">
        <v>0</v>
      </c>
      <c r="AJI30" s="2">
        <v>4.9954040522208427E-2</v>
      </c>
      <c r="AJJ30" s="2">
        <v>0</v>
      </c>
      <c r="AJK30" s="2">
        <v>9.4688025306458798E-3</v>
      </c>
      <c r="AJL30" s="2">
        <v>0</v>
      </c>
      <c r="AJM30" s="2">
        <v>0</v>
      </c>
      <c r="AJN30" s="2">
        <v>0</v>
      </c>
      <c r="AJO30" s="2">
        <v>0</v>
      </c>
      <c r="AJP30" s="2">
        <v>1.4833437519548191E-2</v>
      </c>
      <c r="AJQ30" s="2">
        <v>0</v>
      </c>
      <c r="AJR30" s="2">
        <v>7.8564737421006406E-3</v>
      </c>
      <c r="AJS30" s="2">
        <v>0</v>
      </c>
      <c r="AJT30" s="2">
        <v>7.1249280166732079E-3</v>
      </c>
      <c r="AJU30" s="2">
        <v>1.1642906803940176E-7</v>
      </c>
      <c r="AJV30" s="2">
        <v>0</v>
      </c>
      <c r="AJW30" s="2">
        <v>0</v>
      </c>
      <c r="AJX30" s="2">
        <v>8.9565263675685236E-4</v>
      </c>
      <c r="AJY30" s="2">
        <v>0</v>
      </c>
      <c r="AJZ30" s="2">
        <v>0</v>
      </c>
      <c r="AKA30" s="2">
        <v>0</v>
      </c>
      <c r="AKB30" s="2">
        <v>0</v>
      </c>
      <c r="AKC30" s="2">
        <v>7.7588315446221095E-3</v>
      </c>
      <c r="AKD30" s="2">
        <v>8.3386121620171519E-3</v>
      </c>
      <c r="AKE30" s="2">
        <v>2.13719992970221E-3</v>
      </c>
      <c r="AKF30" s="2">
        <v>0</v>
      </c>
      <c r="AKG30" s="2">
        <v>0</v>
      </c>
      <c r="AKH30" s="2">
        <v>0</v>
      </c>
      <c r="AKI30" s="2">
        <v>7.0995514143750273E-3</v>
      </c>
      <c r="AKJ30" s="2">
        <v>0</v>
      </c>
      <c r="AKK30" s="2">
        <v>5.0441163065886082E-4</v>
      </c>
      <c r="AKL30" s="2">
        <v>0</v>
      </c>
      <c r="AKM30" s="2">
        <v>0</v>
      </c>
      <c r="AKN30" s="2">
        <v>0</v>
      </c>
      <c r="AKO30" s="2">
        <v>0</v>
      </c>
      <c r="AKP30" s="2">
        <v>5.4126238758034212E-2</v>
      </c>
      <c r="AKQ30" s="2">
        <v>0</v>
      </c>
      <c r="AKR30" s="2">
        <v>0</v>
      </c>
      <c r="AKS30" s="2">
        <v>0</v>
      </c>
      <c r="AKT30" s="2">
        <v>0</v>
      </c>
      <c r="AKU30" s="2">
        <v>0</v>
      </c>
      <c r="AKV30" s="2">
        <v>0</v>
      </c>
      <c r="AKW30" s="2">
        <v>0</v>
      </c>
      <c r="AKX30" s="2">
        <v>0</v>
      </c>
      <c r="AKY30" s="2">
        <v>0</v>
      </c>
      <c r="AKZ30" s="2">
        <v>0</v>
      </c>
      <c r="ALA30" s="2">
        <v>0</v>
      </c>
      <c r="ALB30" s="2">
        <v>0</v>
      </c>
      <c r="ALC30" s="2">
        <v>0</v>
      </c>
      <c r="ALD30" s="2">
        <v>0</v>
      </c>
      <c r="ALE30" s="2">
        <v>0</v>
      </c>
      <c r="ALF30" s="2">
        <v>0</v>
      </c>
      <c r="ALG30" s="2">
        <v>0</v>
      </c>
      <c r="ALH30" s="2">
        <v>0</v>
      </c>
      <c r="ALI30" s="2">
        <v>0</v>
      </c>
      <c r="ALJ30" s="2">
        <v>1.8486027802034125E-3</v>
      </c>
      <c r="ALK30" s="2">
        <v>0</v>
      </c>
      <c r="ALL30" s="2">
        <v>0</v>
      </c>
      <c r="ALM30" s="2">
        <v>0</v>
      </c>
      <c r="ALN30" s="2">
        <v>0</v>
      </c>
      <c r="ALO30" s="2">
        <v>0</v>
      </c>
      <c r="ALP30" s="2">
        <v>0</v>
      </c>
      <c r="ALQ30" s="2">
        <v>0</v>
      </c>
      <c r="ALR30" s="2">
        <v>0</v>
      </c>
      <c r="ALS30" s="2">
        <v>0</v>
      </c>
      <c r="ALT30" s="2">
        <v>0</v>
      </c>
      <c r="ALU30" s="2">
        <v>0</v>
      </c>
      <c r="ALV30" s="2">
        <v>0</v>
      </c>
      <c r="ALW30" s="2">
        <v>0</v>
      </c>
      <c r="ALX30" s="2">
        <v>0</v>
      </c>
      <c r="ALY30" s="2">
        <v>0</v>
      </c>
      <c r="ALZ30" s="2">
        <v>0</v>
      </c>
      <c r="AMA30" s="2">
        <v>0</v>
      </c>
      <c r="AMB30" s="2">
        <v>0</v>
      </c>
      <c r="AMC30" s="2">
        <v>0</v>
      </c>
      <c r="AMD30" s="2">
        <v>0</v>
      </c>
      <c r="AME30" s="2">
        <v>0</v>
      </c>
      <c r="AMF30" s="2">
        <v>0</v>
      </c>
      <c r="AMG30" s="2">
        <v>0</v>
      </c>
      <c r="AMH30" s="2">
        <v>0</v>
      </c>
      <c r="AMI30" s="2">
        <v>0</v>
      </c>
      <c r="AMJ30" s="2">
        <v>0</v>
      </c>
      <c r="AMK30" s="2">
        <v>1.2841695609174064E-2</v>
      </c>
      <c r="AML30" s="2">
        <v>0</v>
      </c>
      <c r="AMM30" s="2">
        <v>0</v>
      </c>
      <c r="AMN30" s="2">
        <v>0</v>
      </c>
      <c r="AMO30" s="2">
        <v>0</v>
      </c>
      <c r="AMP30" s="2">
        <v>0</v>
      </c>
      <c r="AMQ30" s="2">
        <v>0</v>
      </c>
      <c r="AMR30" s="2">
        <v>7.3624100786383401E-5</v>
      </c>
      <c r="AMS30" s="2">
        <v>0</v>
      </c>
      <c r="AMT30" s="2">
        <v>0</v>
      </c>
      <c r="AMU30" s="2">
        <v>0</v>
      </c>
      <c r="AMV30" s="2">
        <v>0</v>
      </c>
      <c r="AMW30" s="2">
        <v>0</v>
      </c>
      <c r="AMX30" s="2">
        <v>0</v>
      </c>
      <c r="AMY30" s="2">
        <v>0</v>
      </c>
      <c r="AMZ30" s="2">
        <v>0</v>
      </c>
      <c r="ANA30" s="2">
        <v>0</v>
      </c>
      <c r="ANB30" s="2">
        <v>0</v>
      </c>
      <c r="ANC30" s="2">
        <v>0</v>
      </c>
      <c r="AND30" s="2">
        <v>0</v>
      </c>
      <c r="ANE30" s="2">
        <v>0</v>
      </c>
      <c r="ANF30" s="2">
        <v>0</v>
      </c>
      <c r="ANG30" s="2">
        <v>0</v>
      </c>
      <c r="ANH30" s="2">
        <v>0</v>
      </c>
      <c r="ANI30" s="2">
        <v>0</v>
      </c>
      <c r="ANJ30" s="2">
        <v>0</v>
      </c>
      <c r="ANK30" s="2">
        <v>0</v>
      </c>
      <c r="ANL30" s="2">
        <v>0</v>
      </c>
      <c r="ANM30" s="2">
        <v>0</v>
      </c>
      <c r="ANN30" s="2">
        <v>0</v>
      </c>
      <c r="ANO30" s="2">
        <v>0</v>
      </c>
      <c r="ANP30" s="2">
        <v>0</v>
      </c>
      <c r="ANQ30" s="2">
        <v>0</v>
      </c>
      <c r="ANR30" s="2">
        <v>0</v>
      </c>
      <c r="ANS30" s="2">
        <v>0</v>
      </c>
      <c r="ANT30" s="2">
        <v>0</v>
      </c>
      <c r="ANU30" s="2">
        <v>0</v>
      </c>
      <c r="ANV30" s="2">
        <v>0</v>
      </c>
      <c r="ANW30" s="2">
        <v>0</v>
      </c>
      <c r="ANX30" s="2">
        <v>0</v>
      </c>
      <c r="ANY30" s="2">
        <v>0</v>
      </c>
      <c r="ANZ30" s="2">
        <v>0</v>
      </c>
      <c r="AOA30" s="2">
        <v>0</v>
      </c>
      <c r="AOB30" s="2">
        <v>0</v>
      </c>
      <c r="AOC30" s="2">
        <v>0</v>
      </c>
      <c r="AOD30" s="2">
        <v>0</v>
      </c>
      <c r="AOE30" s="2">
        <v>0</v>
      </c>
      <c r="AOF30" s="2">
        <v>0</v>
      </c>
      <c r="AOG30" s="2">
        <v>0</v>
      </c>
      <c r="AOH30" s="2">
        <v>0</v>
      </c>
      <c r="AOI30" s="2">
        <v>0</v>
      </c>
      <c r="AOJ30" s="2">
        <v>0</v>
      </c>
      <c r="AOK30" s="2">
        <v>0</v>
      </c>
      <c r="AOL30" s="2">
        <v>0</v>
      </c>
      <c r="AOM30" s="2">
        <v>0</v>
      </c>
      <c r="AON30" s="2">
        <v>0</v>
      </c>
      <c r="AOO30" s="2">
        <v>0</v>
      </c>
      <c r="AOP30" s="2">
        <v>0</v>
      </c>
      <c r="AOQ30" s="2">
        <v>0</v>
      </c>
      <c r="AOR30" s="2">
        <v>0</v>
      </c>
      <c r="AOS30" s="2">
        <v>0</v>
      </c>
      <c r="AOT30" s="2">
        <v>0</v>
      </c>
      <c r="AOU30" s="2">
        <v>0</v>
      </c>
      <c r="AOV30" s="2">
        <v>0</v>
      </c>
      <c r="AOW30" s="2">
        <v>0</v>
      </c>
      <c r="AOX30" s="2">
        <v>0</v>
      </c>
      <c r="AOY30" s="2">
        <v>0</v>
      </c>
      <c r="AOZ30" s="2">
        <v>0</v>
      </c>
      <c r="APA30" s="2">
        <v>0</v>
      </c>
      <c r="APB30" s="2">
        <v>0</v>
      </c>
      <c r="APC30" s="2">
        <v>0</v>
      </c>
      <c r="APD30" s="2">
        <v>0</v>
      </c>
      <c r="APE30" s="2">
        <v>0</v>
      </c>
      <c r="APF30" s="2">
        <v>0</v>
      </c>
      <c r="APG30" s="2">
        <v>0</v>
      </c>
      <c r="APH30" s="2">
        <v>0</v>
      </c>
      <c r="API30" s="2">
        <v>0</v>
      </c>
      <c r="APJ30" s="2">
        <v>0</v>
      </c>
      <c r="APK30" s="2">
        <v>0</v>
      </c>
      <c r="APL30" s="2">
        <v>0</v>
      </c>
      <c r="APM30" s="2">
        <v>0</v>
      </c>
      <c r="APN30" s="2">
        <v>0</v>
      </c>
      <c r="APO30" s="2">
        <v>0</v>
      </c>
      <c r="APP30" s="2">
        <v>2.7868798741562894E-3</v>
      </c>
      <c r="APQ30" s="2">
        <v>0</v>
      </c>
      <c r="APR30" s="2">
        <v>0</v>
      </c>
      <c r="APS30" s="2">
        <v>0</v>
      </c>
      <c r="APT30" s="2">
        <v>0</v>
      </c>
      <c r="APU30" s="2">
        <v>0</v>
      </c>
      <c r="APV30" s="2">
        <v>0</v>
      </c>
      <c r="APW30" s="2">
        <v>0</v>
      </c>
      <c r="APX30" s="2">
        <v>0</v>
      </c>
      <c r="APY30" s="2">
        <v>0</v>
      </c>
      <c r="APZ30" s="2">
        <v>0</v>
      </c>
      <c r="AQA30" s="2">
        <v>0</v>
      </c>
      <c r="AQB30" s="2">
        <v>0</v>
      </c>
      <c r="AQC30" s="2">
        <v>0</v>
      </c>
      <c r="AQD30" s="2">
        <v>0</v>
      </c>
      <c r="AQE30" s="2">
        <v>0</v>
      </c>
      <c r="AQF30" s="2">
        <v>2.9327051961666058E-3</v>
      </c>
      <c r="AQG30" s="2">
        <v>2.5883229455433364E-3</v>
      </c>
      <c r="AQH30" s="2">
        <v>2.5924163306132735E-3</v>
      </c>
      <c r="AQI30" s="2">
        <v>0</v>
      </c>
      <c r="AQJ30" s="2">
        <v>0</v>
      </c>
      <c r="AQK30" s="2">
        <v>0</v>
      </c>
      <c r="AQL30" s="2">
        <v>0</v>
      </c>
      <c r="AQM30" s="2">
        <v>0</v>
      </c>
      <c r="AQN30" s="2">
        <v>0</v>
      </c>
      <c r="AQO30" s="2">
        <v>0</v>
      </c>
      <c r="AQP30" s="2">
        <v>0</v>
      </c>
      <c r="AQQ30" s="2">
        <v>0</v>
      </c>
      <c r="AQR30" s="2">
        <v>0</v>
      </c>
      <c r="AQS30" s="2">
        <v>0</v>
      </c>
      <c r="AQT30" s="2">
        <v>0</v>
      </c>
      <c r="AQU30" s="2">
        <v>0</v>
      </c>
    </row>
    <row r="31" spans="1:1139" s="2" customFormat="1" x14ac:dyDescent="0.25">
      <c r="A31" s="2" t="s">
        <v>3</v>
      </c>
      <c r="B31" s="2" t="s">
        <v>11</v>
      </c>
      <c r="C31" s="37">
        <v>46203</v>
      </c>
      <c r="D31" s="2" t="s">
        <v>22</v>
      </c>
      <c r="E31" s="2">
        <v>1</v>
      </c>
      <c r="F31" s="2">
        <v>2.9261588781225941E-3</v>
      </c>
      <c r="G31" s="2">
        <v>8.7734405579449452E-8</v>
      </c>
      <c r="H31" s="2">
        <v>0</v>
      </c>
      <c r="I31" s="2">
        <v>0</v>
      </c>
      <c r="J31" s="2">
        <v>0</v>
      </c>
      <c r="K31" s="2">
        <v>0</v>
      </c>
      <c r="L31" s="2">
        <v>1.3583825426461075E-3</v>
      </c>
      <c r="M31" s="2">
        <v>2.1520550334819941E-7</v>
      </c>
      <c r="N31" s="2">
        <v>1.6212394425546179E-7</v>
      </c>
      <c r="O31" s="2">
        <v>7.5218925382403036E-10</v>
      </c>
      <c r="P31" s="2">
        <v>1.6929194118723339E-8</v>
      </c>
      <c r="Q31" s="2">
        <v>0</v>
      </c>
      <c r="R31" s="2">
        <v>2.4701536407657044E-9</v>
      </c>
      <c r="S31" s="2">
        <v>0</v>
      </c>
      <c r="T31" s="2">
        <v>2.2393369564708248E-9</v>
      </c>
      <c r="U31" s="2">
        <v>3.7828046221895704E-9</v>
      </c>
      <c r="V31" s="2">
        <v>1.5133090902901753E-10</v>
      </c>
      <c r="W31" s="2">
        <v>6.994594007691134E-9</v>
      </c>
      <c r="X31" s="2">
        <v>0.11490070174938578</v>
      </c>
      <c r="Y31" s="2">
        <v>0.13716596297672259</v>
      </c>
      <c r="Z31" s="2">
        <v>1.5672779520197948E-3</v>
      </c>
      <c r="AA31" s="2">
        <v>6.7307832036196625E-3</v>
      </c>
      <c r="AB31" s="2">
        <v>1.1230224608533066E-2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5.0224456468988196E-3</v>
      </c>
      <c r="AL31" s="2">
        <v>6.1804027529745419E-2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7.160625035508835E-5</v>
      </c>
      <c r="CR31" s="2">
        <v>2.0191669941755714E-5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1.7826723872853877E-3</v>
      </c>
      <c r="DS31" s="2">
        <v>0</v>
      </c>
      <c r="DT31" s="2">
        <v>3.366155557278178E-3</v>
      </c>
      <c r="DU31" s="2">
        <v>3.5842998434345183E-6</v>
      </c>
      <c r="DV31" s="2">
        <v>0</v>
      </c>
      <c r="DW31" s="2">
        <v>2.6532221128588596E-3</v>
      </c>
      <c r="DX31" s="2">
        <v>4.6379177801491034E-2</v>
      </c>
      <c r="DY31" s="2">
        <v>1.024040004752711E-3</v>
      </c>
      <c r="DZ31" s="2">
        <v>1.0108184891900439E-3</v>
      </c>
      <c r="EA31" s="2">
        <v>4.3331343946580187E-3</v>
      </c>
      <c r="EB31" s="2">
        <v>3.3671864773307962E-8</v>
      </c>
      <c r="EC31" s="2">
        <v>0</v>
      </c>
      <c r="ED31" s="2">
        <v>1.980392844365297E-3</v>
      </c>
      <c r="EE31" s="2">
        <v>0</v>
      </c>
      <c r="EF31" s="2">
        <v>3.7691239944777606E-3</v>
      </c>
      <c r="EG31" s="2">
        <v>6.6670651699629411E-3</v>
      </c>
      <c r="EH31" s="2">
        <v>0</v>
      </c>
      <c r="EI31" s="2">
        <v>1.6151660145145047E-2</v>
      </c>
      <c r="EJ31" s="2">
        <v>1.299925084233315E-2</v>
      </c>
      <c r="EK31" s="2">
        <v>1.2550909211594422E-2</v>
      </c>
      <c r="EL31" s="2">
        <v>4.2020454646034912E-5</v>
      </c>
      <c r="EM31" s="2">
        <v>3.4262934738010446E-2</v>
      </c>
      <c r="EN31" s="2">
        <v>3.8262427508904767E-2</v>
      </c>
      <c r="EO31" s="2">
        <v>2.7587072201846179E-3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5.3415578974798416E-4</v>
      </c>
      <c r="EX31" s="2">
        <v>6.6908101487451186E-4</v>
      </c>
      <c r="EY31" s="2">
        <v>1.4818978389636613E-4</v>
      </c>
      <c r="EZ31" s="2">
        <v>3.0822024462121966E-4</v>
      </c>
      <c r="FA31" s="2">
        <v>0</v>
      </c>
      <c r="FB31" s="2">
        <v>1.2579087003087115E-3</v>
      </c>
      <c r="FC31" s="2">
        <v>0</v>
      </c>
      <c r="FD31" s="2">
        <v>3.0492976981749887E-4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1.0525928667188171E-3</v>
      </c>
      <c r="GK31" s="2">
        <v>0</v>
      </c>
      <c r="GL31" s="2">
        <v>1.5348444074235099E-3</v>
      </c>
      <c r="GM31" s="2">
        <v>2.7135542165328295E-5</v>
      </c>
      <c r="GN31" s="2">
        <v>0</v>
      </c>
      <c r="GO31" s="2">
        <v>1.9478101919743126E-4</v>
      </c>
      <c r="GP31" s="2">
        <v>6.2225369120817871E-4</v>
      </c>
      <c r="GQ31" s="2">
        <v>1.2923922930816493E-5</v>
      </c>
      <c r="GR31" s="2">
        <v>1.2629350085386549E-4</v>
      </c>
      <c r="GS31" s="2">
        <v>1.3190062338291611E-3</v>
      </c>
      <c r="GT31" s="2">
        <v>1.0561300262966699E-4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7.9753139923465439E-9</v>
      </c>
      <c r="HI31" s="2">
        <v>3.45044381495751E-5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9.794983528437066E-4</v>
      </c>
      <c r="HQ31" s="2">
        <v>4.2775632928779951E-3</v>
      </c>
      <c r="HR31" s="2">
        <v>0</v>
      </c>
      <c r="HS31" s="2">
        <v>0</v>
      </c>
      <c r="HT31" s="2">
        <v>0</v>
      </c>
      <c r="HU31" s="2">
        <v>1.1104191501110812E-8</v>
      </c>
      <c r="HV31" s="2">
        <v>2.4033032585124899E-3</v>
      </c>
      <c r="HW31" s="2">
        <v>5.4166971205883756E-2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8.0563837930033473E-3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2.9356984020907517E-8</v>
      </c>
      <c r="IK31" s="2">
        <v>0</v>
      </c>
      <c r="IL31" s="2">
        <v>2.2614918911815769E-4</v>
      </c>
      <c r="IM31" s="2">
        <v>0</v>
      </c>
      <c r="IN31" s="2">
        <v>0</v>
      </c>
      <c r="IO31" s="2">
        <v>0</v>
      </c>
      <c r="IP31" s="2">
        <v>0</v>
      </c>
      <c r="IQ31" s="2">
        <v>1.6627851288041932E-3</v>
      </c>
      <c r="IR31" s="2">
        <v>0</v>
      </c>
      <c r="IS31" s="2">
        <v>4.611165145116623E-4</v>
      </c>
      <c r="IT31" s="2">
        <v>0</v>
      </c>
      <c r="IU31" s="2">
        <v>1.2443699101593025E-3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6.9306592240952071E-5</v>
      </c>
      <c r="JD31" s="2">
        <v>5.4516555394812385E-8</v>
      </c>
      <c r="JE31" s="2">
        <v>0</v>
      </c>
      <c r="JF31" s="2">
        <v>0</v>
      </c>
      <c r="JG31" s="2">
        <v>2.6862631150417955E-3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3.7275164437643713E-3</v>
      </c>
      <c r="JN31" s="2">
        <v>5.4286780740340594E-3</v>
      </c>
      <c r="JO31" s="2">
        <v>1.9067120154630539E-3</v>
      </c>
      <c r="JP31" s="2">
        <v>0</v>
      </c>
      <c r="JQ31" s="2">
        <v>6.7164196084877259E-3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3.2770230524934104E-7</v>
      </c>
      <c r="KE31" s="2">
        <v>0</v>
      </c>
      <c r="KF31" s="2">
        <v>0</v>
      </c>
      <c r="KG31" s="2">
        <v>0</v>
      </c>
      <c r="KH31" s="2">
        <v>6.8378415618302888E-3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1.0910746297679761E-3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3.2446550961502162E-3</v>
      </c>
      <c r="LE31" s="2">
        <v>2.7101165219277352E-3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1.5775266476660379E-4</v>
      </c>
      <c r="LP31" s="2">
        <v>0</v>
      </c>
      <c r="LQ31" s="2">
        <v>0</v>
      </c>
      <c r="LR31" s="2">
        <v>0</v>
      </c>
      <c r="LS31" s="2">
        <v>9.9794336319642459E-3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8.9131486758711308E-8</v>
      </c>
      <c r="MC31" s="2">
        <v>0</v>
      </c>
      <c r="MD31" s="2">
        <v>0</v>
      </c>
      <c r="ME31" s="2">
        <v>0</v>
      </c>
      <c r="MF31" s="2">
        <v>0</v>
      </c>
      <c r="MG31" s="2">
        <v>4.3463120105340734E-3</v>
      </c>
      <c r="MH31" s="2">
        <v>0</v>
      </c>
      <c r="MI31" s="2">
        <v>0</v>
      </c>
      <c r="MJ31" s="2">
        <v>1.1559380572753443E-2</v>
      </c>
      <c r="MK31" s="2">
        <v>1.7645438506429763E-3</v>
      </c>
      <c r="ML31" s="2">
        <v>0</v>
      </c>
      <c r="MM31" s="2">
        <v>0</v>
      </c>
      <c r="MN31" s="2">
        <v>0</v>
      </c>
      <c r="MO31" s="2">
        <v>1.1642301177546601E-2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2.6313476939659967E-3</v>
      </c>
      <c r="MX31" s="2">
        <v>0</v>
      </c>
      <c r="MY31" s="2">
        <v>0</v>
      </c>
      <c r="MZ31" s="2">
        <v>0</v>
      </c>
      <c r="NA31" s="2">
        <v>0</v>
      </c>
      <c r="NB31" s="2">
        <v>9.3636286245458999E-3</v>
      </c>
      <c r="NC31" s="2">
        <v>0</v>
      </c>
      <c r="ND31" s="2">
        <v>0</v>
      </c>
      <c r="NE31" s="2">
        <v>0</v>
      </c>
      <c r="NF31" s="2">
        <v>0</v>
      </c>
      <c r="NG31" s="2">
        <v>1.1406525209174884E-3</v>
      </c>
      <c r="NH31" s="2">
        <v>0</v>
      </c>
      <c r="NI31" s="2">
        <v>1.5903060301328995E-9</v>
      </c>
      <c r="NJ31" s="2">
        <v>0</v>
      </c>
      <c r="NK31" s="2">
        <v>0</v>
      </c>
      <c r="NL31" s="2">
        <v>0</v>
      </c>
      <c r="NM31" s="2">
        <v>0</v>
      </c>
      <c r="NN31" s="2">
        <v>2.6127715778607693E-4</v>
      </c>
      <c r="NO31" s="2">
        <v>2.6127715778607693E-4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7.9548608162279921E-4</v>
      </c>
      <c r="NY31" s="2">
        <v>1.1246259245449447E-3</v>
      </c>
      <c r="NZ31" s="2">
        <v>0</v>
      </c>
      <c r="OA31" s="2">
        <v>0</v>
      </c>
      <c r="OB31" s="2">
        <v>0</v>
      </c>
      <c r="OC31" s="2">
        <v>0</v>
      </c>
      <c r="OD31" s="2">
        <v>4.0675558310773029E-3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7.5207504110745595E-3</v>
      </c>
      <c r="OK31" s="2">
        <v>1.2600048488870957E-2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2.1079250086026369E-3</v>
      </c>
      <c r="OX31" s="2">
        <v>0</v>
      </c>
      <c r="OY31" s="2">
        <v>0</v>
      </c>
      <c r="OZ31" s="2">
        <v>5.6887546744248466E-3</v>
      </c>
      <c r="PA31" s="2">
        <v>0</v>
      </c>
      <c r="PB31" s="2">
        <v>0</v>
      </c>
      <c r="PC31" s="2">
        <v>1.0215962327145625E-2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3.4741052912030159E-4</v>
      </c>
      <c r="PJ31" s="2">
        <v>0</v>
      </c>
      <c r="PK31" s="2">
        <v>0</v>
      </c>
      <c r="PL31" s="2">
        <v>1.0226475915070388E-2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0</v>
      </c>
      <c r="PU31" s="2">
        <v>1.8388723619420407E-4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2.4355243194744379E-2</v>
      </c>
      <c r="QC31" s="2">
        <v>2.6234531132660003E-3</v>
      </c>
      <c r="QD31" s="2">
        <v>0</v>
      </c>
      <c r="QE31" s="2">
        <v>0</v>
      </c>
      <c r="QF31" s="2">
        <v>0</v>
      </c>
      <c r="QG31" s="2">
        <v>0</v>
      </c>
      <c r="QH31" s="2">
        <v>1.5713325697190748E-8</v>
      </c>
      <c r="QI31" s="2">
        <v>0</v>
      </c>
      <c r="QJ31" s="2">
        <v>0</v>
      </c>
      <c r="QK31" s="2">
        <v>0</v>
      </c>
      <c r="QL31" s="2">
        <v>1.7457837222379635E-4</v>
      </c>
      <c r="QM31" s="2">
        <v>0</v>
      </c>
      <c r="QN31" s="2">
        <v>3.8712763940366351E-2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1.2234615442450518E-2</v>
      </c>
      <c r="QU31" s="2">
        <v>1.1057472274014754E-2</v>
      </c>
      <c r="QV31" s="2">
        <v>0</v>
      </c>
      <c r="QW31" s="2">
        <v>4.395009692950212E-4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1.4821983157989782E-3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1.9999878941643337E-3</v>
      </c>
      <c r="RJ31" s="2">
        <v>0</v>
      </c>
      <c r="RK31" s="2">
        <v>0</v>
      </c>
      <c r="RL31" s="2">
        <v>0</v>
      </c>
      <c r="RM31" s="2">
        <v>1.518181099747443E-2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8.1102751004484188E-3</v>
      </c>
      <c r="RU31" s="2">
        <v>1.0034648794421779E-7</v>
      </c>
      <c r="RV31" s="2">
        <v>2.7620020804781409E-9</v>
      </c>
      <c r="RW31" s="2">
        <v>0</v>
      </c>
      <c r="RX31" s="2">
        <v>0</v>
      </c>
      <c r="RY31" s="2">
        <v>7.1930985783350034E-3</v>
      </c>
      <c r="RZ31" s="2">
        <v>0</v>
      </c>
      <c r="SA31" s="2">
        <v>2.8606461752669109E-3</v>
      </c>
      <c r="SB31" s="2">
        <v>2.3841156976050896E-3</v>
      </c>
      <c r="SC31" s="2">
        <v>5.0478908942159305E-5</v>
      </c>
      <c r="SD31" s="2">
        <v>1.6684144285023385E-2</v>
      </c>
      <c r="SE31" s="2">
        <v>0</v>
      </c>
      <c r="SF31" s="2">
        <v>4.1262095127791269E-3</v>
      </c>
      <c r="SG31" s="2">
        <v>0</v>
      </c>
      <c r="SH31" s="2">
        <v>0</v>
      </c>
      <c r="SI31" s="2">
        <v>3.3581551878129516E-9</v>
      </c>
      <c r="SJ31" s="2">
        <v>0</v>
      </c>
      <c r="SK31" s="2">
        <v>0</v>
      </c>
      <c r="SL31" s="2">
        <v>0</v>
      </c>
      <c r="SM31" s="2">
        <v>4.0593214406371278E-3</v>
      </c>
      <c r="SN31" s="2">
        <v>0</v>
      </c>
      <c r="SO31" s="2">
        <v>6.5993766154399588E-8</v>
      </c>
      <c r="SP31" s="2">
        <v>0</v>
      </c>
      <c r="SQ31" s="2">
        <v>4.133045305686191E-9</v>
      </c>
      <c r="SR31" s="2">
        <v>0</v>
      </c>
      <c r="SS31" s="2">
        <v>0</v>
      </c>
      <c r="ST31" s="2">
        <v>0</v>
      </c>
      <c r="SU31" s="2">
        <v>0</v>
      </c>
      <c r="SV31" s="2">
        <v>0</v>
      </c>
      <c r="SW31" s="2">
        <v>1.0531818017500572E-8</v>
      </c>
      <c r="SX31" s="2">
        <v>0</v>
      </c>
      <c r="SY31" s="2">
        <v>0</v>
      </c>
      <c r="SZ31" s="2">
        <v>0</v>
      </c>
      <c r="TA31" s="2">
        <v>5.8885217115270335E-9</v>
      </c>
      <c r="TB31" s="2">
        <v>0</v>
      </c>
      <c r="TC31" s="2">
        <v>0</v>
      </c>
      <c r="TD31" s="2">
        <v>0</v>
      </c>
      <c r="TE31" s="2">
        <v>0</v>
      </c>
      <c r="TF31" s="2">
        <v>0</v>
      </c>
      <c r="TG31" s="2">
        <v>0</v>
      </c>
      <c r="TH31" s="2">
        <v>0</v>
      </c>
      <c r="TI31" s="2">
        <v>1.4383433188897206E-7</v>
      </c>
      <c r="TJ31" s="2">
        <v>0</v>
      </c>
      <c r="TK31" s="2">
        <v>0</v>
      </c>
      <c r="TL31" s="2">
        <v>0</v>
      </c>
      <c r="TM31" s="2">
        <v>0</v>
      </c>
      <c r="TN31" s="2">
        <v>0</v>
      </c>
      <c r="TO31" s="2">
        <v>3.8199336940135209E-3</v>
      </c>
      <c r="TP31" s="2">
        <v>0</v>
      </c>
      <c r="TQ31" s="2">
        <v>0</v>
      </c>
      <c r="TR31" s="2">
        <v>0</v>
      </c>
      <c r="TS31" s="2">
        <v>2.2303968609884486E-8</v>
      </c>
      <c r="TT31" s="2">
        <v>0</v>
      </c>
      <c r="TU31" s="2">
        <v>0</v>
      </c>
      <c r="TV31" s="2">
        <v>0</v>
      </c>
      <c r="TW31" s="2">
        <v>1.9374386246131425E-8</v>
      </c>
      <c r="TX31" s="2">
        <v>0</v>
      </c>
      <c r="TY31" s="2">
        <v>0</v>
      </c>
      <c r="TZ31" s="2">
        <v>0</v>
      </c>
      <c r="UA31" s="2">
        <v>0</v>
      </c>
      <c r="UB31" s="2">
        <v>0</v>
      </c>
      <c r="UC31" s="2">
        <v>0</v>
      </c>
      <c r="UD31" s="2">
        <v>9.1665690291929342E-7</v>
      </c>
      <c r="UE31" s="2">
        <v>0</v>
      </c>
      <c r="UF31" s="2">
        <v>0</v>
      </c>
      <c r="UG31" s="2">
        <v>0</v>
      </c>
      <c r="UH31" s="2">
        <v>0</v>
      </c>
      <c r="UI31" s="2">
        <v>0</v>
      </c>
      <c r="UJ31" s="2">
        <v>0</v>
      </c>
      <c r="UK31" s="2">
        <v>0</v>
      </c>
      <c r="UL31" s="2">
        <v>0</v>
      </c>
      <c r="UM31" s="2">
        <v>0</v>
      </c>
      <c r="UN31" s="2">
        <v>0</v>
      </c>
      <c r="UO31" s="2">
        <v>0</v>
      </c>
      <c r="UP31" s="2">
        <v>0</v>
      </c>
      <c r="UQ31" s="2">
        <v>0</v>
      </c>
      <c r="UR31" s="2">
        <v>0</v>
      </c>
      <c r="US31" s="2">
        <v>0</v>
      </c>
      <c r="UT31" s="2">
        <v>0</v>
      </c>
      <c r="UU31" s="2">
        <v>0</v>
      </c>
      <c r="UV31" s="2">
        <v>0</v>
      </c>
      <c r="UW31" s="2">
        <v>0</v>
      </c>
      <c r="UX31" s="2">
        <v>0</v>
      </c>
      <c r="UY31" s="2">
        <v>3.4224127330040478E-9</v>
      </c>
      <c r="UZ31" s="2">
        <v>4.5896256545197665E-3</v>
      </c>
      <c r="VA31" s="2">
        <v>0</v>
      </c>
      <c r="VB31" s="2">
        <v>1.6885158642691976E-8</v>
      </c>
      <c r="VC31" s="2">
        <v>0</v>
      </c>
      <c r="VD31" s="2">
        <v>0</v>
      </c>
      <c r="VE31" s="2">
        <v>0</v>
      </c>
      <c r="VF31" s="2">
        <v>0</v>
      </c>
      <c r="VG31" s="2">
        <v>0</v>
      </c>
      <c r="VH31" s="2">
        <v>0</v>
      </c>
      <c r="VI31" s="2">
        <v>0</v>
      </c>
      <c r="VJ31" s="2">
        <v>0</v>
      </c>
      <c r="VK31" s="2">
        <v>0</v>
      </c>
      <c r="VL31" s="2">
        <v>0</v>
      </c>
      <c r="VM31" s="2">
        <v>0</v>
      </c>
      <c r="VN31" s="2">
        <v>0</v>
      </c>
      <c r="VO31" s="2">
        <v>0</v>
      </c>
      <c r="VP31" s="2">
        <v>8.2401384523684788E-3</v>
      </c>
      <c r="VQ31" s="2">
        <v>0</v>
      </c>
      <c r="VR31" s="2">
        <v>0</v>
      </c>
      <c r="VS31" s="2">
        <v>0</v>
      </c>
      <c r="VT31" s="2">
        <v>0</v>
      </c>
      <c r="VU31" s="2">
        <v>0</v>
      </c>
      <c r="VV31" s="2">
        <v>0</v>
      </c>
      <c r="VW31" s="2">
        <v>0</v>
      </c>
      <c r="VX31" s="2">
        <v>0</v>
      </c>
      <c r="VY31" s="2">
        <v>0</v>
      </c>
      <c r="VZ31" s="2">
        <v>0</v>
      </c>
      <c r="WA31" s="2">
        <v>0</v>
      </c>
      <c r="WB31" s="2">
        <v>0</v>
      </c>
      <c r="WC31" s="2">
        <v>0</v>
      </c>
      <c r="WD31" s="2">
        <v>0</v>
      </c>
      <c r="WE31" s="2">
        <v>0</v>
      </c>
      <c r="WF31" s="2">
        <v>0</v>
      </c>
      <c r="WG31" s="2">
        <v>2.4871582827801532E-3</v>
      </c>
      <c r="WH31" s="2">
        <v>0</v>
      </c>
      <c r="WI31" s="2">
        <v>0</v>
      </c>
      <c r="WJ31" s="2">
        <v>0</v>
      </c>
      <c r="WK31" s="2">
        <v>0</v>
      </c>
      <c r="WL31" s="2">
        <v>0</v>
      </c>
      <c r="WM31" s="2">
        <v>0</v>
      </c>
      <c r="WN31" s="2">
        <v>1.8593093515787117E-7</v>
      </c>
      <c r="WO31" s="2">
        <v>0</v>
      </c>
      <c r="WP31" s="2">
        <v>1.1656912196230303E-8</v>
      </c>
      <c r="WQ31" s="2">
        <v>0</v>
      </c>
      <c r="WR31" s="2">
        <v>5.1119110776718119E-3</v>
      </c>
      <c r="WS31" s="2">
        <v>0</v>
      </c>
      <c r="WT31" s="2">
        <v>0</v>
      </c>
      <c r="WU31" s="2">
        <v>4.767366504333433E-3</v>
      </c>
      <c r="WV31" s="2">
        <v>0</v>
      </c>
      <c r="WW31" s="2">
        <v>1.8972225778274381E-2</v>
      </c>
      <c r="WX31" s="2">
        <v>0</v>
      </c>
      <c r="WY31" s="2">
        <v>0</v>
      </c>
      <c r="WZ31" s="2">
        <v>0</v>
      </c>
      <c r="XA31" s="2">
        <v>0</v>
      </c>
      <c r="XB31" s="2">
        <v>0</v>
      </c>
      <c r="XC31" s="2">
        <v>0</v>
      </c>
      <c r="XD31" s="2">
        <v>0</v>
      </c>
      <c r="XE31" s="2">
        <v>0</v>
      </c>
      <c r="XF31" s="2">
        <v>3.335195167502498E-3</v>
      </c>
      <c r="XG31" s="2">
        <v>0</v>
      </c>
      <c r="XH31" s="2">
        <v>0</v>
      </c>
      <c r="XI31" s="2">
        <v>0</v>
      </c>
      <c r="XJ31" s="2">
        <v>0</v>
      </c>
      <c r="XK31" s="2">
        <v>4.3727219048200714E-6</v>
      </c>
      <c r="XL31" s="2">
        <v>0</v>
      </c>
      <c r="XM31" s="2">
        <v>0</v>
      </c>
      <c r="XN31" s="2">
        <v>0</v>
      </c>
      <c r="XO31" s="2">
        <v>0</v>
      </c>
      <c r="XP31" s="2">
        <v>0</v>
      </c>
      <c r="XQ31" s="2">
        <v>0</v>
      </c>
      <c r="XR31" s="2">
        <v>0</v>
      </c>
      <c r="XS31" s="2">
        <v>0</v>
      </c>
      <c r="XT31" s="2">
        <v>0</v>
      </c>
      <c r="XU31" s="2">
        <v>9.2528056805328446E-5</v>
      </c>
      <c r="XV31" s="2">
        <v>0</v>
      </c>
      <c r="XW31" s="2">
        <v>0</v>
      </c>
      <c r="XX31" s="2">
        <v>8.9488674708529652E-3</v>
      </c>
      <c r="XY31" s="2">
        <v>1.3739316426660385E-4</v>
      </c>
      <c r="XZ31" s="2">
        <v>8.8899339543452251E-5</v>
      </c>
      <c r="YA31" s="2">
        <v>0</v>
      </c>
      <c r="YB31" s="2">
        <v>0</v>
      </c>
      <c r="YC31" s="2">
        <v>0</v>
      </c>
      <c r="YD31" s="2">
        <v>0</v>
      </c>
      <c r="YE31" s="2">
        <v>0</v>
      </c>
      <c r="YF31" s="2">
        <v>3.0678100288174232E-4</v>
      </c>
      <c r="YG31" s="2">
        <v>0</v>
      </c>
      <c r="YH31" s="2">
        <v>0</v>
      </c>
      <c r="YI31" s="2">
        <v>0</v>
      </c>
      <c r="YJ31" s="2">
        <v>0</v>
      </c>
      <c r="YK31" s="2">
        <v>0</v>
      </c>
      <c r="YL31" s="2">
        <v>0</v>
      </c>
      <c r="YM31" s="2">
        <v>0</v>
      </c>
      <c r="YN31" s="2">
        <v>0</v>
      </c>
      <c r="YO31" s="2">
        <v>0</v>
      </c>
      <c r="YP31" s="2">
        <v>0</v>
      </c>
      <c r="YQ31" s="2">
        <v>0</v>
      </c>
      <c r="YR31" s="2">
        <v>1.4965652242484937E-9</v>
      </c>
      <c r="YS31" s="2">
        <v>0</v>
      </c>
      <c r="YT31" s="2">
        <v>0</v>
      </c>
      <c r="YU31" s="2">
        <v>0</v>
      </c>
      <c r="YV31" s="2">
        <v>0</v>
      </c>
      <c r="YW31" s="2">
        <v>0</v>
      </c>
      <c r="YX31" s="2">
        <v>0</v>
      </c>
      <c r="YY31" s="2">
        <v>0</v>
      </c>
      <c r="YZ31" s="2">
        <v>0</v>
      </c>
      <c r="ZA31" s="2">
        <v>1.4021196243789981E-4</v>
      </c>
      <c r="ZB31" s="2">
        <v>2.0572053337571047E-3</v>
      </c>
      <c r="ZC31" s="2">
        <v>4.9729681143701257E-3</v>
      </c>
      <c r="ZD31" s="2">
        <v>0</v>
      </c>
      <c r="ZE31" s="2">
        <v>0</v>
      </c>
      <c r="ZF31" s="2">
        <v>0</v>
      </c>
      <c r="ZG31" s="2">
        <v>0</v>
      </c>
      <c r="ZH31" s="2">
        <v>0</v>
      </c>
      <c r="ZI31" s="2">
        <v>0</v>
      </c>
      <c r="ZJ31" s="2">
        <v>1.3586165116927157E-7</v>
      </c>
      <c r="ZK31" s="2">
        <v>0</v>
      </c>
      <c r="ZL31" s="2">
        <v>0</v>
      </c>
      <c r="ZM31" s="2">
        <v>0</v>
      </c>
      <c r="ZN31" s="2">
        <v>0</v>
      </c>
      <c r="ZO31" s="2">
        <v>0</v>
      </c>
      <c r="ZP31" s="2">
        <v>0</v>
      </c>
      <c r="ZQ31" s="2">
        <v>1.393319709528955E-4</v>
      </c>
      <c r="ZR31" s="2">
        <v>0</v>
      </c>
      <c r="ZS31" s="2">
        <v>0</v>
      </c>
      <c r="ZT31" s="2">
        <v>0</v>
      </c>
      <c r="ZU31" s="2">
        <v>0</v>
      </c>
      <c r="ZV31" s="2">
        <v>0</v>
      </c>
      <c r="ZW31" s="2">
        <v>0</v>
      </c>
      <c r="ZX31" s="2">
        <v>3.043245043627147E-3</v>
      </c>
      <c r="ZY31" s="2">
        <v>0</v>
      </c>
      <c r="ZZ31" s="2">
        <v>0</v>
      </c>
      <c r="AAA31" s="2">
        <v>0</v>
      </c>
      <c r="AAB31" s="2">
        <v>0</v>
      </c>
      <c r="AAC31" s="2">
        <v>0</v>
      </c>
      <c r="AAD31" s="2">
        <v>0</v>
      </c>
      <c r="AAE31" s="2">
        <v>0</v>
      </c>
      <c r="AAF31" s="2">
        <v>0</v>
      </c>
      <c r="AAG31" s="2">
        <v>0</v>
      </c>
      <c r="AAH31" s="2">
        <v>0</v>
      </c>
      <c r="AAI31" s="2">
        <v>0</v>
      </c>
      <c r="AAJ31" s="2">
        <v>0</v>
      </c>
      <c r="AAK31" s="2">
        <v>0</v>
      </c>
      <c r="AAL31" s="2">
        <v>0</v>
      </c>
      <c r="AAM31" s="2">
        <v>7.3643829227947825E-4</v>
      </c>
      <c r="AAN31" s="2">
        <v>0</v>
      </c>
      <c r="AAO31" s="2">
        <v>0</v>
      </c>
      <c r="AAP31" s="2">
        <v>0</v>
      </c>
      <c r="AAQ31" s="2">
        <v>0</v>
      </c>
      <c r="AAR31" s="2">
        <v>0</v>
      </c>
      <c r="AAS31" s="2">
        <v>0</v>
      </c>
      <c r="AAT31" s="2">
        <v>0</v>
      </c>
      <c r="AAU31" s="2">
        <v>0</v>
      </c>
      <c r="AAV31" s="2">
        <v>0</v>
      </c>
      <c r="AAW31" s="2">
        <v>0</v>
      </c>
      <c r="AAX31" s="2">
        <v>0</v>
      </c>
      <c r="AAY31" s="2">
        <v>0</v>
      </c>
      <c r="AAZ31" s="2">
        <v>0</v>
      </c>
      <c r="ABA31" s="2">
        <v>0</v>
      </c>
      <c r="ABB31" s="2">
        <v>3.7888525378480704E-2</v>
      </c>
      <c r="ABC31" s="2">
        <v>0</v>
      </c>
      <c r="ABD31" s="2">
        <v>0</v>
      </c>
      <c r="ABE31" s="2">
        <v>0</v>
      </c>
      <c r="ABF31" s="2">
        <v>0</v>
      </c>
      <c r="ABG31" s="2">
        <v>0</v>
      </c>
      <c r="ABH31" s="2">
        <v>0</v>
      </c>
      <c r="ABI31" s="2">
        <v>8.8474654782610236E-4</v>
      </c>
      <c r="ABJ31" s="2">
        <v>0</v>
      </c>
      <c r="ABK31" s="2">
        <v>0</v>
      </c>
      <c r="ABL31" s="2">
        <v>0</v>
      </c>
      <c r="ABM31" s="2">
        <v>0</v>
      </c>
      <c r="ABN31" s="2">
        <v>0</v>
      </c>
      <c r="ABO31" s="2">
        <v>1.8379525883916002E-8</v>
      </c>
      <c r="ABP31" s="2">
        <v>0</v>
      </c>
      <c r="ABQ31" s="2">
        <v>0</v>
      </c>
      <c r="ABR31" s="2">
        <v>0</v>
      </c>
      <c r="ABS31" s="2">
        <v>0</v>
      </c>
      <c r="ABT31" s="2">
        <v>0</v>
      </c>
      <c r="ABU31" s="2">
        <v>2.2788444468971313E-8</v>
      </c>
      <c r="ABV31" s="2">
        <v>0</v>
      </c>
      <c r="ABW31" s="2">
        <v>0</v>
      </c>
      <c r="ABX31" s="2">
        <v>0</v>
      </c>
      <c r="ABY31" s="2">
        <v>0</v>
      </c>
      <c r="ABZ31" s="2">
        <v>0</v>
      </c>
      <c r="ACA31" s="2">
        <v>0</v>
      </c>
      <c r="ACB31" s="2">
        <v>0</v>
      </c>
      <c r="ACC31" s="2">
        <v>0</v>
      </c>
      <c r="ACD31" s="2">
        <v>0</v>
      </c>
      <c r="ACE31" s="2">
        <v>0</v>
      </c>
      <c r="ACF31" s="2">
        <v>4.9571898906180393E-3</v>
      </c>
      <c r="ACG31" s="2">
        <v>0</v>
      </c>
      <c r="ACH31" s="2">
        <v>3.5134081909840875E-8</v>
      </c>
      <c r="ACI31" s="2">
        <v>0</v>
      </c>
      <c r="ACJ31" s="2">
        <v>0</v>
      </c>
      <c r="ACK31" s="2">
        <v>5.1067548535015861E-3</v>
      </c>
      <c r="ACL31" s="2">
        <v>0</v>
      </c>
      <c r="ACM31" s="2">
        <v>0</v>
      </c>
      <c r="ACN31" s="2">
        <v>0</v>
      </c>
      <c r="ACO31" s="2">
        <v>0</v>
      </c>
      <c r="ACP31" s="2">
        <v>0</v>
      </c>
      <c r="ACQ31" s="2">
        <v>0</v>
      </c>
      <c r="ACR31" s="2">
        <v>0</v>
      </c>
      <c r="ACS31" s="2">
        <v>0</v>
      </c>
      <c r="ACT31" s="2">
        <v>0</v>
      </c>
      <c r="ACU31" s="2">
        <v>0</v>
      </c>
      <c r="ACV31" s="2">
        <v>0</v>
      </c>
      <c r="ACW31" s="2">
        <v>0</v>
      </c>
      <c r="ACX31" s="2">
        <v>0</v>
      </c>
      <c r="ACY31" s="2">
        <v>0</v>
      </c>
      <c r="ACZ31" s="2">
        <v>0</v>
      </c>
      <c r="ADA31" s="2">
        <v>0</v>
      </c>
      <c r="ADB31" s="2">
        <v>0</v>
      </c>
      <c r="ADC31" s="2">
        <v>0</v>
      </c>
      <c r="ADD31" s="2">
        <v>0</v>
      </c>
      <c r="ADE31" s="2">
        <v>0</v>
      </c>
      <c r="ADF31" s="2">
        <v>0</v>
      </c>
      <c r="ADG31" s="2">
        <v>4.3008165382393626E-3</v>
      </c>
      <c r="ADH31" s="2">
        <v>0</v>
      </c>
      <c r="ADI31" s="2">
        <v>0</v>
      </c>
      <c r="ADJ31" s="2">
        <v>1.1294954645732656E-3</v>
      </c>
      <c r="ADK31" s="2">
        <v>0</v>
      </c>
      <c r="ADL31" s="2">
        <v>0</v>
      </c>
      <c r="ADM31" s="2">
        <v>0</v>
      </c>
      <c r="ADN31" s="2">
        <v>0</v>
      </c>
      <c r="ADO31" s="2">
        <v>0</v>
      </c>
      <c r="ADP31" s="2">
        <v>0</v>
      </c>
      <c r="ADQ31" s="2">
        <v>0</v>
      </c>
      <c r="ADR31" s="2">
        <v>0</v>
      </c>
      <c r="ADS31" s="2">
        <v>0</v>
      </c>
      <c r="ADT31" s="2">
        <v>0</v>
      </c>
      <c r="ADU31" s="2">
        <v>0</v>
      </c>
      <c r="ADV31" s="2">
        <v>0</v>
      </c>
      <c r="ADW31" s="2">
        <v>0</v>
      </c>
      <c r="ADX31" s="2">
        <v>5.3225888851904296E-2</v>
      </c>
      <c r="ADY31" s="2">
        <v>0</v>
      </c>
      <c r="ADZ31" s="2">
        <v>0</v>
      </c>
      <c r="AEA31" s="2">
        <v>4.8602620669643409E-3</v>
      </c>
      <c r="AEB31" s="2">
        <v>0</v>
      </c>
      <c r="AEC31" s="2">
        <v>0</v>
      </c>
      <c r="AED31" s="2">
        <v>0</v>
      </c>
      <c r="AEE31" s="2">
        <v>0</v>
      </c>
      <c r="AEF31" s="2">
        <v>0</v>
      </c>
      <c r="AEG31" s="2">
        <v>0</v>
      </c>
      <c r="AEH31" s="2">
        <v>3.0192758068250408E-8</v>
      </c>
      <c r="AEI31" s="2">
        <v>1.1653116542877039E-3</v>
      </c>
      <c r="AEJ31" s="2">
        <v>0</v>
      </c>
      <c r="AEK31" s="2">
        <v>0</v>
      </c>
      <c r="AEL31" s="2">
        <v>0</v>
      </c>
      <c r="AEM31" s="2">
        <v>0</v>
      </c>
      <c r="AEN31" s="2">
        <v>0</v>
      </c>
      <c r="AEO31" s="2">
        <v>1.7637095079693025E-3</v>
      </c>
      <c r="AEP31" s="2">
        <v>4.9760091742859995E-2</v>
      </c>
      <c r="AEQ31" s="2">
        <v>0</v>
      </c>
      <c r="AER31" s="2">
        <v>0</v>
      </c>
      <c r="AES31" s="2">
        <v>0</v>
      </c>
      <c r="AET31" s="2">
        <v>0</v>
      </c>
      <c r="AEU31" s="2">
        <v>0</v>
      </c>
      <c r="AEV31" s="2">
        <v>0</v>
      </c>
      <c r="AEW31" s="2">
        <v>0</v>
      </c>
      <c r="AEX31" s="2">
        <v>0</v>
      </c>
      <c r="AEY31" s="2">
        <v>0</v>
      </c>
      <c r="AEZ31" s="2">
        <v>0</v>
      </c>
      <c r="AFA31" s="2">
        <v>4.0046449042600367E-9</v>
      </c>
      <c r="AFB31" s="2">
        <v>6.915589233690017E-4</v>
      </c>
      <c r="AFC31" s="2">
        <v>0</v>
      </c>
      <c r="AFD31" s="2">
        <v>0</v>
      </c>
      <c r="AFE31" s="2">
        <v>3.1851850295537948E-3</v>
      </c>
      <c r="AFF31" s="2">
        <v>0</v>
      </c>
      <c r="AFG31" s="2">
        <v>0</v>
      </c>
      <c r="AFH31" s="2">
        <v>0</v>
      </c>
      <c r="AFI31" s="2">
        <v>1.5586747065032209E-3</v>
      </c>
      <c r="AFJ31" s="2">
        <v>0</v>
      </c>
      <c r="AFK31" s="2">
        <v>0</v>
      </c>
      <c r="AFL31" s="2">
        <v>4.0362147687722364E-10</v>
      </c>
      <c r="AFM31" s="2">
        <v>0</v>
      </c>
      <c r="AFN31" s="2">
        <v>0</v>
      </c>
      <c r="AFO31" s="2">
        <v>0</v>
      </c>
      <c r="AFP31" s="2">
        <v>6.8714954380974542E-3</v>
      </c>
      <c r="AFQ31" s="2">
        <v>0</v>
      </c>
      <c r="AFR31" s="2">
        <v>0</v>
      </c>
      <c r="AFS31" s="2">
        <v>0</v>
      </c>
      <c r="AFT31" s="2">
        <v>0</v>
      </c>
      <c r="AFU31" s="2">
        <v>0</v>
      </c>
      <c r="AFV31" s="2">
        <v>0</v>
      </c>
      <c r="AFW31" s="2">
        <v>0</v>
      </c>
      <c r="AFX31" s="2">
        <v>0</v>
      </c>
      <c r="AFY31" s="2">
        <v>0</v>
      </c>
      <c r="AFZ31" s="2">
        <v>0</v>
      </c>
      <c r="AGA31" s="2">
        <v>4.7744733407023405E-8</v>
      </c>
      <c r="AGB31" s="2">
        <v>4.7046266662879109E-2</v>
      </c>
      <c r="AGC31" s="2">
        <v>2.3096558014050971E-3</v>
      </c>
      <c r="AGD31" s="2">
        <v>6.2072920743078473E-9</v>
      </c>
      <c r="AGE31" s="2">
        <v>0</v>
      </c>
      <c r="AGF31" s="2">
        <v>1.8751155555844735E-3</v>
      </c>
      <c r="AGG31" s="2">
        <v>2.8294414414374996E-3</v>
      </c>
      <c r="AGH31" s="2">
        <v>0</v>
      </c>
      <c r="AGI31" s="2">
        <v>1.4579696691688928E-3</v>
      </c>
      <c r="AGJ31" s="2">
        <v>0</v>
      </c>
      <c r="AGK31" s="2">
        <v>0</v>
      </c>
      <c r="AGL31" s="2">
        <v>0</v>
      </c>
      <c r="AGM31" s="2">
        <v>0</v>
      </c>
      <c r="AGN31" s="2">
        <v>0</v>
      </c>
      <c r="AGO31" s="2">
        <v>0</v>
      </c>
      <c r="AGP31" s="2">
        <v>0</v>
      </c>
      <c r="AGQ31" s="2">
        <v>0</v>
      </c>
      <c r="AGR31" s="2">
        <v>0</v>
      </c>
      <c r="AGS31" s="2">
        <v>0</v>
      </c>
      <c r="AGT31" s="2">
        <v>0</v>
      </c>
      <c r="AGU31" s="2">
        <v>0</v>
      </c>
      <c r="AGV31" s="2">
        <v>0</v>
      </c>
      <c r="AGW31" s="2">
        <v>0</v>
      </c>
      <c r="AGX31" s="2">
        <v>0</v>
      </c>
      <c r="AGY31" s="2">
        <v>0</v>
      </c>
      <c r="AGZ31" s="2">
        <v>0</v>
      </c>
      <c r="AHA31" s="2">
        <v>0</v>
      </c>
      <c r="AHB31" s="2">
        <v>0</v>
      </c>
      <c r="AHC31" s="2">
        <v>0</v>
      </c>
      <c r="AHD31" s="2">
        <v>0</v>
      </c>
      <c r="AHE31" s="2">
        <v>0</v>
      </c>
      <c r="AHF31" s="2">
        <v>0</v>
      </c>
      <c r="AHG31" s="2">
        <v>0</v>
      </c>
      <c r="AHH31" s="2">
        <v>0</v>
      </c>
      <c r="AHI31" s="2">
        <v>0</v>
      </c>
      <c r="AHJ31" s="2">
        <v>0</v>
      </c>
      <c r="AHK31" s="2">
        <v>0</v>
      </c>
      <c r="AHL31" s="2">
        <v>0</v>
      </c>
      <c r="AHM31" s="2">
        <v>0</v>
      </c>
      <c r="AHN31" s="2">
        <v>0</v>
      </c>
      <c r="AHO31" s="2">
        <v>0</v>
      </c>
      <c r="AHP31" s="2">
        <v>0</v>
      </c>
      <c r="AHQ31" s="2">
        <v>0</v>
      </c>
      <c r="AHR31" s="2">
        <v>0</v>
      </c>
      <c r="AHS31" s="2">
        <v>0</v>
      </c>
      <c r="AHT31" s="2">
        <v>0</v>
      </c>
      <c r="AHU31" s="2">
        <v>0</v>
      </c>
      <c r="AHV31" s="2">
        <v>0</v>
      </c>
      <c r="AHW31" s="2">
        <v>0</v>
      </c>
      <c r="AHX31" s="2">
        <v>0</v>
      </c>
      <c r="AHY31" s="2">
        <v>0</v>
      </c>
      <c r="AHZ31" s="2">
        <v>0</v>
      </c>
      <c r="AIA31" s="2">
        <v>0</v>
      </c>
      <c r="AIB31" s="2">
        <v>0</v>
      </c>
      <c r="AIC31" s="2">
        <v>0</v>
      </c>
      <c r="AID31" s="2">
        <v>0</v>
      </c>
      <c r="AIE31" s="2">
        <v>1.4808287941155953E-3</v>
      </c>
      <c r="AIF31" s="2">
        <v>9.7251912130124068E-4</v>
      </c>
      <c r="AIG31" s="2">
        <v>3.1478317490077974E-3</v>
      </c>
      <c r="AIH31" s="2">
        <v>0</v>
      </c>
      <c r="AII31" s="2">
        <v>0</v>
      </c>
      <c r="AIJ31" s="2">
        <v>0</v>
      </c>
      <c r="AIK31" s="2">
        <v>0</v>
      </c>
      <c r="AIL31" s="2">
        <v>0</v>
      </c>
      <c r="AIM31" s="2">
        <v>0</v>
      </c>
      <c r="AIN31" s="2">
        <v>0</v>
      </c>
      <c r="AIO31" s="2">
        <v>1.5975630798802695E-2</v>
      </c>
      <c r="AIP31" s="2">
        <v>0</v>
      </c>
      <c r="AIQ31" s="2">
        <v>4.471856543521357E-3</v>
      </c>
      <c r="AIR31" s="2">
        <v>5.3790960419321139E-3</v>
      </c>
      <c r="AIS31" s="2">
        <v>5.0758078192356383E-10</v>
      </c>
      <c r="AIT31" s="2">
        <v>0</v>
      </c>
      <c r="AIU31" s="2">
        <v>0</v>
      </c>
      <c r="AIV31" s="2">
        <v>0</v>
      </c>
      <c r="AIW31" s="2">
        <v>9.7731005748830912E-5</v>
      </c>
      <c r="AIX31" s="2">
        <v>9.1394276271508906E-4</v>
      </c>
      <c r="AIY31" s="2">
        <v>0</v>
      </c>
      <c r="AIZ31" s="2">
        <v>0</v>
      </c>
      <c r="AJA31" s="2">
        <v>3.192654236189002E-3</v>
      </c>
      <c r="AJB31" s="2">
        <v>0</v>
      </c>
      <c r="AJC31" s="2">
        <v>3.1676998137432932E-3</v>
      </c>
      <c r="AJD31" s="2">
        <v>5.595979509348732E-10</v>
      </c>
      <c r="AJE31" s="2">
        <v>0</v>
      </c>
      <c r="AJF31" s="2">
        <v>0</v>
      </c>
      <c r="AJG31" s="2">
        <v>0</v>
      </c>
      <c r="AJH31" s="2">
        <v>0</v>
      </c>
      <c r="AJI31" s="2">
        <v>5.4405232429703626E-3</v>
      </c>
      <c r="AJJ31" s="2">
        <v>0</v>
      </c>
      <c r="AJK31" s="2">
        <v>2.408394525094061E-3</v>
      </c>
      <c r="AJL31" s="2">
        <v>0</v>
      </c>
      <c r="AJM31" s="2">
        <v>0</v>
      </c>
      <c r="AJN31" s="2">
        <v>0</v>
      </c>
      <c r="AJO31" s="2">
        <v>0</v>
      </c>
      <c r="AJP31" s="2">
        <v>2.5902207618153619E-3</v>
      </c>
      <c r="AJQ31" s="2">
        <v>0</v>
      </c>
      <c r="AJR31" s="2">
        <v>0</v>
      </c>
      <c r="AJS31" s="2">
        <v>0</v>
      </c>
      <c r="AJT31" s="2">
        <v>1.1656617417820964E-3</v>
      </c>
      <c r="AJU31" s="2">
        <v>0</v>
      </c>
      <c r="AJV31" s="2">
        <v>0</v>
      </c>
      <c r="AJW31" s="2">
        <v>0</v>
      </c>
      <c r="AJX31" s="2">
        <v>8.595562705636892E-3</v>
      </c>
      <c r="AJY31" s="2">
        <v>0</v>
      </c>
      <c r="AJZ31" s="2">
        <v>0</v>
      </c>
      <c r="AKA31" s="2">
        <v>0</v>
      </c>
      <c r="AKB31" s="2">
        <v>0</v>
      </c>
      <c r="AKC31" s="2">
        <v>0</v>
      </c>
      <c r="AKD31" s="2">
        <v>0</v>
      </c>
      <c r="AKE31" s="2">
        <v>0</v>
      </c>
      <c r="AKF31" s="2">
        <v>0</v>
      </c>
      <c r="AKG31" s="2">
        <v>0</v>
      </c>
      <c r="AKH31" s="2">
        <v>0</v>
      </c>
      <c r="AKI31" s="2">
        <v>0</v>
      </c>
      <c r="AKJ31" s="2">
        <v>0</v>
      </c>
      <c r="AKK31" s="2">
        <v>2.490259140563908E-3</v>
      </c>
      <c r="AKL31" s="2">
        <v>0</v>
      </c>
      <c r="AKM31" s="2">
        <v>0</v>
      </c>
      <c r="AKN31" s="2">
        <v>0</v>
      </c>
      <c r="AKO31" s="2">
        <v>0</v>
      </c>
      <c r="AKP31" s="2">
        <v>0</v>
      </c>
      <c r="AKQ31" s="2">
        <v>0</v>
      </c>
      <c r="AKR31" s="2">
        <v>0</v>
      </c>
      <c r="AKS31" s="2">
        <v>0</v>
      </c>
      <c r="AKT31" s="2">
        <v>0</v>
      </c>
      <c r="AKU31" s="2">
        <v>0</v>
      </c>
      <c r="AKV31" s="2">
        <v>0</v>
      </c>
      <c r="AKW31" s="2">
        <v>0</v>
      </c>
      <c r="AKX31" s="2">
        <v>0</v>
      </c>
      <c r="AKY31" s="2">
        <v>0</v>
      </c>
      <c r="AKZ31" s="2">
        <v>0</v>
      </c>
      <c r="ALA31" s="2">
        <v>0</v>
      </c>
      <c r="ALB31" s="2">
        <v>0</v>
      </c>
      <c r="ALC31" s="2">
        <v>0</v>
      </c>
      <c r="ALD31" s="2">
        <v>0</v>
      </c>
      <c r="ALE31" s="2">
        <v>0</v>
      </c>
      <c r="ALF31" s="2">
        <v>0</v>
      </c>
      <c r="ALG31" s="2">
        <v>0</v>
      </c>
      <c r="ALH31" s="2">
        <v>0</v>
      </c>
      <c r="ALI31" s="2">
        <v>0</v>
      </c>
      <c r="ALJ31" s="2">
        <v>0</v>
      </c>
      <c r="ALK31" s="2">
        <v>0</v>
      </c>
      <c r="ALL31" s="2">
        <v>0</v>
      </c>
      <c r="ALM31" s="2">
        <v>0</v>
      </c>
      <c r="ALN31" s="2">
        <v>0</v>
      </c>
      <c r="ALO31" s="2">
        <v>0</v>
      </c>
      <c r="ALP31" s="2">
        <v>0</v>
      </c>
      <c r="ALQ31" s="2">
        <v>0</v>
      </c>
      <c r="ALR31" s="2">
        <v>0</v>
      </c>
      <c r="ALS31" s="2">
        <v>0</v>
      </c>
      <c r="ALT31" s="2">
        <v>0</v>
      </c>
      <c r="ALU31" s="2">
        <v>0</v>
      </c>
      <c r="ALV31" s="2">
        <v>0</v>
      </c>
      <c r="ALW31" s="2">
        <v>0</v>
      </c>
      <c r="ALX31" s="2">
        <v>0</v>
      </c>
      <c r="ALY31" s="2">
        <v>0</v>
      </c>
      <c r="ALZ31" s="2">
        <v>0</v>
      </c>
      <c r="AMA31" s="2">
        <v>0</v>
      </c>
      <c r="AMB31" s="2">
        <v>0</v>
      </c>
      <c r="AMC31" s="2">
        <v>0</v>
      </c>
      <c r="AMD31" s="2">
        <v>0</v>
      </c>
      <c r="AME31" s="2">
        <v>0</v>
      </c>
      <c r="AMF31" s="2">
        <v>0</v>
      </c>
      <c r="AMG31" s="2">
        <v>0</v>
      </c>
      <c r="AMH31" s="2">
        <v>0</v>
      </c>
      <c r="AMI31" s="2">
        <v>0</v>
      </c>
      <c r="AMJ31" s="2">
        <v>0</v>
      </c>
      <c r="AMK31" s="2">
        <v>9.5656570097808419E-5</v>
      </c>
      <c r="AML31" s="2">
        <v>0</v>
      </c>
      <c r="AMM31" s="2">
        <v>0</v>
      </c>
      <c r="AMN31" s="2">
        <v>0</v>
      </c>
      <c r="AMO31" s="2">
        <v>0</v>
      </c>
      <c r="AMP31" s="2">
        <v>0</v>
      </c>
      <c r="AMQ31" s="2">
        <v>0</v>
      </c>
      <c r="AMR31" s="2">
        <v>1.4822079403458303E-4</v>
      </c>
      <c r="AMS31" s="2">
        <v>0</v>
      </c>
      <c r="AMT31" s="2">
        <v>0</v>
      </c>
      <c r="AMU31" s="2">
        <v>0</v>
      </c>
      <c r="AMV31" s="2">
        <v>0</v>
      </c>
      <c r="AMW31" s="2">
        <v>0</v>
      </c>
      <c r="AMX31" s="2">
        <v>0</v>
      </c>
      <c r="AMY31" s="2">
        <v>0</v>
      </c>
      <c r="AMZ31" s="2">
        <v>0</v>
      </c>
      <c r="ANA31" s="2">
        <v>0</v>
      </c>
      <c r="ANB31" s="2">
        <v>0</v>
      </c>
      <c r="ANC31" s="2">
        <v>0</v>
      </c>
      <c r="AND31" s="2">
        <v>0</v>
      </c>
      <c r="ANE31" s="2">
        <v>0</v>
      </c>
      <c r="ANF31" s="2">
        <v>0</v>
      </c>
      <c r="ANG31" s="2">
        <v>0</v>
      </c>
      <c r="ANH31" s="2">
        <v>0</v>
      </c>
      <c r="ANI31" s="2">
        <v>0</v>
      </c>
      <c r="ANJ31" s="2">
        <v>0</v>
      </c>
      <c r="ANK31" s="2">
        <v>0</v>
      </c>
      <c r="ANL31" s="2">
        <v>0</v>
      </c>
      <c r="ANM31" s="2">
        <v>0</v>
      </c>
      <c r="ANN31" s="2">
        <v>0</v>
      </c>
      <c r="ANO31" s="2">
        <v>0</v>
      </c>
      <c r="ANP31" s="2">
        <v>0</v>
      </c>
      <c r="ANQ31" s="2">
        <v>0</v>
      </c>
      <c r="ANR31" s="2">
        <v>0</v>
      </c>
      <c r="ANS31" s="2">
        <v>0</v>
      </c>
      <c r="ANT31" s="2">
        <v>0</v>
      </c>
      <c r="ANU31" s="2">
        <v>0</v>
      </c>
      <c r="ANV31" s="2">
        <v>0</v>
      </c>
      <c r="ANW31" s="2">
        <v>0</v>
      </c>
      <c r="ANX31" s="2">
        <v>0</v>
      </c>
      <c r="ANY31" s="2">
        <v>0</v>
      </c>
      <c r="ANZ31" s="2">
        <v>0</v>
      </c>
      <c r="AOA31" s="2">
        <v>0</v>
      </c>
      <c r="AOB31" s="2">
        <v>0</v>
      </c>
      <c r="AOC31" s="2">
        <v>0</v>
      </c>
      <c r="AOD31" s="2">
        <v>0</v>
      </c>
      <c r="AOE31" s="2">
        <v>0</v>
      </c>
      <c r="AOF31" s="2">
        <v>0</v>
      </c>
      <c r="AOG31" s="2">
        <v>0</v>
      </c>
      <c r="AOH31" s="2">
        <v>0</v>
      </c>
      <c r="AOI31" s="2">
        <v>0</v>
      </c>
      <c r="AOJ31" s="2">
        <v>0</v>
      </c>
      <c r="AOK31" s="2">
        <v>0</v>
      </c>
      <c r="AOL31" s="2">
        <v>3.404547458890776E-8</v>
      </c>
      <c r="AOM31" s="2">
        <v>0</v>
      </c>
      <c r="AON31" s="2">
        <v>0</v>
      </c>
      <c r="AOO31" s="2">
        <v>0</v>
      </c>
      <c r="AOP31" s="2">
        <v>0</v>
      </c>
      <c r="AOQ31" s="2">
        <v>0</v>
      </c>
      <c r="AOR31" s="2">
        <v>0</v>
      </c>
      <c r="AOS31" s="2">
        <v>0</v>
      </c>
      <c r="AOT31" s="2">
        <v>0</v>
      </c>
      <c r="AOU31" s="2">
        <v>0</v>
      </c>
      <c r="AOV31" s="2">
        <v>0</v>
      </c>
      <c r="AOW31" s="2">
        <v>0</v>
      </c>
      <c r="AOX31" s="2">
        <v>0</v>
      </c>
      <c r="AOY31" s="2">
        <v>0</v>
      </c>
      <c r="AOZ31" s="2">
        <v>0</v>
      </c>
      <c r="APA31" s="2">
        <v>0</v>
      </c>
      <c r="APB31" s="2">
        <v>0</v>
      </c>
      <c r="APC31" s="2">
        <v>0</v>
      </c>
      <c r="APD31" s="2">
        <v>0</v>
      </c>
      <c r="APE31" s="2">
        <v>0</v>
      </c>
      <c r="APF31" s="2">
        <v>0</v>
      </c>
      <c r="APG31" s="2">
        <v>0</v>
      </c>
      <c r="APH31" s="2">
        <v>0</v>
      </c>
      <c r="API31" s="2">
        <v>0</v>
      </c>
      <c r="APJ31" s="2">
        <v>0</v>
      </c>
      <c r="APK31" s="2">
        <v>0</v>
      </c>
      <c r="APL31" s="2">
        <v>0</v>
      </c>
      <c r="APM31" s="2">
        <v>0</v>
      </c>
      <c r="APN31" s="2">
        <v>0</v>
      </c>
      <c r="APO31" s="2">
        <v>0</v>
      </c>
      <c r="APP31" s="2">
        <v>0</v>
      </c>
      <c r="APQ31" s="2">
        <v>0</v>
      </c>
      <c r="APR31" s="2">
        <v>0</v>
      </c>
      <c r="APS31" s="2">
        <v>0</v>
      </c>
      <c r="APT31" s="2">
        <v>0</v>
      </c>
      <c r="APU31" s="2">
        <v>0</v>
      </c>
      <c r="APV31" s="2">
        <v>0</v>
      </c>
      <c r="APW31" s="2">
        <v>0</v>
      </c>
      <c r="APX31" s="2">
        <v>0</v>
      </c>
      <c r="APY31" s="2">
        <v>0</v>
      </c>
      <c r="APZ31" s="2">
        <v>0</v>
      </c>
      <c r="AQA31" s="2">
        <v>0</v>
      </c>
      <c r="AQB31" s="2">
        <v>0</v>
      </c>
      <c r="AQC31" s="2">
        <v>0</v>
      </c>
      <c r="AQD31" s="2">
        <v>0</v>
      </c>
      <c r="AQE31" s="2">
        <v>0</v>
      </c>
      <c r="AQF31" s="2">
        <v>0</v>
      </c>
      <c r="AQG31" s="2">
        <v>0</v>
      </c>
      <c r="AQH31" s="2">
        <v>0</v>
      </c>
      <c r="AQI31" s="2">
        <v>0</v>
      </c>
      <c r="AQJ31" s="2">
        <v>0</v>
      </c>
      <c r="AQK31" s="2">
        <v>0</v>
      </c>
      <c r="AQL31" s="2">
        <v>0</v>
      </c>
      <c r="AQM31" s="2">
        <v>0</v>
      </c>
      <c r="AQN31" s="2">
        <v>0</v>
      </c>
      <c r="AQO31" s="2">
        <v>0</v>
      </c>
      <c r="AQP31" s="2">
        <v>0</v>
      </c>
      <c r="AQQ31" s="2">
        <v>0</v>
      </c>
      <c r="AQR31" s="2">
        <v>0</v>
      </c>
      <c r="AQS31" s="2">
        <v>0</v>
      </c>
      <c r="AQT31" s="2">
        <v>0</v>
      </c>
      <c r="AQU31" s="2">
        <v>0</v>
      </c>
    </row>
    <row r="32" spans="1:1139" s="2" customFormat="1" x14ac:dyDescent="0.25">
      <c r="A32" s="2" t="s">
        <v>5</v>
      </c>
      <c r="B32" s="2" t="s">
        <v>11</v>
      </c>
      <c r="C32" s="37">
        <v>46203</v>
      </c>
      <c r="D32" s="2" t="s">
        <v>23</v>
      </c>
      <c r="E32" s="2">
        <v>1</v>
      </c>
      <c r="F32" s="2">
        <v>5.1700319329152913E-3</v>
      </c>
      <c r="G32" s="2">
        <v>6.8048133075097742E-7</v>
      </c>
      <c r="H32" s="2">
        <v>0</v>
      </c>
      <c r="I32" s="2">
        <v>0</v>
      </c>
      <c r="J32" s="2">
        <v>0</v>
      </c>
      <c r="K32" s="2">
        <v>0</v>
      </c>
      <c r="L32" s="2">
        <v>4.4418239479054374E-3</v>
      </c>
      <c r="M32" s="2">
        <v>1.3670644724049219E-6</v>
      </c>
      <c r="N32" s="2">
        <v>1.3511732217997224E-6</v>
      </c>
      <c r="O32" s="2">
        <v>6.538023797408404E-9</v>
      </c>
      <c r="P32" s="2">
        <v>1.3377130756105894E-7</v>
      </c>
      <c r="Q32" s="2">
        <v>0</v>
      </c>
      <c r="R32" s="2">
        <v>1.951868943581216E-8</v>
      </c>
      <c r="S32" s="2">
        <v>0</v>
      </c>
      <c r="T32" s="2">
        <v>1.7694819412909814E-8</v>
      </c>
      <c r="U32" s="2">
        <v>2.9891010582639424E-8</v>
      </c>
      <c r="V32" s="2">
        <v>1.1957883779492012E-9</v>
      </c>
      <c r="W32" s="2">
        <v>5.5269966172385744E-8</v>
      </c>
      <c r="X32" s="2">
        <v>0.19943826406212947</v>
      </c>
      <c r="Y32" s="2">
        <v>0.20323852322014904</v>
      </c>
      <c r="Z32" s="2">
        <v>7.2454538637955904E-4</v>
      </c>
      <c r="AA32" s="2">
        <v>1.7019322502774686E-3</v>
      </c>
      <c r="AB32" s="2">
        <v>7.2559912427369337E-3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2.450784912674336E-3</v>
      </c>
      <c r="DS32" s="2">
        <v>0</v>
      </c>
      <c r="DT32" s="2">
        <v>2.8694461414589863E-3</v>
      </c>
      <c r="DU32" s="2">
        <v>0</v>
      </c>
      <c r="DV32" s="2">
        <v>0</v>
      </c>
      <c r="DW32" s="2">
        <v>2.4256502348664363E-3</v>
      </c>
      <c r="DX32" s="2">
        <v>6.653313137645897E-2</v>
      </c>
      <c r="DY32" s="2">
        <v>1.219649057428681E-2</v>
      </c>
      <c r="DZ32" s="2">
        <v>5.6299910329517407E-4</v>
      </c>
      <c r="EA32" s="2">
        <v>6.0193988546598529E-3</v>
      </c>
      <c r="EB32" s="2">
        <v>2.6323218804291514E-7</v>
      </c>
      <c r="EC32" s="2">
        <v>0</v>
      </c>
      <c r="ED32" s="2">
        <v>8.1293814702536119E-3</v>
      </c>
      <c r="EE32" s="2">
        <v>0</v>
      </c>
      <c r="EF32" s="2">
        <v>8.9475148878491693E-3</v>
      </c>
      <c r="EG32" s="2">
        <v>8.6545455635770631E-3</v>
      </c>
      <c r="EH32" s="2">
        <v>0</v>
      </c>
      <c r="EI32" s="2">
        <v>2.4565846092224456E-2</v>
      </c>
      <c r="EJ32" s="2">
        <v>2.5464852628807721E-2</v>
      </c>
      <c r="EK32" s="2">
        <v>9.4136071737603039E-3</v>
      </c>
      <c r="EL32" s="2">
        <v>2.0948828493583976E-5</v>
      </c>
      <c r="EM32" s="2">
        <v>5.7328165871271736E-2</v>
      </c>
      <c r="EN32" s="2">
        <v>5.3107056733901349E-2</v>
      </c>
      <c r="EO32" s="2">
        <v>4.8190631191187272E-3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1.3906677900611774E-3</v>
      </c>
      <c r="EX32" s="2">
        <v>1.5234686610173581E-3</v>
      </c>
      <c r="EY32" s="2">
        <v>0</v>
      </c>
      <c r="EZ32" s="2">
        <v>6.0887459926649518E-4</v>
      </c>
      <c r="FA32" s="2">
        <v>0</v>
      </c>
      <c r="FB32" s="2">
        <v>4.0658464306305604E-3</v>
      </c>
      <c r="FC32" s="2">
        <v>0</v>
      </c>
      <c r="FD32" s="2">
        <v>4.2407159240197772E-4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4.0046738795336155E-3</v>
      </c>
      <c r="GK32" s="2">
        <v>0</v>
      </c>
      <c r="GL32" s="2">
        <v>3.5069056860886128E-3</v>
      </c>
      <c r="GM32" s="2">
        <v>0</v>
      </c>
      <c r="GN32" s="2">
        <v>0</v>
      </c>
      <c r="GO32" s="2">
        <v>3.8485347935383814E-4</v>
      </c>
      <c r="GP32" s="2">
        <v>2.265125194473798E-3</v>
      </c>
      <c r="GQ32" s="2">
        <v>1.135219657643017E-5</v>
      </c>
      <c r="GR32" s="2">
        <v>3.9088091973806769E-4</v>
      </c>
      <c r="GS32" s="2">
        <v>6.5177633897356346E-3</v>
      </c>
      <c r="GT32" s="2">
        <v>2.0863379488903462E-4</v>
      </c>
      <c r="GU32" s="2">
        <v>2.4934874107256651E-2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4.1650244172592812E-5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5.477892416895602E-8</v>
      </c>
      <c r="HV32" s="2">
        <v>9.9623755251315553E-3</v>
      </c>
      <c r="HW32" s="2">
        <v>8.7679813941924881E-2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1.4879173763987445E-2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5.7993341428204736E-8</v>
      </c>
      <c r="IK32" s="2">
        <v>0</v>
      </c>
      <c r="IL32" s="2">
        <v>4.4751337852352629E-4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9.1091399052483063E-4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1.3691185809629365E-4</v>
      </c>
      <c r="JD32" s="2">
        <v>0</v>
      </c>
      <c r="JE32" s="2">
        <v>0</v>
      </c>
      <c r="JF32" s="2">
        <v>0</v>
      </c>
      <c r="JG32" s="2">
        <v>5.3065864628895161E-3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1.636339251926899E-2</v>
      </c>
      <c r="JN32" s="2">
        <v>3.0640279514728566E-3</v>
      </c>
      <c r="JO32" s="2">
        <v>1.674064791055204E-3</v>
      </c>
      <c r="JP32" s="2">
        <v>0</v>
      </c>
      <c r="JQ32" s="2">
        <v>1.0614516446312816E-2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2.5894419755926021E-6</v>
      </c>
      <c r="KE32" s="2">
        <v>0</v>
      </c>
      <c r="KF32" s="2">
        <v>0</v>
      </c>
      <c r="KG32" s="2">
        <v>0</v>
      </c>
      <c r="KH32" s="2">
        <v>9.7284120212520597E-3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4.2731088679870532E-3</v>
      </c>
      <c r="LE32" s="2">
        <v>1.4276554327533237E-2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3.72564621212482E-7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9.2953941400965943E-3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5.1981008022756268E-3</v>
      </c>
      <c r="MX32" s="2">
        <v>0</v>
      </c>
      <c r="MY32" s="2">
        <v>0</v>
      </c>
      <c r="MZ32" s="2">
        <v>0</v>
      </c>
      <c r="NA32" s="2">
        <v>0</v>
      </c>
      <c r="NB32" s="2">
        <v>1.5408577477139035E-2</v>
      </c>
      <c r="NC32" s="2">
        <v>0</v>
      </c>
      <c r="ND32" s="2">
        <v>0</v>
      </c>
      <c r="NE32" s="2">
        <v>0</v>
      </c>
      <c r="NF32" s="2">
        <v>0</v>
      </c>
      <c r="NG32" s="2">
        <v>3.5498786726219089E-3</v>
      </c>
      <c r="NH32" s="2">
        <v>0</v>
      </c>
      <c r="NI32" s="2">
        <v>2.0089146150938213E-8</v>
      </c>
      <c r="NJ32" s="2">
        <v>0</v>
      </c>
      <c r="NK32" s="2">
        <v>0</v>
      </c>
      <c r="NL32" s="2">
        <v>0</v>
      </c>
      <c r="NM32" s="2">
        <v>0</v>
      </c>
      <c r="NN32" s="2">
        <v>4.8173135613028741E-3</v>
      </c>
      <c r="NO32" s="2">
        <v>4.8173135613028741E-3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0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  <c r="OE32" s="2">
        <v>0</v>
      </c>
      <c r="OF32" s="2">
        <v>0</v>
      </c>
      <c r="OG32" s="2">
        <v>0</v>
      </c>
      <c r="OH32" s="2">
        <v>0</v>
      </c>
      <c r="OI32" s="2">
        <v>0</v>
      </c>
      <c r="OJ32" s="2">
        <v>0</v>
      </c>
      <c r="OK32" s="2">
        <v>1.1062576878328524E-2</v>
      </c>
      <c r="OL32" s="2">
        <v>0</v>
      </c>
      <c r="OM32" s="2">
        <v>0</v>
      </c>
      <c r="ON32" s="2">
        <v>0</v>
      </c>
      <c r="OO32" s="2">
        <v>0</v>
      </c>
      <c r="OP32" s="2">
        <v>0</v>
      </c>
      <c r="OQ32" s="2">
        <v>0</v>
      </c>
      <c r="OR32" s="2">
        <v>0</v>
      </c>
      <c r="OS32" s="2">
        <v>0</v>
      </c>
      <c r="OT32" s="2">
        <v>0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2.9967640690497958E-2</v>
      </c>
      <c r="PA32" s="2">
        <v>0</v>
      </c>
      <c r="PB32" s="2">
        <v>0</v>
      </c>
      <c r="PC32" s="2">
        <v>0</v>
      </c>
      <c r="PD32" s="2">
        <v>0</v>
      </c>
      <c r="PE32" s="2">
        <v>0</v>
      </c>
      <c r="PF32" s="2">
        <v>1.2249289783789833E-2</v>
      </c>
      <c r="PG32" s="2">
        <v>0</v>
      </c>
      <c r="PH32" s="2">
        <v>0</v>
      </c>
      <c r="PI32" s="2">
        <v>0</v>
      </c>
      <c r="PJ32" s="2">
        <v>0</v>
      </c>
      <c r="PK32" s="2">
        <v>0</v>
      </c>
      <c r="PL32" s="2">
        <v>0</v>
      </c>
      <c r="PM32" s="2">
        <v>0</v>
      </c>
      <c r="PN32" s="2">
        <v>0</v>
      </c>
      <c r="PO32" s="2">
        <v>0</v>
      </c>
      <c r="PP32" s="2">
        <v>0</v>
      </c>
      <c r="PQ32" s="2">
        <v>0</v>
      </c>
      <c r="PR32" s="2">
        <v>0</v>
      </c>
      <c r="PS32" s="2">
        <v>0</v>
      </c>
      <c r="PT32" s="2">
        <v>0</v>
      </c>
      <c r="PU32" s="2">
        <v>0</v>
      </c>
      <c r="PV32" s="2">
        <v>0</v>
      </c>
      <c r="PW32" s="2">
        <v>0</v>
      </c>
      <c r="PX32" s="2">
        <v>0</v>
      </c>
      <c r="PY32" s="2">
        <v>0</v>
      </c>
      <c r="PZ32" s="2">
        <v>0</v>
      </c>
      <c r="QA32" s="2">
        <v>0</v>
      </c>
      <c r="QB32" s="2">
        <v>0</v>
      </c>
      <c r="QC32" s="2">
        <v>0</v>
      </c>
      <c r="QD32" s="2">
        <v>0</v>
      </c>
      <c r="QE32" s="2">
        <v>0</v>
      </c>
      <c r="QF32" s="2">
        <v>0</v>
      </c>
      <c r="QG32" s="2">
        <v>0</v>
      </c>
      <c r="QH32" s="2">
        <v>0</v>
      </c>
      <c r="QI32" s="2">
        <v>0</v>
      </c>
      <c r="QJ32" s="2">
        <v>0</v>
      </c>
      <c r="QK32" s="2">
        <v>0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0</v>
      </c>
      <c r="QS32" s="2">
        <v>0</v>
      </c>
      <c r="QT32" s="2">
        <v>8.9807976296095212E-3</v>
      </c>
      <c r="QU32" s="2">
        <v>3.8155325606003929E-3</v>
      </c>
      <c r="QV32" s="2">
        <v>0</v>
      </c>
      <c r="QW32" s="2">
        <v>0</v>
      </c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0</v>
      </c>
      <c r="RD32" s="2">
        <v>0</v>
      </c>
      <c r="RE32" s="2">
        <v>0</v>
      </c>
      <c r="RF32" s="2">
        <v>0</v>
      </c>
      <c r="RG32" s="2">
        <v>0</v>
      </c>
      <c r="RH32" s="2">
        <v>0</v>
      </c>
      <c r="RI32" s="2">
        <v>0</v>
      </c>
      <c r="RJ32" s="2">
        <v>0</v>
      </c>
      <c r="RK32" s="2">
        <v>0</v>
      </c>
      <c r="RL32" s="2">
        <v>0</v>
      </c>
      <c r="RM32" s="2">
        <v>0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0</v>
      </c>
      <c r="RU32" s="2">
        <v>6.574262828639341E-7</v>
      </c>
      <c r="RV32" s="2">
        <v>2.1912382884850233E-8</v>
      </c>
      <c r="RW32" s="2">
        <v>0</v>
      </c>
      <c r="RX32" s="2">
        <v>0</v>
      </c>
      <c r="RY32" s="2">
        <v>0</v>
      </c>
      <c r="RZ32" s="2">
        <v>0</v>
      </c>
      <c r="SA32" s="2">
        <v>0</v>
      </c>
      <c r="SB32" s="2">
        <v>0</v>
      </c>
      <c r="SC32" s="2">
        <v>0</v>
      </c>
      <c r="SD32" s="2">
        <v>0</v>
      </c>
      <c r="SE32" s="2">
        <v>0</v>
      </c>
      <c r="SF32" s="2">
        <v>0</v>
      </c>
      <c r="SG32" s="2">
        <v>0</v>
      </c>
      <c r="SH32" s="2">
        <v>0</v>
      </c>
      <c r="SI32" s="2">
        <v>0</v>
      </c>
      <c r="SJ32" s="2">
        <v>0</v>
      </c>
      <c r="SK32" s="2">
        <v>0</v>
      </c>
      <c r="SL32" s="2">
        <v>0</v>
      </c>
      <c r="SM32" s="2">
        <v>0</v>
      </c>
      <c r="SN32" s="2">
        <v>0</v>
      </c>
      <c r="SO32" s="2">
        <v>0</v>
      </c>
      <c r="SP32" s="2">
        <v>0</v>
      </c>
      <c r="SQ32" s="2">
        <v>2.6268830949604446E-8</v>
      </c>
      <c r="SR32" s="2">
        <v>0</v>
      </c>
      <c r="SS32" s="2">
        <v>0</v>
      </c>
      <c r="ST32" s="2">
        <v>0</v>
      </c>
      <c r="SU32" s="2">
        <v>0</v>
      </c>
      <c r="SV32" s="2">
        <v>0</v>
      </c>
      <c r="SW32" s="2">
        <v>8.3220444949473796E-8</v>
      </c>
      <c r="SX32" s="2">
        <v>0</v>
      </c>
      <c r="SY32" s="2">
        <v>0</v>
      </c>
      <c r="SZ32" s="2">
        <v>0</v>
      </c>
      <c r="TA32" s="2">
        <v>0</v>
      </c>
      <c r="TB32" s="2">
        <v>0</v>
      </c>
      <c r="TC32" s="2">
        <v>0</v>
      </c>
      <c r="TD32" s="2">
        <v>0</v>
      </c>
      <c r="TE32" s="2">
        <v>0</v>
      </c>
      <c r="TF32" s="2">
        <v>0</v>
      </c>
      <c r="TG32" s="2">
        <v>0</v>
      </c>
      <c r="TH32" s="2">
        <v>0</v>
      </c>
      <c r="TI32" s="2">
        <v>1.1331577925543007E-6</v>
      </c>
      <c r="TJ32" s="2">
        <v>0</v>
      </c>
      <c r="TK32" s="2">
        <v>0</v>
      </c>
      <c r="TL32" s="2">
        <v>0</v>
      </c>
      <c r="TM32" s="2">
        <v>0</v>
      </c>
      <c r="TN32" s="2">
        <v>0</v>
      </c>
      <c r="TO32" s="2">
        <v>0</v>
      </c>
      <c r="TP32" s="2">
        <v>0</v>
      </c>
      <c r="TQ32" s="2">
        <v>0</v>
      </c>
      <c r="TR32" s="2">
        <v>0</v>
      </c>
      <c r="TS32" s="2">
        <v>1.7624176460031421E-7</v>
      </c>
      <c r="TT32" s="2">
        <v>0</v>
      </c>
      <c r="TU32" s="2">
        <v>0</v>
      </c>
      <c r="TV32" s="2">
        <v>0</v>
      </c>
      <c r="TW32" s="2">
        <v>0</v>
      </c>
      <c r="TX32" s="2">
        <v>0</v>
      </c>
      <c r="TY32" s="2">
        <v>0</v>
      </c>
      <c r="TZ32" s="2">
        <v>0</v>
      </c>
      <c r="UA32" s="2">
        <v>0</v>
      </c>
      <c r="UB32" s="2">
        <v>0</v>
      </c>
      <c r="UC32" s="2">
        <v>0</v>
      </c>
      <c r="UD32" s="2">
        <v>2.4269788103199881E-6</v>
      </c>
      <c r="UE32" s="2">
        <v>0</v>
      </c>
      <c r="UF32" s="2">
        <v>0</v>
      </c>
      <c r="UG32" s="2">
        <v>0</v>
      </c>
      <c r="UH32" s="2">
        <v>0</v>
      </c>
      <c r="UI32" s="2">
        <v>0</v>
      </c>
      <c r="UJ32" s="2">
        <v>0</v>
      </c>
      <c r="UK32" s="2">
        <v>0</v>
      </c>
      <c r="UL32" s="2">
        <v>0</v>
      </c>
      <c r="UM32" s="2">
        <v>0</v>
      </c>
      <c r="UN32" s="2">
        <v>0</v>
      </c>
      <c r="UO32" s="2">
        <v>0</v>
      </c>
      <c r="UP32" s="2">
        <v>0</v>
      </c>
      <c r="UQ32" s="2">
        <v>0</v>
      </c>
      <c r="UR32" s="2">
        <v>0</v>
      </c>
      <c r="US32" s="2">
        <v>0</v>
      </c>
      <c r="UT32" s="2">
        <v>0</v>
      </c>
      <c r="UU32" s="2">
        <v>0</v>
      </c>
      <c r="UV32" s="2">
        <v>0</v>
      </c>
      <c r="UW32" s="2">
        <v>0</v>
      </c>
      <c r="UX32" s="2">
        <v>0</v>
      </c>
      <c r="UY32" s="2">
        <v>2.7043261663662341E-8</v>
      </c>
      <c r="UZ32" s="2">
        <v>0</v>
      </c>
      <c r="VA32" s="2">
        <v>0</v>
      </c>
      <c r="VB32" s="2">
        <v>0</v>
      </c>
      <c r="VC32" s="2">
        <v>0</v>
      </c>
      <c r="VD32" s="2">
        <v>0</v>
      </c>
      <c r="VE32" s="2">
        <v>0</v>
      </c>
      <c r="VF32" s="2">
        <v>0</v>
      </c>
      <c r="VG32" s="2">
        <v>0</v>
      </c>
      <c r="VH32" s="2">
        <v>0</v>
      </c>
      <c r="VI32" s="2">
        <v>0</v>
      </c>
      <c r="VJ32" s="2">
        <v>0</v>
      </c>
      <c r="VK32" s="2">
        <v>0</v>
      </c>
      <c r="VL32" s="2">
        <v>0</v>
      </c>
      <c r="VM32" s="2">
        <v>0</v>
      </c>
      <c r="VN32" s="2">
        <v>0</v>
      </c>
      <c r="VO32" s="2">
        <v>0</v>
      </c>
      <c r="VP32" s="2">
        <v>1.1423542892863126E-2</v>
      </c>
      <c r="VQ32" s="2">
        <v>0</v>
      </c>
      <c r="VR32" s="2">
        <v>0</v>
      </c>
      <c r="VS32" s="2">
        <v>0</v>
      </c>
      <c r="VT32" s="2">
        <v>0</v>
      </c>
      <c r="VU32" s="2">
        <v>0</v>
      </c>
      <c r="VV32" s="2">
        <v>0</v>
      </c>
      <c r="VW32" s="2">
        <v>0</v>
      </c>
      <c r="VX32" s="2">
        <v>0</v>
      </c>
      <c r="VY32" s="2">
        <v>0</v>
      </c>
      <c r="VZ32" s="2">
        <v>0</v>
      </c>
      <c r="WA32" s="2">
        <v>0</v>
      </c>
      <c r="WB32" s="2">
        <v>0</v>
      </c>
      <c r="WC32" s="2">
        <v>0</v>
      </c>
      <c r="WD32" s="2">
        <v>0</v>
      </c>
      <c r="WE32" s="2">
        <v>0</v>
      </c>
      <c r="WF32" s="2">
        <v>0</v>
      </c>
      <c r="WG32" s="2">
        <v>0</v>
      </c>
      <c r="WH32" s="2">
        <v>0</v>
      </c>
      <c r="WI32" s="2">
        <v>0</v>
      </c>
      <c r="WJ32" s="2">
        <v>0</v>
      </c>
      <c r="WK32" s="2">
        <v>0</v>
      </c>
      <c r="WL32" s="2">
        <v>0</v>
      </c>
      <c r="WM32" s="2">
        <v>0</v>
      </c>
      <c r="WN32" s="2">
        <v>1.2235192588191067E-6</v>
      </c>
      <c r="WO32" s="2">
        <v>0</v>
      </c>
      <c r="WP32" s="2">
        <v>0</v>
      </c>
      <c r="WQ32" s="2">
        <v>0</v>
      </c>
      <c r="WR32" s="2">
        <v>0</v>
      </c>
      <c r="WS32" s="2">
        <v>0</v>
      </c>
      <c r="WT32" s="2">
        <v>0</v>
      </c>
      <c r="WU32" s="2">
        <v>7.8053702174952187E-3</v>
      </c>
      <c r="WV32" s="2">
        <v>0</v>
      </c>
      <c r="WW32" s="2">
        <v>3.5442155068447619E-2</v>
      </c>
      <c r="WX32" s="2">
        <v>0</v>
      </c>
      <c r="WY32" s="2">
        <v>0</v>
      </c>
      <c r="WZ32" s="2">
        <v>0</v>
      </c>
      <c r="XA32" s="2">
        <v>0</v>
      </c>
      <c r="XB32" s="2">
        <v>0</v>
      </c>
      <c r="XC32" s="2">
        <v>0</v>
      </c>
      <c r="XD32" s="2">
        <v>0</v>
      </c>
      <c r="XE32" s="2">
        <v>0</v>
      </c>
      <c r="XF32" s="2">
        <v>0</v>
      </c>
      <c r="XG32" s="2">
        <v>0</v>
      </c>
      <c r="XH32" s="2">
        <v>0</v>
      </c>
      <c r="XI32" s="2">
        <v>0</v>
      </c>
      <c r="XJ32" s="2">
        <v>0</v>
      </c>
      <c r="XK32" s="2">
        <v>0</v>
      </c>
      <c r="XL32" s="2">
        <v>0</v>
      </c>
      <c r="XM32" s="2">
        <v>0</v>
      </c>
      <c r="XN32" s="2">
        <v>0</v>
      </c>
      <c r="XO32" s="2">
        <v>0</v>
      </c>
      <c r="XP32" s="2">
        <v>0</v>
      </c>
      <c r="XQ32" s="2">
        <v>0</v>
      </c>
      <c r="XR32" s="2">
        <v>0</v>
      </c>
      <c r="XS32" s="2">
        <v>0</v>
      </c>
      <c r="XT32" s="2">
        <v>0</v>
      </c>
      <c r="XU32" s="2">
        <v>0</v>
      </c>
      <c r="XV32" s="2">
        <v>0</v>
      </c>
      <c r="XW32" s="2">
        <v>0</v>
      </c>
      <c r="XX32" s="2">
        <v>0</v>
      </c>
      <c r="XY32" s="2">
        <v>0</v>
      </c>
      <c r="XZ32" s="2">
        <v>0</v>
      </c>
      <c r="YA32" s="2">
        <v>0</v>
      </c>
      <c r="YB32" s="2">
        <v>0</v>
      </c>
      <c r="YC32" s="2">
        <v>0</v>
      </c>
      <c r="YD32" s="2">
        <v>0</v>
      </c>
      <c r="YE32" s="2">
        <v>0</v>
      </c>
      <c r="YF32" s="2">
        <v>0</v>
      </c>
      <c r="YG32" s="2">
        <v>0</v>
      </c>
      <c r="YH32" s="2">
        <v>0</v>
      </c>
      <c r="YI32" s="2">
        <v>0</v>
      </c>
      <c r="YJ32" s="2">
        <v>0</v>
      </c>
      <c r="YK32" s="2">
        <v>0</v>
      </c>
      <c r="YL32" s="2">
        <v>0</v>
      </c>
      <c r="YM32" s="2">
        <v>0</v>
      </c>
      <c r="YN32" s="2">
        <v>0</v>
      </c>
      <c r="YO32" s="2">
        <v>0</v>
      </c>
      <c r="YP32" s="2">
        <v>0</v>
      </c>
      <c r="YQ32" s="2">
        <v>0</v>
      </c>
      <c r="YR32" s="2">
        <v>0</v>
      </c>
      <c r="YS32" s="2">
        <v>0</v>
      </c>
      <c r="YT32" s="2">
        <v>0</v>
      </c>
      <c r="YU32" s="2">
        <v>0</v>
      </c>
      <c r="YV32" s="2">
        <v>0</v>
      </c>
      <c r="YW32" s="2">
        <v>0</v>
      </c>
      <c r="YX32" s="2">
        <v>0</v>
      </c>
      <c r="YY32" s="2">
        <v>0</v>
      </c>
      <c r="YZ32" s="2">
        <v>0</v>
      </c>
      <c r="ZA32" s="2">
        <v>0</v>
      </c>
      <c r="ZB32" s="2">
        <v>5.0922503274570879E-3</v>
      </c>
      <c r="ZC32" s="2">
        <v>0</v>
      </c>
      <c r="ZD32" s="2">
        <v>0</v>
      </c>
      <c r="ZE32" s="2">
        <v>0</v>
      </c>
      <c r="ZF32" s="2">
        <v>0</v>
      </c>
      <c r="ZG32" s="2">
        <v>0</v>
      </c>
      <c r="ZH32" s="2">
        <v>0</v>
      </c>
      <c r="ZI32" s="2">
        <v>0</v>
      </c>
      <c r="ZJ32" s="2">
        <v>7.7781968574356198E-7</v>
      </c>
      <c r="ZK32" s="2">
        <v>0</v>
      </c>
      <c r="ZL32" s="2">
        <v>0</v>
      </c>
      <c r="ZM32" s="2">
        <v>0</v>
      </c>
      <c r="ZN32" s="2">
        <v>0</v>
      </c>
      <c r="ZO32" s="2">
        <v>0</v>
      </c>
      <c r="ZP32" s="2">
        <v>0</v>
      </c>
      <c r="ZQ32" s="2">
        <v>0</v>
      </c>
      <c r="ZR32" s="2">
        <v>0</v>
      </c>
      <c r="ZS32" s="2">
        <v>0</v>
      </c>
      <c r="ZT32" s="2">
        <v>0</v>
      </c>
      <c r="ZU32" s="2">
        <v>0</v>
      </c>
      <c r="ZV32" s="2">
        <v>0</v>
      </c>
      <c r="ZW32" s="2">
        <v>0</v>
      </c>
      <c r="ZX32" s="2">
        <v>0</v>
      </c>
      <c r="ZY32" s="2">
        <v>0</v>
      </c>
      <c r="ZZ32" s="2">
        <v>0</v>
      </c>
      <c r="AAA32" s="2">
        <v>0</v>
      </c>
      <c r="AAB32" s="2">
        <v>0</v>
      </c>
      <c r="AAC32" s="2">
        <v>0</v>
      </c>
      <c r="AAD32" s="2">
        <v>0</v>
      </c>
      <c r="AAE32" s="2">
        <v>0</v>
      </c>
      <c r="AAF32" s="2">
        <v>0</v>
      </c>
      <c r="AAG32" s="2">
        <v>0</v>
      </c>
      <c r="AAH32" s="2">
        <v>0</v>
      </c>
      <c r="AAI32" s="2">
        <v>0</v>
      </c>
      <c r="AAJ32" s="2">
        <v>0</v>
      </c>
      <c r="AAK32" s="2">
        <v>0</v>
      </c>
      <c r="AAL32" s="2">
        <v>0</v>
      </c>
      <c r="AAM32" s="2">
        <v>0</v>
      </c>
      <c r="AAN32" s="2">
        <v>0</v>
      </c>
      <c r="AAO32" s="2">
        <v>0</v>
      </c>
      <c r="AAP32" s="2">
        <v>0</v>
      </c>
      <c r="AAQ32" s="2">
        <v>0</v>
      </c>
      <c r="AAR32" s="2">
        <v>0</v>
      </c>
      <c r="AAS32" s="2">
        <v>0</v>
      </c>
      <c r="AAT32" s="2">
        <v>0</v>
      </c>
      <c r="AAU32" s="2">
        <v>0</v>
      </c>
      <c r="AAV32" s="2">
        <v>0</v>
      </c>
      <c r="AAW32" s="2">
        <v>0</v>
      </c>
      <c r="AAX32" s="2">
        <v>0</v>
      </c>
      <c r="AAY32" s="2">
        <v>0</v>
      </c>
      <c r="AAZ32" s="2">
        <v>0</v>
      </c>
      <c r="ABA32" s="2">
        <v>0</v>
      </c>
      <c r="ABB32" s="2">
        <v>0</v>
      </c>
      <c r="ABC32" s="2">
        <v>0</v>
      </c>
      <c r="ABD32" s="2">
        <v>0</v>
      </c>
      <c r="ABE32" s="2">
        <v>0</v>
      </c>
      <c r="ABF32" s="2">
        <v>0</v>
      </c>
      <c r="ABG32" s="2">
        <v>0</v>
      </c>
      <c r="ABH32" s="2">
        <v>0</v>
      </c>
      <c r="ABI32" s="2">
        <v>0</v>
      </c>
      <c r="ABJ32" s="2">
        <v>0</v>
      </c>
      <c r="ABK32" s="2">
        <v>0</v>
      </c>
      <c r="ABL32" s="2">
        <v>0</v>
      </c>
      <c r="ABM32" s="2">
        <v>0</v>
      </c>
      <c r="ABN32" s="2">
        <v>0</v>
      </c>
      <c r="ABO32" s="2">
        <v>1.4379362015692947E-7</v>
      </c>
      <c r="ABP32" s="2">
        <v>0</v>
      </c>
      <c r="ABQ32" s="2">
        <v>0</v>
      </c>
      <c r="ABR32" s="2">
        <v>0</v>
      </c>
      <c r="ABS32" s="2">
        <v>0</v>
      </c>
      <c r="ABT32" s="2">
        <v>0</v>
      </c>
      <c r="ABU32" s="2">
        <v>2.6574847028202938E-7</v>
      </c>
      <c r="ABV32" s="2">
        <v>0</v>
      </c>
      <c r="ABW32" s="2">
        <v>0</v>
      </c>
      <c r="ABX32" s="2">
        <v>0</v>
      </c>
      <c r="ABY32" s="2">
        <v>0</v>
      </c>
      <c r="ABZ32" s="2">
        <v>0</v>
      </c>
      <c r="ACA32" s="2">
        <v>0</v>
      </c>
      <c r="ACB32" s="2">
        <v>0</v>
      </c>
      <c r="ACC32" s="2">
        <v>0</v>
      </c>
      <c r="ACD32" s="2">
        <v>0</v>
      </c>
      <c r="ACE32" s="2">
        <v>0</v>
      </c>
      <c r="ACF32" s="2">
        <v>0</v>
      </c>
      <c r="ACG32" s="2">
        <v>0</v>
      </c>
      <c r="ACH32" s="2">
        <v>3.4363115007892701E-7</v>
      </c>
      <c r="ACI32" s="2">
        <v>0</v>
      </c>
      <c r="ACJ32" s="2">
        <v>0</v>
      </c>
      <c r="ACK32" s="2">
        <v>1.7326943182954612E-8</v>
      </c>
      <c r="ACL32" s="2">
        <v>0</v>
      </c>
      <c r="ACM32" s="2">
        <v>0</v>
      </c>
      <c r="ACN32" s="2">
        <v>0</v>
      </c>
      <c r="ACO32" s="2">
        <v>0</v>
      </c>
      <c r="ACP32" s="2">
        <v>0</v>
      </c>
      <c r="ACQ32" s="2">
        <v>0</v>
      </c>
      <c r="ACR32" s="2">
        <v>0</v>
      </c>
      <c r="ACS32" s="2">
        <v>0</v>
      </c>
      <c r="ACT32" s="2">
        <v>0</v>
      </c>
      <c r="ACU32" s="2">
        <v>0</v>
      </c>
      <c r="ACV32" s="2">
        <v>0</v>
      </c>
      <c r="ACW32" s="2">
        <v>0</v>
      </c>
      <c r="ACX32" s="2">
        <v>0</v>
      </c>
      <c r="ACY32" s="2">
        <v>0</v>
      </c>
      <c r="ACZ32" s="2">
        <v>0</v>
      </c>
      <c r="ADA32" s="2">
        <v>0</v>
      </c>
      <c r="ADB32" s="2">
        <v>0</v>
      </c>
      <c r="ADC32" s="2">
        <v>0</v>
      </c>
      <c r="ADD32" s="2">
        <v>0</v>
      </c>
      <c r="ADE32" s="2">
        <v>0</v>
      </c>
      <c r="ADF32" s="2">
        <v>0</v>
      </c>
      <c r="ADG32" s="2">
        <v>0</v>
      </c>
      <c r="ADH32" s="2">
        <v>0</v>
      </c>
      <c r="ADI32" s="2">
        <v>0</v>
      </c>
      <c r="ADJ32" s="2">
        <v>0</v>
      </c>
      <c r="ADK32" s="2">
        <v>1.1542509435638377E-2</v>
      </c>
      <c r="ADL32" s="2">
        <v>0</v>
      </c>
      <c r="ADM32" s="2">
        <v>0</v>
      </c>
      <c r="ADN32" s="2">
        <v>0</v>
      </c>
      <c r="ADO32" s="2">
        <v>0</v>
      </c>
      <c r="ADP32" s="2">
        <v>0</v>
      </c>
      <c r="ADQ32" s="2">
        <v>0</v>
      </c>
      <c r="ADR32" s="2">
        <v>0</v>
      </c>
      <c r="ADS32" s="2">
        <v>0</v>
      </c>
      <c r="ADT32" s="2">
        <v>0</v>
      </c>
      <c r="ADU32" s="2">
        <v>0</v>
      </c>
      <c r="ADV32" s="2">
        <v>0</v>
      </c>
      <c r="ADW32" s="2">
        <v>0</v>
      </c>
      <c r="ADX32" s="2">
        <v>0.10708838907084986</v>
      </c>
      <c r="ADY32" s="2">
        <v>0</v>
      </c>
      <c r="ADZ32" s="2">
        <v>0</v>
      </c>
      <c r="AEA32" s="2">
        <v>3.01550455073762E-3</v>
      </c>
      <c r="AEB32" s="2">
        <v>0</v>
      </c>
      <c r="AEC32" s="2">
        <v>0</v>
      </c>
      <c r="AED32" s="2">
        <v>0</v>
      </c>
      <c r="AEE32" s="2">
        <v>0</v>
      </c>
      <c r="AEF32" s="2">
        <v>0</v>
      </c>
      <c r="AEG32" s="2">
        <v>0</v>
      </c>
      <c r="AEH32" s="2">
        <v>2.3603402493039718E-7</v>
      </c>
      <c r="AEI32" s="2">
        <v>3.61712737637983E-3</v>
      </c>
      <c r="AEJ32" s="2">
        <v>0</v>
      </c>
      <c r="AEK32" s="2">
        <v>0</v>
      </c>
      <c r="AEL32" s="2">
        <v>0</v>
      </c>
      <c r="AEM32" s="2">
        <v>0</v>
      </c>
      <c r="AEN32" s="2">
        <v>0</v>
      </c>
      <c r="AEO32" s="2">
        <v>0</v>
      </c>
      <c r="AEP32" s="2">
        <v>0</v>
      </c>
      <c r="AEQ32" s="2">
        <v>0</v>
      </c>
      <c r="AER32" s="2">
        <v>0</v>
      </c>
      <c r="AES32" s="2">
        <v>0</v>
      </c>
      <c r="AET32" s="2">
        <v>0</v>
      </c>
      <c r="AEU32" s="2">
        <v>0</v>
      </c>
      <c r="AEV32" s="2">
        <v>0</v>
      </c>
      <c r="AEW32" s="2">
        <v>0</v>
      </c>
      <c r="AEX32" s="2">
        <v>0</v>
      </c>
      <c r="AEY32" s="2">
        <v>0</v>
      </c>
      <c r="AEZ32" s="2">
        <v>0</v>
      </c>
      <c r="AFA32" s="2">
        <v>0</v>
      </c>
      <c r="AFB32" s="2">
        <v>0</v>
      </c>
      <c r="AFC32" s="2">
        <v>0</v>
      </c>
      <c r="AFD32" s="2">
        <v>0</v>
      </c>
      <c r="AFE32" s="2">
        <v>0</v>
      </c>
      <c r="AFF32" s="2">
        <v>0</v>
      </c>
      <c r="AFG32" s="2">
        <v>0</v>
      </c>
      <c r="AFH32" s="2">
        <v>0</v>
      </c>
      <c r="AFI32" s="2">
        <v>0</v>
      </c>
      <c r="AFJ32" s="2">
        <v>0</v>
      </c>
      <c r="AFK32" s="2">
        <v>0</v>
      </c>
      <c r="AFL32" s="2">
        <v>2.9344808614591756E-9</v>
      </c>
      <c r="AFM32" s="2">
        <v>0</v>
      </c>
      <c r="AFN32" s="2">
        <v>0</v>
      </c>
      <c r="AFO32" s="2">
        <v>0</v>
      </c>
      <c r="AFP32" s="2">
        <v>1.0733642731164093E-2</v>
      </c>
      <c r="AFQ32" s="2">
        <v>0</v>
      </c>
      <c r="AFR32" s="2">
        <v>0</v>
      </c>
      <c r="AFS32" s="2">
        <v>0</v>
      </c>
      <c r="AFT32" s="2">
        <v>0</v>
      </c>
      <c r="AFU32" s="2">
        <v>5.661831930294201E-3</v>
      </c>
      <c r="AFV32" s="2">
        <v>0</v>
      </c>
      <c r="AFW32" s="2">
        <v>0</v>
      </c>
      <c r="AFX32" s="2">
        <v>0</v>
      </c>
      <c r="AFY32" s="2">
        <v>0</v>
      </c>
      <c r="AFZ32" s="2">
        <v>0</v>
      </c>
      <c r="AGA32" s="2">
        <v>0</v>
      </c>
      <c r="AGB32" s="2">
        <v>7.7786181790610961E-2</v>
      </c>
      <c r="AGC32" s="2">
        <v>0</v>
      </c>
      <c r="AGD32" s="2">
        <v>4.9387999446197814E-8</v>
      </c>
      <c r="AGE32" s="2">
        <v>0</v>
      </c>
      <c r="AGF32" s="2">
        <v>0</v>
      </c>
      <c r="AGG32" s="2">
        <v>0</v>
      </c>
      <c r="AGH32" s="2">
        <v>0</v>
      </c>
      <c r="AGI32" s="2">
        <v>0</v>
      </c>
      <c r="AGJ32" s="2">
        <v>0</v>
      </c>
      <c r="AGK32" s="2">
        <v>0</v>
      </c>
      <c r="AGL32" s="2">
        <v>0</v>
      </c>
      <c r="AGM32" s="2">
        <v>0</v>
      </c>
      <c r="AGN32" s="2">
        <v>0</v>
      </c>
      <c r="AGO32" s="2">
        <v>0</v>
      </c>
      <c r="AGP32" s="2">
        <v>0</v>
      </c>
      <c r="AGQ32" s="2">
        <v>0</v>
      </c>
      <c r="AGR32" s="2">
        <v>0</v>
      </c>
      <c r="AGS32" s="2">
        <v>0</v>
      </c>
      <c r="AGT32" s="2">
        <v>0</v>
      </c>
      <c r="AGU32" s="2">
        <v>0</v>
      </c>
      <c r="AGV32" s="2">
        <v>0</v>
      </c>
      <c r="AGW32" s="2">
        <v>0</v>
      </c>
      <c r="AGX32" s="2">
        <v>0</v>
      </c>
      <c r="AGY32" s="2">
        <v>0</v>
      </c>
      <c r="AGZ32" s="2">
        <v>0</v>
      </c>
      <c r="AHA32" s="2">
        <v>0</v>
      </c>
      <c r="AHB32" s="2">
        <v>0</v>
      </c>
      <c r="AHC32" s="2">
        <v>0</v>
      </c>
      <c r="AHD32" s="2">
        <v>0</v>
      </c>
      <c r="AHE32" s="2">
        <v>0</v>
      </c>
      <c r="AHF32" s="2">
        <v>0</v>
      </c>
      <c r="AHG32" s="2">
        <v>0</v>
      </c>
      <c r="AHH32" s="2">
        <v>0</v>
      </c>
      <c r="AHI32" s="2">
        <v>0</v>
      </c>
      <c r="AHJ32" s="2">
        <v>0</v>
      </c>
      <c r="AHK32" s="2">
        <v>0</v>
      </c>
      <c r="AHL32" s="2">
        <v>0</v>
      </c>
      <c r="AHM32" s="2">
        <v>0</v>
      </c>
      <c r="AHN32" s="2">
        <v>0</v>
      </c>
      <c r="AHO32" s="2">
        <v>0</v>
      </c>
      <c r="AHP32" s="2">
        <v>0</v>
      </c>
      <c r="AHQ32" s="2">
        <v>0</v>
      </c>
      <c r="AHR32" s="2">
        <v>0</v>
      </c>
      <c r="AHS32" s="2">
        <v>0</v>
      </c>
      <c r="AHT32" s="2">
        <v>0</v>
      </c>
      <c r="AHU32" s="2">
        <v>0</v>
      </c>
      <c r="AHV32" s="2">
        <v>0</v>
      </c>
      <c r="AHW32" s="2">
        <v>0</v>
      </c>
      <c r="AHX32" s="2">
        <v>0</v>
      </c>
      <c r="AHY32" s="2">
        <v>0</v>
      </c>
      <c r="AHZ32" s="2">
        <v>0</v>
      </c>
      <c r="AIA32" s="2">
        <v>0</v>
      </c>
      <c r="AIB32" s="2">
        <v>0</v>
      </c>
      <c r="AIC32" s="2">
        <v>0</v>
      </c>
      <c r="AID32" s="2">
        <v>0</v>
      </c>
      <c r="AIE32" s="2">
        <v>0</v>
      </c>
      <c r="AIF32" s="2">
        <v>0</v>
      </c>
      <c r="AIG32" s="2">
        <v>0</v>
      </c>
      <c r="AIH32" s="2">
        <v>0</v>
      </c>
      <c r="AII32" s="2">
        <v>0</v>
      </c>
      <c r="AIJ32" s="2">
        <v>0</v>
      </c>
      <c r="AIK32" s="2">
        <v>0</v>
      </c>
      <c r="AIL32" s="2">
        <v>1.1913402982350267E-2</v>
      </c>
      <c r="AIM32" s="2">
        <v>0</v>
      </c>
      <c r="AIN32" s="2">
        <v>0</v>
      </c>
      <c r="AIO32" s="2">
        <v>0</v>
      </c>
      <c r="AIP32" s="2">
        <v>0</v>
      </c>
      <c r="AIQ32" s="2">
        <v>0</v>
      </c>
      <c r="AIR32" s="2">
        <v>1.1450942116493884E-2</v>
      </c>
      <c r="AIS32" s="2">
        <v>3.7172754379056831E-9</v>
      </c>
      <c r="AIT32" s="2">
        <v>0</v>
      </c>
      <c r="AIU32" s="2">
        <v>0</v>
      </c>
      <c r="AIV32" s="2">
        <v>0</v>
      </c>
      <c r="AIW32" s="2">
        <v>0</v>
      </c>
      <c r="AIX32" s="2">
        <v>0</v>
      </c>
      <c r="AIY32" s="2">
        <v>0</v>
      </c>
      <c r="AIZ32" s="2">
        <v>0</v>
      </c>
      <c r="AJA32" s="2">
        <v>1.0091101295672637E-2</v>
      </c>
      <c r="AJB32" s="2">
        <v>0</v>
      </c>
      <c r="AJC32" s="2">
        <v>0</v>
      </c>
      <c r="AJD32" s="2">
        <v>4.8976220994515037E-9</v>
      </c>
      <c r="AJE32" s="2">
        <v>0</v>
      </c>
      <c r="AJF32" s="2">
        <v>0</v>
      </c>
      <c r="AJG32" s="2">
        <v>0</v>
      </c>
      <c r="AJH32" s="2">
        <v>0</v>
      </c>
      <c r="AJI32" s="2">
        <v>1.5219385902141864E-7</v>
      </c>
      <c r="AJJ32" s="2">
        <v>0</v>
      </c>
      <c r="AJK32" s="2">
        <v>0</v>
      </c>
      <c r="AJL32" s="2">
        <v>0</v>
      </c>
      <c r="AJM32" s="2">
        <v>0</v>
      </c>
      <c r="AJN32" s="2">
        <v>0</v>
      </c>
      <c r="AJO32" s="2">
        <v>4.1076683733597416E-3</v>
      </c>
      <c r="AJP32" s="2">
        <v>0</v>
      </c>
      <c r="AJQ32" s="2">
        <v>0</v>
      </c>
      <c r="AJR32" s="2">
        <v>0</v>
      </c>
      <c r="AJS32" s="2">
        <v>0</v>
      </c>
      <c r="AJT32" s="2">
        <v>0</v>
      </c>
      <c r="AJU32" s="2">
        <v>0</v>
      </c>
      <c r="AJV32" s="2">
        <v>0</v>
      </c>
      <c r="AJW32" s="2">
        <v>0</v>
      </c>
      <c r="AJX32" s="2">
        <v>1.713824285805346E-2</v>
      </c>
      <c r="AJY32" s="2">
        <v>0</v>
      </c>
      <c r="AJZ32" s="2">
        <v>0</v>
      </c>
      <c r="AKA32" s="2">
        <v>0</v>
      </c>
      <c r="AKB32" s="2">
        <v>0</v>
      </c>
      <c r="AKC32" s="2">
        <v>0</v>
      </c>
      <c r="AKD32" s="2">
        <v>0</v>
      </c>
      <c r="AKE32" s="2">
        <v>0</v>
      </c>
      <c r="AKF32" s="2">
        <v>0</v>
      </c>
      <c r="AKG32" s="2">
        <v>0</v>
      </c>
      <c r="AKH32" s="2">
        <v>0</v>
      </c>
      <c r="AKI32" s="2">
        <v>0</v>
      </c>
      <c r="AKJ32" s="2">
        <v>0</v>
      </c>
      <c r="AKK32" s="2">
        <v>5.940345508917538E-3</v>
      </c>
      <c r="AKL32" s="2">
        <v>0</v>
      </c>
      <c r="AKM32" s="2">
        <v>0</v>
      </c>
      <c r="AKN32" s="2">
        <v>0</v>
      </c>
      <c r="AKO32" s="2">
        <v>0</v>
      </c>
      <c r="AKP32" s="2">
        <v>0</v>
      </c>
      <c r="AKQ32" s="2">
        <v>0</v>
      </c>
      <c r="AKR32" s="2">
        <v>0</v>
      </c>
      <c r="AKS32" s="2">
        <v>0</v>
      </c>
      <c r="AKT32" s="2">
        <v>0</v>
      </c>
      <c r="AKU32" s="2">
        <v>0</v>
      </c>
      <c r="AKV32" s="2">
        <v>0</v>
      </c>
      <c r="AKW32" s="2">
        <v>0</v>
      </c>
      <c r="AKX32" s="2">
        <v>0</v>
      </c>
      <c r="AKY32" s="2">
        <v>0</v>
      </c>
      <c r="AKZ32" s="2">
        <v>0</v>
      </c>
      <c r="ALA32" s="2">
        <v>0</v>
      </c>
      <c r="ALB32" s="2">
        <v>0</v>
      </c>
      <c r="ALC32" s="2">
        <v>0</v>
      </c>
      <c r="ALD32" s="2">
        <v>0</v>
      </c>
      <c r="ALE32" s="2">
        <v>0</v>
      </c>
      <c r="ALF32" s="2">
        <v>0</v>
      </c>
      <c r="ALG32" s="2">
        <v>0</v>
      </c>
      <c r="ALH32" s="2">
        <v>0</v>
      </c>
      <c r="ALI32" s="2">
        <v>0</v>
      </c>
      <c r="ALJ32" s="2">
        <v>0</v>
      </c>
      <c r="ALK32" s="2">
        <v>0</v>
      </c>
      <c r="ALL32" s="2">
        <v>0</v>
      </c>
      <c r="ALM32" s="2">
        <v>0</v>
      </c>
      <c r="ALN32" s="2">
        <v>0</v>
      </c>
      <c r="ALO32" s="2">
        <v>0</v>
      </c>
      <c r="ALP32" s="2">
        <v>0</v>
      </c>
      <c r="ALQ32" s="2">
        <v>0</v>
      </c>
      <c r="ALR32" s="2">
        <v>0</v>
      </c>
      <c r="ALS32" s="2">
        <v>0</v>
      </c>
      <c r="ALT32" s="2">
        <v>0</v>
      </c>
      <c r="ALU32" s="2">
        <v>0</v>
      </c>
      <c r="ALV32" s="2">
        <v>0</v>
      </c>
      <c r="ALW32" s="2">
        <v>0</v>
      </c>
      <c r="ALX32" s="2">
        <v>0</v>
      </c>
      <c r="ALY32" s="2">
        <v>0</v>
      </c>
      <c r="ALZ32" s="2">
        <v>0</v>
      </c>
      <c r="AMA32" s="2">
        <v>0</v>
      </c>
      <c r="AMB32" s="2">
        <v>0</v>
      </c>
      <c r="AMC32" s="2">
        <v>0</v>
      </c>
      <c r="AMD32" s="2">
        <v>0</v>
      </c>
      <c r="AME32" s="2">
        <v>0</v>
      </c>
      <c r="AMF32" s="2">
        <v>0</v>
      </c>
      <c r="AMG32" s="2">
        <v>0</v>
      </c>
      <c r="AMH32" s="2">
        <v>0</v>
      </c>
      <c r="AMI32" s="2">
        <v>0</v>
      </c>
      <c r="AMJ32" s="2">
        <v>0</v>
      </c>
      <c r="AMK32" s="2">
        <v>0</v>
      </c>
      <c r="AML32" s="2">
        <v>0</v>
      </c>
      <c r="AMM32" s="2">
        <v>0</v>
      </c>
      <c r="AMN32" s="2">
        <v>0</v>
      </c>
      <c r="AMO32" s="2">
        <v>0</v>
      </c>
      <c r="AMP32" s="2">
        <v>0</v>
      </c>
      <c r="AMQ32" s="2">
        <v>0</v>
      </c>
      <c r="AMR32" s="2">
        <v>1.7653348589566542E-3</v>
      </c>
      <c r="AMS32" s="2">
        <v>0</v>
      </c>
      <c r="AMT32" s="2">
        <v>0</v>
      </c>
      <c r="AMU32" s="2">
        <v>0</v>
      </c>
      <c r="AMV32" s="2">
        <v>0</v>
      </c>
      <c r="AMW32" s="2">
        <v>0</v>
      </c>
      <c r="AMX32" s="2">
        <v>0</v>
      </c>
      <c r="AMY32" s="2">
        <v>0</v>
      </c>
      <c r="AMZ32" s="2">
        <v>0</v>
      </c>
      <c r="ANA32" s="2">
        <v>9.9340660755133786E-3</v>
      </c>
      <c r="ANB32" s="2">
        <v>0</v>
      </c>
      <c r="ANC32" s="2">
        <v>0</v>
      </c>
      <c r="AND32" s="2">
        <v>0</v>
      </c>
      <c r="ANE32" s="2">
        <v>0</v>
      </c>
      <c r="ANF32" s="2">
        <v>0</v>
      </c>
      <c r="ANG32" s="2">
        <v>0</v>
      </c>
      <c r="ANH32" s="2">
        <v>0</v>
      </c>
      <c r="ANI32" s="2">
        <v>0</v>
      </c>
      <c r="ANJ32" s="2">
        <v>0</v>
      </c>
      <c r="ANK32" s="2">
        <v>0</v>
      </c>
      <c r="ANL32" s="2">
        <v>0</v>
      </c>
      <c r="ANM32" s="2">
        <v>0</v>
      </c>
      <c r="ANN32" s="2">
        <v>0</v>
      </c>
      <c r="ANO32" s="2">
        <v>0</v>
      </c>
      <c r="ANP32" s="2">
        <v>0</v>
      </c>
      <c r="ANQ32" s="2">
        <v>0</v>
      </c>
      <c r="ANR32" s="2">
        <v>0</v>
      </c>
      <c r="ANS32" s="2">
        <v>0</v>
      </c>
      <c r="ANT32" s="2">
        <v>0</v>
      </c>
      <c r="ANU32" s="2">
        <v>0</v>
      </c>
      <c r="ANV32" s="2">
        <v>0</v>
      </c>
      <c r="ANW32" s="2">
        <v>0</v>
      </c>
      <c r="ANX32" s="2">
        <v>0</v>
      </c>
      <c r="ANY32" s="2">
        <v>0</v>
      </c>
      <c r="ANZ32" s="2">
        <v>0</v>
      </c>
      <c r="AOA32" s="2">
        <v>0</v>
      </c>
      <c r="AOB32" s="2">
        <v>0</v>
      </c>
      <c r="AOC32" s="2">
        <v>0</v>
      </c>
      <c r="AOD32" s="2">
        <v>0</v>
      </c>
      <c r="AOE32" s="2">
        <v>0</v>
      </c>
      <c r="AOF32" s="2">
        <v>0</v>
      </c>
      <c r="AOG32" s="2">
        <v>0</v>
      </c>
      <c r="AOH32" s="2">
        <v>0</v>
      </c>
      <c r="AOI32" s="2">
        <v>0</v>
      </c>
      <c r="AOJ32" s="2">
        <v>0</v>
      </c>
      <c r="AOK32" s="2">
        <v>0</v>
      </c>
      <c r="AOL32" s="2">
        <v>2.4105341321933717E-7</v>
      </c>
      <c r="AOM32" s="2">
        <v>0</v>
      </c>
      <c r="AON32" s="2">
        <v>0</v>
      </c>
      <c r="AOO32" s="2">
        <v>0</v>
      </c>
      <c r="AOP32" s="2">
        <v>0</v>
      </c>
      <c r="AOQ32" s="2">
        <v>0</v>
      </c>
      <c r="AOR32" s="2">
        <v>0</v>
      </c>
      <c r="AOS32" s="2">
        <v>0</v>
      </c>
      <c r="AOT32" s="2">
        <v>0</v>
      </c>
      <c r="AOU32" s="2">
        <v>5.1517418302055213E-5</v>
      </c>
      <c r="AOV32" s="2">
        <v>-1.7253019074890913E-4</v>
      </c>
      <c r="AOW32" s="2">
        <v>2.887585125279361E-5</v>
      </c>
      <c r="AOX32" s="2">
        <v>-8.8778140169676765E-5</v>
      </c>
      <c r="AOY32" s="2">
        <v>0</v>
      </c>
      <c r="AOZ32" s="2">
        <v>0</v>
      </c>
      <c r="APA32" s="2">
        <v>0</v>
      </c>
      <c r="APB32" s="2">
        <v>0</v>
      </c>
      <c r="APC32" s="2">
        <v>0</v>
      </c>
      <c r="APD32" s="2">
        <v>0</v>
      </c>
      <c r="APE32" s="2">
        <v>0</v>
      </c>
      <c r="APF32" s="2">
        <v>0</v>
      </c>
      <c r="APG32" s="2">
        <v>0</v>
      </c>
      <c r="APH32" s="2">
        <v>0</v>
      </c>
      <c r="API32" s="2">
        <v>0</v>
      </c>
      <c r="APJ32" s="2">
        <v>0</v>
      </c>
      <c r="APK32" s="2">
        <v>0</v>
      </c>
      <c r="APL32" s="2">
        <v>0</v>
      </c>
      <c r="APM32" s="2">
        <v>0</v>
      </c>
      <c r="APN32" s="2">
        <v>0</v>
      </c>
      <c r="APO32" s="2">
        <v>0</v>
      </c>
      <c r="APP32" s="2">
        <v>0</v>
      </c>
      <c r="APQ32" s="2">
        <v>0</v>
      </c>
      <c r="APR32" s="2">
        <v>0</v>
      </c>
      <c r="APS32" s="2">
        <v>0</v>
      </c>
      <c r="APT32" s="2">
        <v>0</v>
      </c>
      <c r="APU32" s="2">
        <v>0</v>
      </c>
      <c r="APV32" s="2">
        <v>0</v>
      </c>
      <c r="APW32" s="2">
        <v>0</v>
      </c>
      <c r="APX32" s="2">
        <v>0</v>
      </c>
      <c r="APY32" s="2">
        <v>0</v>
      </c>
      <c r="APZ32" s="2">
        <v>0</v>
      </c>
      <c r="AQA32" s="2">
        <v>0</v>
      </c>
      <c r="AQB32" s="2">
        <v>0</v>
      </c>
      <c r="AQC32" s="2">
        <v>0</v>
      </c>
      <c r="AQD32" s="2">
        <v>0</v>
      </c>
      <c r="AQE32" s="2">
        <v>0</v>
      </c>
      <c r="AQF32" s="2">
        <v>0</v>
      </c>
      <c r="AQG32" s="2">
        <v>0</v>
      </c>
      <c r="AQH32" s="2">
        <v>0</v>
      </c>
      <c r="AQI32" s="2">
        <v>5.8430147275841974E-3</v>
      </c>
      <c r="AQJ32" s="2">
        <v>0</v>
      </c>
      <c r="AQK32" s="2">
        <v>0</v>
      </c>
      <c r="AQL32" s="2">
        <v>0</v>
      </c>
      <c r="AQM32" s="2">
        <v>0</v>
      </c>
      <c r="AQN32" s="2">
        <v>0</v>
      </c>
      <c r="AQO32" s="2">
        <v>0</v>
      </c>
      <c r="AQP32" s="2">
        <v>0</v>
      </c>
      <c r="AQQ32" s="2">
        <v>0</v>
      </c>
      <c r="AQR32" s="2">
        <v>-1.0849742274437113E-3</v>
      </c>
      <c r="AQS32" s="2">
        <v>-7.860030874902684E-6</v>
      </c>
      <c r="AQT32" s="2">
        <v>2.8468737995967618E-4</v>
      </c>
      <c r="AQU32" s="2">
        <v>3.2038421472011712E-4</v>
      </c>
    </row>
  </sheetData>
  <conditionalFormatting sqref="A11:AFZ11 AGC11 AGE11:AGH11 AGJ11:AIZ11 AJB11:AKU11">
    <cfRule type="duplicateValues" dxfId="11" priority="13"/>
  </conditionalFormatting>
  <conditionalFormatting sqref="AGA11:AGB11">
    <cfRule type="duplicateValues" dxfId="10" priority="11"/>
  </conditionalFormatting>
  <conditionalFormatting sqref="AGC12">
    <cfRule type="duplicateValues" dxfId="9" priority="10"/>
  </conditionalFormatting>
  <conditionalFormatting sqref="AGD11">
    <cfRule type="duplicateValues" dxfId="8" priority="9"/>
  </conditionalFormatting>
  <conditionalFormatting sqref="AGD12">
    <cfRule type="duplicateValues" dxfId="7" priority="8"/>
  </conditionalFormatting>
  <conditionalFormatting sqref="AGI11">
    <cfRule type="duplicateValues" dxfId="6" priority="7"/>
  </conditionalFormatting>
  <conditionalFormatting sqref="AGN12:AGO12">
    <cfRule type="duplicateValues" dxfId="5" priority="6"/>
  </conditionalFormatting>
  <conditionalFormatting sqref="AIM12:AIO12">
    <cfRule type="duplicateValues" dxfId="4" priority="5"/>
  </conditionalFormatting>
  <conditionalFormatting sqref="AIY12">
    <cfRule type="duplicateValues" dxfId="3" priority="12"/>
  </conditionalFormatting>
  <conditionalFormatting sqref="AJA11">
    <cfRule type="duplicateValues" dxfId="2" priority="4"/>
  </conditionalFormatting>
  <conditionalFormatting sqref="AJA12">
    <cfRule type="duplicateValues" dxfId="1" priority="3"/>
  </conditionalFormatting>
  <conditionalFormatting sqref="AKQ12:AKV1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2026-08-14T20:29:36Z</dcterms:created>
  <dcterms:modified xsi:type="dcterms:W3CDTF">2026-08-14T20:39:16Z</dcterms:modified>
</cp:coreProperties>
</file>