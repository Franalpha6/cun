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sa de Inversiones\Bottom-Up\1 Proceso de Inversión Renta Variable\Proyecto Inputs Macro\Complementos BD\Minería\BD\Producción Minera\"/>
    </mc:Choice>
  </mc:AlternateContent>
  <xr:revisionPtr revIDLastSave="0" documentId="13_ncr:1_{61FBADA6-B01B-4B0C-B349-24CA5412BFBA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INFORMACION GENERAL" sheetId="16" r:id="rId1"/>
  </sheets>
  <externalReferences>
    <externalReference r:id="rId2"/>
  </externalReferences>
  <definedNames>
    <definedName name="_xlnm._FilterDatabase" localSheetId="0" hidden="1">'INFORMACION GENERAL'!$A$4:$W$748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46210.6621180556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OTI_2" localSheetId="0">#REF!</definedName>
    <definedName name="OTI_2">#REF!</definedName>
    <definedName name="TITULARES_2023">[1]!TITULARES_A2023[[#All],[NOMBRE_TITULAR]]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16" l="1"/>
  <c r="W6" i="16"/>
  <c r="W7" i="16"/>
  <c r="W8" i="16"/>
  <c r="W9" i="16"/>
  <c r="W10" i="16"/>
  <c r="W11" i="16"/>
  <c r="W12" i="16"/>
  <c r="W13" i="16"/>
  <c r="W14" i="16"/>
  <c r="W15" i="16"/>
  <c r="W16" i="16"/>
  <c r="W17" i="16"/>
  <c r="W18" i="16"/>
  <c r="W19" i="16"/>
  <c r="W20" i="16"/>
  <c r="W21" i="16"/>
  <c r="W22" i="16"/>
  <c r="W23" i="16"/>
  <c r="W24" i="16"/>
  <c r="W25" i="16"/>
  <c r="W26" i="16"/>
  <c r="W27" i="16"/>
  <c r="W28" i="16"/>
  <c r="W29" i="16"/>
  <c r="W30" i="16"/>
  <c r="W31" i="16"/>
  <c r="W32" i="16"/>
  <c r="W33" i="16"/>
  <c r="W34" i="16"/>
  <c r="W35" i="16"/>
  <c r="W36" i="16"/>
  <c r="W37" i="16"/>
  <c r="W38" i="16"/>
  <c r="W39" i="16"/>
  <c r="W40" i="16"/>
  <c r="W41" i="16"/>
  <c r="W42" i="16"/>
  <c r="W43" i="16"/>
  <c r="W44" i="16"/>
  <c r="W45" i="16"/>
  <c r="W46" i="16"/>
  <c r="W47" i="16"/>
  <c r="W48" i="16"/>
  <c r="W49" i="16"/>
  <c r="W50" i="16"/>
  <c r="W51" i="16"/>
  <c r="W52" i="16"/>
  <c r="W53" i="16"/>
  <c r="W54" i="16"/>
  <c r="W55" i="16"/>
  <c r="W56" i="16"/>
  <c r="W57" i="16"/>
  <c r="W58" i="16"/>
  <c r="W59" i="16"/>
  <c r="W60" i="16"/>
  <c r="W61" i="16"/>
  <c r="W62" i="16"/>
  <c r="W63" i="16"/>
  <c r="W64" i="16"/>
  <c r="W65" i="16"/>
  <c r="W66" i="16"/>
  <c r="W67" i="16"/>
  <c r="W68" i="16"/>
  <c r="W69" i="16"/>
  <c r="W70" i="16"/>
  <c r="W71" i="16"/>
  <c r="W72" i="16"/>
  <c r="W73" i="16"/>
  <c r="W74" i="16"/>
  <c r="W75" i="16"/>
  <c r="W76" i="16"/>
  <c r="W77" i="16"/>
  <c r="W78" i="16"/>
  <c r="W79" i="16"/>
  <c r="W80" i="16"/>
  <c r="W81" i="16"/>
  <c r="W82" i="16"/>
  <c r="W83" i="16"/>
  <c r="W84" i="16"/>
  <c r="W85" i="16"/>
  <c r="W86" i="16"/>
  <c r="W87" i="16"/>
  <c r="W88" i="16"/>
  <c r="W89" i="16"/>
  <c r="W90" i="16"/>
  <c r="W91" i="16"/>
  <c r="W92" i="16"/>
  <c r="W93" i="16"/>
  <c r="W94" i="16"/>
  <c r="W95" i="16"/>
  <c r="W96" i="16"/>
  <c r="W97" i="16"/>
  <c r="W98" i="16"/>
  <c r="W99" i="16"/>
  <c r="W100" i="16"/>
  <c r="W101" i="16"/>
  <c r="W102" i="16"/>
  <c r="W103" i="16"/>
  <c r="W104" i="16"/>
  <c r="W105" i="16"/>
  <c r="W106" i="16"/>
  <c r="W107" i="16"/>
  <c r="W108" i="16"/>
  <c r="W109" i="16"/>
  <c r="W110" i="16"/>
  <c r="W111" i="16"/>
  <c r="W112" i="16"/>
  <c r="W113" i="16"/>
  <c r="W114" i="16"/>
  <c r="W115" i="16"/>
  <c r="W116" i="16"/>
  <c r="W117" i="16"/>
  <c r="W118" i="16"/>
  <c r="W119" i="16"/>
  <c r="W120" i="16"/>
  <c r="W121" i="16"/>
  <c r="W122" i="16"/>
  <c r="W123" i="16"/>
  <c r="W124" i="16"/>
  <c r="W125" i="16"/>
  <c r="W126" i="16"/>
  <c r="W127" i="16"/>
  <c r="W128" i="16"/>
  <c r="W129" i="16"/>
  <c r="W130" i="16"/>
  <c r="W131" i="16"/>
  <c r="W132" i="16"/>
  <c r="W133" i="16"/>
  <c r="W134" i="16"/>
  <c r="W135" i="16"/>
  <c r="W136" i="16"/>
  <c r="W137" i="16"/>
  <c r="W138" i="16"/>
  <c r="W139" i="16"/>
  <c r="W140" i="16"/>
  <c r="W141" i="16"/>
  <c r="W142" i="16"/>
  <c r="W143" i="16"/>
  <c r="W144" i="16"/>
  <c r="W145" i="16"/>
  <c r="W146" i="16"/>
  <c r="W147" i="16"/>
  <c r="W148" i="16"/>
  <c r="W149" i="16"/>
  <c r="W150" i="16"/>
  <c r="W151" i="16"/>
  <c r="W152" i="16"/>
  <c r="W153" i="16"/>
  <c r="W154" i="16"/>
  <c r="W155" i="16"/>
  <c r="W156" i="16"/>
  <c r="W157" i="16"/>
  <c r="W158" i="16"/>
  <c r="W159" i="16"/>
  <c r="W160" i="16"/>
  <c r="W161" i="16"/>
  <c r="W162" i="16"/>
  <c r="W163" i="16"/>
  <c r="W164" i="16"/>
  <c r="W165" i="16"/>
  <c r="W166" i="16"/>
  <c r="W167" i="16"/>
  <c r="W168" i="16"/>
  <c r="W169" i="16"/>
  <c r="W170" i="16"/>
  <c r="W171" i="16"/>
  <c r="W172" i="16"/>
  <c r="W173" i="16"/>
  <c r="W174" i="16"/>
  <c r="W175" i="16"/>
  <c r="W176" i="16"/>
  <c r="W177" i="16"/>
  <c r="W178" i="16"/>
  <c r="W179" i="16"/>
  <c r="W180" i="16"/>
  <c r="W181" i="16"/>
  <c r="W182" i="16"/>
  <c r="W183" i="16"/>
  <c r="W184" i="16"/>
  <c r="W185" i="16"/>
  <c r="W186" i="16"/>
  <c r="W187" i="16"/>
  <c r="W188" i="16"/>
  <c r="W189" i="16"/>
  <c r="W190" i="16"/>
  <c r="W191" i="16"/>
  <c r="W192" i="16"/>
  <c r="W193" i="16"/>
  <c r="W194" i="16"/>
  <c r="W195" i="16"/>
  <c r="W196" i="16"/>
  <c r="W197" i="16"/>
  <c r="W198" i="16"/>
  <c r="W199" i="16"/>
  <c r="W200" i="16"/>
  <c r="W201" i="16"/>
  <c r="W202" i="16"/>
  <c r="W203" i="16"/>
  <c r="W204" i="16"/>
  <c r="W205" i="16"/>
  <c r="W206" i="16"/>
  <c r="W207" i="16"/>
  <c r="W208" i="16"/>
  <c r="W209" i="16"/>
  <c r="W210" i="16"/>
  <c r="W211" i="16"/>
  <c r="W212" i="16"/>
  <c r="W213" i="16"/>
  <c r="W214" i="16"/>
  <c r="W215" i="16"/>
  <c r="W216" i="16"/>
  <c r="W217" i="16"/>
  <c r="W218" i="16"/>
  <c r="W219" i="16"/>
  <c r="W220" i="16"/>
  <c r="W221" i="16"/>
  <c r="W222" i="16"/>
  <c r="W223" i="16"/>
  <c r="W224" i="16"/>
  <c r="W225" i="16"/>
  <c r="W226" i="16"/>
  <c r="W227" i="16"/>
  <c r="W228" i="16"/>
  <c r="W229" i="16"/>
  <c r="W230" i="16"/>
  <c r="W231" i="16"/>
  <c r="W232" i="16"/>
  <c r="W233" i="16"/>
  <c r="W234" i="16"/>
  <c r="W235" i="16"/>
  <c r="W236" i="16"/>
  <c r="W237" i="16"/>
  <c r="W238" i="16"/>
  <c r="W239" i="16"/>
  <c r="W240" i="16"/>
  <c r="W241" i="16"/>
  <c r="W242" i="16"/>
  <c r="W243" i="16"/>
  <c r="W244" i="16"/>
  <c r="W245" i="16"/>
  <c r="W246" i="16"/>
  <c r="W247" i="16"/>
  <c r="W248" i="16"/>
  <c r="W249" i="16"/>
  <c r="W250" i="16"/>
  <c r="W251" i="16"/>
  <c r="W252" i="16"/>
  <c r="W253" i="16"/>
  <c r="W254" i="16"/>
  <c r="W255" i="16"/>
  <c r="W256" i="16"/>
  <c r="W257" i="16"/>
  <c r="W258" i="16"/>
  <c r="W259" i="16"/>
  <c r="W260" i="16"/>
  <c r="W261" i="16"/>
  <c r="W262" i="16"/>
  <c r="W263" i="16"/>
  <c r="W264" i="16"/>
  <c r="W265" i="16"/>
  <c r="W266" i="16"/>
  <c r="W267" i="16"/>
  <c r="W268" i="16"/>
  <c r="W269" i="16"/>
  <c r="W270" i="16"/>
  <c r="W271" i="16"/>
  <c r="W272" i="16"/>
  <c r="W273" i="16"/>
  <c r="W274" i="16"/>
  <c r="W275" i="16"/>
  <c r="W276" i="16"/>
  <c r="W277" i="16"/>
  <c r="W278" i="16"/>
  <c r="W279" i="16"/>
  <c r="W280" i="16"/>
  <c r="W281" i="16"/>
  <c r="W282" i="16"/>
  <c r="W283" i="16"/>
  <c r="W284" i="16"/>
  <c r="W285" i="16"/>
  <c r="W286" i="16"/>
  <c r="W287" i="16"/>
  <c r="W288" i="16"/>
  <c r="W289" i="16"/>
  <c r="W290" i="16"/>
  <c r="W291" i="16"/>
  <c r="W292" i="16"/>
  <c r="W293" i="16"/>
  <c r="W294" i="16"/>
  <c r="W295" i="16"/>
  <c r="W296" i="16"/>
  <c r="W297" i="16"/>
  <c r="W298" i="16"/>
  <c r="W299" i="16"/>
  <c r="W300" i="16"/>
  <c r="W301" i="16"/>
  <c r="W302" i="16"/>
  <c r="W303" i="16"/>
  <c r="W304" i="16"/>
  <c r="W305" i="16"/>
  <c r="W306" i="16"/>
  <c r="W307" i="16"/>
  <c r="W308" i="16"/>
  <c r="W309" i="16"/>
  <c r="W310" i="16"/>
  <c r="W311" i="16"/>
  <c r="W312" i="16"/>
  <c r="W313" i="16"/>
  <c r="W314" i="16"/>
  <c r="W315" i="16"/>
  <c r="W316" i="16"/>
  <c r="W317" i="16"/>
  <c r="W318" i="16"/>
  <c r="W319" i="16"/>
  <c r="W320" i="16"/>
  <c r="W321" i="16"/>
  <c r="W322" i="16"/>
  <c r="W323" i="16"/>
  <c r="W324" i="16"/>
  <c r="W325" i="16"/>
  <c r="W326" i="16"/>
  <c r="W327" i="16"/>
  <c r="W328" i="16"/>
  <c r="W329" i="16"/>
  <c r="W330" i="16"/>
  <c r="W331" i="16"/>
  <c r="W332" i="16"/>
  <c r="W333" i="16"/>
  <c r="W334" i="16"/>
  <c r="W335" i="16"/>
  <c r="W336" i="16"/>
  <c r="W337" i="16"/>
  <c r="W338" i="16"/>
  <c r="W339" i="16"/>
  <c r="W340" i="16"/>
  <c r="W341" i="16"/>
  <c r="W342" i="16"/>
  <c r="W343" i="16"/>
  <c r="W344" i="16"/>
  <c r="W345" i="16"/>
  <c r="W346" i="16"/>
  <c r="W347" i="16"/>
  <c r="W348" i="16"/>
  <c r="W349" i="16"/>
  <c r="W350" i="16"/>
  <c r="W351" i="16"/>
  <c r="W352" i="16"/>
  <c r="W353" i="16"/>
  <c r="W354" i="16"/>
  <c r="W355" i="16"/>
  <c r="W356" i="16"/>
  <c r="W357" i="16"/>
  <c r="W358" i="16"/>
  <c r="W359" i="16"/>
  <c r="W360" i="16"/>
  <c r="W361" i="16"/>
  <c r="W362" i="16"/>
  <c r="W363" i="16"/>
  <c r="W364" i="16"/>
  <c r="W365" i="16"/>
  <c r="W366" i="16"/>
  <c r="W367" i="16"/>
  <c r="W368" i="16"/>
  <c r="W369" i="16"/>
  <c r="W370" i="16"/>
  <c r="W371" i="16"/>
  <c r="W372" i="16"/>
  <c r="W373" i="16"/>
  <c r="W374" i="16"/>
  <c r="W375" i="16"/>
  <c r="W376" i="16"/>
  <c r="W377" i="16"/>
  <c r="W378" i="16"/>
  <c r="W379" i="16"/>
  <c r="W380" i="16"/>
  <c r="W381" i="16"/>
  <c r="W382" i="16"/>
  <c r="W383" i="16"/>
  <c r="W384" i="16"/>
  <c r="W385" i="16"/>
  <c r="W386" i="16"/>
  <c r="W387" i="16"/>
  <c r="W388" i="16"/>
  <c r="W389" i="16"/>
  <c r="W390" i="16"/>
  <c r="W391" i="16"/>
  <c r="W392" i="16"/>
  <c r="W393" i="16"/>
  <c r="W394" i="16"/>
  <c r="W395" i="16"/>
  <c r="W396" i="16"/>
  <c r="W397" i="16"/>
  <c r="W398" i="16"/>
  <c r="W399" i="16"/>
  <c r="W400" i="16"/>
  <c r="W401" i="16"/>
  <c r="W402" i="16"/>
  <c r="W403" i="16"/>
  <c r="W404" i="16"/>
  <c r="W405" i="16"/>
  <c r="W406" i="16"/>
  <c r="W407" i="16"/>
  <c r="W408" i="16"/>
  <c r="W409" i="16"/>
  <c r="W410" i="16"/>
  <c r="W411" i="16"/>
  <c r="W412" i="16"/>
  <c r="W413" i="16"/>
  <c r="W414" i="16"/>
  <c r="W415" i="16"/>
  <c r="W416" i="16"/>
  <c r="W417" i="16"/>
  <c r="W418" i="16"/>
  <c r="W419" i="16"/>
  <c r="W420" i="16"/>
  <c r="W421" i="16"/>
  <c r="W422" i="16"/>
  <c r="W423" i="16"/>
  <c r="W424" i="16"/>
  <c r="W425" i="16"/>
  <c r="W426" i="16"/>
  <c r="W427" i="16"/>
  <c r="W428" i="16"/>
  <c r="W429" i="16"/>
  <c r="W430" i="16"/>
  <c r="W431" i="16"/>
  <c r="W432" i="16"/>
  <c r="W433" i="16"/>
  <c r="W434" i="16"/>
  <c r="W435" i="16"/>
  <c r="W436" i="16"/>
  <c r="W437" i="16"/>
  <c r="W438" i="16"/>
  <c r="W439" i="16"/>
  <c r="W440" i="16"/>
  <c r="W441" i="16"/>
  <c r="W442" i="16"/>
  <c r="W443" i="16"/>
  <c r="W444" i="16"/>
  <c r="W445" i="16"/>
  <c r="W446" i="16"/>
  <c r="W447" i="16"/>
  <c r="W448" i="16"/>
  <c r="W449" i="16"/>
  <c r="W450" i="16"/>
  <c r="W451" i="16"/>
  <c r="W452" i="16"/>
  <c r="W453" i="16"/>
  <c r="W454" i="16"/>
  <c r="W455" i="16"/>
  <c r="W456" i="16"/>
  <c r="W457" i="16"/>
  <c r="W458" i="16"/>
  <c r="W459" i="16"/>
  <c r="W460" i="16"/>
  <c r="W461" i="16"/>
  <c r="W462" i="16"/>
  <c r="W463" i="16"/>
  <c r="W464" i="16"/>
  <c r="W465" i="16"/>
  <c r="W466" i="16"/>
  <c r="W467" i="16"/>
  <c r="W468" i="16"/>
  <c r="W469" i="16"/>
  <c r="W470" i="16"/>
  <c r="W471" i="16"/>
  <c r="W472" i="16"/>
  <c r="W473" i="16"/>
  <c r="W474" i="16"/>
  <c r="W475" i="16"/>
  <c r="W476" i="16"/>
  <c r="W477" i="16"/>
  <c r="W478" i="16"/>
  <c r="W479" i="16"/>
  <c r="W480" i="16"/>
  <c r="W481" i="16"/>
  <c r="W482" i="16"/>
  <c r="W483" i="16"/>
  <c r="W484" i="16"/>
  <c r="W485" i="16"/>
  <c r="W486" i="16"/>
  <c r="W487" i="16"/>
  <c r="W488" i="16"/>
  <c r="W489" i="16"/>
  <c r="W490" i="16"/>
  <c r="W491" i="16"/>
  <c r="W492" i="16"/>
  <c r="W493" i="16"/>
  <c r="W494" i="16"/>
  <c r="W495" i="16"/>
  <c r="W496" i="16"/>
  <c r="W497" i="16"/>
  <c r="W498" i="16"/>
  <c r="W499" i="16"/>
  <c r="W500" i="16"/>
  <c r="W501" i="16"/>
  <c r="W502" i="16"/>
  <c r="W503" i="16"/>
  <c r="W504" i="16"/>
  <c r="W505" i="16"/>
  <c r="W506" i="16"/>
  <c r="W507" i="16"/>
  <c r="W508" i="16"/>
  <c r="W509" i="16"/>
  <c r="W510" i="16"/>
  <c r="W511" i="16"/>
  <c r="W512" i="16"/>
  <c r="W513" i="16"/>
  <c r="W514" i="16"/>
  <c r="W515" i="16"/>
  <c r="W516" i="16"/>
  <c r="W517" i="16"/>
  <c r="W518" i="16"/>
  <c r="W519" i="16"/>
  <c r="W520" i="16"/>
  <c r="W521" i="16"/>
  <c r="W522" i="16"/>
  <c r="W523" i="16"/>
  <c r="W524" i="16"/>
  <c r="W525" i="16"/>
  <c r="W526" i="16"/>
  <c r="W527" i="16"/>
  <c r="W528" i="16"/>
  <c r="W529" i="16"/>
  <c r="W530" i="16"/>
  <c r="W531" i="16"/>
  <c r="W532" i="16"/>
  <c r="W533" i="16"/>
  <c r="W534" i="16"/>
  <c r="W535" i="16"/>
  <c r="W536" i="16"/>
  <c r="W537" i="16"/>
  <c r="W538" i="16"/>
  <c r="W539" i="16"/>
  <c r="W540" i="16"/>
  <c r="W541" i="16"/>
  <c r="W542" i="16"/>
  <c r="W543" i="16"/>
  <c r="W544" i="16"/>
  <c r="W545" i="16"/>
  <c r="W546" i="16"/>
  <c r="W547" i="16"/>
  <c r="W548" i="16"/>
  <c r="W549" i="16"/>
  <c r="W550" i="16"/>
  <c r="W551" i="16"/>
  <c r="W552" i="16"/>
  <c r="W553" i="16"/>
  <c r="W554" i="16"/>
  <c r="W555" i="16"/>
  <c r="W556" i="16"/>
  <c r="W557" i="16"/>
  <c r="W558" i="16"/>
  <c r="W559" i="16"/>
  <c r="W560" i="16"/>
  <c r="W561" i="16"/>
  <c r="W562" i="16"/>
  <c r="W563" i="16"/>
  <c r="W564" i="16"/>
  <c r="W565" i="16"/>
  <c r="W566" i="16"/>
  <c r="W567" i="16"/>
  <c r="W568" i="16"/>
  <c r="W569" i="16"/>
  <c r="W570" i="16"/>
  <c r="W571" i="16"/>
  <c r="W572" i="16"/>
  <c r="W573" i="16"/>
  <c r="W574" i="16"/>
  <c r="W575" i="16"/>
  <c r="W576" i="16"/>
  <c r="W577" i="16"/>
  <c r="W578" i="16"/>
  <c r="W579" i="16"/>
  <c r="W580" i="16"/>
  <c r="W581" i="16"/>
  <c r="W582" i="16"/>
  <c r="W583" i="16"/>
  <c r="W584" i="16"/>
  <c r="W585" i="16"/>
  <c r="W586" i="16"/>
  <c r="W587" i="16"/>
  <c r="W588" i="16"/>
  <c r="W589" i="16"/>
  <c r="W590" i="16"/>
  <c r="W591" i="16"/>
  <c r="W592" i="16"/>
  <c r="W593" i="16"/>
  <c r="W594" i="16"/>
  <c r="W595" i="16"/>
  <c r="W596" i="16"/>
  <c r="W597" i="16"/>
  <c r="W598" i="16"/>
  <c r="W599" i="16"/>
  <c r="W600" i="16"/>
  <c r="W601" i="16"/>
  <c r="W602" i="16"/>
  <c r="W603" i="16"/>
  <c r="W604" i="16"/>
  <c r="W605" i="16"/>
  <c r="W606" i="16"/>
  <c r="W607" i="16"/>
  <c r="W608" i="16"/>
  <c r="W609" i="16"/>
  <c r="W610" i="16"/>
  <c r="W611" i="16"/>
  <c r="W612" i="16"/>
  <c r="W613" i="16"/>
  <c r="W614" i="16"/>
  <c r="W615" i="16"/>
  <c r="W616" i="16"/>
  <c r="W617" i="16"/>
  <c r="W618" i="16"/>
  <c r="W619" i="16"/>
  <c r="W620" i="16"/>
  <c r="W621" i="16"/>
  <c r="W622" i="16"/>
  <c r="W623" i="16"/>
  <c r="W624" i="16"/>
  <c r="W625" i="16"/>
  <c r="W626" i="16"/>
  <c r="W627" i="16"/>
  <c r="W628" i="16"/>
  <c r="W629" i="16"/>
  <c r="W630" i="16"/>
  <c r="W631" i="16"/>
  <c r="W632" i="16"/>
  <c r="W633" i="16"/>
  <c r="W634" i="16"/>
  <c r="W635" i="16"/>
  <c r="W636" i="16"/>
  <c r="W637" i="16"/>
  <c r="W638" i="16"/>
  <c r="W639" i="16"/>
  <c r="W640" i="16"/>
  <c r="W641" i="16"/>
  <c r="W642" i="16"/>
  <c r="W643" i="16"/>
  <c r="W644" i="16"/>
  <c r="W645" i="16"/>
  <c r="W646" i="16"/>
  <c r="W647" i="16"/>
  <c r="W648" i="16"/>
  <c r="W649" i="16"/>
  <c r="W650" i="16"/>
  <c r="W651" i="16"/>
  <c r="W652" i="16"/>
  <c r="W653" i="16"/>
  <c r="W654" i="16"/>
  <c r="W655" i="16"/>
  <c r="W656" i="16"/>
  <c r="W657" i="16"/>
  <c r="W658" i="16"/>
  <c r="W659" i="16"/>
  <c r="W660" i="16"/>
  <c r="W661" i="16"/>
  <c r="W662" i="16"/>
  <c r="W663" i="16"/>
  <c r="W664" i="16"/>
  <c r="W665" i="16"/>
  <c r="W666" i="16"/>
  <c r="W667" i="16"/>
  <c r="W668" i="16"/>
  <c r="W669" i="16"/>
  <c r="W670" i="16"/>
  <c r="W671" i="16"/>
  <c r="W672" i="16"/>
  <c r="W673" i="16"/>
  <c r="W674" i="16"/>
  <c r="W675" i="16"/>
  <c r="W676" i="16"/>
  <c r="W677" i="16"/>
  <c r="W678" i="16"/>
  <c r="W679" i="16"/>
  <c r="W680" i="16"/>
  <c r="W681" i="16"/>
  <c r="W682" i="16"/>
  <c r="W683" i="16"/>
  <c r="W684" i="16"/>
  <c r="W685" i="16"/>
  <c r="W686" i="16"/>
  <c r="W687" i="16"/>
  <c r="W688" i="16"/>
  <c r="W689" i="16"/>
  <c r="W690" i="16"/>
  <c r="W691" i="16"/>
  <c r="W692" i="16"/>
  <c r="W693" i="16"/>
  <c r="W694" i="16"/>
  <c r="W695" i="16"/>
  <c r="W696" i="16"/>
  <c r="W697" i="16"/>
  <c r="W698" i="16"/>
  <c r="W699" i="16"/>
  <c r="W700" i="16"/>
  <c r="W701" i="16"/>
  <c r="W702" i="16"/>
  <c r="W703" i="16"/>
  <c r="W704" i="16"/>
  <c r="W705" i="16"/>
  <c r="W706" i="16"/>
  <c r="W707" i="16"/>
  <c r="W708" i="16"/>
  <c r="W709" i="16"/>
  <c r="W710" i="16"/>
  <c r="W711" i="16"/>
  <c r="W712" i="16"/>
  <c r="W713" i="16"/>
  <c r="W714" i="16"/>
  <c r="W715" i="16"/>
  <c r="W716" i="16"/>
  <c r="W717" i="16"/>
  <c r="W718" i="16"/>
  <c r="W719" i="16"/>
  <c r="W720" i="16"/>
  <c r="W721" i="16"/>
  <c r="W722" i="16"/>
  <c r="W723" i="16"/>
  <c r="W724" i="16"/>
  <c r="W725" i="16"/>
  <c r="W726" i="16"/>
  <c r="W727" i="16"/>
  <c r="W728" i="16"/>
  <c r="W729" i="16"/>
  <c r="W730" i="16"/>
  <c r="W731" i="16"/>
  <c r="W732" i="16"/>
  <c r="W733" i="16"/>
  <c r="W734" i="16"/>
  <c r="W735" i="16"/>
  <c r="W736" i="16"/>
  <c r="W737" i="16"/>
  <c r="W738" i="16"/>
  <c r="W739" i="16"/>
  <c r="W740" i="16"/>
  <c r="W741" i="16"/>
  <c r="W742" i="16"/>
  <c r="W743" i="16"/>
  <c r="W744" i="16"/>
  <c r="W745" i="16"/>
  <c r="W746" i="16"/>
  <c r="W747" i="16"/>
  <c r="W748" i="16"/>
</calcChain>
</file>

<file path=xl/sharedStrings.xml><?xml version="1.0" encoding="utf-8"?>
<sst xmlns="http://schemas.openxmlformats.org/spreadsheetml/2006/main" count="7467" uniqueCount="1002">
  <si>
    <t>MINERAL</t>
  </si>
  <si>
    <t>UNIDAD DE MEDIDA</t>
  </si>
  <si>
    <t>ETAPA</t>
  </si>
  <si>
    <t>PROCESO</t>
  </si>
  <si>
    <t>ESTRATO</t>
  </si>
  <si>
    <t>TITULAR</t>
  </si>
  <si>
    <t>DEPARTAMENTO</t>
  </si>
  <si>
    <t>PROVINCIA</t>
  </si>
  <si>
    <t>DISTRITO</t>
  </si>
  <si>
    <t>TMF</t>
  </si>
  <si>
    <t>CONCENTRACIÓN</t>
  </si>
  <si>
    <t>FLOTACIÓN</t>
  </si>
  <si>
    <t>RÉGIMEN GENERAL</t>
  </si>
  <si>
    <t>COMPAÑIA DE MINAS BUENAVENTURA S.A.A.</t>
  </si>
  <si>
    <t>PLANTA CONC.Y RELAVES</t>
  </si>
  <si>
    <t>HUANCAVELICA</t>
  </si>
  <si>
    <t>ANGARAES</t>
  </si>
  <si>
    <t>CCOCHACCASA</t>
  </si>
  <si>
    <t>COMPAÑIA MINERA LINCUNA S.A.</t>
  </si>
  <si>
    <t>HUANCAPETI 2009</t>
  </si>
  <si>
    <t>RECUAY</t>
  </si>
  <si>
    <t>MINERA CHINALCO PERU S.A.</t>
  </si>
  <si>
    <t>PROYECTO TOROMOCHO</t>
  </si>
  <si>
    <t>YAULI</t>
  </si>
  <si>
    <t>SOCIEDAD MINERA EL BROCAL S.A.A.</t>
  </si>
  <si>
    <t>HDA. DE BENEF. HUARAUCACA</t>
  </si>
  <si>
    <t>PASCO</t>
  </si>
  <si>
    <t>TINYAHUARCO</t>
  </si>
  <si>
    <t>GRAVIMETRÍA</t>
  </si>
  <si>
    <t>PEQUEÑO PRODUCTOR MINERO</t>
  </si>
  <si>
    <t>SOCIEDAD MINERA ANDEREAL S.A.C.</t>
  </si>
  <si>
    <t>CUNCA</t>
  </si>
  <si>
    <t>CUSCO</t>
  </si>
  <si>
    <t>CANAS</t>
  </si>
  <si>
    <t>LAYO</t>
  </si>
  <si>
    <t>NEXA RESOURCES ATACOCHA S.A.A.</t>
  </si>
  <si>
    <t>CHICRIN Nº 2</t>
  </si>
  <si>
    <t>SAN FRANCISCO DE ASIS DE YARUSYACAN</t>
  </si>
  <si>
    <t>NEXA RESOURCES EL PORVENIR S.A.C.</t>
  </si>
  <si>
    <t>ACUMULACION AQUILES 101</t>
  </si>
  <si>
    <t>NORCOBRE S.A.C.</t>
  </si>
  <si>
    <t>CONTONGA</t>
  </si>
  <si>
    <t>HUARI</t>
  </si>
  <si>
    <t>SAN MARCOS</t>
  </si>
  <si>
    <t>MINERA BATEAS S.A.C.</t>
  </si>
  <si>
    <t>HUAYLLACHO</t>
  </si>
  <si>
    <t>AREQUIPA</t>
  </si>
  <si>
    <t>CAYLLOMA</t>
  </si>
  <si>
    <t>AMAPOLA 5 S.A.C.</t>
  </si>
  <si>
    <t>AMAPOLA 5</t>
  </si>
  <si>
    <t>AIJA</t>
  </si>
  <si>
    <t>LA MERCED</t>
  </si>
  <si>
    <t>CARAVELI</t>
  </si>
  <si>
    <t>QUICACHA</t>
  </si>
  <si>
    <t>ICA</t>
  </si>
  <si>
    <t>PISCO</t>
  </si>
  <si>
    <t>MINERA HUINAC S.A.C.</t>
  </si>
  <si>
    <t>QUILCAY Nº 1</t>
  </si>
  <si>
    <t>TICAPAMPA</t>
  </si>
  <si>
    <t>MINERA PARAISO S.A.C.</t>
  </si>
  <si>
    <t>PLANTA DE BENEFICIO MINERA PARAISO</t>
  </si>
  <si>
    <t>CHALA</t>
  </si>
  <si>
    <t>HUARAZ</t>
  </si>
  <si>
    <t>PROCESADORA COSTA SUR S.A.C.</t>
  </si>
  <si>
    <t>COSTA SUR</t>
  </si>
  <si>
    <t>HUANUHUANU</t>
  </si>
  <si>
    <t>ANGLO AMERICAN QUELLAVECO S.A.</t>
  </si>
  <si>
    <t>QUELLAVECO</t>
  </si>
  <si>
    <t>MOQUEGUA</t>
  </si>
  <si>
    <t>MARISCAL NIETO</t>
  </si>
  <si>
    <t>TORATA</t>
  </si>
  <si>
    <t>CATALINA HUANCA SOCIEDAD MINERA S.A.C.</t>
  </si>
  <si>
    <t>SAN JERONIMO</t>
  </si>
  <si>
    <t>AYACUCHO</t>
  </si>
  <si>
    <t>VICTOR FAJARDO</t>
  </si>
  <si>
    <t>CANARIA</t>
  </si>
  <si>
    <t>COMPAÑIA MINERA ANTAMINA S.A.</t>
  </si>
  <si>
    <t>HUINCUSH</t>
  </si>
  <si>
    <t>COMPAÑIA MINERA ANTAPACCAY S.A.</t>
  </si>
  <si>
    <t>ACUMULACION ANTAPACCAY</t>
  </si>
  <si>
    <t>ESPINAR</t>
  </si>
  <si>
    <t>COMPAÑIA MINERA CARAVELI S.A.C.</t>
  </si>
  <si>
    <t>CHAPARRA</t>
  </si>
  <si>
    <t>COMPAÑIA MINERA CHUNGAR S.A.C.</t>
  </si>
  <si>
    <t>ANIMON</t>
  </si>
  <si>
    <t>HUAYLLAY</t>
  </si>
  <si>
    <t>COMPAÑIA MINERA CONDESTABLE S.A.</t>
  </si>
  <si>
    <t>ACUMULACION CONDESTABLE I</t>
  </si>
  <si>
    <t>LIMA</t>
  </si>
  <si>
    <t>CAÑETE</t>
  </si>
  <si>
    <t>MALA</t>
  </si>
  <si>
    <t>COMPAÑIA MINERA KOLPA S.A.</t>
  </si>
  <si>
    <t>PLANTA DE CONC. HUACHOCOLPA</t>
  </si>
  <si>
    <t>HUACHOCOLPA</t>
  </si>
  <si>
    <t>COMPAÑIA MINERA RAURA S.A.</t>
  </si>
  <si>
    <t>CONCENTRADORA RAURA</t>
  </si>
  <si>
    <t>LAURICOCHA</t>
  </si>
  <si>
    <t>SAN MIGUEL DE CAURI</t>
  </si>
  <si>
    <t>COMPAÑIA MINERA SANTA LUISA S.A.</t>
  </si>
  <si>
    <t>CONCENTRADORA HUANZALA</t>
  </si>
  <si>
    <t>BOLOGNESI</t>
  </si>
  <si>
    <t>HUALLANCA</t>
  </si>
  <si>
    <t>CONSORCIO DE INGENIEROS EJECUTORES MINEROS S.A.</t>
  </si>
  <si>
    <t>CONCENTRADORA SANTA LUCIA</t>
  </si>
  <si>
    <t>PUNO</t>
  </si>
  <si>
    <t>LAMPA</t>
  </si>
  <si>
    <t>SANTA LUCIA</t>
  </si>
  <si>
    <t>EMPRESA ADMINISTRADORA CERRO S.A.C.</t>
  </si>
  <si>
    <t>PARAGSHA-OCROYOC</t>
  </si>
  <si>
    <t>SIMON BOLIVAR</t>
  </si>
  <si>
    <t>ACUMULACION CASAPALCA</t>
  </si>
  <si>
    <t>HUAROCHIRI</t>
  </si>
  <si>
    <t>CHICLA</t>
  </si>
  <si>
    <t>GOLD FIELDS LA CIMA S.A.</t>
  </si>
  <si>
    <t>CERRO CORONA</t>
  </si>
  <si>
    <t>CAJAMARCA</t>
  </si>
  <si>
    <t>HUALGAYOC</t>
  </si>
  <si>
    <t>HUDBAY PERU S.A.C.</t>
  </si>
  <si>
    <t>CONSTANCIA</t>
  </si>
  <si>
    <t>CHUMBIVILCAS</t>
  </si>
  <si>
    <t>VELILLE</t>
  </si>
  <si>
    <t>MARCOBRE S.A.C.</t>
  </si>
  <si>
    <t>PLANTA DE OXIDOS Y PLANTA DE SULFUROS</t>
  </si>
  <si>
    <t>NASCA</t>
  </si>
  <si>
    <t>MARCONA</t>
  </si>
  <si>
    <t>MINERA COLQUISIRI S.A.</t>
  </si>
  <si>
    <t>COLQUISIRI</t>
  </si>
  <si>
    <t>HUARAL</t>
  </si>
  <si>
    <t>MINERA LAS BAMBAS S.A.</t>
  </si>
  <si>
    <t>LAS BAMBAS</t>
  </si>
  <si>
    <t>COTABAMBAS</t>
  </si>
  <si>
    <t>CHALLHUAHUACHO</t>
  </si>
  <si>
    <t>MINERA SHOUXIN PERU S.A.</t>
  </si>
  <si>
    <t>PLANTA CONCENTRADORA POLIMETALICA MSP</t>
  </si>
  <si>
    <t>MINERA TITAN DEL PERU S.R.L.</t>
  </si>
  <si>
    <t>BELEN</t>
  </si>
  <si>
    <t>NEXA RESOURCES PERU S.A.A.</t>
  </si>
  <si>
    <t>CERRO LINDO</t>
  </si>
  <si>
    <t>CHINCHA</t>
  </si>
  <si>
    <t>CHAVIN</t>
  </si>
  <si>
    <t>OPERADORES CONCENTRADOS PERUANOS S.A.C.</t>
  </si>
  <si>
    <t>EXPANSION COBRIZA</t>
  </si>
  <si>
    <t>CHURCAMPA</t>
  </si>
  <si>
    <t>SAN PEDRO DE CORIS</t>
  </si>
  <si>
    <t>PAN AMERICAN SILVER HUARON S.A.</t>
  </si>
  <si>
    <t>CONCENTRADORA FRANCOIS</t>
  </si>
  <si>
    <t>PLANTA CONCENTRADORA SANTANDER</t>
  </si>
  <si>
    <t>SANTA CRUZ DE ANDAMARCA</t>
  </si>
  <si>
    <t>SOBREANDES S.A.C.</t>
  </si>
  <si>
    <t>SOCIEDAD MINERA CERRO VERDE S.A.A.</t>
  </si>
  <si>
    <t>PLANTA DE BENEFICIO CERRO VERDE</t>
  </si>
  <si>
    <t>YARABAMBA</t>
  </si>
  <si>
    <t>SOCIEDAD MINERA CORONA S.A.</t>
  </si>
  <si>
    <t>PLANTA DE BENEFICIO YAURICOCHA CHUMPE</t>
  </si>
  <si>
    <t>YAUYOS</t>
  </si>
  <si>
    <t>ALIS</t>
  </si>
  <si>
    <t>SOUTHERN PERU COPPER CORPORATION SUCURSAL DEL PERU</t>
  </si>
  <si>
    <t>CONC. DE BOTIFLACA</t>
  </si>
  <si>
    <t>CONCENTRADORA TOQUEPALA</t>
  </si>
  <si>
    <t>TACNA</t>
  </si>
  <si>
    <t>JORGE BASADRE</t>
  </si>
  <si>
    <t>ILABAYA</t>
  </si>
  <si>
    <t>VOLCAN COMPAÑIA MINERA S.A.A.</t>
  </si>
  <si>
    <t>ANDAYCHAGUA</t>
  </si>
  <si>
    <t>HUAY-HUAY</t>
  </si>
  <si>
    <t>CONC. LA VICTORIA</t>
  </si>
  <si>
    <t>OXIDOS DE PASCO</t>
  </si>
  <si>
    <t>NEXA RESOURCES CAJAMARQUILLA S.A.</t>
  </si>
  <si>
    <t>REFINERIA DE ZINC CAJAMARQUILLA</t>
  </si>
  <si>
    <t>LURIGANCHO</t>
  </si>
  <si>
    <t>PLANTA DE LIXIVIACION SX/EW TOQUEPALA</t>
  </si>
  <si>
    <t>PLTA. DE LIXIV.SX.CUAJONE</t>
  </si>
  <si>
    <t>MINSUR S.A.</t>
  </si>
  <si>
    <t>PLANTA DE CONC.SAN RAFAEL</t>
  </si>
  <si>
    <t>MELGAR</t>
  </si>
  <si>
    <t>ANTAUTA</t>
  </si>
  <si>
    <t>SHOUGANG HIERRO PERU S.A.A.</t>
  </si>
  <si>
    <t>ACUMULACION SAN NICOLAS</t>
  </si>
  <si>
    <t>CONC.UCHUCCHACUA</t>
  </si>
  <si>
    <t>OYON</t>
  </si>
  <si>
    <t>COMPAÑIA MINERA MAXPALA S.A.C.</t>
  </si>
  <si>
    <t>CONDOR</t>
  </si>
  <si>
    <t>HUAYUMPAY</t>
  </si>
  <si>
    <t>GRAU</t>
  </si>
  <si>
    <t>TURPAY</t>
  </si>
  <si>
    <t>CONC. ORCOPAMPA</t>
  </si>
  <si>
    <t>CASTILLA</t>
  </si>
  <si>
    <t>ORCOPAMPA</t>
  </si>
  <si>
    <t>TAMBOMAYO</t>
  </si>
  <si>
    <t>TAPAY</t>
  </si>
  <si>
    <t>CORI PUNO S.R.L.</t>
  </si>
  <si>
    <t>PLANTA CONCENTRADORA UNTUCA</t>
  </si>
  <si>
    <t>SANDIA</t>
  </si>
  <si>
    <t>QUIACA</t>
  </si>
  <si>
    <t>AGUIRRE ALFARO EDILBERTO ANTONIO</t>
  </si>
  <si>
    <t>SOL DE MAYO-I</t>
  </si>
  <si>
    <t>MADRE DE DIOS</t>
  </si>
  <si>
    <t>TAMBOPATA</t>
  </si>
  <si>
    <t>LABERINTO</t>
  </si>
  <si>
    <t>QUISPICANCHI</t>
  </si>
  <si>
    <t>CAMANTI</t>
  </si>
  <si>
    <t>ALVAREZ CHOQUEHUANCA AGUSTIN</t>
  </si>
  <si>
    <t>MANU</t>
  </si>
  <si>
    <t>AMPUERO HUAQUISTO DAMIAN ALFREDO</t>
  </si>
  <si>
    <t>PUERTO BELEN</t>
  </si>
  <si>
    <t>HUEPETUHE</t>
  </si>
  <si>
    <t>AURIFERA DAVID RUBY S.C.R.L.-AURIFERA DAVID RUBY S.R.L.</t>
  </si>
  <si>
    <t>GALLO DE ORO 2002-B</t>
  </si>
  <si>
    <t>AURIFERA ORO PACAL PERU EMPRESA INDIVIDUAL DE RESPONSABILIDAD LIMITADA-AURÍFERA ORO PACAL PERÚ E.I.R</t>
  </si>
  <si>
    <t>LILIAN</t>
  </si>
  <si>
    <t>B &amp; P CONTRATISTAS S.A.C.</t>
  </si>
  <si>
    <t>ACUMULACION FLOR DE MARIA</t>
  </si>
  <si>
    <t>CANGANA MERINO ROSA HERLINDA</t>
  </si>
  <si>
    <t>ALEX Y JAVIER</t>
  </si>
  <si>
    <t>CARITA LOPEZ CONSTANTINA</t>
  </si>
  <si>
    <t>GAVILAN DE ORO Nº 2</t>
  </si>
  <si>
    <t>INAMBARI</t>
  </si>
  <si>
    <t>CCORI COARITE JAIME</t>
  </si>
  <si>
    <t>CCORI SUYO-C</t>
  </si>
  <si>
    <t>CENTRAL DE COOPERATIVAS MINERO METALURGICAS PUNO LIMITADA</t>
  </si>
  <si>
    <t>FRANCISCO UNO</t>
  </si>
  <si>
    <t>SAN ANTONIO DE PUTINA</t>
  </si>
  <si>
    <t>ANANEA</t>
  </si>
  <si>
    <t>CHAMAN ARANA CELIA</t>
  </si>
  <si>
    <t>SAMIRA I</t>
  </si>
  <si>
    <t>CHOQUE RODRIGUEZ MILUSKA LILIANA</t>
  </si>
  <si>
    <t>SELVA VIRGEN UNO</t>
  </si>
  <si>
    <t>LAS GEMELAS</t>
  </si>
  <si>
    <t>COMUNIDAD AURIFERA RELAVE S.A.</t>
  </si>
  <si>
    <t>AURELSA</t>
  </si>
  <si>
    <t>PARINACOCHAS</t>
  </si>
  <si>
    <t>PULLO</t>
  </si>
  <si>
    <t>CONDORI SULLCA EUGENIO LEONCIO</t>
  </si>
  <si>
    <t>NEVADO INFINITO</t>
  </si>
  <si>
    <t>CONTRATISTAS MINEROS D &amp; GS SOCIEDAD ANONIMA CERRADA - CONTRATISTAS MINEROS D &amp; GS S.A.C.</t>
  </si>
  <si>
    <t>CHAVINSA Nº 1-B</t>
  </si>
  <si>
    <t>COOPERATIVA MINERA COMIG DE ANANEA LIMITADA</t>
  </si>
  <si>
    <t>LA MOCHA-A</t>
  </si>
  <si>
    <t>COOPERATIVA MINERA EL DORADO DE ANANEA LTDA.</t>
  </si>
  <si>
    <t>FRANCISCO DOS</t>
  </si>
  <si>
    <t>MARIA</t>
  </si>
  <si>
    <t>COOPERATIVA MINERA HALCON DE ORO DE ANANEA LTDA</t>
  </si>
  <si>
    <t>COOPERATIVA MINERA LIMATA LIMITADA</t>
  </si>
  <si>
    <t>AFC-12</t>
  </si>
  <si>
    <t>COOPERATIVA MINERA LOS ANDES DE ANANEA LTDA</t>
  </si>
  <si>
    <t>LA MISTICA</t>
  </si>
  <si>
    <t>COOPERATIVA MINERA METALURGICA SAN FRANCISCO DE ANANEA LTD.</t>
  </si>
  <si>
    <t>COOPERATIVA MINERA NUEVA TERESITA LTDA.</t>
  </si>
  <si>
    <t>NUEVA TERESITA 2006</t>
  </si>
  <si>
    <t>COOPERATIVA MINERA SAN ANTONIO DE ANANEA LTDA</t>
  </si>
  <si>
    <t>COOPERATIVA MINERA SAN MIGUEL DE APOROMA LTDA.</t>
  </si>
  <si>
    <t>APOROMA 3</t>
  </si>
  <si>
    <t>PHARA</t>
  </si>
  <si>
    <t>APOROMA 4</t>
  </si>
  <si>
    <t>ALTO INAMBARI</t>
  </si>
  <si>
    <t>APOROMA 5</t>
  </si>
  <si>
    <t>COOPERATIVA MINERA SANTIAGO DE ANANEA LTDA.</t>
  </si>
  <si>
    <t>ESTELA</t>
  </si>
  <si>
    <t>SAN ANTONIO</t>
  </si>
  <si>
    <t>COOPERATIVA MINERA SEÑOR DE ANANEA LTDA</t>
  </si>
  <si>
    <t>CORPORACION CAYETANA SOCIEDAD COMERCIAL DE RESPONSABILIDAD LIMITADA - CORPCA S.R.L.</t>
  </si>
  <si>
    <t>CECILIO GREGORIA Y</t>
  </si>
  <si>
    <t>CORPORACION ESMERALDA DE ORO S.A.C.</t>
  </si>
  <si>
    <t>GANDY &amp; MARILUZ II</t>
  </si>
  <si>
    <t>CORPORACION FERJU SOCIEDAD COMERCIAL DE RESPONSABILIDAD LIMITADA</t>
  </si>
  <si>
    <t>IGOR 2003 DOS</t>
  </si>
  <si>
    <t>CORPORACION MELVIN GARY XXX S.R.L.</t>
  </si>
  <si>
    <t>MELVIN GARY XXX</t>
  </si>
  <si>
    <t>CORPORACION MINERA ANANEA S.A.</t>
  </si>
  <si>
    <t>ANA MARIA</t>
  </si>
  <si>
    <t>CORPORACION PACHAKORI E.I.R.L.</t>
  </si>
  <si>
    <t>ORION 4</t>
  </si>
  <si>
    <t>CORPORACION YU SOCIEDAD COMERCIAL DE RESPONSABILIDAD LIMITADA - CORYU S.R.L</t>
  </si>
  <si>
    <t>MARISELA 2</t>
  </si>
  <si>
    <t>CRUZ HERMOZA VICTORIA</t>
  </si>
  <si>
    <t>APU HUAIHUARAN</t>
  </si>
  <si>
    <t>CRUZ YANAPA ABRAHAN</t>
  </si>
  <si>
    <t>CARUPHE SAC</t>
  </si>
  <si>
    <t>EMICONS WILLIAMS S.A.C.</t>
  </si>
  <si>
    <t>BELLA ESPERANZA</t>
  </si>
  <si>
    <t>EMPRESA AURIFERA BRILLANTE DE LAS MALVINAS S.A.</t>
  </si>
  <si>
    <t>CHINGUITO 1</t>
  </si>
  <si>
    <t>EMPRESA DE SERVICIOS GENERALES JUVID S.R.L.</t>
  </si>
  <si>
    <t>DOS ESTRELLAS</t>
  </si>
  <si>
    <t>EMPRESA MINERA CORAZON DE HUAYNA S.A.</t>
  </si>
  <si>
    <t>SAGRADO HUYNA</t>
  </si>
  <si>
    <t>EMPRESA MINERA CRISTIAN MARLY SOCIEDAD ANÒNIMA CERRADA -EMPRESA MINERA CRISTIAN MARLY S.A.C.</t>
  </si>
  <si>
    <t>JEANNE LINDA XXVII</t>
  </si>
  <si>
    <t>EMPRESA MINERA FORTUNATO MATILDE ASOCIADOS S.R.L.</t>
  </si>
  <si>
    <t>GALLO DE ORO 2002-I</t>
  </si>
  <si>
    <t>EMPRESA MINERA GRUS YOSEAN E.I.R.L.</t>
  </si>
  <si>
    <t>MESON VIII</t>
  </si>
  <si>
    <t>EMPRESA MINERA LUCAS S.C.R.L.</t>
  </si>
  <si>
    <t>GLASA III</t>
  </si>
  <si>
    <t>THRILLER</t>
  </si>
  <si>
    <t>EMPRESA MINERA MARCELO´S SRL</t>
  </si>
  <si>
    <t>CECILIO GREGORIA A</t>
  </si>
  <si>
    <t>EMPRESA MINERA ORO PUNO S.A.</t>
  </si>
  <si>
    <t>FADE-I</t>
  </si>
  <si>
    <t>EMPRESA MINERA PATRON SAN JUAN DE DIOS DE PAMPA BLANCA S.A.</t>
  </si>
  <si>
    <t>VICTORIA - A</t>
  </si>
  <si>
    <t>EMPRESA MINERA UNIDOS TELLEZ MEDINA S.A.C.</t>
  </si>
  <si>
    <t>PLAYA LA UNION DOS</t>
  </si>
  <si>
    <t>EXPLORACIONES NALUC EMPRESA INDIVIDUAL DE RESPONSABILIDAD LIMITADA</t>
  </si>
  <si>
    <t>MESON</t>
  </si>
  <si>
    <t>FARFAN CARDENAS VICTOR RAUL</t>
  </si>
  <si>
    <t>VICTOR AARON II</t>
  </si>
  <si>
    <t>MARJORIE</t>
  </si>
  <si>
    <t>GRUPO METAL DORADO SOCIEDAD COMERCIAL DE RESPONSABILIDAD LIMITADA</t>
  </si>
  <si>
    <t>CARUPHE SAC 2</t>
  </si>
  <si>
    <t>GRUPO QHAPAQ INTI E.I.R.L.</t>
  </si>
  <si>
    <t>JHANINA PAMELA I</t>
  </si>
  <si>
    <t>GUTIERREZ VDA DE FLORES GUADALUPE</t>
  </si>
  <si>
    <t>PLAYA BOCA UNION</t>
  </si>
  <si>
    <t>GUZMAN LIRA FELIPE ASCENCION</t>
  </si>
  <si>
    <t>JASIRA</t>
  </si>
  <si>
    <t>HANCCO PILCO AGUSTIN</t>
  </si>
  <si>
    <t>JAYAVE 2005 III</t>
  </si>
  <si>
    <t>HUAMAN FLORES PEDRO FELIX</t>
  </si>
  <si>
    <t>ANNY IV</t>
  </si>
  <si>
    <t>HUANCA HUANCA LUIS</t>
  </si>
  <si>
    <t>CORAZON DE MINERO ALEGRE</t>
  </si>
  <si>
    <t>SAN VICENTE</t>
  </si>
  <si>
    <t>HUILLCA ASARPAY MARTHA</t>
  </si>
  <si>
    <t>BUEN SUCESO IV</t>
  </si>
  <si>
    <t>HUMPIRE HUALLPA JUAN</t>
  </si>
  <si>
    <t>TOCABE CHICO</t>
  </si>
  <si>
    <t>INVERSIONES ALVAMARPE S.R.L.</t>
  </si>
  <si>
    <t>PLAYA PIBE</t>
  </si>
  <si>
    <t>INVERSIONES DJL S.A.C.</t>
  </si>
  <si>
    <t>PLAYA MARTA</t>
  </si>
  <si>
    <t>INVERSIONES EXZEL S.A.C.</t>
  </si>
  <si>
    <t>CARMEN</t>
  </si>
  <si>
    <t>INVERSIONES J.R. NATHALY E.I.R.L.</t>
  </si>
  <si>
    <t>MARGARITA SEIS</t>
  </si>
  <si>
    <t>INVERSIONES MINERAS FAVIC SOCIEDAD ANONIMA CERRADA</t>
  </si>
  <si>
    <t>YOVANITA I</t>
  </si>
  <si>
    <t>INVERSIONES SILCAR RJS EMPRESA INDIVIDUAL DE RESPONSABILIDAD LIMITADA</t>
  </si>
  <si>
    <t>GALLO DE ORO 2002 IB</t>
  </si>
  <si>
    <t>INVERSIONES VIOBAC SOCIEDAD COMERCIAL DE RESPONSABILIDAD LIMITADA</t>
  </si>
  <si>
    <t>CECILIO GREGORIA V</t>
  </si>
  <si>
    <t>INVERSIONES YBAC SOCIEDAD COMERCIAL DE RESPONSABILIDAD LIMITADA - INVER YBAC S.R.L.</t>
  </si>
  <si>
    <t>MARCO DOS</t>
  </si>
  <si>
    <t>ISIQUE CABRERA LUCIO</t>
  </si>
  <si>
    <t>JOVE CCAHUANA PAULINO</t>
  </si>
  <si>
    <t>SAGITARIO 2008</t>
  </si>
  <si>
    <t>LUNA CAMACHO EFRAIN SILVESTRE</t>
  </si>
  <si>
    <t>PLAYA LUNA</t>
  </si>
  <si>
    <t>MAMANI LLUNGO ROBERTO</t>
  </si>
  <si>
    <t>ASUNCION I 2008</t>
  </si>
  <si>
    <t>MAMANI RAMOS LUIS CLEOFER</t>
  </si>
  <si>
    <t>JESUS 2004 TRES</t>
  </si>
  <si>
    <t>MEDRANO QUISPE ANA</t>
  </si>
  <si>
    <t>WILLIAM I</t>
  </si>
  <si>
    <t>MINERA ABEL S.A.C.</t>
  </si>
  <si>
    <t>ZOILA II</t>
  </si>
  <si>
    <t>MINERA AURIFERA CAYCHIVE CENTRAL S.A.</t>
  </si>
  <si>
    <t>CABECERA CAYCHIVE 2000 - A</t>
  </si>
  <si>
    <t>MINERA AURIFERA CUATRO DE ENERO S.A.</t>
  </si>
  <si>
    <t>MACDESA</t>
  </si>
  <si>
    <t>MINERA AURIFERA REY DE SALEM SOCIEDAD COMERCIAL DE RESPONSABILIDAD LIMITADA - AURIFERA REY DE SALEM</t>
  </si>
  <si>
    <t>EXPLORACIONES DIEGO</t>
  </si>
  <si>
    <t>MINERA AURIFERA SUR AMAZONICO SRL.</t>
  </si>
  <si>
    <t>CABECERA CAYCHIVE 2000</t>
  </si>
  <si>
    <t>MINERA CASCAJAL SOCIEDAD COMERCIAL DE RESPONSABILIDAD LIMITADA</t>
  </si>
  <si>
    <t>AMALUT NUEVE</t>
  </si>
  <si>
    <t>MINERA EXPLORACIONES JAVIER E.I.R.LTDA</t>
  </si>
  <si>
    <t>EL DORADO Nº 2</t>
  </si>
  <si>
    <t>MINERA JOSE MANUEL INVERSIONES S.C.R.L.</t>
  </si>
  <si>
    <t>DILAN</t>
  </si>
  <si>
    <t>MINERA NYR EXPORT VIRGEN DEL ROSARIO S.C.R.L.</t>
  </si>
  <si>
    <t>JEMINA ANGIE I</t>
  </si>
  <si>
    <t>MINERA ORODELTA S.A.C.</t>
  </si>
  <si>
    <t>GUEIBI</t>
  </si>
  <si>
    <t>MINERA QUIYAN E.I.R.L.</t>
  </si>
  <si>
    <t>ACUMULACION SEÑOR DE LOS MILAGROS</t>
  </si>
  <si>
    <t>MIRANDA FLORES BERNARDO</t>
  </si>
  <si>
    <t>KELY I</t>
  </si>
  <si>
    <t>ZAYBER III</t>
  </si>
  <si>
    <t>MONZON VARGAS ALEJANDRO LEONIDAS</t>
  </si>
  <si>
    <t>FLOR DE LIRIO</t>
  </si>
  <si>
    <t>FLOR DE LIRIO II</t>
  </si>
  <si>
    <t>ORIHUELA LLUNGO TIMOTEO</t>
  </si>
  <si>
    <t>ADDERLY</t>
  </si>
  <si>
    <t>PALOMINO MERMA MARIBEL</t>
  </si>
  <si>
    <t>EL SOLITARIO</t>
  </si>
  <si>
    <t>PAULLO POZO WILLINGTON BENEDICTO</t>
  </si>
  <si>
    <t>PLAYA NELSON</t>
  </si>
  <si>
    <t>PERCOQ INVERSIONES E.I.R.L.</t>
  </si>
  <si>
    <t>FRANMAR</t>
  </si>
  <si>
    <t>PUYANI E.I.R.L.</t>
  </si>
  <si>
    <t>LUZMILA I-1609</t>
  </si>
  <si>
    <t>QUIJHUA QUISPE JUAN</t>
  </si>
  <si>
    <t>LAS TRES ULTIMAS</t>
  </si>
  <si>
    <t>QUISPE HUARICALLO HUGO</t>
  </si>
  <si>
    <t>LINDA 2</t>
  </si>
  <si>
    <t>QUISPE QUISPE ISMAEL</t>
  </si>
  <si>
    <t>GAVILAN DE ORO N° 1A-4</t>
  </si>
  <si>
    <t>QUISPE QUISPE JUAN</t>
  </si>
  <si>
    <t>ANTONY BRYYAN II A</t>
  </si>
  <si>
    <t>QUISPIRRIMACHI HUAMAN DE AYME FRANCISCA</t>
  </si>
  <si>
    <t>RONALDO I</t>
  </si>
  <si>
    <t>REPRESENTACIONES ARO E.I.R.L.</t>
  </si>
  <si>
    <t>JACINTO</t>
  </si>
  <si>
    <t>ROMERO RODRIGUEZ EULOGIO AMADO</t>
  </si>
  <si>
    <t>TRES DE AGOSTO I</t>
  </si>
  <si>
    <t>S.M.R.L. PLAYA VIRGEN DEL CARMEN UNO</t>
  </si>
  <si>
    <t>PLAYA NUEVA 99</t>
  </si>
  <si>
    <t>SOCIEDAD MINERA FORTUNA MILAGRITOS S.R.L.</t>
  </si>
  <si>
    <t>FORTUNA I</t>
  </si>
  <si>
    <t>SOLIS VERA JACQUELINE</t>
  </si>
  <si>
    <t>MADELEINE S 5</t>
  </si>
  <si>
    <t>TAYPE ARAUJO MARCIANO ANTONIO</t>
  </si>
  <si>
    <t>TTAMINA VARGAS JUAN</t>
  </si>
  <si>
    <t>SANTA LUCIA DOS</t>
  </si>
  <si>
    <t>SANTA LUCIA TRES</t>
  </si>
  <si>
    <t>UGARTE PIMENTEL ALCIDES</t>
  </si>
  <si>
    <t>MALAVIDA</t>
  </si>
  <si>
    <t>UNION MINERA HIPASUR S.A.C.</t>
  </si>
  <si>
    <t>LOS DOS REYES</t>
  </si>
  <si>
    <t>VERA HUAYNA CELIA ANACLETA</t>
  </si>
  <si>
    <t>PLAYA SAN PEDRO</t>
  </si>
  <si>
    <t>ZEVALLOS ALMANZA WILBER</t>
  </si>
  <si>
    <t>CINCO ISLAS</t>
  </si>
  <si>
    <t>EMPRESA MINERA LUZ NUEVA FORTUNA SOCIEDAD ANONIMA</t>
  </si>
  <si>
    <t>MINERA NUEVA FORTUNA</t>
  </si>
  <si>
    <t>CENTRAL DE COOPERATIVAS MINERAS NEVADOS DE ANANEA LTD.</t>
  </si>
  <si>
    <t>MANIRA CINCO 2006</t>
  </si>
  <si>
    <t>CONTRATISTAS MINERAS SARMATH S.A.C</t>
  </si>
  <si>
    <t>EMAQUSA-2-A</t>
  </si>
  <si>
    <t>COOPERATIVA MINERA ESTRELLA DE ORO DE ANANEA LTDA</t>
  </si>
  <si>
    <t>COOPERATIVA MINERA MUNICIPAL DE ANANEA</t>
  </si>
  <si>
    <t>COOPERATIVA MINERA SAN JUAN DE DIOS DE PAMPA BLANCA LTDA</t>
  </si>
  <si>
    <t>DATA MINEROS ARTESANALES</t>
  </si>
  <si>
    <t>-</t>
  </si>
  <si>
    <t>REGION AREQUIPA</t>
  </si>
  <si>
    <t>REGION PIURA</t>
  </si>
  <si>
    <t>PIURA</t>
  </si>
  <si>
    <t>REGION PUNO</t>
  </si>
  <si>
    <t>EMPRESA MINERA SAN ISIDRO DE PHARA SOCIEDAD ANONIMA</t>
  </si>
  <si>
    <t>SAN ISIDRO EO</t>
  </si>
  <si>
    <t>MESICANO MITTANI SONIA</t>
  </si>
  <si>
    <t>ZAYBER I</t>
  </si>
  <si>
    <t>MINERA CAMBIO S.A.</t>
  </si>
  <si>
    <t>PLANTA DE BENEFICIO CAMBIO</t>
  </si>
  <si>
    <t>ALFA ORO SOCIEDAD ANONIMA CERRADA</t>
  </si>
  <si>
    <t>EL COLORADO</t>
  </si>
  <si>
    <t>BARRANCA</t>
  </si>
  <si>
    <t>PARAMONGA</t>
  </si>
  <si>
    <t>ANALYTICA MINERAL SERVICES S.A.C.</t>
  </si>
  <si>
    <t>PLANTA DE PROCESOS ORION</t>
  </si>
  <si>
    <t>COMPAÑIA MINERA CORIRE S.A.C.</t>
  </si>
  <si>
    <t>PLTA DE BENEF. ISHIHUINCA</t>
  </si>
  <si>
    <t>COMPAÑIA MINERA SOL DE LOS ANDES S.A.C.</t>
  </si>
  <si>
    <t>PLANTA DE BENEFICIO BARRENO</t>
  </si>
  <si>
    <t>CONDESUYOS</t>
  </si>
  <si>
    <t>YANAQUIHUA</t>
  </si>
  <si>
    <t>LAS BRAVAS N° 2 DE ICA S.A.C.</t>
  </si>
  <si>
    <t>PLANTA DE BENEFICIO ARASQUI</t>
  </si>
  <si>
    <t>MINERA CONFIANZA S.A.C.</t>
  </si>
  <si>
    <t>CONCESION DE BENEFICIO CONFIANZA</t>
  </si>
  <si>
    <t>MINERA ESPAÑOLITA DEL SUR S.A.</t>
  </si>
  <si>
    <t>LA ENCAÑADA</t>
  </si>
  <si>
    <t>MINERA FIDAMI S.A.</t>
  </si>
  <si>
    <t>PLANTA DE BENEFICIO DATTELI 6</t>
  </si>
  <si>
    <t>LUCANAS</t>
  </si>
  <si>
    <t>SANCOS</t>
  </si>
  <si>
    <t>MINERA LAYTARUMA S.A.</t>
  </si>
  <si>
    <t>LAYTARUMA</t>
  </si>
  <si>
    <t>MINERA SOTRAMI S.A.</t>
  </si>
  <si>
    <t>SANTA FILOMENA II</t>
  </si>
  <si>
    <t>MINERA VICUS S.A.C.</t>
  </si>
  <si>
    <t>PLANTA DE BENEFICIO CAPACHO DE ORO</t>
  </si>
  <si>
    <t>SUPE</t>
  </si>
  <si>
    <t>MINERA YANAQUIHUA S.A.C.</t>
  </si>
  <si>
    <t>PLANTA PILOTO ALPACAY</t>
  </si>
  <si>
    <t>PALTARUMI S.A.C.</t>
  </si>
  <si>
    <t>PLANTA ESTATICA DE MINERALES PALTARUMI</t>
  </si>
  <si>
    <t>LA LIBERTAD</t>
  </si>
  <si>
    <t>PATAZ</t>
  </si>
  <si>
    <t>COMPAÑIA MINERA ARES S.A.C.</t>
  </si>
  <si>
    <t>INMACULADA</t>
  </si>
  <si>
    <t>PAUCAR DEL SARA SARA</t>
  </si>
  <si>
    <t>OYOLO</t>
  </si>
  <si>
    <t>CHACCHUILLE</t>
  </si>
  <si>
    <t>LA ESTRELLA</t>
  </si>
  <si>
    <t>TAYABAMBA</t>
  </si>
  <si>
    <t>COMPAÑIA MINERA COIMOLACHE S.A.</t>
  </si>
  <si>
    <t>TANTAHUATAY</t>
  </si>
  <si>
    <t>CHUGUR</t>
  </si>
  <si>
    <t>MARAÑON</t>
  </si>
  <si>
    <t>SANTA MARIA I</t>
  </si>
  <si>
    <t>CONSORCIO MINERO HORIZONTE S.R.L.</t>
  </si>
  <si>
    <t>LOS ZAMBOS</t>
  </si>
  <si>
    <t>PARCOY</t>
  </si>
  <si>
    <t>PLANTA PARCOY</t>
  </si>
  <si>
    <t>LA ARENA S.A.</t>
  </si>
  <si>
    <t>LA ARENA</t>
  </si>
  <si>
    <t>SANCHEZ CARRION</t>
  </si>
  <si>
    <t>HUAMACHUCO</t>
  </si>
  <si>
    <t>MINERA AURIFERA RETAMAS S.A.</t>
  </si>
  <si>
    <t>SAN ANDRES AMPLIADO</t>
  </si>
  <si>
    <t>MINERA BOROO MISQUICHILCA S.A.</t>
  </si>
  <si>
    <t>ALTO CHICAMA</t>
  </si>
  <si>
    <t>SANTIAGO DE CHUCO</t>
  </si>
  <si>
    <t>QUIRUVILCA</t>
  </si>
  <si>
    <t>MINERA COLIBRI S.A.C.</t>
  </si>
  <si>
    <t>DOBLE D</t>
  </si>
  <si>
    <t>MINERA IRL S.A.</t>
  </si>
  <si>
    <t>CORIHUARMI</t>
  </si>
  <si>
    <t>HUANTAN</t>
  </si>
  <si>
    <t>MINERA LA ZANJA S.R.L.</t>
  </si>
  <si>
    <t>LA ZANJA</t>
  </si>
  <si>
    <t>SANTA CRUZ</t>
  </si>
  <si>
    <t>PULAN</t>
  </si>
  <si>
    <t>MINERA OREX S.A.C.</t>
  </si>
  <si>
    <t>SAN JUAN DE CHORUNGA</t>
  </si>
  <si>
    <t>RIO GRANDE</t>
  </si>
  <si>
    <t>MINERA VETA DORADA S.A.C.</t>
  </si>
  <si>
    <t>PLANTA DE BENEFICIO VETA DORADA</t>
  </si>
  <si>
    <t>MINERA YANACOCHA S.R.L.</t>
  </si>
  <si>
    <t>P.LIXIV.CERRO YANACOCHA</t>
  </si>
  <si>
    <t>PLANTA DE LIXIV. YANACOCHA</t>
  </si>
  <si>
    <t>ENCAÑADA</t>
  </si>
  <si>
    <t>CONCESION DE BENEFICIO PUCAMARCA</t>
  </si>
  <si>
    <t>PALCA</t>
  </si>
  <si>
    <t>SHAHUINDO S.A.C.</t>
  </si>
  <si>
    <t>BENEFICIO SHAHUINDO</t>
  </si>
  <si>
    <t>CAJABAMBA</t>
  </si>
  <si>
    <t>CACHACHI</t>
  </si>
  <si>
    <t>SUMMA GOLD CORPORATION S.A.C.</t>
  </si>
  <si>
    <t>ISABELITA</t>
  </si>
  <si>
    <t>VISTA GOLD S.A.C.</t>
  </si>
  <si>
    <t>PLANTA DE BENEFICIO JULIA ESTHER</t>
  </si>
  <si>
    <t>VISTA ALEGRE</t>
  </si>
  <si>
    <t>SCORPION</t>
  </si>
  <si>
    <t>CMC CRITICAL MINERALS CORPORATION S.A.C.</t>
  </si>
  <si>
    <t>MINERA SHUNTUR S.A.C.</t>
  </si>
  <si>
    <t>AGROMIN LA BONITA S.A.C.</t>
  </si>
  <si>
    <t>CELADITA CONTRERAS EVELYN DIANA</t>
  </si>
  <si>
    <t>HINCHO CAÑARI PABLO</t>
  </si>
  <si>
    <t>HUAMAN HUANCA LEONARDO</t>
  </si>
  <si>
    <t>HUAMAN ROQUE FRANCISCO</t>
  </si>
  <si>
    <t>MENDOZA BORJA SANTOS MARCELO</t>
  </si>
  <si>
    <t>MINERA MADRERIO S.A.C.</t>
  </si>
  <si>
    <t>NICONSTA COMPAÑIA MINERA S.A.C.</t>
  </si>
  <si>
    <t>TITAN CONTRATISTAS GENERALES S.A.C.</t>
  </si>
  <si>
    <t>CONC.TAMBORAQUE</t>
  </si>
  <si>
    <t>ADRIANA</t>
  </si>
  <si>
    <t>ACUMULACION LA PURISIMA</t>
  </si>
  <si>
    <t>MIJAEL II</t>
  </si>
  <si>
    <t>EL PRINCIPE AZUL 1</t>
  </si>
  <si>
    <t>AGUSTIN DOS</t>
  </si>
  <si>
    <t>GLORIA H</t>
  </si>
  <si>
    <t>ACUMULACION AARON III B</t>
  </si>
  <si>
    <t>JAYAVE 2005 IV</t>
  </si>
  <si>
    <t>CHAVINSA Nº 2-H</t>
  </si>
  <si>
    <t>MILAGRITOS I</t>
  </si>
  <si>
    <t>AGUILA DE ORO 2003</t>
  </si>
  <si>
    <t>PLANTA CONCENTRADORA ANA MARIA N° 5</t>
  </si>
  <si>
    <t>PIRA</t>
  </si>
  <si>
    <t>BELLA UNION</t>
  </si>
  <si>
    <t>ARSÉNICO</t>
  </si>
  <si>
    <t>BISMUTO</t>
  </si>
  <si>
    <t>CADMIO</t>
  </si>
  <si>
    <t>COBRE</t>
  </si>
  <si>
    <t>HIERRO</t>
  </si>
  <si>
    <t>MAGNESIO</t>
  </si>
  <si>
    <t>MANGANESO</t>
  </si>
  <si>
    <t>MOLIBDENO</t>
  </si>
  <si>
    <t>ORO</t>
  </si>
  <si>
    <t>PLATA</t>
  </si>
  <si>
    <t>PLOMO</t>
  </si>
  <si>
    <t>ZINC</t>
  </si>
  <si>
    <t>ESTAÑO</t>
  </si>
  <si>
    <t>AURIFERA YANFER S.R.L</t>
  </si>
  <si>
    <t>MINERA ZEUUS SOCIEDAD ANONIMA CERRADA - MINERA ZEUUS S.A.C.</t>
  </si>
  <si>
    <t>LOAYZA QUINTANILLA MIGUEL ANGEL</t>
  </si>
  <si>
    <t>EL TRI</t>
  </si>
  <si>
    <t>JOSUE LUIS</t>
  </si>
  <si>
    <t>TALIBAN</t>
  </si>
  <si>
    <t>CINGALY II</t>
  </si>
  <si>
    <t>LA ESPERANZA-B</t>
  </si>
  <si>
    <t>PLANTA DE BENEFICIO LA QUINTA</t>
  </si>
  <si>
    <t>VITOR</t>
  </si>
  <si>
    <t>Grs.f.</t>
  </si>
  <si>
    <t>Kg.f.</t>
  </si>
  <si>
    <t>BARRIOS VELASCO REIMUNDO REDI</t>
  </si>
  <si>
    <t>LOS CINCO REBELDES</t>
  </si>
  <si>
    <t>COMPAÑIA MINERA SCORPION S.A.</t>
  </si>
  <si>
    <t>GRUPO MINERO H &amp; R SOCIEDAD ANONIMA CERRADA - GRUPO MINERO H &amp; R S.A.C.</t>
  </si>
  <si>
    <t>ÁNCASH</t>
  </si>
  <si>
    <t>JUNÍN</t>
  </si>
  <si>
    <t>APURÍMAC</t>
  </si>
  <si>
    <t>HUÁNUCO</t>
  </si>
  <si>
    <t>LIXIVIACIÓN</t>
  </si>
  <si>
    <t>KORIMALLKO MINERALS S.A.C.</t>
  </si>
  <si>
    <t>COMPAÑIA MINERA ATAHUALPA S.A.C.</t>
  </si>
  <si>
    <t>JHEMI &amp; NATANIEL MAQUINARIAS SOCIEDAD ANONIMA CERRADA</t>
  </si>
  <si>
    <t>INVERSIONES JM</t>
  </si>
  <si>
    <t>SMRL HORACIO ZEVALLOS GAMES</t>
  </si>
  <si>
    <t>HORACIO ZEVALLOS GAMES</t>
  </si>
  <si>
    <t>SUMERINDE MAMANI VERONICA</t>
  </si>
  <si>
    <t>GALLO DE ORO 2002-K</t>
  </si>
  <si>
    <t>MERCURIO III</t>
  </si>
  <si>
    <t>COMPAÑIA MINERA SANTANDER S.A.C.</t>
  </si>
  <si>
    <t>INVERSIONES MENDOZA HERMANOS S.R.L.</t>
  </si>
  <si>
    <t>JORGE III</t>
  </si>
  <si>
    <t>WWRH HERMANOS MENDOZA S.R.L.</t>
  </si>
  <si>
    <t>JEANNE LINDA XV</t>
  </si>
  <si>
    <t>PUKA MANI E.I.R.L.</t>
  </si>
  <si>
    <t>PLANTA DE BENEFICIO BETASPATA</t>
  </si>
  <si>
    <t>YANAHUAYA</t>
  </si>
  <si>
    <t>PARCCO HUALLPA CESAR</t>
  </si>
  <si>
    <t>MARISOL VI</t>
  </si>
  <si>
    <t>AZUCARERA</t>
  </si>
  <si>
    <t>CUATRO CORAZONES 2010</t>
  </si>
  <si>
    <t>EMPRESA MINERA LOS QUENUALES S.A.C.</t>
  </si>
  <si>
    <t>FUNDICIÓN</t>
  </si>
  <si>
    <t>LA FUNDICION</t>
  </si>
  <si>
    <t>ILO</t>
  </si>
  <si>
    <t>PACOCHA</t>
  </si>
  <si>
    <t>REFINACIÓN</t>
  </si>
  <si>
    <t>REF.DE COBRE - ILO</t>
  </si>
  <si>
    <t>FUNSUR</t>
  </si>
  <si>
    <t>PARACAS</t>
  </si>
  <si>
    <t>BUSTAMANTE CCANSAYA MARCOS MARCELINO</t>
  </si>
  <si>
    <t>PLAYA VILLA VISTA</t>
  </si>
  <si>
    <t>ANTICONA</t>
  </si>
  <si>
    <t>CONC.DE ISCAYCRUZ</t>
  </si>
  <si>
    <t>SANTA ANA MINING S.A.C.</t>
  </si>
  <si>
    <t>PLANTA TOMMY</t>
  </si>
  <si>
    <t>S.M.R.L. ANTONIO RAYMONDI CUSCO</t>
  </si>
  <si>
    <t>ANTONIO RAIMONDI</t>
  </si>
  <si>
    <t>CONDOROMA</t>
  </si>
  <si>
    <t>RICOMAS</t>
  </si>
  <si>
    <t>OXAPAMPA</t>
  </si>
  <si>
    <t>HUANCABAMBA</t>
  </si>
  <si>
    <t>SIERRA MINERA CARAZ S.A.C</t>
  </si>
  <si>
    <t>CONCENTRADORA ARCATA</t>
  </si>
  <si>
    <t>CAYARANI</t>
  </si>
  <si>
    <t>BARRIONUEVO ÑAHUY LUZMILA</t>
  </si>
  <si>
    <t>PLAYA EDSON</t>
  </si>
  <si>
    <t>MANIRA SIETE 2006</t>
  </si>
  <si>
    <t>CORPORATION MAWIFCAP-PERU S.A.C.</t>
  </si>
  <si>
    <t>PROYECTO CONDOR</t>
  </si>
  <si>
    <t>EMPRESA CORI ADACYL SOCIEDAD ANONIMA CERRADA</t>
  </si>
  <si>
    <t>CORI ADACYL</t>
  </si>
  <si>
    <t>FERNANDEZ CHAMPI JUANA</t>
  </si>
  <si>
    <t>BENITA</t>
  </si>
  <si>
    <t>LOS TRES EMBLEMAS DORADOS DE ORO S.A.C.</t>
  </si>
  <si>
    <t>LOS TRES EMBLEMAS</t>
  </si>
  <si>
    <t>MAMANI TAPARA FRANCISCA</t>
  </si>
  <si>
    <t>CRISTIAM 2005</t>
  </si>
  <si>
    <t>NATURE SOLYMAN S.A.C.</t>
  </si>
  <si>
    <t>MINERA KORI CCOCHA</t>
  </si>
  <si>
    <t>CARABAYA</t>
  </si>
  <si>
    <t>COASA</t>
  </si>
  <si>
    <t>S.M.R.L. PLAYA CHINO II</t>
  </si>
  <si>
    <t>PRISCILA 2</t>
  </si>
  <si>
    <t>URBINA URACCAHUA BERTHA</t>
  </si>
  <si>
    <t>SAN LEONARDO 2009-B</t>
  </si>
  <si>
    <t>YNFANTES VILLAVICENCIO PEDRO FLAVIO</t>
  </si>
  <si>
    <t>PAOLITA II</t>
  </si>
  <si>
    <t>QUISPE MAMANI FULGENCIO NARCISO</t>
  </si>
  <si>
    <t>MASSIEL I</t>
  </si>
  <si>
    <t>CONTRERAS MAMANI JUAN LUIS</t>
  </si>
  <si>
    <t>LIRIOS VI</t>
  </si>
  <si>
    <t>MINERIA E INVERSIONES NUEVO SAN JOSE S.A.C.</t>
  </si>
  <si>
    <t>ESCORPION SIETE</t>
  </si>
  <si>
    <t>RAMPA 2019</t>
  </si>
  <si>
    <t>ECO MINERA SOL CRECIENTE E.I.R.L.</t>
  </si>
  <si>
    <t>MARISOL DOS</t>
  </si>
  <si>
    <t>RESPLANDOR DE LUZ E.I.R.L.</t>
  </si>
  <si>
    <t>SANTA MARTHA I</t>
  </si>
  <si>
    <t>GLOBAL JHUNIOR E.I.R.L.</t>
  </si>
  <si>
    <t>EMAQUSA-1</t>
  </si>
  <si>
    <t>MTZ S.A.C.</t>
  </si>
  <si>
    <t>SUCCHA</t>
  </si>
  <si>
    <t>AURIFERA SACRAMENTO S.A.</t>
  </si>
  <si>
    <t>SACRAMENTO</t>
  </si>
  <si>
    <t>HUAYTARA</t>
  </si>
  <si>
    <t>MANUELITA</t>
  </si>
  <si>
    <t>MOROCOCHA</t>
  </si>
  <si>
    <t>PLANTA DE BENEFICIO ALPAMARCA</t>
  </si>
  <si>
    <t>SANTA BARBARA DE CARHUACAYAN</t>
  </si>
  <si>
    <t>ACUMULACION BERNA 2 - EL PORVENIR</t>
  </si>
  <si>
    <t>ALARCON CHECCA ANA</t>
  </si>
  <si>
    <t>MESA PELADA</t>
  </si>
  <si>
    <t>ALARCON CHECCA JESUSA MARGARITA</t>
  </si>
  <si>
    <t>NUSINISCATO 2008</t>
  </si>
  <si>
    <t>ALVAREZ QUISPE MARIO</t>
  </si>
  <si>
    <t>NUEVO AMANECER 2006 A</t>
  </si>
  <si>
    <t>AURIFERA SELVA DE ORO PERU S.A.C.</t>
  </si>
  <si>
    <t>KELY II</t>
  </si>
  <si>
    <t>PLAYA VILLA VISTA 2008</t>
  </si>
  <si>
    <t>CCAHUANA QUISPE REINALDO</t>
  </si>
  <si>
    <t>EL AMIGO</t>
  </si>
  <si>
    <t>MILENIO 3</t>
  </si>
  <si>
    <t>CELADITA ESPINOZA LUIS EUSEBIO</t>
  </si>
  <si>
    <t>ABEL 3</t>
  </si>
  <si>
    <t>CENTRAL DE COOPERATIVAS MINERAS DE SAN ANTONIO DE POTO - CECOMSAP</t>
  </si>
  <si>
    <t>AFC-20</t>
  </si>
  <si>
    <t>MOSOQ MINAS</t>
  </si>
  <si>
    <t>ESPERANZA I</t>
  </si>
  <si>
    <t>DAGO II</t>
  </si>
  <si>
    <t>LAURA IV</t>
  </si>
  <si>
    <t>PLAYA LINDER</t>
  </si>
  <si>
    <t>GUZMAN LIRA PAULINA</t>
  </si>
  <si>
    <t>ELIANA UNO</t>
  </si>
  <si>
    <t>LOS SECRETOS 2005</t>
  </si>
  <si>
    <t>HUILLCA ROJAS DE LINARES VICTORIA</t>
  </si>
  <si>
    <t>SELVA VIRGEN</t>
  </si>
  <si>
    <t>INVERSION AMAZONICO MENJA E.I.R.L.</t>
  </si>
  <si>
    <t>BUENA FORTUNA -2000</t>
  </si>
  <si>
    <t>JOVE CAHUANA PEDRO</t>
  </si>
  <si>
    <t>FLOR GIRASOL</t>
  </si>
  <si>
    <t>PLAYA JUNIOR</t>
  </si>
  <si>
    <t>ANDRES WILFREDO</t>
  </si>
  <si>
    <t>SAN BERNARDO</t>
  </si>
  <si>
    <t>JUDITH PERU I</t>
  </si>
  <si>
    <t>S.M.R.L. LOS COMPADRES I</t>
  </si>
  <si>
    <t>LOS COMPADRES I</t>
  </si>
  <si>
    <t>TAIPE ARAUJO OSCAR FAUSTO</t>
  </si>
  <si>
    <t>JESUS ENRIQUE</t>
  </si>
  <si>
    <t>ADA III</t>
  </si>
  <si>
    <t>TAYPE CANGANA JULIO CESAR</t>
  </si>
  <si>
    <t>HENRY CESAR I</t>
  </si>
  <si>
    <t>YAMILI II</t>
  </si>
  <si>
    <t>VARGAS BORDA NERY</t>
  </si>
  <si>
    <t>ALEX III</t>
  </si>
  <si>
    <t>MADELEINE S 2</t>
  </si>
  <si>
    <t>CCAMERCCOA VALDEZ LEONARDO</t>
  </si>
  <si>
    <t>ERICK DEYVIS</t>
  </si>
  <si>
    <t>CHAVINSA Nº 1</t>
  </si>
  <si>
    <t>9 DE SETIEMBRE A</t>
  </si>
  <si>
    <t>ZEA GAVILAN SAUL SALVADOR</t>
  </si>
  <si>
    <t>VICTOR BACILIO VI</t>
  </si>
  <si>
    <t>CCORI HUAQUISTO PAULA</t>
  </si>
  <si>
    <t>SAN VICENTE II</t>
  </si>
  <si>
    <t>EMPRESA MINERA ROMA DE PAMPA BLANCA SAC</t>
  </si>
  <si>
    <t>CHANA-A</t>
  </si>
  <si>
    <t>OROSEL METAL PERU E.I.R.L.</t>
  </si>
  <si>
    <t>CUATRO MILPAS</t>
  </si>
  <si>
    <t>CORPORACION SAYAS SOCIEDAD COMERCIAL DE RESPONSABILIDAD LIMITADA - CORP SAYAS S.R.L.</t>
  </si>
  <si>
    <t>LOS TRES HERMANOS 2005</t>
  </si>
  <si>
    <t>SANTA BARBARA</t>
  </si>
  <si>
    <t>BULDIBUYO</t>
  </si>
  <si>
    <t>CORPORACION TABLACHACA E.I.R.L.</t>
  </si>
  <si>
    <t>SEDUCTORA</t>
  </si>
  <si>
    <t>ANGASMARCA</t>
  </si>
  <si>
    <t>SOCIEDAD MINERA DE RECURSOS LINCEARES MAGISTRAL DE HUARAZ S.A.C.</t>
  </si>
  <si>
    <t>AQUIA</t>
  </si>
  <si>
    <t>MINERA TORO DE PLATA SAC</t>
  </si>
  <si>
    <t>SANTA ELENA</t>
  </si>
  <si>
    <t>ACOBAMBILLA</t>
  </si>
  <si>
    <t>TRACKLESS MINING S.A.C.</t>
  </si>
  <si>
    <t>GABRIEL</t>
  </si>
  <si>
    <t>SAN JUAN DE TANTARANCHE</t>
  </si>
  <si>
    <t>GONZALO 2016</t>
  </si>
  <si>
    <t>LAS 3 LAGUNAS</t>
  </si>
  <si>
    <t>MINERA ZOILA Y ROSARIO S.A.C.</t>
  </si>
  <si>
    <t>ZOILA Y ROSARIO</t>
  </si>
  <si>
    <t>INDEPENDENCIA</t>
  </si>
  <si>
    <t>COMPAÑIA MINERA CALDERAS S.A.C.</t>
  </si>
  <si>
    <t>ANGELA VITTORIA</t>
  </si>
  <si>
    <t>YAUCA DEL ROSARIO</t>
  </si>
  <si>
    <t>LA AZULITA S.A.C.</t>
  </si>
  <si>
    <t>CONCENTRADORA SAN JOSE</t>
  </si>
  <si>
    <t>MINERA PAMPA DE COBRE S.A.C.</t>
  </si>
  <si>
    <t>PLANTA CONCENTRADORA CHAPI</t>
  </si>
  <si>
    <t>GENERAL SANCHEZ CERRO</t>
  </si>
  <si>
    <t>LA CAPILLA</t>
  </si>
  <si>
    <t>PLANTA METALURGICA PIEDRAS BLANCAS SOCIEDAD ANONIMA CERRADA</t>
  </si>
  <si>
    <t>PROYECTO PLANTA METALURGICA PIEDRAS BLANCAS SAC</t>
  </si>
  <si>
    <t>MARIA I ROXANA</t>
  </si>
  <si>
    <t>APARICIO VALENCIA ELIZABETH</t>
  </si>
  <si>
    <t>SIGLO XXI 2004</t>
  </si>
  <si>
    <t>APARICIO VALENCIA JOEL</t>
  </si>
  <si>
    <t>ZAYBER 2007</t>
  </si>
  <si>
    <t>CAHUANA CCAMA SANTOS ISAAC</t>
  </si>
  <si>
    <t>CLAUDIA 2000</t>
  </si>
  <si>
    <t>UNOS DEL MILENIO</t>
  </si>
  <si>
    <t>EMPRESA DE EXPLORACION Y ADMINISTRACION MINERO METALURGICA S.A.</t>
  </si>
  <si>
    <t>MANSURY UNO</t>
  </si>
  <si>
    <t>GOYA E.I.R.L.</t>
  </si>
  <si>
    <t>ALUVIAL 93-B</t>
  </si>
  <si>
    <t>LUIS ANTONIO</t>
  </si>
  <si>
    <t>HUANACUNE MAQUERA TITO</t>
  </si>
  <si>
    <t>ASOCIACION MILAGRITOS II</t>
  </si>
  <si>
    <t>SOL DE MAYO</t>
  </si>
  <si>
    <t>PLAYA LUNA UNO</t>
  </si>
  <si>
    <t>AARON I</t>
  </si>
  <si>
    <t>AARON II</t>
  </si>
  <si>
    <t>QUISPE LOPEZ CLEMENTE</t>
  </si>
  <si>
    <t>BARRANCO ROJO</t>
  </si>
  <si>
    <t>RONALDO II 2009</t>
  </si>
  <si>
    <t>TOROMATA I</t>
  </si>
  <si>
    <t>MADELEINE S 4</t>
  </si>
  <si>
    <t>PLAYA SAN PEDRO 8</t>
  </si>
  <si>
    <t>CCAPA FERRO ISABEL</t>
  </si>
  <si>
    <t>SAN LEONARDO 2009</t>
  </si>
  <si>
    <t>SANGAMA SALAS SUSI</t>
  </si>
  <si>
    <t>GOYMAR</t>
  </si>
  <si>
    <t>HORACIO ZEVALLOS D</t>
  </si>
  <si>
    <t>APARICIO VALENCIA RUTH</t>
  </si>
  <si>
    <t>MARITZA A</t>
  </si>
  <si>
    <t>EMPRESA MINERA GRUPO GRANDE SOCIEDAD ANONIMA - MINERA G *-* G S.A.</t>
  </si>
  <si>
    <t>QUISPE VEGA PATRICIA</t>
  </si>
  <si>
    <t>SALVASION I</t>
  </si>
  <si>
    <t>RAMOS CCORI JORGE</t>
  </si>
  <si>
    <t>CARUPHE SAC 7</t>
  </si>
  <si>
    <t>CCOARITE PACORI RICARDO</t>
  </si>
  <si>
    <t>LOS TRES HERMANOS 2005 II</t>
  </si>
  <si>
    <t>PRODUCTOR MINERO ARTESANAL</t>
  </si>
  <si>
    <t>CORAZON DE ORO SEÑOR DE CCOYLLORITTI E.I.R.L.</t>
  </si>
  <si>
    <t>CORAZON DE ORO III</t>
  </si>
  <si>
    <t>CCATCA</t>
  </si>
  <si>
    <t>JHOEL IVAN S.C.R.L.</t>
  </si>
  <si>
    <t>CHAVINSA Nº 2-A</t>
  </si>
  <si>
    <t>DOS AMIGOS V*-*B S.A.C.</t>
  </si>
  <si>
    <t>RUTH I</t>
  </si>
  <si>
    <t>GAMACMIN MINERO METALURGICA SOCIEDAD ANONIMA CERRADA - GAMACMIN S.A.C.</t>
  </si>
  <si>
    <t>PLANTA DE BENEF PARA MINERALES AURÍF LA DOMINICANA</t>
  </si>
  <si>
    <t>LAS LOMAS</t>
  </si>
  <si>
    <t>RECUPERADA SOCIEDAD ANONIMA CERRADA - RECUPERADA S.A.C.</t>
  </si>
  <si>
    <t>CONC. CORRALPAMPA</t>
  </si>
  <si>
    <t>SELENIO</t>
  </si>
  <si>
    <t>CABALLERO JARA OCTAVIO</t>
  </si>
  <si>
    <t>SUSAN TRES</t>
  </si>
  <si>
    <t>ANDY I</t>
  </si>
  <si>
    <t>DELGADO CHOQUE ANDRES</t>
  </si>
  <si>
    <t>AMAUTA I</t>
  </si>
  <si>
    <t>SAN FELIPE 5</t>
  </si>
  <si>
    <t>LICONA GALLEGOS MARTHA</t>
  </si>
  <si>
    <t>EL CHARACATO</t>
  </si>
  <si>
    <t>MINERA RJC INVERSIONES S.R.L.</t>
  </si>
  <si>
    <t>LINO RAUL III</t>
  </si>
  <si>
    <t>OROSUR ASOCIADOS SOCIEDAD COMERCIAL DE RESPONSABILIDAD LIMITADA</t>
  </si>
  <si>
    <t>MIRIAMLY</t>
  </si>
  <si>
    <t>OROSUR</t>
  </si>
  <si>
    <t>S.M.R.L. CINTHIA II</t>
  </si>
  <si>
    <t>CINTHIA II</t>
  </si>
  <si>
    <t>JORGE IV</t>
  </si>
  <si>
    <t>LUZ MARICIELO II</t>
  </si>
  <si>
    <t>JBC CORPORACION S.R.L.</t>
  </si>
  <si>
    <t>CECILIO GREGORIA J</t>
  </si>
  <si>
    <t>INVERSIONES DAJER SOCIEDAD COMERCIAL DE RESPONSABILIDAD LIMITADA - INVERSIONES DAJER S.R.L.</t>
  </si>
  <si>
    <t>INVERSIONES DAJER</t>
  </si>
  <si>
    <t>MINERA NUEVA FE S.A.C.</t>
  </si>
  <si>
    <t>SEÑOR CAUTIVO II</t>
  </si>
  <si>
    <t>RODRIGUEZ SUYO DORIS</t>
  </si>
  <si>
    <t>SALVADOR I DE MANU</t>
  </si>
  <si>
    <t>SANCHEZ HUAMAN REYNALDO</t>
  </si>
  <si>
    <t>SOLITARIO 1</t>
  </si>
  <si>
    <t>COMPAÑIA MINERA CRESPO S.A.C.</t>
  </si>
  <si>
    <t>CRESPO</t>
  </si>
  <si>
    <t>SANTO TOMAS</t>
  </si>
  <si>
    <t>CONSORCIO PERUANO DE MINAS S.A.C</t>
  </si>
  <si>
    <t>COPEMINA</t>
  </si>
  <si>
    <t>HUAYLAS</t>
  </si>
  <si>
    <t>PAMPAROMAS</t>
  </si>
  <si>
    <t>S.M.R.L. CAMILA 2008</t>
  </si>
  <si>
    <t>PLANTA DE BENEFICIO CAMILA DE 200 TM/DIA</t>
  </si>
  <si>
    <t>CONCEPCION</t>
  </si>
  <si>
    <t>COMAS</t>
  </si>
  <si>
    <t>PLANTA CONCENTRADORA LA BONITA</t>
  </si>
  <si>
    <t>COMPAÑIA MINERA ARGENTUM S.A.C.</t>
  </si>
  <si>
    <t>CONSORCIO MINERO SUNEC SOCIEDAD COMERCIAL DE RESPONSABILIDAD LIMITADA - CONSORCIO MINERO SUNEC S.R.L</t>
  </si>
  <si>
    <t>CARLOS 2</t>
  </si>
  <si>
    <t>NAYLU</t>
  </si>
  <si>
    <t>JULIO CESAR</t>
  </si>
  <si>
    <t>FARFAN VASQUEZ RAUL</t>
  </si>
  <si>
    <t>SAN HILARIO</t>
  </si>
  <si>
    <t>HUAYPUNA HUISA ROSA ELENA</t>
  </si>
  <si>
    <t>JHON TRES</t>
  </si>
  <si>
    <t>FLOR CARMEN</t>
  </si>
  <si>
    <t>FLOR NANCY</t>
  </si>
  <si>
    <t>PLAYA LUNA TRES</t>
  </si>
  <si>
    <t>NUÑEZ NAVARRO LUIS ANTONIO</t>
  </si>
  <si>
    <t>PLAYA ASHLY DOS</t>
  </si>
  <si>
    <t>LOS COMPADRES</t>
  </si>
  <si>
    <t>SALCEDO GUTIERREZ SONIA</t>
  </si>
  <si>
    <t>MAYTE II</t>
  </si>
  <si>
    <t>ASOCIACION FORTUNA II</t>
  </si>
  <si>
    <t>ADA II</t>
  </si>
  <si>
    <t>PLAYA YANDEL</t>
  </si>
  <si>
    <t>COSE KING E.I.R.L.</t>
  </si>
  <si>
    <t>TRUENO 2003</t>
  </si>
  <si>
    <t>LUIGE</t>
  </si>
  <si>
    <t>NAYZA S.C.R.L.</t>
  </si>
  <si>
    <t>SHIRLEY THALIA IV</t>
  </si>
  <si>
    <t>KORI CHASKA S.A.C.</t>
  </si>
  <si>
    <t>LOS HERMANOS GUZMAN I</t>
  </si>
  <si>
    <t>COOPERATIVA MINERA CHASQUIS DE ORO DE CHUQUINE LIMITADA</t>
  </si>
  <si>
    <t>AFC-16</t>
  </si>
  <si>
    <t>MINERA AURIFERA AURORA SOCIEDAD ANONIMA CERRADA - M.A. AURORA S.A.C.</t>
  </si>
  <si>
    <t>ADOZEL I</t>
  </si>
  <si>
    <t>EMC GREEN GROUP S.A.</t>
  </si>
  <si>
    <t>YACARI</t>
  </si>
  <si>
    <t>ACARI</t>
  </si>
  <si>
    <t>IMPORTACIONES Y SERVICIOS PERU S.A.C</t>
  </si>
  <si>
    <t>GOLD BARS</t>
  </si>
  <si>
    <t>SANTA</t>
  </si>
  <si>
    <t>SAMANCO</t>
  </si>
  <si>
    <t>SMRL SANTA BARBARA DE TRUJILLO</t>
  </si>
  <si>
    <t>MINERIA CORPORATIVA S.A.C.</t>
  </si>
  <si>
    <t>COPE MINA</t>
  </si>
  <si>
    <t>CASTROVIRREYNA</t>
  </si>
  <si>
    <t>CAPILLAS</t>
  </si>
  <si>
    <t>SUSAN IV</t>
  </si>
  <si>
    <t>CHAMPI CHAMPI RAMON</t>
  </si>
  <si>
    <t>APURIMEÑO I</t>
  </si>
  <si>
    <t>APURIMEÑO II</t>
  </si>
  <si>
    <t>MARISOL SEGUNDO</t>
  </si>
  <si>
    <t>FELICIANO</t>
  </si>
  <si>
    <t>QUISPE CONDORI PABLO</t>
  </si>
  <si>
    <t>INVERSIONES RENZO</t>
  </si>
  <si>
    <t>PROYECTO KIARA Y GRECIA</t>
  </si>
  <si>
    <t>SUMERINDE MENDOZA PERCY RICHAR</t>
  </si>
  <si>
    <t>SAN PEDRO 93 A</t>
  </si>
  <si>
    <t>PLAYA FERNANDO</t>
  </si>
  <si>
    <t>QUISPE CHIPANA CELSO</t>
  </si>
  <si>
    <t>CU&amp;SA 2</t>
  </si>
  <si>
    <t>APARICIO QUISPE MARIO</t>
  </si>
  <si>
    <t>MAJU 2006</t>
  </si>
  <si>
    <t>PRINPERU MAYTE SOCIEDAD ANONIMA CERRADA - PRINPERU MAYTE S.A.C</t>
  </si>
  <si>
    <t>CORPORACION AURIFERA KAREN E.I.R.L.</t>
  </si>
  <si>
    <t>FIDEL II</t>
  </si>
  <si>
    <t>INVERSIONES CAIMAN S.A.C.</t>
  </si>
  <si>
    <t>EBONY II</t>
  </si>
  <si>
    <t>C *-* T REPUESTOS EMPRESA INDIVIDUAL DE RESPONSABILIDAD LIMITADA</t>
  </si>
  <si>
    <t>VIOLETA UNO - A</t>
  </si>
  <si>
    <t>EXPLORACIONES N *-* B E.I.R.L.</t>
  </si>
  <si>
    <t>INVERSIONES LA ENTRADA SOCIEDAD COMERCIAL DE RESPONSABILIDAD LIMITADA</t>
  </si>
  <si>
    <t>LA ENTRADA</t>
  </si>
  <si>
    <t>LA JOYA MINING S.A.C.</t>
  </si>
  <si>
    <t>PLANTA DE BENEFICIO LA JOYA</t>
  </si>
  <si>
    <t>LA JOYA</t>
  </si>
  <si>
    <t>MINERALES DE AYABACA S.A.C.</t>
  </si>
  <si>
    <t>MINERA LAS LOMAS S.AC.</t>
  </si>
  <si>
    <t>MISTER GOLD MINERA SOCIEDAD ANONIMA CERRADA</t>
  </si>
  <si>
    <t>PLANTA DE BENEFICIO METALICO MISTER GOLD MINERA</t>
  </si>
  <si>
    <t>AYABACA</t>
  </si>
  <si>
    <t>SUYO</t>
  </si>
  <si>
    <t>Cifras Preliminares</t>
  </si>
  <si>
    <t>FUENTE:  DIRECCIÓN GENERAL DE MINERÍA - DGES - Dirección de Gestión Minera</t>
  </si>
  <si>
    <t>MARC ANTONY</t>
  </si>
  <si>
    <t>ANNY III</t>
  </si>
  <si>
    <t>HUAYPUNA FLORES REMIGIO</t>
  </si>
  <si>
    <t>JHON UNO</t>
  </si>
  <si>
    <t>JUAN RAUL</t>
  </si>
  <si>
    <t>CARUPHE SAC 4</t>
  </si>
  <si>
    <t>TUEROS ARROYO LUIS MANUEL</t>
  </si>
  <si>
    <t>PLAYA LUIS MANUEL</t>
  </si>
  <si>
    <t>EXPLORACIONES N &amp; B E.I.R.L.</t>
  </si>
  <si>
    <t>SOCIEDAD MINERA DE RESPONSABILIDAD LIMITADA JEANNE LINDA XXXIII</t>
  </si>
  <si>
    <t>JEANNE LINDA XXXIII</t>
  </si>
  <si>
    <t>COOPERATIVA MINERA NEVADOS DE CUNUYO LIMITADA</t>
  </si>
  <si>
    <t>CUNUYO QORI PATA I</t>
  </si>
  <si>
    <t>EMPRESA MINERA GRUPO GRANDE SOCIEDAD ANONIMA - MINERA G &amp; G S.A.</t>
  </si>
  <si>
    <t>DOS AMIGOS V&amp;B S.A.C.</t>
  </si>
  <si>
    <t>COMPAÑIA MINERA SAN IGNACIO DE MOROCOCHA S.A.A.</t>
  </si>
  <si>
    <t>CHANCHAMAYO</t>
  </si>
  <si>
    <t>VITOC</t>
  </si>
  <si>
    <t>PRODUCCIÓN METÁLICA - ENERO A AGOSTO DE 2026</t>
  </si>
  <si>
    <t>C &amp; T REPUESTOS EMPRESA INDIVIDUAL DE RESPONSABILIDAD LIMITADA</t>
  </si>
  <si>
    <t>VILMA II</t>
  </si>
  <si>
    <t>CORPORACION HUAQUISTO S.R.L.</t>
  </si>
  <si>
    <t>FRAHN LUIS II</t>
  </si>
  <si>
    <t>EMPRESA MINERA LEONARDO E.I.R.L.</t>
  </si>
  <si>
    <t>JEANNE LINDA XXXV</t>
  </si>
  <si>
    <t>RENZO IA</t>
  </si>
  <si>
    <t>AARON III</t>
  </si>
  <si>
    <t>ACUMULACION AARON III A</t>
  </si>
  <si>
    <t>JHADE LUHANA I</t>
  </si>
  <si>
    <t>JHADE LUHANA II</t>
  </si>
  <si>
    <t>QUISPE CASTILLO ADELARDO</t>
  </si>
  <si>
    <t>URUSAYHUA B Y C</t>
  </si>
  <si>
    <t>S.M.R.L. JUAN RAUL 2</t>
  </si>
  <si>
    <t>JUAN RAUL 2</t>
  </si>
  <si>
    <t>ADA I</t>
  </si>
  <si>
    <t>VARGAS DE VARGAS LUCILA</t>
  </si>
  <si>
    <t>IMELDA 2005</t>
  </si>
  <si>
    <t>MAFTCORE EMPRESA INDIVIDUAL DE RESPONSABILIDAD LIMITADA - MAFTCORE E.I.R.L.</t>
  </si>
  <si>
    <t>YARISA</t>
  </si>
  <si>
    <t>COMPAÑIA MINERA PODEROSA S.A.A.</t>
  </si>
  <si>
    <t>ACUM. 
ENE-AGO</t>
  </si>
  <si>
    <t>Cifras ajustadas al 24 de setiembre de 2026.</t>
  </si>
  <si>
    <t>UNIDAD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</si>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</sst>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rgb="FF00C1A6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657D"/>
      </patternFill>
    </fill>
    <fill>
      <patternFill patternType="solid">
        <fgColor rgb="FFCCEC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43" fontId="3" fillId="0" borderId="0" xfId="1" applyFont="1"/>
    <xf numFmtId="164" fontId="4" fillId="3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uario\Producci&#243;n\2024\Ajuste%20sin%20cajamarquilla%20y%20con%20Bem%20a%20marzo%202024\BD%20Producci&#243;n%20Metalica%20Anuario%202011-2023%20(16.05.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NCIA"/>
      <sheetName val="DEPARTAMENTO"/>
      <sheetName val="UNIDADES MINERAS"/>
      <sheetName val="METALES A 2023"/>
      <sheetName val="TITULARES ANUARIO 2023"/>
      <sheetName val="BD-2011a dic 2023 modificada"/>
      <sheetName val="TD-BD modificada"/>
      <sheetName val="duplicados"/>
      <sheetName val="BD-2011a ene 2024 modificada "/>
      <sheetName val="BD-2011 a 2023"/>
      <sheetName val="TD - ANUAL"/>
      <sheetName val="TD - MES"/>
      <sheetName val="TD - POR MES"/>
      <sheetName val="TD - POR TITULAR "/>
      <sheetName val="TD - POR DEP"/>
      <sheetName val="TD - POR ESTRATO"/>
      <sheetName val="TD - POR PROCESO"/>
      <sheetName val="TD - POR TITULAR Cu"/>
      <sheetName val="TD - POR DEP Cu"/>
      <sheetName val="TD - POR ESTRATO Cu"/>
      <sheetName val="TD - POR PROCESO Cu"/>
      <sheetName val="TD - POR TITULAR Au"/>
      <sheetName val="TD - POR DEP Au "/>
      <sheetName val="TD - POR ESTRATO Au"/>
      <sheetName val="TD - POR PROCESO Au"/>
      <sheetName val="TD - POR TITULAR Ag"/>
      <sheetName val="TD - POR DEP Ag"/>
      <sheetName val="TD - POR ESTRATO Ag"/>
      <sheetName val="TD - POR PROCESO Ag"/>
      <sheetName val="TD - POR TITULAR Zn"/>
      <sheetName val="TD - POR DEP Zn"/>
      <sheetName val="TD - POR ESTRATO Zn "/>
      <sheetName val="TD - POR PROCESO Zn"/>
      <sheetName val="TD - POR TITULAR Pb"/>
      <sheetName val="TD - POR DEP Pb"/>
      <sheetName val="TD - POR ESTRATO Pb"/>
      <sheetName val="TD - POR PROCESO Pb"/>
      <sheetName val="COMPARATIVO"/>
      <sheetName val="COMPARATIVO 2"/>
      <sheetName val="UNIDADES "/>
      <sheetName val="BD Producción Metalica Anuario 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F33E-F656-460C-B687-5056AE303E29}">
  <dimension ref="A2:X753"/>
  <sheetViews>
    <sheetView showGridLines="0" tabSelected="1" topLeftCell="A3" zoomScaleNormal="100" workbookViewId="0">
      <selection activeCell="A4" sqref="A4:V4"/>
    </sheetView>
  </sheetViews>
  <sheetFormatPr defaultColWidth="11.42578125" defaultRowHeight="12.75" x14ac:dyDescent="0.2"/>
  <cols>
    <col min="1" max="2" width="16" style="5" customWidth="1"/>
    <col min="3" max="3" width="17.7109375" style="5" customWidth="1"/>
    <col min="4" max="4" width="18.42578125" style="5" customWidth="1"/>
    <col min="5" max="5" width="29.140625" style="5" customWidth="1"/>
    <col min="6" max="6" width="51.140625" style="5" customWidth="1"/>
    <col min="7" max="7" width="38.7109375" style="5" customWidth="1"/>
    <col min="8" max="8" width="21.42578125" style="5" customWidth="1"/>
    <col min="9" max="9" width="19.5703125" style="5" customWidth="1"/>
    <col min="10" max="10" width="35.140625" style="5" bestFit="1" customWidth="1"/>
    <col min="11" max="12" width="15.85546875" style="6" customWidth="1"/>
    <col min="13" max="22" width="15.85546875" style="5" customWidth="1"/>
    <col min="23" max="23" width="14.140625" style="5" customWidth="1"/>
    <col min="24" max="16384" width="11.42578125" style="3"/>
  </cols>
  <sheetData>
    <row r="2" spans="1:23" ht="21" x14ac:dyDescent="0.2">
      <c r="A2" s="8" t="s">
        <v>965</v>
      </c>
      <c r="B2" s="8"/>
    </row>
    <row r="4" spans="1:23" ht="24.75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9" t="s">
        <v>5</v>
      </c>
      <c r="G4" s="9" t="s">
        <v>989</v>
      </c>
      <c r="H4" s="1" t="s">
        <v>6</v>
      </c>
      <c r="I4" s="1" t="s">
        <v>7</v>
      </c>
      <c r="J4" s="1" t="s">
        <v>8</v>
      </c>
      <c r="K4" s="2" t="s">
        <v>990</v>
      </c>
      <c r="L4" s="2" t="s">
        <v>991</v>
      </c>
      <c r="M4" s="1" t="s">
        <v>992</v>
      </c>
      <c r="N4" s="1" t="s">
        <v>993</v>
      </c>
      <c r="O4" s="1" t="s">
        <v>994</v>
      </c>
      <c r="P4" s="1" t="s">
        <v>995</v>
      </c>
      <c r="Q4" s="1" t="s">
        <v>996</v>
      </c>
      <c r="R4" s="1" t="s">
        <v>997</v>
      </c>
      <c r="S4" s="1" t="s">
        <v>998</v>
      </c>
      <c r="T4" s="1" t="s">
        <v>999</v>
      </c>
      <c r="U4" s="1" t="s">
        <v>1000</v>
      </c>
      <c r="V4" s="1" t="s">
        <v>1001</v>
      </c>
      <c r="W4" s="1" t="s">
        <v>987</v>
      </c>
    </row>
    <row r="5" spans="1:23" x14ac:dyDescent="0.2">
      <c r="A5" s="4" t="s">
        <v>562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536</v>
      </c>
      <c r="G5" s="4" t="s">
        <v>547</v>
      </c>
      <c r="H5" s="4" t="s">
        <v>88</v>
      </c>
      <c r="I5" s="4" t="s">
        <v>111</v>
      </c>
      <c r="J5" s="4" t="s">
        <v>112</v>
      </c>
      <c r="K5" s="7">
        <v>3.6269100000000001</v>
      </c>
      <c r="L5" s="7">
        <v>4.0498979999999998</v>
      </c>
      <c r="M5" s="7">
        <v>3.3783180000000002</v>
      </c>
      <c r="N5" s="7">
        <v>4.1949490000000003</v>
      </c>
      <c r="O5" s="7">
        <v>3.4643839999999999</v>
      </c>
      <c r="P5" s="7">
        <v>0</v>
      </c>
      <c r="Q5" s="7">
        <v>5.3319619999999999</v>
      </c>
      <c r="R5" s="7">
        <v>6.4236190000000004</v>
      </c>
      <c r="S5" s="7"/>
      <c r="T5" s="7"/>
      <c r="U5" s="7"/>
      <c r="V5" s="7"/>
      <c r="W5" s="11">
        <f>SUM(K5:V5)</f>
        <v>30.470039999999997</v>
      </c>
    </row>
    <row r="6" spans="1:23" x14ac:dyDescent="0.2">
      <c r="A6" s="4" t="s">
        <v>562</v>
      </c>
      <c r="B6" s="4" t="s">
        <v>9</v>
      </c>
      <c r="C6" s="4" t="s">
        <v>10</v>
      </c>
      <c r="D6" s="4" t="s">
        <v>11</v>
      </c>
      <c r="E6" s="4" t="s">
        <v>12</v>
      </c>
      <c r="F6" s="4" t="s">
        <v>13</v>
      </c>
      <c r="G6" s="4" t="s">
        <v>14</v>
      </c>
      <c r="H6" s="4" t="s">
        <v>15</v>
      </c>
      <c r="I6" s="4" t="s">
        <v>16</v>
      </c>
      <c r="J6" s="4" t="s">
        <v>17</v>
      </c>
      <c r="K6" s="7">
        <v>41.415711000000002</v>
      </c>
      <c r="L6" s="7">
        <v>46.301206700000002</v>
      </c>
      <c r="M6" s="7">
        <v>45.318284400000003</v>
      </c>
      <c r="N6" s="7">
        <v>29.780670000000001</v>
      </c>
      <c r="O6" s="7">
        <v>16.956417600000002</v>
      </c>
      <c r="P6" s="7">
        <v>20.220274400000001</v>
      </c>
      <c r="Q6" s="7">
        <v>24.834766999999999</v>
      </c>
      <c r="R6" s="7">
        <v>30.618167999999997</v>
      </c>
      <c r="S6" s="7"/>
      <c r="T6" s="7"/>
      <c r="U6" s="7"/>
      <c r="V6" s="7"/>
      <c r="W6" s="11">
        <f t="shared" ref="W6:W58" si="0">SUM(K6:V6)</f>
        <v>255.44549910000003</v>
      </c>
    </row>
    <row r="7" spans="1:23" x14ac:dyDescent="0.2">
      <c r="A7" s="4" t="s">
        <v>562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18</v>
      </c>
      <c r="G7" s="4" t="s">
        <v>19</v>
      </c>
      <c r="H7" s="4" t="s">
        <v>591</v>
      </c>
      <c r="I7" s="4" t="s">
        <v>20</v>
      </c>
      <c r="J7" s="4" t="s">
        <v>20</v>
      </c>
      <c r="K7" s="7">
        <v>110.48268</v>
      </c>
      <c r="L7" s="7">
        <v>94.648795000000007</v>
      </c>
      <c r="M7" s="7">
        <v>87.023861799999992</v>
      </c>
      <c r="N7" s="7">
        <v>56.457009600000006</v>
      </c>
      <c r="O7" s="7">
        <v>50.389569999999999</v>
      </c>
      <c r="P7" s="7">
        <v>86.509502699999999</v>
      </c>
      <c r="Q7" s="7">
        <v>83.964039999999997</v>
      </c>
      <c r="R7" s="7">
        <v>91.502376999999996</v>
      </c>
      <c r="S7" s="7"/>
      <c r="T7" s="7"/>
      <c r="U7" s="7"/>
      <c r="V7" s="7"/>
      <c r="W7" s="11">
        <f t="shared" si="0"/>
        <v>660.97783609999999</v>
      </c>
    </row>
    <row r="8" spans="1:23" x14ac:dyDescent="0.2">
      <c r="A8" s="4" t="s">
        <v>562</v>
      </c>
      <c r="B8" s="4" t="s">
        <v>9</v>
      </c>
      <c r="C8" s="4" t="s">
        <v>10</v>
      </c>
      <c r="D8" s="4" t="s">
        <v>11</v>
      </c>
      <c r="E8" s="4" t="s">
        <v>12</v>
      </c>
      <c r="F8" s="4" t="s">
        <v>21</v>
      </c>
      <c r="G8" s="4" t="s">
        <v>22</v>
      </c>
      <c r="H8" s="4" t="s">
        <v>592</v>
      </c>
      <c r="I8" s="4" t="s">
        <v>23</v>
      </c>
      <c r="J8" s="4" t="s">
        <v>23</v>
      </c>
      <c r="K8" s="7">
        <v>781.78302599999995</v>
      </c>
      <c r="L8" s="7">
        <v>553.96266800000001</v>
      </c>
      <c r="M8" s="7">
        <v>455.32995</v>
      </c>
      <c r="N8" s="7">
        <v>882.394497</v>
      </c>
      <c r="O8" s="7">
        <v>498.92950200000001</v>
      </c>
      <c r="P8" s="7">
        <v>1048.1296279999999</v>
      </c>
      <c r="Q8" s="7">
        <v>697.89532599999995</v>
      </c>
      <c r="R8" s="7">
        <v>772.48993199999995</v>
      </c>
      <c r="S8" s="7"/>
      <c r="T8" s="7"/>
      <c r="U8" s="7"/>
      <c r="V8" s="7"/>
      <c r="W8" s="11">
        <f t="shared" si="0"/>
        <v>5690.9145289999997</v>
      </c>
    </row>
    <row r="9" spans="1:23" x14ac:dyDescent="0.2">
      <c r="A9" s="4" t="s">
        <v>562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24</v>
      </c>
      <c r="G9" s="4" t="s">
        <v>25</v>
      </c>
      <c r="H9" s="4" t="s">
        <v>26</v>
      </c>
      <c r="I9" s="4" t="s">
        <v>26</v>
      </c>
      <c r="J9" s="4" t="s">
        <v>27</v>
      </c>
      <c r="K9" s="7">
        <v>750.71614579999994</v>
      </c>
      <c r="L9" s="7">
        <v>1387.9453865</v>
      </c>
      <c r="M9" s="7">
        <v>1332.6027624000001</v>
      </c>
      <c r="N9" s="7">
        <v>1200.724954</v>
      </c>
      <c r="O9" s="7">
        <v>1418.2637115</v>
      </c>
      <c r="P9" s="7">
        <v>1884.1436217999999</v>
      </c>
      <c r="Q9" s="7">
        <v>1464.6457539999999</v>
      </c>
      <c r="R9" s="7">
        <v>1406.045558</v>
      </c>
      <c r="S9" s="7"/>
      <c r="T9" s="7"/>
      <c r="U9" s="7"/>
      <c r="V9" s="7"/>
      <c r="W9" s="11">
        <f t="shared" si="0"/>
        <v>10845.087894</v>
      </c>
    </row>
    <row r="10" spans="1:23" x14ac:dyDescent="0.2">
      <c r="A10" s="4" t="s">
        <v>562</v>
      </c>
      <c r="B10" s="4" t="s">
        <v>9</v>
      </c>
      <c r="C10" s="4" t="s">
        <v>10</v>
      </c>
      <c r="D10" s="4" t="s">
        <v>28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 t="s">
        <v>34</v>
      </c>
      <c r="K10" s="7">
        <v>0.58299999999999996</v>
      </c>
      <c r="L10" s="7">
        <v>0.38080000000000003</v>
      </c>
      <c r="M10" s="7">
        <v>0.34499999999999997</v>
      </c>
      <c r="N10" s="7">
        <v>0.3569</v>
      </c>
      <c r="O10" s="7">
        <v>0.27879999999999999</v>
      </c>
      <c r="P10" s="7">
        <v>0.25650000000000001</v>
      </c>
      <c r="Q10" s="7">
        <v>0.41870000000000002</v>
      </c>
      <c r="R10" s="7">
        <v>0.23799999999999999</v>
      </c>
      <c r="S10" s="7"/>
      <c r="T10" s="7"/>
      <c r="U10" s="7"/>
      <c r="V10" s="7"/>
      <c r="W10" s="11">
        <f t="shared" si="0"/>
        <v>2.8576999999999999</v>
      </c>
    </row>
    <row r="11" spans="1:23" x14ac:dyDescent="0.2">
      <c r="A11" s="4" t="s">
        <v>563</v>
      </c>
      <c r="B11" s="4" t="s">
        <v>9</v>
      </c>
      <c r="C11" s="4" t="s">
        <v>10</v>
      </c>
      <c r="D11" s="4" t="s">
        <v>11</v>
      </c>
      <c r="E11" s="4" t="s">
        <v>12</v>
      </c>
      <c r="F11" s="4" t="s">
        <v>18</v>
      </c>
      <c r="G11" s="4" t="s">
        <v>19</v>
      </c>
      <c r="H11" s="4" t="s">
        <v>591</v>
      </c>
      <c r="I11" s="4" t="s">
        <v>20</v>
      </c>
      <c r="J11" s="4" t="s">
        <v>20</v>
      </c>
      <c r="K11" s="7">
        <v>0.94978200000000002</v>
      </c>
      <c r="L11" s="7">
        <v>1.0243739999999999</v>
      </c>
      <c r="M11" s="7">
        <v>0.83191020000000004</v>
      </c>
      <c r="N11" s="7">
        <v>0.72342300000000004</v>
      </c>
      <c r="O11" s="7">
        <v>0</v>
      </c>
      <c r="P11" s="7">
        <v>0</v>
      </c>
      <c r="Q11" s="7">
        <v>0</v>
      </c>
      <c r="R11" s="7">
        <v>0</v>
      </c>
      <c r="S11" s="7"/>
      <c r="T11" s="7"/>
      <c r="U11" s="7"/>
      <c r="V11" s="7"/>
      <c r="W11" s="11">
        <f t="shared" si="0"/>
        <v>3.5294892</v>
      </c>
    </row>
    <row r="12" spans="1:23" x14ac:dyDescent="0.2">
      <c r="A12" s="4" t="s">
        <v>563</v>
      </c>
      <c r="B12" s="4" t="s">
        <v>9</v>
      </c>
      <c r="C12" s="4" t="s">
        <v>10</v>
      </c>
      <c r="D12" s="4" t="s">
        <v>11</v>
      </c>
      <c r="E12" s="4" t="s">
        <v>12</v>
      </c>
      <c r="F12" s="4" t="s">
        <v>35</v>
      </c>
      <c r="G12" s="4" t="s">
        <v>36</v>
      </c>
      <c r="H12" s="4" t="s">
        <v>26</v>
      </c>
      <c r="I12" s="4" t="s">
        <v>26</v>
      </c>
      <c r="J12" s="4" t="s">
        <v>37</v>
      </c>
      <c r="K12" s="7">
        <v>1.2412380000000001</v>
      </c>
      <c r="L12" s="7">
        <v>1.292211</v>
      </c>
      <c r="M12" s="7">
        <v>2.478084</v>
      </c>
      <c r="N12" s="7">
        <v>1.9552499999999999</v>
      </c>
      <c r="O12" s="7">
        <v>2.125416</v>
      </c>
      <c r="P12" s="7">
        <v>3.9998559999999999</v>
      </c>
      <c r="Q12" s="7">
        <v>2.5247000000000002</v>
      </c>
      <c r="R12" s="7">
        <v>5.0466090000000001</v>
      </c>
      <c r="S12" s="7"/>
      <c r="T12" s="7"/>
      <c r="U12" s="7"/>
      <c r="V12" s="7"/>
      <c r="W12" s="11">
        <f t="shared" si="0"/>
        <v>20.663363999999998</v>
      </c>
    </row>
    <row r="13" spans="1:23" x14ac:dyDescent="0.2">
      <c r="A13" s="4" t="s">
        <v>563</v>
      </c>
      <c r="B13" s="4" t="s">
        <v>9</v>
      </c>
      <c r="C13" s="4" t="s">
        <v>10</v>
      </c>
      <c r="D13" s="4" t="s">
        <v>11</v>
      </c>
      <c r="E13" s="4" t="s">
        <v>12</v>
      </c>
      <c r="F13" s="4" t="s">
        <v>38</v>
      </c>
      <c r="G13" s="4" t="s">
        <v>39</v>
      </c>
      <c r="H13" s="4" t="s">
        <v>26</v>
      </c>
      <c r="I13" s="4" t="s">
        <v>26</v>
      </c>
      <c r="J13" s="4" t="s">
        <v>37</v>
      </c>
      <c r="K13" s="7">
        <v>9.8252089999999992</v>
      </c>
      <c r="L13" s="7">
        <v>10.930327</v>
      </c>
      <c r="M13" s="7">
        <v>15.641504000000001</v>
      </c>
      <c r="N13" s="7">
        <v>18.361675999999999</v>
      </c>
      <c r="O13" s="7">
        <v>20.798343000000003</v>
      </c>
      <c r="P13" s="7">
        <v>17.375508</v>
      </c>
      <c r="Q13" s="7">
        <v>16.106933000000001</v>
      </c>
      <c r="R13" s="7">
        <v>21.345983</v>
      </c>
      <c r="S13" s="7"/>
      <c r="T13" s="7"/>
      <c r="U13" s="7"/>
      <c r="V13" s="7"/>
      <c r="W13" s="11">
        <f t="shared" si="0"/>
        <v>130.38548299999999</v>
      </c>
    </row>
    <row r="14" spans="1:23" ht="13.5" customHeight="1" x14ac:dyDescent="0.2">
      <c r="A14" s="4" t="s">
        <v>563</v>
      </c>
      <c r="B14" s="4" t="s">
        <v>9</v>
      </c>
      <c r="C14" s="4" t="s">
        <v>10</v>
      </c>
      <c r="D14" s="4" t="s">
        <v>11</v>
      </c>
      <c r="E14" s="4" t="s">
        <v>12</v>
      </c>
      <c r="F14" s="4" t="s">
        <v>40</v>
      </c>
      <c r="G14" s="4" t="s">
        <v>41</v>
      </c>
      <c r="H14" s="4" t="s">
        <v>591</v>
      </c>
      <c r="I14" s="4" t="s">
        <v>42</v>
      </c>
      <c r="J14" s="4" t="s">
        <v>43</v>
      </c>
      <c r="K14" s="7">
        <v>5.6885273999999999</v>
      </c>
      <c r="L14" s="7">
        <v>5.2067310000000004</v>
      </c>
      <c r="M14" s="7">
        <v>5.4995909999999997</v>
      </c>
      <c r="N14" s="7">
        <v>4.6394279999999997</v>
      </c>
      <c r="O14" s="7">
        <v>5.6195399999999998</v>
      </c>
      <c r="P14" s="7">
        <v>6.0317970000000001</v>
      </c>
      <c r="Q14" s="7">
        <v>5.480607</v>
      </c>
      <c r="R14" s="7">
        <v>7.2895320000000003</v>
      </c>
      <c r="S14" s="7"/>
      <c r="T14" s="7"/>
      <c r="U14" s="7"/>
      <c r="V14" s="7"/>
      <c r="W14" s="11">
        <f t="shared" si="0"/>
        <v>45.455753399999999</v>
      </c>
    </row>
    <row r="15" spans="1:23" x14ac:dyDescent="0.2">
      <c r="A15" s="4" t="s">
        <v>563</v>
      </c>
      <c r="B15" s="4" t="s">
        <v>9</v>
      </c>
      <c r="C15" s="4" t="s">
        <v>10</v>
      </c>
      <c r="D15" s="4" t="s">
        <v>28</v>
      </c>
      <c r="E15" s="4" t="s">
        <v>29</v>
      </c>
      <c r="F15" s="4" t="s">
        <v>30</v>
      </c>
      <c r="G15" s="4" t="s">
        <v>31</v>
      </c>
      <c r="H15" s="4" t="s">
        <v>32</v>
      </c>
      <c r="I15" s="4" t="s">
        <v>33</v>
      </c>
      <c r="J15" s="4" t="s">
        <v>34</v>
      </c>
      <c r="K15" s="7">
        <v>9.5399999999999999E-2</v>
      </c>
      <c r="L15" s="7">
        <v>4.0800000000000003E-2</v>
      </c>
      <c r="M15" s="7">
        <v>3.4500000000000003E-2</v>
      </c>
      <c r="N15" s="7">
        <v>3.44E-2</v>
      </c>
      <c r="O15" s="7">
        <v>2.7199999999999998E-2</v>
      </c>
      <c r="P15" s="7">
        <v>2.1600000000000001E-2</v>
      </c>
      <c r="Q15" s="7">
        <v>5.3E-3</v>
      </c>
      <c r="R15" s="7">
        <v>1.7500000000000002E-2</v>
      </c>
      <c r="S15" s="7"/>
      <c r="T15" s="7"/>
      <c r="U15" s="7"/>
      <c r="V15" s="7"/>
      <c r="W15" s="11">
        <f t="shared" si="0"/>
        <v>0.27670000000000006</v>
      </c>
    </row>
    <row r="16" spans="1:23" x14ac:dyDescent="0.2">
      <c r="A16" s="4" t="s">
        <v>564</v>
      </c>
      <c r="B16" s="4" t="s">
        <v>9</v>
      </c>
      <c r="C16" s="4" t="s">
        <v>10</v>
      </c>
      <c r="D16" s="4" t="s">
        <v>11</v>
      </c>
      <c r="E16" s="4" t="s">
        <v>12</v>
      </c>
      <c r="F16" s="4" t="s">
        <v>18</v>
      </c>
      <c r="G16" s="4" t="s">
        <v>19</v>
      </c>
      <c r="H16" s="4" t="s">
        <v>591</v>
      </c>
      <c r="I16" s="4" t="s">
        <v>20</v>
      </c>
      <c r="J16" s="4" t="s">
        <v>20</v>
      </c>
      <c r="K16" s="7">
        <v>6.1648800000000001</v>
      </c>
      <c r="L16" s="7">
        <v>5.2055100000000003</v>
      </c>
      <c r="M16" s="7">
        <v>5.589162</v>
      </c>
      <c r="N16" s="7">
        <v>3.8404379999999998</v>
      </c>
      <c r="O16" s="7">
        <v>5.1046860000000001</v>
      </c>
      <c r="P16" s="7">
        <v>5.4607770000000002</v>
      </c>
      <c r="Q16" s="7">
        <v>5.6696400000000002</v>
      </c>
      <c r="R16" s="7">
        <v>6.3206759999999997</v>
      </c>
      <c r="S16" s="7"/>
      <c r="T16" s="7"/>
      <c r="U16" s="7"/>
      <c r="V16" s="7"/>
      <c r="W16" s="11">
        <f t="shared" si="0"/>
        <v>43.355769000000002</v>
      </c>
    </row>
    <row r="17" spans="1:23" x14ac:dyDescent="0.2">
      <c r="A17" s="4" t="s">
        <v>564</v>
      </c>
      <c r="B17" s="4" t="s">
        <v>9</v>
      </c>
      <c r="C17" s="4" t="s">
        <v>10</v>
      </c>
      <c r="D17" s="4" t="s">
        <v>11</v>
      </c>
      <c r="E17" s="4" t="s">
        <v>12</v>
      </c>
      <c r="F17" s="4" t="s">
        <v>44</v>
      </c>
      <c r="G17" s="4" t="s">
        <v>45</v>
      </c>
      <c r="H17" s="4" t="s">
        <v>46</v>
      </c>
      <c r="I17" s="4" t="s">
        <v>47</v>
      </c>
      <c r="J17" s="4" t="s">
        <v>47</v>
      </c>
      <c r="K17" s="7">
        <v>16.395735999999999</v>
      </c>
      <c r="L17" s="7">
        <v>13.17666</v>
      </c>
      <c r="M17" s="7">
        <v>11.422354</v>
      </c>
      <c r="N17" s="7">
        <v>14.036678</v>
      </c>
      <c r="O17" s="7">
        <v>12.706802</v>
      </c>
      <c r="P17" s="7">
        <v>15.47044</v>
      </c>
      <c r="Q17" s="7">
        <v>12.583159999999999</v>
      </c>
      <c r="R17" s="7">
        <v>12.751519999999999</v>
      </c>
      <c r="S17" s="7"/>
      <c r="T17" s="7"/>
      <c r="U17" s="7"/>
      <c r="V17" s="7"/>
      <c r="W17" s="11">
        <f t="shared" si="0"/>
        <v>108.54335</v>
      </c>
    </row>
    <row r="18" spans="1:23" x14ac:dyDescent="0.2">
      <c r="A18" s="4" t="s">
        <v>564</v>
      </c>
      <c r="B18" s="4" t="s">
        <v>9</v>
      </c>
      <c r="C18" s="4" t="s">
        <v>10</v>
      </c>
      <c r="D18" s="4" t="s">
        <v>11</v>
      </c>
      <c r="E18" s="4" t="s">
        <v>12</v>
      </c>
      <c r="F18" s="4" t="s">
        <v>40</v>
      </c>
      <c r="G18" s="4" t="s">
        <v>41</v>
      </c>
      <c r="H18" s="4" t="s">
        <v>591</v>
      </c>
      <c r="I18" s="4" t="s">
        <v>42</v>
      </c>
      <c r="J18" s="4" t="s">
        <v>43</v>
      </c>
      <c r="K18" s="7">
        <v>3.9908700000000001</v>
      </c>
      <c r="L18" s="7">
        <v>4.047072</v>
      </c>
      <c r="M18" s="7">
        <v>5.5070579999999998</v>
      </c>
      <c r="N18" s="7">
        <v>4.3102679999999998</v>
      </c>
      <c r="O18" s="7">
        <v>3.9205589999999999</v>
      </c>
      <c r="P18" s="7">
        <v>5.3677859999999997</v>
      </c>
      <c r="Q18" s="7">
        <v>3.2440980000000001</v>
      </c>
      <c r="R18" s="7">
        <v>4.7183190000000002</v>
      </c>
      <c r="S18" s="7"/>
      <c r="T18" s="7"/>
      <c r="U18" s="7"/>
      <c r="V18" s="7"/>
      <c r="W18" s="11">
        <f t="shared" si="0"/>
        <v>35.106030000000004</v>
      </c>
    </row>
    <row r="19" spans="1:23" x14ac:dyDescent="0.2">
      <c r="A19" s="4" t="s">
        <v>565</v>
      </c>
      <c r="B19" s="4" t="s">
        <v>9</v>
      </c>
      <c r="C19" s="4" t="s">
        <v>10</v>
      </c>
      <c r="D19" s="4" t="s">
        <v>11</v>
      </c>
      <c r="E19" s="4" t="s">
        <v>29</v>
      </c>
      <c r="F19" s="4" t="s">
        <v>538</v>
      </c>
      <c r="G19" s="4" t="s">
        <v>866</v>
      </c>
      <c r="H19" s="4" t="s">
        <v>46</v>
      </c>
      <c r="I19" s="4" t="s">
        <v>52</v>
      </c>
      <c r="J19" s="4" t="s">
        <v>561</v>
      </c>
      <c r="K19" s="7">
        <v>0</v>
      </c>
      <c r="L19" s="7">
        <v>0</v>
      </c>
      <c r="M19" s="7">
        <v>0</v>
      </c>
      <c r="N19" s="7">
        <v>0</v>
      </c>
      <c r="O19" s="7">
        <v>171.77612400000001</v>
      </c>
      <c r="P19" s="7">
        <v>171.94559194999999</v>
      </c>
      <c r="Q19" s="7">
        <v>185.98352399999999</v>
      </c>
      <c r="R19" s="7">
        <v>165.067849</v>
      </c>
      <c r="S19" s="7"/>
      <c r="T19" s="7"/>
      <c r="U19" s="7"/>
      <c r="V19" s="7"/>
      <c r="W19" s="11">
        <f t="shared" si="0"/>
        <v>694.77308894999999</v>
      </c>
    </row>
    <row r="20" spans="1:23" x14ac:dyDescent="0.2">
      <c r="A20" s="4" t="s">
        <v>565</v>
      </c>
      <c r="B20" s="4" t="s">
        <v>9</v>
      </c>
      <c r="C20" s="4" t="s">
        <v>10</v>
      </c>
      <c r="D20" s="4" t="s">
        <v>11</v>
      </c>
      <c r="E20" s="4" t="s">
        <v>29</v>
      </c>
      <c r="F20" s="4" t="s">
        <v>48</v>
      </c>
      <c r="G20" s="4" t="s">
        <v>49</v>
      </c>
      <c r="H20" s="4" t="s">
        <v>591</v>
      </c>
      <c r="I20" s="4" t="s">
        <v>50</v>
      </c>
      <c r="J20" s="4" t="s">
        <v>51</v>
      </c>
      <c r="K20" s="7">
        <v>4.8824233000000001</v>
      </c>
      <c r="L20" s="7">
        <v>8.8153763000000005</v>
      </c>
      <c r="M20" s="7">
        <v>6.9474481000000008</v>
      </c>
      <c r="N20" s="7">
        <v>0</v>
      </c>
      <c r="O20" s="7">
        <v>24.893361499999997</v>
      </c>
      <c r="P20" s="7">
        <v>0</v>
      </c>
      <c r="Q20" s="7">
        <v>24.246616000000003</v>
      </c>
      <c r="R20" s="7">
        <v>0</v>
      </c>
      <c r="S20" s="7"/>
      <c r="T20" s="7"/>
      <c r="U20" s="7"/>
      <c r="V20" s="7"/>
      <c r="W20" s="11">
        <f t="shared" si="0"/>
        <v>69.785225199999999</v>
      </c>
    </row>
    <row r="21" spans="1:23" x14ac:dyDescent="0.2">
      <c r="A21" s="4" t="s">
        <v>565</v>
      </c>
      <c r="B21" s="4" t="s">
        <v>9</v>
      </c>
      <c r="C21" s="4" t="s">
        <v>10</v>
      </c>
      <c r="D21" s="4" t="s">
        <v>11</v>
      </c>
      <c r="E21" s="4" t="s">
        <v>29</v>
      </c>
      <c r="F21" s="4" t="s">
        <v>679</v>
      </c>
      <c r="G21" s="4" t="s">
        <v>680</v>
      </c>
      <c r="H21" s="4" t="s">
        <v>15</v>
      </c>
      <c r="I21" s="4" t="s">
        <v>681</v>
      </c>
      <c r="J21" s="4" t="s">
        <v>681</v>
      </c>
      <c r="K21" s="7">
        <v>0</v>
      </c>
      <c r="L21" s="7">
        <v>7.8510249999999999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5.5959240000000001</v>
      </c>
      <c r="S21" s="7"/>
      <c r="T21" s="7"/>
      <c r="U21" s="7"/>
      <c r="V21" s="7"/>
      <c r="W21" s="11">
        <f t="shared" si="0"/>
        <v>13.446949</v>
      </c>
    </row>
    <row r="22" spans="1:23" x14ac:dyDescent="0.2">
      <c r="A22" s="4" t="s">
        <v>565</v>
      </c>
      <c r="B22" s="4" t="s">
        <v>9</v>
      </c>
      <c r="C22" s="4" t="s">
        <v>10</v>
      </c>
      <c r="D22" s="4" t="s">
        <v>11</v>
      </c>
      <c r="E22" s="4" t="s">
        <v>29</v>
      </c>
      <c r="F22" s="4" t="s">
        <v>764</v>
      </c>
      <c r="G22" s="4" t="s">
        <v>765</v>
      </c>
      <c r="H22" s="4" t="s">
        <v>54</v>
      </c>
      <c r="I22" s="4" t="s">
        <v>54</v>
      </c>
      <c r="J22" s="4" t="s">
        <v>766</v>
      </c>
      <c r="K22" s="7">
        <v>0</v>
      </c>
      <c r="L22" s="7">
        <v>6.4975873000000002</v>
      </c>
      <c r="M22" s="7">
        <v>10.191701999999999</v>
      </c>
      <c r="N22" s="7">
        <v>12.3789699</v>
      </c>
      <c r="O22" s="7">
        <v>0</v>
      </c>
      <c r="P22" s="7">
        <v>0</v>
      </c>
      <c r="Q22" s="7">
        <v>11.016104</v>
      </c>
      <c r="R22" s="7">
        <v>0</v>
      </c>
      <c r="S22" s="7"/>
      <c r="T22" s="7"/>
      <c r="U22" s="7"/>
      <c r="V22" s="7"/>
      <c r="W22" s="11">
        <f t="shared" si="0"/>
        <v>40.084363199999999</v>
      </c>
    </row>
    <row r="23" spans="1:23" x14ac:dyDescent="0.2">
      <c r="A23" s="4" t="s">
        <v>565</v>
      </c>
      <c r="B23" s="4" t="s">
        <v>9</v>
      </c>
      <c r="C23" s="4" t="s">
        <v>10</v>
      </c>
      <c r="D23" s="4" t="s">
        <v>11</v>
      </c>
      <c r="E23" s="4" t="s">
        <v>29</v>
      </c>
      <c r="F23" s="4" t="s">
        <v>180</v>
      </c>
      <c r="G23" s="4" t="s">
        <v>181</v>
      </c>
      <c r="H23" s="4" t="s">
        <v>46</v>
      </c>
      <c r="I23" s="4" t="s">
        <v>47</v>
      </c>
      <c r="J23" s="4" t="s">
        <v>47</v>
      </c>
      <c r="K23" s="7">
        <v>0.185248</v>
      </c>
      <c r="L23" s="7">
        <v>0.33632899999999999</v>
      </c>
      <c r="M23" s="7">
        <v>0.86742600000000003</v>
      </c>
      <c r="N23" s="7">
        <v>0.508602</v>
      </c>
      <c r="O23" s="7">
        <v>0.96366600000000002</v>
      </c>
      <c r="P23" s="7">
        <v>0.58655999999999997</v>
      </c>
      <c r="Q23" s="7">
        <v>0</v>
      </c>
      <c r="R23" s="7">
        <v>1.3447979999999999</v>
      </c>
      <c r="S23" s="7"/>
      <c r="T23" s="7"/>
      <c r="U23" s="7"/>
      <c r="V23" s="7"/>
      <c r="W23" s="11">
        <f t="shared" si="0"/>
        <v>4.7926289999999998</v>
      </c>
    </row>
    <row r="24" spans="1:23" x14ac:dyDescent="0.2">
      <c r="A24" s="4" t="s">
        <v>565</v>
      </c>
      <c r="B24" s="4" t="s">
        <v>9</v>
      </c>
      <c r="C24" s="4" t="s">
        <v>10</v>
      </c>
      <c r="D24" s="4" t="s">
        <v>11</v>
      </c>
      <c r="E24" s="4" t="s">
        <v>29</v>
      </c>
      <c r="F24" s="4" t="s">
        <v>767</v>
      </c>
      <c r="G24" s="4" t="s">
        <v>768</v>
      </c>
      <c r="H24" s="4" t="s">
        <v>54</v>
      </c>
      <c r="I24" s="4" t="s">
        <v>123</v>
      </c>
      <c r="J24" s="4" t="s">
        <v>534</v>
      </c>
      <c r="K24" s="7">
        <v>0</v>
      </c>
      <c r="L24" s="7">
        <v>0</v>
      </c>
      <c r="M24" s="7">
        <v>4.9165599999999996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/>
      <c r="T24" s="7"/>
      <c r="U24" s="7"/>
      <c r="V24" s="7"/>
      <c r="W24" s="11">
        <f t="shared" si="0"/>
        <v>4.9165599999999996</v>
      </c>
    </row>
    <row r="25" spans="1:23" x14ac:dyDescent="0.2">
      <c r="A25" s="4" t="s">
        <v>565</v>
      </c>
      <c r="B25" s="4" t="s">
        <v>9</v>
      </c>
      <c r="C25" s="4" t="s">
        <v>10</v>
      </c>
      <c r="D25" s="4" t="s">
        <v>11</v>
      </c>
      <c r="E25" s="4" t="s">
        <v>29</v>
      </c>
      <c r="F25" s="4" t="s">
        <v>56</v>
      </c>
      <c r="G25" s="4" t="s">
        <v>57</v>
      </c>
      <c r="H25" s="4" t="s">
        <v>591</v>
      </c>
      <c r="I25" s="4" t="s">
        <v>20</v>
      </c>
      <c r="J25" s="4" t="s">
        <v>58</v>
      </c>
      <c r="K25" s="7">
        <v>8.6293839000000006</v>
      </c>
      <c r="L25" s="7">
        <v>14.712295399999999</v>
      </c>
      <c r="M25" s="7">
        <v>18.840365800000001</v>
      </c>
      <c r="N25" s="7">
        <v>14.309999400000001</v>
      </c>
      <c r="O25" s="7">
        <v>9.0225688000000002</v>
      </c>
      <c r="P25" s="7">
        <v>20.388966</v>
      </c>
      <c r="Q25" s="7">
        <v>6.1993130000000001</v>
      </c>
      <c r="R25" s="7">
        <v>20.907176999999997</v>
      </c>
      <c r="S25" s="7"/>
      <c r="T25" s="7"/>
      <c r="U25" s="7"/>
      <c r="V25" s="7"/>
      <c r="W25" s="11">
        <f t="shared" si="0"/>
        <v>113.0100693</v>
      </c>
    </row>
    <row r="26" spans="1:23" x14ac:dyDescent="0.2">
      <c r="A26" s="4" t="s">
        <v>565</v>
      </c>
      <c r="B26" s="4" t="s">
        <v>9</v>
      </c>
      <c r="C26" s="4" t="s">
        <v>10</v>
      </c>
      <c r="D26" s="4" t="s">
        <v>11</v>
      </c>
      <c r="E26" s="4" t="s">
        <v>29</v>
      </c>
      <c r="F26" s="4" t="s">
        <v>537</v>
      </c>
      <c r="G26" s="4" t="s">
        <v>548</v>
      </c>
      <c r="H26" s="4" t="s">
        <v>591</v>
      </c>
      <c r="I26" s="4" t="s">
        <v>62</v>
      </c>
      <c r="J26" s="4" t="s">
        <v>560</v>
      </c>
      <c r="K26" s="7">
        <v>100.8819525</v>
      </c>
      <c r="L26" s="7">
        <v>79.545780500000006</v>
      </c>
      <c r="M26" s="7">
        <v>84.762220499999998</v>
      </c>
      <c r="N26" s="7">
        <v>96.994955200000007</v>
      </c>
      <c r="O26" s="7">
        <v>94.985884499999997</v>
      </c>
      <c r="P26" s="7">
        <v>95.132902200000004</v>
      </c>
      <c r="Q26" s="7">
        <v>94.096729999999994</v>
      </c>
      <c r="R26" s="7">
        <v>92.38006</v>
      </c>
      <c r="S26" s="7"/>
      <c r="T26" s="7"/>
      <c r="U26" s="7"/>
      <c r="V26" s="7"/>
      <c r="W26" s="11">
        <f t="shared" si="0"/>
        <v>738.78048539999998</v>
      </c>
    </row>
    <row r="27" spans="1:23" x14ac:dyDescent="0.2">
      <c r="A27" s="4" t="s">
        <v>565</v>
      </c>
      <c r="B27" s="4" t="s">
        <v>9</v>
      </c>
      <c r="C27" s="4" t="s">
        <v>10</v>
      </c>
      <c r="D27" s="4" t="s">
        <v>11</v>
      </c>
      <c r="E27" s="4" t="s">
        <v>29</v>
      </c>
      <c r="F27" s="4" t="s">
        <v>761</v>
      </c>
      <c r="G27" s="4" t="s">
        <v>762</v>
      </c>
      <c r="H27" s="4" t="s">
        <v>591</v>
      </c>
      <c r="I27" s="4" t="s">
        <v>62</v>
      </c>
      <c r="J27" s="4" t="s">
        <v>763</v>
      </c>
      <c r="K27" s="7">
        <v>0</v>
      </c>
      <c r="L27" s="7">
        <v>0</v>
      </c>
      <c r="M27" s="7">
        <v>1.9724870999999999</v>
      </c>
      <c r="N27" s="7">
        <v>0.90762760000000009</v>
      </c>
      <c r="O27" s="7">
        <v>0</v>
      </c>
      <c r="P27" s="7">
        <v>1.8532416</v>
      </c>
      <c r="Q27" s="7">
        <v>0</v>
      </c>
      <c r="R27" s="7">
        <v>1.8386370000000001</v>
      </c>
      <c r="S27" s="7"/>
      <c r="T27" s="7"/>
      <c r="U27" s="7"/>
      <c r="V27" s="7"/>
      <c r="W27" s="11">
        <f t="shared" si="0"/>
        <v>6.5719933000000008</v>
      </c>
    </row>
    <row r="28" spans="1:23" x14ac:dyDescent="0.2">
      <c r="A28" s="4" t="s">
        <v>565</v>
      </c>
      <c r="B28" s="4" t="s">
        <v>9</v>
      </c>
      <c r="C28" s="4" t="s">
        <v>10</v>
      </c>
      <c r="D28" s="4" t="s">
        <v>11</v>
      </c>
      <c r="E28" s="4" t="s">
        <v>29</v>
      </c>
      <c r="F28" s="4" t="s">
        <v>63</v>
      </c>
      <c r="G28" s="4" t="s">
        <v>64</v>
      </c>
      <c r="H28" s="4" t="s">
        <v>46</v>
      </c>
      <c r="I28" s="4" t="s">
        <v>52</v>
      </c>
      <c r="J28" s="4" t="s">
        <v>65</v>
      </c>
      <c r="K28" s="7">
        <v>3.8012972899999999</v>
      </c>
      <c r="L28" s="7">
        <v>1.3603825300000001</v>
      </c>
      <c r="M28" s="7">
        <v>3.0640011199999999</v>
      </c>
      <c r="N28" s="7">
        <v>5.1091999999999999E-2</v>
      </c>
      <c r="O28" s="7">
        <v>1.2050354000000001</v>
      </c>
      <c r="P28" s="7">
        <v>2.3246626199999998</v>
      </c>
      <c r="Q28" s="7">
        <v>2.026643</v>
      </c>
      <c r="R28" s="7">
        <v>2.1596169999999999</v>
      </c>
      <c r="S28" s="7"/>
      <c r="T28" s="7"/>
      <c r="U28" s="7"/>
      <c r="V28" s="7"/>
      <c r="W28" s="11">
        <f t="shared" si="0"/>
        <v>15.992730959999999</v>
      </c>
    </row>
    <row r="29" spans="1:23" x14ac:dyDescent="0.2">
      <c r="A29" s="4" t="s">
        <v>565</v>
      </c>
      <c r="B29" s="4" t="s">
        <v>9</v>
      </c>
      <c r="C29" s="4" t="s">
        <v>10</v>
      </c>
      <c r="D29" s="4" t="s">
        <v>11</v>
      </c>
      <c r="E29" s="4" t="s">
        <v>29</v>
      </c>
      <c r="F29" s="4" t="s">
        <v>632</v>
      </c>
      <c r="G29" s="4" t="s">
        <v>633</v>
      </c>
      <c r="H29" s="4" t="s">
        <v>32</v>
      </c>
      <c r="I29" s="4" t="s">
        <v>80</v>
      </c>
      <c r="J29" s="4" t="s">
        <v>634</v>
      </c>
      <c r="K29" s="7">
        <v>0</v>
      </c>
      <c r="L29" s="7">
        <v>0.35676000000000002</v>
      </c>
      <c r="M29" s="7">
        <v>0</v>
      </c>
      <c r="N29" s="7">
        <v>0.29785699999999998</v>
      </c>
      <c r="O29" s="7">
        <v>0</v>
      </c>
      <c r="P29" s="7">
        <v>0</v>
      </c>
      <c r="Q29" s="7">
        <v>0</v>
      </c>
      <c r="R29" s="7">
        <v>0</v>
      </c>
      <c r="S29" s="7"/>
      <c r="T29" s="7"/>
      <c r="U29" s="7"/>
      <c r="V29" s="7"/>
      <c r="W29" s="11">
        <f t="shared" si="0"/>
        <v>0.654617</v>
      </c>
    </row>
    <row r="30" spans="1:23" x14ac:dyDescent="0.2">
      <c r="A30" s="4" t="s">
        <v>565</v>
      </c>
      <c r="B30" s="4" t="s">
        <v>9</v>
      </c>
      <c r="C30" s="4" t="s">
        <v>10</v>
      </c>
      <c r="D30" s="4" t="s">
        <v>11</v>
      </c>
      <c r="E30" s="4" t="s">
        <v>29</v>
      </c>
      <c r="F30" s="4" t="s">
        <v>751</v>
      </c>
      <c r="G30" s="4" t="s">
        <v>752</v>
      </c>
      <c r="H30" s="4" t="s">
        <v>591</v>
      </c>
      <c r="I30" s="4" t="s">
        <v>100</v>
      </c>
      <c r="J30" s="4" t="s">
        <v>752</v>
      </c>
      <c r="K30" s="7">
        <v>0</v>
      </c>
      <c r="L30" s="7">
        <v>0</v>
      </c>
      <c r="M30" s="7">
        <v>42</v>
      </c>
      <c r="N30" s="7">
        <v>0</v>
      </c>
      <c r="O30" s="7">
        <v>61.6</v>
      </c>
      <c r="P30" s="7">
        <v>0</v>
      </c>
      <c r="Q30" s="7">
        <v>0</v>
      </c>
      <c r="R30" s="7">
        <v>48.4</v>
      </c>
      <c r="S30" s="7"/>
      <c r="T30" s="7"/>
      <c r="U30" s="7"/>
      <c r="V30" s="7"/>
      <c r="W30" s="11">
        <f t="shared" si="0"/>
        <v>152</v>
      </c>
    </row>
    <row r="31" spans="1:23" x14ac:dyDescent="0.2">
      <c r="A31" s="4" t="s">
        <v>565</v>
      </c>
      <c r="B31" s="4" t="s">
        <v>9</v>
      </c>
      <c r="C31" s="4" t="s">
        <v>10</v>
      </c>
      <c r="D31" s="4" t="s">
        <v>11</v>
      </c>
      <c r="E31" s="4" t="s">
        <v>12</v>
      </c>
      <c r="F31" s="4" t="s">
        <v>66</v>
      </c>
      <c r="G31" s="4" t="s">
        <v>67</v>
      </c>
      <c r="H31" s="4" t="s">
        <v>68</v>
      </c>
      <c r="I31" s="4" t="s">
        <v>69</v>
      </c>
      <c r="J31" s="4" t="s">
        <v>70</v>
      </c>
      <c r="K31" s="7">
        <v>25104.848399999999</v>
      </c>
      <c r="L31" s="7">
        <v>25743.631854046998</v>
      </c>
      <c r="M31" s="7">
        <v>22560.462710600001</v>
      </c>
      <c r="N31" s="7">
        <v>24903.3491426</v>
      </c>
      <c r="O31" s="7">
        <v>25134.648790504001</v>
      </c>
      <c r="P31" s="7">
        <v>25002.143697700001</v>
      </c>
      <c r="Q31" s="7">
        <v>23562.256100999999</v>
      </c>
      <c r="R31" s="7">
        <v>28015.280470000002</v>
      </c>
      <c r="S31" s="7"/>
      <c r="T31" s="7"/>
      <c r="U31" s="7"/>
      <c r="V31" s="7"/>
      <c r="W31" s="11">
        <f t="shared" si="0"/>
        <v>200026.62116645099</v>
      </c>
    </row>
    <row r="32" spans="1:23" x14ac:dyDescent="0.2">
      <c r="A32" s="4" t="s">
        <v>565</v>
      </c>
      <c r="B32" s="4" t="s">
        <v>9</v>
      </c>
      <c r="C32" s="4" t="s">
        <v>10</v>
      </c>
      <c r="D32" s="4" t="s">
        <v>11</v>
      </c>
      <c r="E32" s="4" t="s">
        <v>12</v>
      </c>
      <c r="F32" s="4" t="s">
        <v>71</v>
      </c>
      <c r="G32" s="4" t="s">
        <v>72</v>
      </c>
      <c r="H32" s="4" t="s">
        <v>73</v>
      </c>
      <c r="I32" s="4" t="s">
        <v>74</v>
      </c>
      <c r="J32" s="4" t="s">
        <v>75</v>
      </c>
      <c r="K32" s="7">
        <v>60.181623000000002</v>
      </c>
      <c r="L32" s="7">
        <v>54.729849399999999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/>
      <c r="T32" s="7"/>
      <c r="U32" s="7"/>
      <c r="V32" s="7"/>
      <c r="W32" s="11">
        <f t="shared" si="0"/>
        <v>114.91147240000001</v>
      </c>
    </row>
    <row r="33" spans="1:23" x14ac:dyDescent="0.2">
      <c r="A33" s="4" t="s">
        <v>565</v>
      </c>
      <c r="B33" s="4" t="s">
        <v>9</v>
      </c>
      <c r="C33" s="4" t="s">
        <v>10</v>
      </c>
      <c r="D33" s="4" t="s">
        <v>11</v>
      </c>
      <c r="E33" s="4" t="s">
        <v>12</v>
      </c>
      <c r="F33" s="4" t="s">
        <v>536</v>
      </c>
      <c r="G33" s="4" t="s">
        <v>547</v>
      </c>
      <c r="H33" s="4" t="s">
        <v>88</v>
      </c>
      <c r="I33" s="4" t="s">
        <v>111</v>
      </c>
      <c r="J33" s="4" t="s">
        <v>112</v>
      </c>
      <c r="K33" s="7">
        <v>75.482820000000004</v>
      </c>
      <c r="L33" s="7">
        <v>91.704126000000002</v>
      </c>
      <c r="M33" s="7">
        <v>82.714302000000004</v>
      </c>
      <c r="N33" s="7">
        <v>81.194798000000006</v>
      </c>
      <c r="O33" s="7">
        <v>102.51427200000001</v>
      </c>
      <c r="P33" s="7">
        <v>0</v>
      </c>
      <c r="Q33" s="7">
        <v>141.01337799999999</v>
      </c>
      <c r="R33" s="7">
        <v>185.046663</v>
      </c>
      <c r="S33" s="7"/>
      <c r="T33" s="7"/>
      <c r="U33" s="7"/>
      <c r="V33" s="7"/>
      <c r="W33" s="11">
        <f t="shared" si="0"/>
        <v>759.67035899999996</v>
      </c>
    </row>
    <row r="34" spans="1:23" x14ac:dyDescent="0.2">
      <c r="A34" s="4" t="s">
        <v>565</v>
      </c>
      <c r="B34" s="4" t="s">
        <v>9</v>
      </c>
      <c r="C34" s="4" t="s">
        <v>10</v>
      </c>
      <c r="D34" s="4" t="s">
        <v>11</v>
      </c>
      <c r="E34" s="4" t="s">
        <v>12</v>
      </c>
      <c r="F34" s="4" t="s">
        <v>13</v>
      </c>
      <c r="G34" s="4" t="s">
        <v>14</v>
      </c>
      <c r="H34" s="4" t="s">
        <v>15</v>
      </c>
      <c r="I34" s="4" t="s">
        <v>16</v>
      </c>
      <c r="J34" s="4" t="s">
        <v>17</v>
      </c>
      <c r="K34" s="7">
        <v>31.440708999999998</v>
      </c>
      <c r="L34" s="7">
        <v>29.6597477</v>
      </c>
      <c r="M34" s="7">
        <v>25.699588800000001</v>
      </c>
      <c r="N34" s="7">
        <v>14.537319</v>
      </c>
      <c r="O34" s="7">
        <v>14.017848800000001</v>
      </c>
      <c r="P34" s="7">
        <v>16.274884800000002</v>
      </c>
      <c r="Q34" s="7">
        <v>23.369944</v>
      </c>
      <c r="R34" s="7">
        <v>23.377183000000002</v>
      </c>
      <c r="S34" s="7"/>
      <c r="T34" s="7"/>
      <c r="U34" s="7"/>
      <c r="V34" s="7"/>
      <c r="W34" s="11">
        <f t="shared" si="0"/>
        <v>178.3772251</v>
      </c>
    </row>
    <row r="35" spans="1:23" x14ac:dyDescent="0.2">
      <c r="A35" s="4" t="s">
        <v>565</v>
      </c>
      <c r="B35" s="4" t="s">
        <v>9</v>
      </c>
      <c r="C35" s="4" t="s">
        <v>10</v>
      </c>
      <c r="D35" s="4" t="s">
        <v>11</v>
      </c>
      <c r="E35" s="4" t="s">
        <v>12</v>
      </c>
      <c r="F35" s="4" t="s">
        <v>76</v>
      </c>
      <c r="G35" s="4" t="s">
        <v>77</v>
      </c>
      <c r="H35" s="4" t="s">
        <v>591</v>
      </c>
      <c r="I35" s="4" t="s">
        <v>42</v>
      </c>
      <c r="J35" s="4" t="s">
        <v>43</v>
      </c>
      <c r="K35" s="7">
        <v>38148.940115099998</v>
      </c>
      <c r="L35" s="7">
        <v>47863.4450746</v>
      </c>
      <c r="M35" s="7">
        <v>52497.867525000001</v>
      </c>
      <c r="N35" s="7">
        <v>41973.490759</v>
      </c>
      <c r="O35" s="7">
        <v>38909.348322899998</v>
      </c>
      <c r="P35" s="7">
        <v>29483.015197799999</v>
      </c>
      <c r="Q35" s="7">
        <v>48268.890940999998</v>
      </c>
      <c r="R35" s="7">
        <v>44959.483563000002</v>
      </c>
      <c r="S35" s="7"/>
      <c r="T35" s="7"/>
      <c r="U35" s="7"/>
      <c r="V35" s="7"/>
      <c r="W35" s="11">
        <f t="shared" si="0"/>
        <v>342104.48149840004</v>
      </c>
    </row>
    <row r="36" spans="1:23" x14ac:dyDescent="0.2">
      <c r="A36" s="4" t="s">
        <v>565</v>
      </c>
      <c r="B36" s="4" t="s">
        <v>9</v>
      </c>
      <c r="C36" s="4" t="s">
        <v>10</v>
      </c>
      <c r="D36" s="4" t="s">
        <v>11</v>
      </c>
      <c r="E36" s="4" t="s">
        <v>12</v>
      </c>
      <c r="F36" s="4" t="s">
        <v>78</v>
      </c>
      <c r="G36" s="4" t="s">
        <v>79</v>
      </c>
      <c r="H36" s="4" t="s">
        <v>32</v>
      </c>
      <c r="I36" s="4" t="s">
        <v>80</v>
      </c>
      <c r="J36" s="4" t="s">
        <v>80</v>
      </c>
      <c r="K36" s="7">
        <v>9049.6080000000002</v>
      </c>
      <c r="L36" s="7">
        <v>5806.6071400000001</v>
      </c>
      <c r="M36" s="7">
        <v>6941.4811799999998</v>
      </c>
      <c r="N36" s="7">
        <v>6850.1626800000004</v>
      </c>
      <c r="O36" s="7">
        <v>8128.8230017200003</v>
      </c>
      <c r="P36" s="7">
        <v>7843.7494747600003</v>
      </c>
      <c r="Q36" s="7">
        <v>7514.7600300000004</v>
      </c>
      <c r="R36" s="7">
        <v>8113.534909</v>
      </c>
      <c r="S36" s="7"/>
      <c r="T36" s="7"/>
      <c r="U36" s="7"/>
      <c r="V36" s="7"/>
      <c r="W36" s="11">
        <f t="shared" si="0"/>
        <v>60248.72641548</v>
      </c>
    </row>
    <row r="37" spans="1:23" x14ac:dyDescent="0.2">
      <c r="A37" s="4" t="s">
        <v>565</v>
      </c>
      <c r="B37" s="4" t="s">
        <v>9</v>
      </c>
      <c r="C37" s="4" t="s">
        <v>10</v>
      </c>
      <c r="D37" s="4" t="s">
        <v>11</v>
      </c>
      <c r="E37" s="4" t="s">
        <v>12</v>
      </c>
      <c r="F37" s="4" t="s">
        <v>867</v>
      </c>
      <c r="G37" s="4" t="s">
        <v>628</v>
      </c>
      <c r="H37" s="4" t="s">
        <v>592</v>
      </c>
      <c r="I37" s="4" t="s">
        <v>23</v>
      </c>
      <c r="J37" s="4" t="s">
        <v>23</v>
      </c>
      <c r="K37" s="7">
        <v>0.56779069999999998</v>
      </c>
      <c r="L37" s="7">
        <v>103.96104769999999</v>
      </c>
      <c r="M37" s="7">
        <v>104.332666</v>
      </c>
      <c r="N37" s="7">
        <v>158.22219800000002</v>
      </c>
      <c r="O37" s="7">
        <v>14.493842300000001</v>
      </c>
      <c r="P37" s="7">
        <v>44.987735100000002</v>
      </c>
      <c r="Q37" s="7">
        <v>74.631690999999989</v>
      </c>
      <c r="R37" s="7">
        <v>110.477733</v>
      </c>
      <c r="S37" s="7"/>
      <c r="T37" s="7"/>
      <c r="U37" s="7"/>
      <c r="V37" s="7"/>
      <c r="W37" s="11">
        <f t="shared" si="0"/>
        <v>611.67470379999997</v>
      </c>
    </row>
    <row r="38" spans="1:23" x14ac:dyDescent="0.2">
      <c r="A38" s="4" t="s">
        <v>565</v>
      </c>
      <c r="B38" s="4" t="s">
        <v>9</v>
      </c>
      <c r="C38" s="4" t="s">
        <v>10</v>
      </c>
      <c r="D38" s="4" t="s">
        <v>11</v>
      </c>
      <c r="E38" s="4" t="s">
        <v>12</v>
      </c>
      <c r="F38" s="4" t="s">
        <v>867</v>
      </c>
      <c r="G38" s="4" t="s">
        <v>682</v>
      </c>
      <c r="H38" s="4" t="s">
        <v>592</v>
      </c>
      <c r="I38" s="4" t="s">
        <v>23</v>
      </c>
      <c r="J38" s="4" t="s">
        <v>23</v>
      </c>
      <c r="K38" s="7">
        <v>0</v>
      </c>
      <c r="L38" s="7">
        <v>51.964497999999999</v>
      </c>
      <c r="M38" s="7">
        <v>0</v>
      </c>
      <c r="N38" s="7">
        <v>0</v>
      </c>
      <c r="O38" s="7">
        <v>130.4969332</v>
      </c>
      <c r="P38" s="7">
        <v>0</v>
      </c>
      <c r="Q38" s="7">
        <v>0</v>
      </c>
      <c r="R38" s="7">
        <v>0</v>
      </c>
      <c r="S38" s="7"/>
      <c r="T38" s="7"/>
      <c r="U38" s="7"/>
      <c r="V38" s="7"/>
      <c r="W38" s="11">
        <f t="shared" si="0"/>
        <v>182.46143119999999</v>
      </c>
    </row>
    <row r="39" spans="1:23" x14ac:dyDescent="0.2">
      <c r="A39" s="4" t="s">
        <v>565</v>
      </c>
      <c r="B39" s="4" t="s">
        <v>9</v>
      </c>
      <c r="C39" s="4" t="s">
        <v>10</v>
      </c>
      <c r="D39" s="4" t="s">
        <v>11</v>
      </c>
      <c r="E39" s="4" t="s">
        <v>12</v>
      </c>
      <c r="F39" s="4" t="s">
        <v>867</v>
      </c>
      <c r="G39" s="4" t="s">
        <v>683</v>
      </c>
      <c r="H39" s="4" t="s">
        <v>592</v>
      </c>
      <c r="I39" s="4" t="s">
        <v>23</v>
      </c>
      <c r="J39" s="4" t="s">
        <v>683</v>
      </c>
      <c r="K39" s="7">
        <v>0</v>
      </c>
      <c r="L39" s="7">
        <v>207.92207310000001</v>
      </c>
      <c r="M39" s="7">
        <v>208.6655662</v>
      </c>
      <c r="N39" s="7">
        <v>316.44439600000004</v>
      </c>
      <c r="O39" s="7">
        <v>18.568882500000001</v>
      </c>
      <c r="P39" s="7">
        <v>207.28210949999999</v>
      </c>
      <c r="Q39" s="7">
        <v>315.39900500000005</v>
      </c>
      <c r="R39" s="7">
        <v>180.686612</v>
      </c>
      <c r="S39" s="7"/>
      <c r="T39" s="7"/>
      <c r="U39" s="7"/>
      <c r="V39" s="7"/>
      <c r="W39" s="11">
        <f t="shared" si="0"/>
        <v>1454.9686442999998</v>
      </c>
    </row>
    <row r="40" spans="1:23" x14ac:dyDescent="0.2">
      <c r="A40" s="4" t="s">
        <v>565</v>
      </c>
      <c r="B40" s="4" t="s">
        <v>9</v>
      </c>
      <c r="C40" s="4" t="s">
        <v>10</v>
      </c>
      <c r="D40" s="4" t="s">
        <v>11</v>
      </c>
      <c r="E40" s="4" t="s">
        <v>12</v>
      </c>
      <c r="F40" s="4" t="s">
        <v>83</v>
      </c>
      <c r="G40" s="4" t="s">
        <v>84</v>
      </c>
      <c r="H40" s="4" t="s">
        <v>26</v>
      </c>
      <c r="I40" s="4" t="s">
        <v>26</v>
      </c>
      <c r="J40" s="4" t="s">
        <v>85</v>
      </c>
      <c r="K40" s="7">
        <v>141.415009806</v>
      </c>
      <c r="L40" s="7">
        <v>145.297247113</v>
      </c>
      <c r="M40" s="7">
        <v>159.45327586100001</v>
      </c>
      <c r="N40" s="7">
        <v>153.07766333199999</v>
      </c>
      <c r="O40" s="7">
        <v>154.66197849</v>
      </c>
      <c r="P40" s="7">
        <v>186.82148977100002</v>
      </c>
      <c r="Q40" s="7">
        <v>210.44860700000001</v>
      </c>
      <c r="R40" s="7">
        <v>199.51039</v>
      </c>
      <c r="S40" s="7"/>
      <c r="T40" s="7"/>
      <c r="U40" s="7"/>
      <c r="V40" s="7"/>
      <c r="W40" s="11">
        <f t="shared" si="0"/>
        <v>1350.6856613729999</v>
      </c>
    </row>
    <row r="41" spans="1:23" x14ac:dyDescent="0.2">
      <c r="A41" s="4" t="s">
        <v>565</v>
      </c>
      <c r="B41" s="4" t="s">
        <v>9</v>
      </c>
      <c r="C41" s="4" t="s">
        <v>10</v>
      </c>
      <c r="D41" s="4" t="s">
        <v>11</v>
      </c>
      <c r="E41" s="4" t="s">
        <v>12</v>
      </c>
      <c r="F41" s="4" t="s">
        <v>83</v>
      </c>
      <c r="G41" s="4" t="s">
        <v>684</v>
      </c>
      <c r="H41" s="4" t="s">
        <v>592</v>
      </c>
      <c r="I41" s="4" t="s">
        <v>23</v>
      </c>
      <c r="J41" s="4" t="s">
        <v>685</v>
      </c>
      <c r="K41" s="7">
        <v>0</v>
      </c>
      <c r="L41" s="7">
        <v>1.6320213770000001</v>
      </c>
      <c r="M41" s="7">
        <v>6.1910238480000004</v>
      </c>
      <c r="N41" s="7">
        <v>3.170055209</v>
      </c>
      <c r="O41" s="7">
        <v>0.339038705</v>
      </c>
      <c r="P41" s="7">
        <v>15.290406835999999</v>
      </c>
      <c r="Q41" s="7">
        <v>5.9468130000000006</v>
      </c>
      <c r="R41" s="7">
        <v>31.644978999999999</v>
      </c>
      <c r="S41" s="7"/>
      <c r="T41" s="7"/>
      <c r="U41" s="7"/>
      <c r="V41" s="7"/>
      <c r="W41" s="11">
        <f t="shared" si="0"/>
        <v>64.214337975000007</v>
      </c>
    </row>
    <row r="42" spans="1:23" x14ac:dyDescent="0.2">
      <c r="A42" s="4" t="s">
        <v>565</v>
      </c>
      <c r="B42" s="4" t="s">
        <v>9</v>
      </c>
      <c r="C42" s="4" t="s">
        <v>10</v>
      </c>
      <c r="D42" s="4" t="s">
        <v>11</v>
      </c>
      <c r="E42" s="4" t="s">
        <v>12</v>
      </c>
      <c r="F42" s="4" t="s">
        <v>86</v>
      </c>
      <c r="G42" s="4" t="s">
        <v>87</v>
      </c>
      <c r="H42" s="4" t="s">
        <v>88</v>
      </c>
      <c r="I42" s="4" t="s">
        <v>89</v>
      </c>
      <c r="J42" s="4" t="s">
        <v>90</v>
      </c>
      <c r="K42" s="7">
        <v>1577.2539999999999</v>
      </c>
      <c r="L42" s="7">
        <v>1243.4223999999999</v>
      </c>
      <c r="M42" s="7">
        <v>1550.25</v>
      </c>
      <c r="N42" s="7">
        <v>1463.8611000000001</v>
      </c>
      <c r="O42" s="7">
        <v>1544.9752000000001</v>
      </c>
      <c r="P42" s="7">
        <v>1208.172</v>
      </c>
      <c r="Q42" s="7">
        <v>1362.1990000000001</v>
      </c>
      <c r="R42" s="7">
        <v>1499.65</v>
      </c>
      <c r="S42" s="7"/>
      <c r="T42" s="7"/>
      <c r="U42" s="7"/>
      <c r="V42" s="7"/>
      <c r="W42" s="11">
        <f t="shared" si="0"/>
        <v>11449.7837</v>
      </c>
    </row>
    <row r="43" spans="1:23" x14ac:dyDescent="0.2">
      <c r="A43" s="4" t="s">
        <v>565</v>
      </c>
      <c r="B43" s="4" t="s">
        <v>9</v>
      </c>
      <c r="C43" s="4" t="s">
        <v>10</v>
      </c>
      <c r="D43" s="4" t="s">
        <v>11</v>
      </c>
      <c r="E43" s="4" t="s">
        <v>12</v>
      </c>
      <c r="F43" s="4" t="s">
        <v>91</v>
      </c>
      <c r="G43" s="4" t="s">
        <v>92</v>
      </c>
      <c r="H43" s="4" t="s">
        <v>15</v>
      </c>
      <c r="I43" s="4" t="s">
        <v>15</v>
      </c>
      <c r="J43" s="4" t="s">
        <v>93</v>
      </c>
      <c r="K43" s="7">
        <v>90.98649420000001</v>
      </c>
      <c r="L43" s="7">
        <v>96.352131</v>
      </c>
      <c r="M43" s="7">
        <v>110.8306285</v>
      </c>
      <c r="N43" s="7">
        <v>144.50679449999998</v>
      </c>
      <c r="O43" s="7">
        <v>153.08327930000002</v>
      </c>
      <c r="P43" s="7">
        <v>185.78455229999997</v>
      </c>
      <c r="Q43" s="7">
        <v>200.07758200000001</v>
      </c>
      <c r="R43" s="7">
        <v>190.25998100000001</v>
      </c>
      <c r="S43" s="7"/>
      <c r="T43" s="7"/>
      <c r="U43" s="7"/>
      <c r="V43" s="7"/>
      <c r="W43" s="11">
        <f t="shared" si="0"/>
        <v>1171.8814427999998</v>
      </c>
    </row>
    <row r="44" spans="1:23" x14ac:dyDescent="0.2">
      <c r="A44" s="4" t="s">
        <v>565</v>
      </c>
      <c r="B44" s="4" t="s">
        <v>9</v>
      </c>
      <c r="C44" s="4" t="s">
        <v>10</v>
      </c>
      <c r="D44" s="4" t="s">
        <v>11</v>
      </c>
      <c r="E44" s="4" t="s">
        <v>12</v>
      </c>
      <c r="F44" s="4" t="s">
        <v>94</v>
      </c>
      <c r="G44" s="4" t="s">
        <v>95</v>
      </c>
      <c r="H44" s="4" t="s">
        <v>594</v>
      </c>
      <c r="I44" s="4" t="s">
        <v>96</v>
      </c>
      <c r="J44" s="4" t="s">
        <v>97</v>
      </c>
      <c r="K44" s="7">
        <v>158.128927</v>
      </c>
      <c r="L44" s="7">
        <v>186.4935193</v>
      </c>
      <c r="M44" s="7">
        <v>177.62655899999999</v>
      </c>
      <c r="N44" s="7">
        <v>163.38274419999999</v>
      </c>
      <c r="O44" s="7">
        <v>164.5569983</v>
      </c>
      <c r="P44" s="7">
        <v>179.68172800000002</v>
      </c>
      <c r="Q44" s="7">
        <v>167.691991</v>
      </c>
      <c r="R44" s="7">
        <v>173.330307</v>
      </c>
      <c r="S44" s="7"/>
      <c r="T44" s="7"/>
      <c r="U44" s="7"/>
      <c r="V44" s="7"/>
      <c r="W44" s="11">
        <f t="shared" si="0"/>
        <v>1370.8927737999998</v>
      </c>
    </row>
    <row r="45" spans="1:23" x14ac:dyDescent="0.2">
      <c r="A45" s="4" t="s">
        <v>565</v>
      </c>
      <c r="B45" s="4" t="s">
        <v>9</v>
      </c>
      <c r="C45" s="4" t="s">
        <v>10</v>
      </c>
      <c r="D45" s="4" t="s">
        <v>11</v>
      </c>
      <c r="E45" s="4" t="s">
        <v>12</v>
      </c>
      <c r="F45" s="4" t="s">
        <v>98</v>
      </c>
      <c r="G45" s="4" t="s">
        <v>99</v>
      </c>
      <c r="H45" s="4" t="s">
        <v>591</v>
      </c>
      <c r="I45" s="4" t="s">
        <v>100</v>
      </c>
      <c r="J45" s="4" t="s">
        <v>101</v>
      </c>
      <c r="K45" s="7">
        <v>364.14760000000001</v>
      </c>
      <c r="L45" s="7">
        <v>375.62890000000004</v>
      </c>
      <c r="M45" s="7">
        <v>416.42880000000002</v>
      </c>
      <c r="N45" s="7">
        <v>520.1771</v>
      </c>
      <c r="O45" s="7">
        <v>404.87720000000002</v>
      </c>
      <c r="P45" s="7">
        <v>582.24159999999995</v>
      </c>
      <c r="Q45" s="7">
        <v>405.61969999999997</v>
      </c>
      <c r="R45" s="7">
        <v>335.38150000000002</v>
      </c>
      <c r="S45" s="7"/>
      <c r="T45" s="7"/>
      <c r="U45" s="7"/>
      <c r="V45" s="7"/>
      <c r="W45" s="11">
        <f t="shared" si="0"/>
        <v>3404.5023999999999</v>
      </c>
    </row>
    <row r="46" spans="1:23" x14ac:dyDescent="0.2">
      <c r="A46" s="4" t="s">
        <v>565</v>
      </c>
      <c r="B46" s="4" t="s">
        <v>9</v>
      </c>
      <c r="C46" s="4" t="s">
        <v>10</v>
      </c>
      <c r="D46" s="4" t="s">
        <v>11</v>
      </c>
      <c r="E46" s="4" t="s">
        <v>12</v>
      </c>
      <c r="F46" s="4" t="s">
        <v>605</v>
      </c>
      <c r="G46" s="4" t="s">
        <v>146</v>
      </c>
      <c r="H46" s="4" t="s">
        <v>88</v>
      </c>
      <c r="I46" s="4" t="s">
        <v>127</v>
      </c>
      <c r="J46" s="4" t="s">
        <v>147</v>
      </c>
      <c r="K46" s="7">
        <v>25.511858</v>
      </c>
      <c r="L46" s="7">
        <v>38.361671999999999</v>
      </c>
      <c r="M46" s="7">
        <v>27.195163999999998</v>
      </c>
      <c r="N46" s="7">
        <v>38.583577000000005</v>
      </c>
      <c r="O46" s="7">
        <v>25.531317999999999</v>
      </c>
      <c r="P46" s="7">
        <v>24.675055999999998</v>
      </c>
      <c r="Q46" s="7">
        <v>33.844743999999999</v>
      </c>
      <c r="R46" s="7">
        <v>39.074005999999997</v>
      </c>
      <c r="S46" s="7"/>
      <c r="T46" s="7"/>
      <c r="U46" s="7"/>
      <c r="V46" s="7"/>
      <c r="W46" s="11">
        <f t="shared" si="0"/>
        <v>252.77739499999996</v>
      </c>
    </row>
    <row r="47" spans="1:23" x14ac:dyDescent="0.2">
      <c r="A47" s="4" t="s">
        <v>565</v>
      </c>
      <c r="B47" s="4" t="s">
        <v>9</v>
      </c>
      <c r="C47" s="4" t="s">
        <v>10</v>
      </c>
      <c r="D47" s="4" t="s">
        <v>11</v>
      </c>
      <c r="E47" s="4" t="s">
        <v>12</v>
      </c>
      <c r="F47" s="4" t="s">
        <v>102</v>
      </c>
      <c r="G47" s="4" t="s">
        <v>103</v>
      </c>
      <c r="H47" s="4" t="s">
        <v>104</v>
      </c>
      <c r="I47" s="4" t="s">
        <v>105</v>
      </c>
      <c r="J47" s="4" t="s">
        <v>106</v>
      </c>
      <c r="K47" s="7">
        <v>0</v>
      </c>
      <c r="L47" s="7">
        <v>0</v>
      </c>
      <c r="M47" s="7">
        <v>32.090330999999999</v>
      </c>
      <c r="N47" s="7">
        <v>0</v>
      </c>
      <c r="O47" s="7">
        <v>84.291790000000006</v>
      </c>
      <c r="P47" s="7">
        <v>0</v>
      </c>
      <c r="Q47" s="7">
        <v>0</v>
      </c>
      <c r="R47" s="7">
        <v>0</v>
      </c>
      <c r="S47" s="7"/>
      <c r="T47" s="7"/>
      <c r="U47" s="7"/>
      <c r="V47" s="7"/>
      <c r="W47" s="11">
        <f t="shared" si="0"/>
        <v>116.38212100000001</v>
      </c>
    </row>
    <row r="48" spans="1:23" x14ac:dyDescent="0.2">
      <c r="A48" s="4" t="s">
        <v>565</v>
      </c>
      <c r="B48" s="4" t="s">
        <v>9</v>
      </c>
      <c r="C48" s="4" t="s">
        <v>10</v>
      </c>
      <c r="D48" s="4" t="s">
        <v>11</v>
      </c>
      <c r="E48" s="4" t="s">
        <v>12</v>
      </c>
      <c r="F48" s="4" t="s">
        <v>107</v>
      </c>
      <c r="G48" s="4" t="s">
        <v>108</v>
      </c>
      <c r="H48" s="4" t="s">
        <v>26</v>
      </c>
      <c r="I48" s="4" t="s">
        <v>26</v>
      </c>
      <c r="J48" s="4" t="s">
        <v>109</v>
      </c>
      <c r="K48" s="7">
        <v>117.299574888</v>
      </c>
      <c r="L48" s="7">
        <v>122.07396181</v>
      </c>
      <c r="M48" s="7">
        <v>121.757042317</v>
      </c>
      <c r="N48" s="7">
        <v>84.787354523000005</v>
      </c>
      <c r="O48" s="7">
        <v>118.76544275999998</v>
      </c>
      <c r="P48" s="7">
        <v>118.79519787300001</v>
      </c>
      <c r="Q48" s="7">
        <v>118.539571</v>
      </c>
      <c r="R48" s="7">
        <v>100.85213999999999</v>
      </c>
      <c r="S48" s="7"/>
      <c r="T48" s="7"/>
      <c r="U48" s="7"/>
      <c r="V48" s="7"/>
      <c r="W48" s="11">
        <f t="shared" si="0"/>
        <v>902.87028517099998</v>
      </c>
    </row>
    <row r="49" spans="1:23" x14ac:dyDescent="0.2">
      <c r="A49" s="4" t="s">
        <v>565</v>
      </c>
      <c r="B49" s="4" t="s">
        <v>9</v>
      </c>
      <c r="C49" s="4" t="s">
        <v>10</v>
      </c>
      <c r="D49" s="4" t="s">
        <v>11</v>
      </c>
      <c r="E49" s="4" t="s">
        <v>12</v>
      </c>
      <c r="F49" s="4" t="s">
        <v>617</v>
      </c>
      <c r="G49" s="4" t="s">
        <v>110</v>
      </c>
      <c r="H49" s="4" t="s">
        <v>88</v>
      </c>
      <c r="I49" s="4" t="s">
        <v>111</v>
      </c>
      <c r="J49" s="4" t="s">
        <v>112</v>
      </c>
      <c r="K49" s="7">
        <v>193.4795944</v>
      </c>
      <c r="L49" s="7">
        <v>197.84755140000001</v>
      </c>
      <c r="M49" s="7">
        <v>254.33255110000002</v>
      </c>
      <c r="N49" s="7">
        <v>145.42773099999999</v>
      </c>
      <c r="O49" s="7">
        <v>247.44848109999998</v>
      </c>
      <c r="P49" s="7">
        <v>181.96011519999999</v>
      </c>
      <c r="Q49" s="7">
        <v>190.81877600000001</v>
      </c>
      <c r="R49" s="7">
        <v>231.01208399999999</v>
      </c>
      <c r="S49" s="7"/>
      <c r="T49" s="7"/>
      <c r="U49" s="7"/>
      <c r="V49" s="7"/>
      <c r="W49" s="11">
        <f t="shared" si="0"/>
        <v>1642.3268842000002</v>
      </c>
    </row>
    <row r="50" spans="1:23" x14ac:dyDescent="0.2">
      <c r="A50" s="4" t="s">
        <v>565</v>
      </c>
      <c r="B50" s="4" t="s">
        <v>9</v>
      </c>
      <c r="C50" s="4" t="s">
        <v>10</v>
      </c>
      <c r="D50" s="4" t="s">
        <v>11</v>
      </c>
      <c r="E50" s="4" t="s">
        <v>12</v>
      </c>
      <c r="F50" s="4" t="s">
        <v>617</v>
      </c>
      <c r="G50" s="4" t="s">
        <v>629</v>
      </c>
      <c r="H50" s="4" t="s">
        <v>88</v>
      </c>
      <c r="I50" s="4" t="s">
        <v>179</v>
      </c>
      <c r="J50" s="4" t="s">
        <v>179</v>
      </c>
      <c r="K50" s="7">
        <v>73.984797</v>
      </c>
      <c r="L50" s="7">
        <v>59.798682200000002</v>
      </c>
      <c r="M50" s="7">
        <v>57.193981600000001</v>
      </c>
      <c r="N50" s="7">
        <v>43.178103</v>
      </c>
      <c r="O50" s="7">
        <v>88.076096399999997</v>
      </c>
      <c r="P50" s="7">
        <v>37.600530999999997</v>
      </c>
      <c r="Q50" s="7">
        <v>35.130490999999999</v>
      </c>
      <c r="R50" s="7">
        <v>26.099964</v>
      </c>
      <c r="S50" s="7"/>
      <c r="T50" s="7"/>
      <c r="U50" s="7"/>
      <c r="V50" s="7"/>
      <c r="W50" s="11">
        <f t="shared" si="0"/>
        <v>421.06264619999996</v>
      </c>
    </row>
    <row r="51" spans="1:23" x14ac:dyDescent="0.2">
      <c r="A51" s="4" t="s">
        <v>565</v>
      </c>
      <c r="B51" s="4" t="s">
        <v>9</v>
      </c>
      <c r="C51" s="4" t="s">
        <v>10</v>
      </c>
      <c r="D51" s="4" t="s">
        <v>11</v>
      </c>
      <c r="E51" s="4" t="s">
        <v>12</v>
      </c>
      <c r="F51" s="4" t="s">
        <v>113</v>
      </c>
      <c r="G51" s="4" t="s">
        <v>114</v>
      </c>
      <c r="H51" s="4" t="s">
        <v>115</v>
      </c>
      <c r="I51" s="4" t="s">
        <v>116</v>
      </c>
      <c r="J51" s="4" t="s">
        <v>116</v>
      </c>
      <c r="K51" s="7">
        <v>1571.7923800000001</v>
      </c>
      <c r="L51" s="7">
        <v>1470.4521099999999</v>
      </c>
      <c r="M51" s="7">
        <v>1584.1907249000001</v>
      </c>
      <c r="N51" s="7">
        <v>1692.7772480000001</v>
      </c>
      <c r="O51" s="7">
        <v>1528.699014</v>
      </c>
      <c r="P51" s="7">
        <v>1454.9842000000001</v>
      </c>
      <c r="Q51" s="7">
        <v>1532.6702499999999</v>
      </c>
      <c r="R51" s="7">
        <v>1566.0437999999999</v>
      </c>
      <c r="S51" s="7"/>
      <c r="T51" s="7"/>
      <c r="U51" s="7"/>
      <c r="V51" s="7"/>
      <c r="W51" s="11">
        <f t="shared" si="0"/>
        <v>12401.6097269</v>
      </c>
    </row>
    <row r="52" spans="1:23" x14ac:dyDescent="0.2">
      <c r="A52" s="4" t="s">
        <v>565</v>
      </c>
      <c r="B52" s="4" t="s">
        <v>9</v>
      </c>
      <c r="C52" s="4" t="s">
        <v>10</v>
      </c>
      <c r="D52" s="4" t="s">
        <v>11</v>
      </c>
      <c r="E52" s="4" t="s">
        <v>12</v>
      </c>
      <c r="F52" s="4" t="s">
        <v>117</v>
      </c>
      <c r="G52" s="4" t="s">
        <v>118</v>
      </c>
      <c r="H52" s="4" t="s">
        <v>32</v>
      </c>
      <c r="I52" s="4" t="s">
        <v>119</v>
      </c>
      <c r="J52" s="4" t="s">
        <v>120</v>
      </c>
      <c r="K52" s="7">
        <v>6482.17608174</v>
      </c>
      <c r="L52" s="7">
        <v>6379.6837247000003</v>
      </c>
      <c r="M52" s="7">
        <v>7710.8543884999999</v>
      </c>
      <c r="N52" s="7">
        <v>7271.8640757499998</v>
      </c>
      <c r="O52" s="7">
        <v>6074.4427490400003</v>
      </c>
      <c r="P52" s="7">
        <v>6099.7009821900001</v>
      </c>
      <c r="Q52" s="7">
        <v>6349.9115549999997</v>
      </c>
      <c r="R52" s="7">
        <v>7092.6715190000004</v>
      </c>
      <c r="S52" s="7"/>
      <c r="T52" s="7"/>
      <c r="U52" s="7"/>
      <c r="V52" s="7"/>
      <c r="W52" s="11">
        <f t="shared" si="0"/>
        <v>53461.305075919998</v>
      </c>
    </row>
    <row r="53" spans="1:23" x14ac:dyDescent="0.2">
      <c r="A53" s="4" t="s">
        <v>565</v>
      </c>
      <c r="B53" s="4" t="s">
        <v>9</v>
      </c>
      <c r="C53" s="4" t="s">
        <v>10</v>
      </c>
      <c r="D53" s="4" t="s">
        <v>11</v>
      </c>
      <c r="E53" s="4" t="s">
        <v>12</v>
      </c>
      <c r="F53" s="4" t="s">
        <v>121</v>
      </c>
      <c r="G53" s="4" t="s">
        <v>122</v>
      </c>
      <c r="H53" s="4" t="s">
        <v>54</v>
      </c>
      <c r="I53" s="4" t="s">
        <v>123</v>
      </c>
      <c r="J53" s="4" t="s">
        <v>124</v>
      </c>
      <c r="K53" s="7">
        <v>4308.8338200600001</v>
      </c>
      <c r="L53" s="7">
        <v>4802.3933234400001</v>
      </c>
      <c r="M53" s="7">
        <v>5935.8681102</v>
      </c>
      <c r="N53" s="7">
        <v>5433.5786353800004</v>
      </c>
      <c r="O53" s="7">
        <v>5695.9301648199998</v>
      </c>
      <c r="P53" s="7">
        <v>6005.2363567499997</v>
      </c>
      <c r="Q53" s="7">
        <v>5474.7793250000004</v>
      </c>
      <c r="R53" s="7">
        <v>5584.2323180000003</v>
      </c>
      <c r="S53" s="7"/>
      <c r="T53" s="7"/>
      <c r="U53" s="7"/>
      <c r="V53" s="7"/>
      <c r="W53" s="11">
        <f t="shared" si="0"/>
        <v>43240.852053650007</v>
      </c>
    </row>
    <row r="54" spans="1:23" x14ac:dyDescent="0.2">
      <c r="A54" s="4" t="s">
        <v>565</v>
      </c>
      <c r="B54" s="4" t="s">
        <v>9</v>
      </c>
      <c r="C54" s="4" t="s">
        <v>10</v>
      </c>
      <c r="D54" s="4" t="s">
        <v>11</v>
      </c>
      <c r="E54" s="4" t="s">
        <v>12</v>
      </c>
      <c r="F54" s="4" t="s">
        <v>44</v>
      </c>
      <c r="G54" s="4" t="s">
        <v>45</v>
      </c>
      <c r="H54" s="4" t="s">
        <v>46</v>
      </c>
      <c r="I54" s="4" t="s">
        <v>47</v>
      </c>
      <c r="J54" s="4" t="s">
        <v>47</v>
      </c>
      <c r="K54" s="7">
        <v>88.615995999999996</v>
      </c>
      <c r="L54" s="7">
        <v>61.824809999999999</v>
      </c>
      <c r="M54" s="7">
        <v>104.753815</v>
      </c>
      <c r="N54" s="7">
        <v>97.044349999999994</v>
      </c>
      <c r="O54" s="7">
        <v>81.509979000000001</v>
      </c>
      <c r="P54" s="7">
        <v>90.338087999999999</v>
      </c>
      <c r="Q54" s="7">
        <v>81.022630000000007</v>
      </c>
      <c r="R54" s="7">
        <v>85.664236000000002</v>
      </c>
      <c r="S54" s="7"/>
      <c r="T54" s="7"/>
      <c r="U54" s="7"/>
      <c r="V54" s="7"/>
      <c r="W54" s="11">
        <f t="shared" si="0"/>
        <v>690.77390400000002</v>
      </c>
    </row>
    <row r="55" spans="1:23" x14ac:dyDescent="0.2">
      <c r="A55" s="4" t="s">
        <v>565</v>
      </c>
      <c r="B55" s="4" t="s">
        <v>9</v>
      </c>
      <c r="C55" s="4" t="s">
        <v>10</v>
      </c>
      <c r="D55" s="4" t="s">
        <v>11</v>
      </c>
      <c r="E55" s="4" t="s">
        <v>12</v>
      </c>
      <c r="F55" s="4" t="s">
        <v>21</v>
      </c>
      <c r="G55" s="4" t="s">
        <v>22</v>
      </c>
      <c r="H55" s="4" t="s">
        <v>592</v>
      </c>
      <c r="I55" s="4" t="s">
        <v>23</v>
      </c>
      <c r="J55" s="4" t="s">
        <v>23</v>
      </c>
      <c r="K55" s="7">
        <v>18855.513351000001</v>
      </c>
      <c r="L55" s="7">
        <v>20932.670450000001</v>
      </c>
      <c r="M55" s="7">
        <v>15551.43701</v>
      </c>
      <c r="N55" s="7">
        <v>18255.773228999999</v>
      </c>
      <c r="O55" s="7">
        <v>20029.431537</v>
      </c>
      <c r="P55" s="7">
        <v>21951.517988</v>
      </c>
      <c r="Q55" s="7">
        <v>17518.983456000002</v>
      </c>
      <c r="R55" s="7">
        <v>15173.898159</v>
      </c>
      <c r="S55" s="7"/>
      <c r="T55" s="7"/>
      <c r="U55" s="7"/>
      <c r="V55" s="7"/>
      <c r="W55" s="11">
        <f t="shared" si="0"/>
        <v>148269.22518000004</v>
      </c>
    </row>
    <row r="56" spans="1:23" x14ac:dyDescent="0.2">
      <c r="A56" s="4" t="s">
        <v>565</v>
      </c>
      <c r="B56" s="4" t="s">
        <v>9</v>
      </c>
      <c r="C56" s="4" t="s">
        <v>10</v>
      </c>
      <c r="D56" s="4" t="s">
        <v>11</v>
      </c>
      <c r="E56" s="4" t="s">
        <v>12</v>
      </c>
      <c r="F56" s="4" t="s">
        <v>125</v>
      </c>
      <c r="G56" s="4" t="s">
        <v>126</v>
      </c>
      <c r="H56" s="4" t="s">
        <v>88</v>
      </c>
      <c r="I56" s="4" t="s">
        <v>127</v>
      </c>
      <c r="J56" s="4" t="s">
        <v>127</v>
      </c>
      <c r="K56" s="7">
        <v>602.93123418999994</v>
      </c>
      <c r="L56" s="7">
        <v>550.07320787000003</v>
      </c>
      <c r="M56" s="7">
        <v>572.85704203</v>
      </c>
      <c r="N56" s="7">
        <v>621.34854762000009</v>
      </c>
      <c r="O56" s="7">
        <v>585.25614153000004</v>
      </c>
      <c r="P56" s="7">
        <v>596.75811868999995</v>
      </c>
      <c r="Q56" s="7">
        <v>635.35673400000007</v>
      </c>
      <c r="R56" s="7">
        <v>612.40547700000002</v>
      </c>
      <c r="S56" s="7"/>
      <c r="T56" s="7"/>
      <c r="U56" s="7"/>
      <c r="V56" s="7"/>
      <c r="W56" s="11">
        <f t="shared" si="0"/>
        <v>4776.9865029300008</v>
      </c>
    </row>
    <row r="57" spans="1:23" x14ac:dyDescent="0.2">
      <c r="A57" s="4" t="s">
        <v>565</v>
      </c>
      <c r="B57" s="4" t="s">
        <v>9</v>
      </c>
      <c r="C57" s="4" t="s">
        <v>10</v>
      </c>
      <c r="D57" s="4" t="s">
        <v>11</v>
      </c>
      <c r="E57" s="4" t="s">
        <v>12</v>
      </c>
      <c r="F57" s="4" t="s">
        <v>128</v>
      </c>
      <c r="G57" s="4" t="s">
        <v>129</v>
      </c>
      <c r="H57" s="4" t="s">
        <v>593</v>
      </c>
      <c r="I57" s="4" t="s">
        <v>130</v>
      </c>
      <c r="J57" s="4" t="s">
        <v>131</v>
      </c>
      <c r="K57" s="7">
        <v>37070.613100000002</v>
      </c>
      <c r="L57" s="7">
        <v>30297.789359999999</v>
      </c>
      <c r="M57" s="7">
        <v>33636.36275</v>
      </c>
      <c r="N57" s="7">
        <v>38357.404763999999</v>
      </c>
      <c r="O57" s="7">
        <v>35682.581969999999</v>
      </c>
      <c r="P57" s="7">
        <v>35159.859839999997</v>
      </c>
      <c r="Q57" s="7">
        <v>35404.95966</v>
      </c>
      <c r="R57" s="7">
        <v>32894.488299999997</v>
      </c>
      <c r="S57" s="7"/>
      <c r="T57" s="7"/>
      <c r="U57" s="7"/>
      <c r="V57" s="7"/>
      <c r="W57" s="11">
        <f t="shared" si="0"/>
        <v>278504.05974399997</v>
      </c>
    </row>
    <row r="58" spans="1:23" x14ac:dyDescent="0.2">
      <c r="A58" s="4" t="s">
        <v>565</v>
      </c>
      <c r="B58" s="4" t="s">
        <v>9</v>
      </c>
      <c r="C58" s="4" t="s">
        <v>10</v>
      </c>
      <c r="D58" s="4" t="s">
        <v>11</v>
      </c>
      <c r="E58" s="4" t="s">
        <v>12</v>
      </c>
      <c r="F58" s="4" t="s">
        <v>132</v>
      </c>
      <c r="G58" s="4" t="s">
        <v>133</v>
      </c>
      <c r="H58" s="4" t="s">
        <v>54</v>
      </c>
      <c r="I58" s="4" t="s">
        <v>123</v>
      </c>
      <c r="J58" s="4" t="s">
        <v>124</v>
      </c>
      <c r="K58" s="7">
        <v>3976.974256</v>
      </c>
      <c r="L58" s="7">
        <v>3264.893928</v>
      </c>
      <c r="M58" s="7">
        <v>3545.9751390000001</v>
      </c>
      <c r="N58" s="7">
        <v>3362.3882159999998</v>
      </c>
      <c r="O58" s="7">
        <v>3246.653718</v>
      </c>
      <c r="P58" s="7">
        <v>2949.0242039999998</v>
      </c>
      <c r="Q58" s="7">
        <v>3339.5242760000001</v>
      </c>
      <c r="R58" s="7">
        <v>3088.631457</v>
      </c>
      <c r="S58" s="7"/>
      <c r="T58" s="7"/>
      <c r="U58" s="7"/>
      <c r="V58" s="7"/>
      <c r="W58" s="11">
        <f t="shared" si="0"/>
        <v>26774.065194000003</v>
      </c>
    </row>
    <row r="59" spans="1:23" x14ac:dyDescent="0.2">
      <c r="A59" s="4" t="s">
        <v>565</v>
      </c>
      <c r="B59" s="4" t="s">
        <v>9</v>
      </c>
      <c r="C59" s="4" t="s">
        <v>10</v>
      </c>
      <c r="D59" s="4" t="s">
        <v>11</v>
      </c>
      <c r="E59" s="4" t="s">
        <v>12</v>
      </c>
      <c r="F59" s="4" t="s">
        <v>134</v>
      </c>
      <c r="G59" s="4" t="s">
        <v>135</v>
      </c>
      <c r="H59" s="4" t="s">
        <v>46</v>
      </c>
      <c r="I59" s="4" t="s">
        <v>52</v>
      </c>
      <c r="J59" s="4" t="s">
        <v>61</v>
      </c>
      <c r="K59" s="7">
        <v>56.329728000000003</v>
      </c>
      <c r="L59" s="7">
        <v>46.616100899999999</v>
      </c>
      <c r="M59" s="7">
        <v>41.557152000000002</v>
      </c>
      <c r="N59" s="7">
        <v>24.617778900000001</v>
      </c>
      <c r="O59" s="7">
        <v>35.499066800000001</v>
      </c>
      <c r="P59" s="7">
        <v>26.911970799999999</v>
      </c>
      <c r="Q59" s="7">
        <v>45.063879</v>
      </c>
      <c r="R59" s="7">
        <v>33.511954000000003</v>
      </c>
      <c r="S59" s="7"/>
      <c r="T59" s="7"/>
      <c r="U59" s="7"/>
      <c r="V59" s="7"/>
      <c r="W59" s="11">
        <f t="shared" ref="W59:W114" si="1">SUM(K59:V59)</f>
        <v>310.10763040000001</v>
      </c>
    </row>
    <row r="60" spans="1:23" x14ac:dyDescent="0.2">
      <c r="A60" s="4" t="s">
        <v>565</v>
      </c>
      <c r="B60" s="4" t="s">
        <v>9</v>
      </c>
      <c r="C60" s="4" t="s">
        <v>10</v>
      </c>
      <c r="D60" s="4" t="s">
        <v>11</v>
      </c>
      <c r="E60" s="4" t="s">
        <v>12</v>
      </c>
      <c r="F60" s="4" t="s">
        <v>35</v>
      </c>
      <c r="G60" s="4" t="s">
        <v>36</v>
      </c>
      <c r="H60" s="4" t="s">
        <v>26</v>
      </c>
      <c r="I60" s="4" t="s">
        <v>26</v>
      </c>
      <c r="J60" s="4" t="s">
        <v>37</v>
      </c>
      <c r="K60" s="7">
        <v>17.099014999999998</v>
      </c>
      <c r="L60" s="7">
        <v>11.100662</v>
      </c>
      <c r="M60" s="7">
        <v>28.065556000000001</v>
      </c>
      <c r="N60" s="7">
        <v>27.410325</v>
      </c>
      <c r="O60" s="7">
        <v>23.272625999999999</v>
      </c>
      <c r="P60" s="7">
        <v>24.829356000000001</v>
      </c>
      <c r="Q60" s="7">
        <v>35.228824000000003</v>
      </c>
      <c r="R60" s="7">
        <v>25.640601</v>
      </c>
      <c r="S60" s="7"/>
      <c r="T60" s="7"/>
      <c r="U60" s="7"/>
      <c r="V60" s="7"/>
      <c r="W60" s="11">
        <f t="shared" si="1"/>
        <v>192.64696499999999</v>
      </c>
    </row>
    <row r="61" spans="1:23" x14ac:dyDescent="0.2">
      <c r="A61" s="4" t="s">
        <v>565</v>
      </c>
      <c r="B61" s="4" t="s">
        <v>9</v>
      </c>
      <c r="C61" s="4" t="s">
        <v>10</v>
      </c>
      <c r="D61" s="4" t="s">
        <v>11</v>
      </c>
      <c r="E61" s="4" t="s">
        <v>12</v>
      </c>
      <c r="F61" s="4" t="s">
        <v>38</v>
      </c>
      <c r="G61" s="4" t="s">
        <v>39</v>
      </c>
      <c r="H61" s="4" t="s">
        <v>26</v>
      </c>
      <c r="I61" s="4" t="s">
        <v>26</v>
      </c>
      <c r="J61" s="4" t="s">
        <v>37</v>
      </c>
      <c r="K61" s="7">
        <v>134.63355999999999</v>
      </c>
      <c r="L61" s="7">
        <v>138.282298</v>
      </c>
      <c r="M61" s="7">
        <v>213.54693700000001</v>
      </c>
      <c r="N61" s="7">
        <v>234.77113199999999</v>
      </c>
      <c r="O61" s="7">
        <v>276.66119100000003</v>
      </c>
      <c r="P61" s="7">
        <v>219.90277500000002</v>
      </c>
      <c r="Q61" s="7">
        <v>241.912262</v>
      </c>
      <c r="R61" s="7">
        <v>266.29660100000001</v>
      </c>
      <c r="S61" s="7"/>
      <c r="T61" s="7"/>
      <c r="U61" s="7"/>
      <c r="V61" s="7"/>
      <c r="W61" s="11">
        <f t="shared" si="1"/>
        <v>1726.006756</v>
      </c>
    </row>
    <row r="62" spans="1:23" x14ac:dyDescent="0.2">
      <c r="A62" s="4" t="s">
        <v>565</v>
      </c>
      <c r="B62" s="4" t="s">
        <v>9</v>
      </c>
      <c r="C62" s="4" t="s">
        <v>10</v>
      </c>
      <c r="D62" s="4" t="s">
        <v>11</v>
      </c>
      <c r="E62" s="4" t="s">
        <v>12</v>
      </c>
      <c r="F62" s="4" t="s">
        <v>136</v>
      </c>
      <c r="G62" s="4" t="s">
        <v>137</v>
      </c>
      <c r="H62" s="4" t="s">
        <v>54</v>
      </c>
      <c r="I62" s="4" t="s">
        <v>138</v>
      </c>
      <c r="J62" s="4" t="s">
        <v>139</v>
      </c>
      <c r="K62" s="7">
        <v>1903.5051999999998</v>
      </c>
      <c r="L62" s="7">
        <v>1757.1596</v>
      </c>
      <c r="M62" s="7">
        <v>2195.6495999999997</v>
      </c>
      <c r="N62" s="7">
        <v>1795.3443</v>
      </c>
      <c r="O62" s="7">
        <v>2077.9513999999999</v>
      </c>
      <c r="P62" s="7">
        <v>1511.5986</v>
      </c>
      <c r="Q62" s="7">
        <v>1981.9442000000001</v>
      </c>
      <c r="R62" s="7">
        <v>1701.0014000000001</v>
      </c>
      <c r="S62" s="7"/>
      <c r="T62" s="7"/>
      <c r="U62" s="7"/>
      <c r="V62" s="7"/>
      <c r="W62" s="11">
        <f t="shared" si="1"/>
        <v>14924.154299999998</v>
      </c>
    </row>
    <row r="63" spans="1:23" x14ac:dyDescent="0.2">
      <c r="A63" s="4" t="s">
        <v>565</v>
      </c>
      <c r="B63" s="4" t="s">
        <v>9</v>
      </c>
      <c r="C63" s="4" t="s">
        <v>10</v>
      </c>
      <c r="D63" s="4" t="s">
        <v>11</v>
      </c>
      <c r="E63" s="4" t="s">
        <v>12</v>
      </c>
      <c r="F63" s="4" t="s">
        <v>40</v>
      </c>
      <c r="G63" s="4" t="s">
        <v>41</v>
      </c>
      <c r="H63" s="4" t="s">
        <v>591</v>
      </c>
      <c r="I63" s="4" t="s">
        <v>42</v>
      </c>
      <c r="J63" s="4" t="s">
        <v>43</v>
      </c>
      <c r="K63" s="7">
        <v>469.94857619999999</v>
      </c>
      <c r="L63" s="7">
        <v>434.47965949999997</v>
      </c>
      <c r="M63" s="7">
        <v>438.78849880000001</v>
      </c>
      <c r="N63" s="7">
        <v>357.16068260000003</v>
      </c>
      <c r="O63" s="7">
        <v>447.90460440000004</v>
      </c>
      <c r="P63" s="7">
        <v>484.3518128</v>
      </c>
      <c r="Q63" s="7">
        <v>431.48922300000004</v>
      </c>
      <c r="R63" s="7">
        <v>571.17548899999997</v>
      </c>
      <c r="S63" s="7"/>
      <c r="T63" s="7"/>
      <c r="U63" s="7"/>
      <c r="V63" s="7"/>
      <c r="W63" s="11">
        <f t="shared" si="1"/>
        <v>3635.2985463000005</v>
      </c>
    </row>
    <row r="64" spans="1:23" x14ac:dyDescent="0.2">
      <c r="A64" s="4" t="s">
        <v>565</v>
      </c>
      <c r="B64" s="4" t="s">
        <v>9</v>
      </c>
      <c r="C64" s="4" t="s">
        <v>10</v>
      </c>
      <c r="D64" s="4" t="s">
        <v>11</v>
      </c>
      <c r="E64" s="4" t="s">
        <v>12</v>
      </c>
      <c r="F64" s="4" t="s">
        <v>140</v>
      </c>
      <c r="G64" s="4" t="s">
        <v>141</v>
      </c>
      <c r="H64" s="4" t="s">
        <v>15</v>
      </c>
      <c r="I64" s="4" t="s">
        <v>142</v>
      </c>
      <c r="J64" s="4" t="s">
        <v>143</v>
      </c>
      <c r="K64" s="7">
        <v>1489.3509365</v>
      </c>
      <c r="L64" s="7">
        <v>903.52315680000004</v>
      </c>
      <c r="M64" s="7">
        <v>1461.4920907999999</v>
      </c>
      <c r="N64" s="7">
        <v>1345.1560351999999</v>
      </c>
      <c r="O64" s="7">
        <v>1442.7367353</v>
      </c>
      <c r="P64" s="7">
        <v>1460.3105918000001</v>
      </c>
      <c r="Q64" s="7">
        <v>1276.5695069999999</v>
      </c>
      <c r="R64" s="7">
        <v>1148.9467079999999</v>
      </c>
      <c r="S64" s="7"/>
      <c r="T64" s="7"/>
      <c r="U64" s="7"/>
      <c r="V64" s="7"/>
      <c r="W64" s="11">
        <f t="shared" si="1"/>
        <v>10528.0857614</v>
      </c>
    </row>
    <row r="65" spans="1:23" x14ac:dyDescent="0.2">
      <c r="A65" s="4" t="s">
        <v>565</v>
      </c>
      <c r="B65" s="4" t="s">
        <v>9</v>
      </c>
      <c r="C65" s="4" t="s">
        <v>10</v>
      </c>
      <c r="D65" s="4" t="s">
        <v>11</v>
      </c>
      <c r="E65" s="4" t="s">
        <v>12</v>
      </c>
      <c r="F65" s="4" t="s">
        <v>144</v>
      </c>
      <c r="G65" s="4" t="s">
        <v>145</v>
      </c>
      <c r="H65" s="4" t="s">
        <v>26</v>
      </c>
      <c r="I65" s="4" t="s">
        <v>26</v>
      </c>
      <c r="J65" s="4" t="s">
        <v>85</v>
      </c>
      <c r="K65" s="7">
        <v>214.39074369999997</v>
      </c>
      <c r="L65" s="7">
        <v>234.884423</v>
      </c>
      <c r="M65" s="7">
        <v>249.19417199999998</v>
      </c>
      <c r="N65" s="7">
        <v>189.482168</v>
      </c>
      <c r="O65" s="7">
        <v>153.43700849999999</v>
      </c>
      <c r="P65" s="7">
        <v>206.8467516</v>
      </c>
      <c r="Q65" s="7">
        <v>217.239611</v>
      </c>
      <c r="R65" s="7">
        <v>246.69453999999999</v>
      </c>
      <c r="S65" s="7"/>
      <c r="T65" s="7"/>
      <c r="U65" s="7"/>
      <c r="V65" s="7"/>
      <c r="W65" s="11">
        <f t="shared" si="1"/>
        <v>1712.1694178</v>
      </c>
    </row>
    <row r="66" spans="1:23" x14ac:dyDescent="0.2">
      <c r="A66" s="4" t="s">
        <v>565</v>
      </c>
      <c r="B66" s="4" t="s">
        <v>9</v>
      </c>
      <c r="C66" s="4" t="s">
        <v>10</v>
      </c>
      <c r="D66" s="4" t="s">
        <v>11</v>
      </c>
      <c r="E66" s="4" t="s">
        <v>12</v>
      </c>
      <c r="F66" s="4" t="s">
        <v>825</v>
      </c>
      <c r="G66" s="4" t="s">
        <v>826</v>
      </c>
      <c r="H66" s="4" t="s">
        <v>15</v>
      </c>
      <c r="I66" s="4" t="s">
        <v>15</v>
      </c>
      <c r="J66" s="4" t="s">
        <v>93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21.908996999999999</v>
      </c>
      <c r="S66" s="7"/>
      <c r="T66" s="7"/>
      <c r="U66" s="7"/>
      <c r="V66" s="7"/>
      <c r="W66" s="11">
        <f t="shared" si="1"/>
        <v>21.908996999999999</v>
      </c>
    </row>
    <row r="67" spans="1:23" x14ac:dyDescent="0.2">
      <c r="A67" s="4" t="s">
        <v>565</v>
      </c>
      <c r="B67" s="4" t="s">
        <v>9</v>
      </c>
      <c r="C67" s="4" t="s">
        <v>10</v>
      </c>
      <c r="D67" s="4" t="s">
        <v>11</v>
      </c>
      <c r="E67" s="4" t="s">
        <v>12</v>
      </c>
      <c r="F67" s="4" t="s">
        <v>148</v>
      </c>
      <c r="G67" s="4" t="s">
        <v>686</v>
      </c>
      <c r="H67" s="4" t="s">
        <v>592</v>
      </c>
      <c r="I67" s="4" t="s">
        <v>23</v>
      </c>
      <c r="J67" s="4" t="s">
        <v>23</v>
      </c>
      <c r="K67" s="7">
        <v>445.04587960000003</v>
      </c>
      <c r="L67" s="7">
        <v>445.04587960000003</v>
      </c>
      <c r="M67" s="7">
        <v>366.42459159999999</v>
      </c>
      <c r="N67" s="7">
        <v>347.32140200000003</v>
      </c>
      <c r="O67" s="7">
        <v>315.35525440000004</v>
      </c>
      <c r="P67" s="7">
        <v>335.50166460000003</v>
      </c>
      <c r="Q67" s="7">
        <v>273.42942800000003</v>
      </c>
      <c r="R67" s="7">
        <v>407.40229699999998</v>
      </c>
      <c r="S67" s="7"/>
      <c r="T67" s="7"/>
      <c r="U67" s="7"/>
      <c r="V67" s="7"/>
      <c r="W67" s="11">
        <f t="shared" si="1"/>
        <v>2935.5263967999999</v>
      </c>
    </row>
    <row r="68" spans="1:23" x14ac:dyDescent="0.2">
      <c r="A68" s="4" t="s">
        <v>565</v>
      </c>
      <c r="B68" s="4" t="s">
        <v>9</v>
      </c>
      <c r="C68" s="4" t="s">
        <v>10</v>
      </c>
      <c r="D68" s="4" t="s">
        <v>11</v>
      </c>
      <c r="E68" s="4" t="s">
        <v>12</v>
      </c>
      <c r="F68" s="4" t="s">
        <v>149</v>
      </c>
      <c r="G68" s="4" t="s">
        <v>150</v>
      </c>
      <c r="H68" s="4" t="s">
        <v>46</v>
      </c>
      <c r="I68" s="4" t="s">
        <v>46</v>
      </c>
      <c r="J68" s="4" t="s">
        <v>151</v>
      </c>
      <c r="K68" s="7">
        <v>30394.545219</v>
      </c>
      <c r="L68" s="7">
        <v>27196.608814399999</v>
      </c>
      <c r="M68" s="7">
        <v>34122.519911199997</v>
      </c>
      <c r="N68" s="7">
        <v>29887.765338599998</v>
      </c>
      <c r="O68" s="7">
        <v>28332.759805199999</v>
      </c>
      <c r="P68" s="7">
        <v>32093.124720100001</v>
      </c>
      <c r="Q68" s="7">
        <v>35484.464706999999</v>
      </c>
      <c r="R68" s="7">
        <v>31767.084478000001</v>
      </c>
      <c r="S68" s="7"/>
      <c r="T68" s="7"/>
      <c r="U68" s="7"/>
      <c r="V68" s="7"/>
      <c r="W68" s="11">
        <f t="shared" si="1"/>
        <v>249278.8729935</v>
      </c>
    </row>
    <row r="69" spans="1:23" x14ac:dyDescent="0.2">
      <c r="A69" s="4" t="s">
        <v>565</v>
      </c>
      <c r="B69" s="4" t="s">
        <v>9</v>
      </c>
      <c r="C69" s="4" t="s">
        <v>10</v>
      </c>
      <c r="D69" s="4" t="s">
        <v>11</v>
      </c>
      <c r="E69" s="4" t="s">
        <v>12</v>
      </c>
      <c r="F69" s="4" t="s">
        <v>152</v>
      </c>
      <c r="G69" s="4" t="s">
        <v>153</v>
      </c>
      <c r="H69" s="4" t="s">
        <v>88</v>
      </c>
      <c r="I69" s="4" t="s">
        <v>154</v>
      </c>
      <c r="J69" s="4" t="s">
        <v>155</v>
      </c>
      <c r="K69" s="7">
        <v>892.09301719999996</v>
      </c>
      <c r="L69" s="7">
        <v>1128.6029447999999</v>
      </c>
      <c r="M69" s="7">
        <v>785.21614980000004</v>
      </c>
      <c r="N69" s="7">
        <v>866.18819120000001</v>
      </c>
      <c r="O69" s="7">
        <v>790.51356380000004</v>
      </c>
      <c r="P69" s="7">
        <v>715.43228469999997</v>
      </c>
      <c r="Q69" s="7">
        <v>819.590059</v>
      </c>
      <c r="R69" s="7">
        <v>785.33969999999999</v>
      </c>
      <c r="S69" s="7"/>
      <c r="T69" s="7"/>
      <c r="U69" s="7"/>
      <c r="V69" s="7"/>
      <c r="W69" s="11">
        <f t="shared" si="1"/>
        <v>6782.9759104999994</v>
      </c>
    </row>
    <row r="70" spans="1:23" x14ac:dyDescent="0.2">
      <c r="A70" s="4" t="s">
        <v>565</v>
      </c>
      <c r="B70" s="4" t="s">
        <v>9</v>
      </c>
      <c r="C70" s="4" t="s">
        <v>10</v>
      </c>
      <c r="D70" s="4" t="s">
        <v>11</v>
      </c>
      <c r="E70" s="4" t="s">
        <v>12</v>
      </c>
      <c r="F70" s="4" t="s">
        <v>24</v>
      </c>
      <c r="G70" s="4" t="s">
        <v>25</v>
      </c>
      <c r="H70" s="4" t="s">
        <v>26</v>
      </c>
      <c r="I70" s="4" t="s">
        <v>26</v>
      </c>
      <c r="J70" s="4" t="s">
        <v>27</v>
      </c>
      <c r="K70" s="7">
        <v>2475.9479403999999</v>
      </c>
      <c r="L70" s="7">
        <v>3885.8640209999999</v>
      </c>
      <c r="M70" s="7">
        <v>4656.7876752000002</v>
      </c>
      <c r="N70" s="7">
        <v>4068.1904909999998</v>
      </c>
      <c r="O70" s="7">
        <v>4414.9516725000003</v>
      </c>
      <c r="P70" s="7">
        <v>5349.7477680000002</v>
      </c>
      <c r="Q70" s="7">
        <v>4359.5020169999998</v>
      </c>
      <c r="R70" s="7">
        <v>4790.7135200000002</v>
      </c>
      <c r="S70" s="7"/>
      <c r="T70" s="7"/>
      <c r="U70" s="7"/>
      <c r="V70" s="7"/>
      <c r="W70" s="11">
        <f t="shared" si="1"/>
        <v>34001.705105100002</v>
      </c>
    </row>
    <row r="71" spans="1:23" x14ac:dyDescent="0.2">
      <c r="A71" s="4" t="s">
        <v>565</v>
      </c>
      <c r="B71" s="4" t="s">
        <v>9</v>
      </c>
      <c r="C71" s="4" t="s">
        <v>10</v>
      </c>
      <c r="D71" s="4" t="s">
        <v>11</v>
      </c>
      <c r="E71" s="4" t="s">
        <v>12</v>
      </c>
      <c r="F71" s="4" t="s">
        <v>156</v>
      </c>
      <c r="G71" s="4" t="s">
        <v>157</v>
      </c>
      <c r="H71" s="4" t="s">
        <v>68</v>
      </c>
      <c r="I71" s="4" t="s">
        <v>69</v>
      </c>
      <c r="J71" s="4" t="s">
        <v>70</v>
      </c>
      <c r="K71" s="7">
        <v>11957.8640923</v>
      </c>
      <c r="L71" s="7">
        <v>11686.4168976</v>
      </c>
      <c r="M71" s="7">
        <v>12801.0160693</v>
      </c>
      <c r="N71" s="7">
        <v>12352.2544485</v>
      </c>
      <c r="O71" s="7">
        <v>12338.310215199999</v>
      </c>
      <c r="P71" s="7">
        <v>12554.337203200001</v>
      </c>
      <c r="Q71" s="7">
        <v>11930.201988999999</v>
      </c>
      <c r="R71" s="7">
        <v>12504.694959</v>
      </c>
      <c r="S71" s="7"/>
      <c r="T71" s="7"/>
      <c r="U71" s="7"/>
      <c r="V71" s="7"/>
      <c r="W71" s="11">
        <f t="shared" si="1"/>
        <v>98125.095874099992</v>
      </c>
    </row>
    <row r="72" spans="1:23" x14ac:dyDescent="0.2">
      <c r="A72" s="4" t="s">
        <v>565</v>
      </c>
      <c r="B72" s="4" t="s">
        <v>9</v>
      </c>
      <c r="C72" s="4" t="s">
        <v>10</v>
      </c>
      <c r="D72" s="4" t="s">
        <v>11</v>
      </c>
      <c r="E72" s="4" t="s">
        <v>12</v>
      </c>
      <c r="F72" s="4" t="s">
        <v>156</v>
      </c>
      <c r="G72" s="4" t="s">
        <v>158</v>
      </c>
      <c r="H72" s="4" t="s">
        <v>159</v>
      </c>
      <c r="I72" s="4" t="s">
        <v>160</v>
      </c>
      <c r="J72" s="4" t="s">
        <v>161</v>
      </c>
      <c r="K72" s="7">
        <v>18260.836532400001</v>
      </c>
      <c r="L72" s="7">
        <v>16592.079704100001</v>
      </c>
      <c r="M72" s="7">
        <v>18020.758134399999</v>
      </c>
      <c r="N72" s="7">
        <v>17140.8188132</v>
      </c>
      <c r="O72" s="7">
        <v>18117.869187100001</v>
      </c>
      <c r="P72" s="7">
        <v>14446.5763926</v>
      </c>
      <c r="Q72" s="7">
        <v>17018.420715</v>
      </c>
      <c r="R72" s="7">
        <v>15819.857814000001</v>
      </c>
      <c r="S72" s="7"/>
      <c r="T72" s="7"/>
      <c r="U72" s="7"/>
      <c r="V72" s="7"/>
      <c r="W72" s="11">
        <f t="shared" si="1"/>
        <v>135417.21729279999</v>
      </c>
    </row>
    <row r="73" spans="1:23" x14ac:dyDescent="0.2">
      <c r="A73" s="4" t="s">
        <v>565</v>
      </c>
      <c r="B73" s="4" t="s">
        <v>9</v>
      </c>
      <c r="C73" s="4" t="s">
        <v>10</v>
      </c>
      <c r="D73" s="4" t="s">
        <v>11</v>
      </c>
      <c r="E73" s="4" t="s">
        <v>12</v>
      </c>
      <c r="F73" s="4" t="s">
        <v>162</v>
      </c>
      <c r="G73" s="4" t="s">
        <v>163</v>
      </c>
      <c r="H73" s="4" t="s">
        <v>592</v>
      </c>
      <c r="I73" s="4" t="s">
        <v>23</v>
      </c>
      <c r="J73" s="4" t="s">
        <v>164</v>
      </c>
      <c r="K73" s="7">
        <v>73.560076451</v>
      </c>
      <c r="L73" s="7">
        <v>103.63640631</v>
      </c>
      <c r="M73" s="7">
        <v>101.36654881199999</v>
      </c>
      <c r="N73" s="7">
        <v>95.969476436000008</v>
      </c>
      <c r="O73" s="7">
        <v>84.189087840000013</v>
      </c>
      <c r="P73" s="7">
        <v>90.614868752000007</v>
      </c>
      <c r="Q73" s="7">
        <v>95.032929999999993</v>
      </c>
      <c r="R73" s="7">
        <v>87.507874999999999</v>
      </c>
      <c r="S73" s="7"/>
      <c r="T73" s="7"/>
      <c r="U73" s="7"/>
      <c r="V73" s="7"/>
      <c r="W73" s="11">
        <f t="shared" si="1"/>
        <v>731.87726960099997</v>
      </c>
    </row>
    <row r="74" spans="1:23" x14ac:dyDescent="0.2">
      <c r="A74" s="4" t="s">
        <v>565</v>
      </c>
      <c r="B74" s="4" t="s">
        <v>9</v>
      </c>
      <c r="C74" s="4" t="s">
        <v>10</v>
      </c>
      <c r="D74" s="4" t="s">
        <v>11</v>
      </c>
      <c r="E74" s="4" t="s">
        <v>12</v>
      </c>
      <c r="F74" s="4" t="s">
        <v>162</v>
      </c>
      <c r="G74" s="4" t="s">
        <v>165</v>
      </c>
      <c r="H74" s="4" t="s">
        <v>592</v>
      </c>
      <c r="I74" s="4" t="s">
        <v>23</v>
      </c>
      <c r="J74" s="4" t="s">
        <v>23</v>
      </c>
      <c r="K74" s="7">
        <v>176.35908378799999</v>
      </c>
      <c r="L74" s="7">
        <v>210.563204493</v>
      </c>
      <c r="M74" s="7">
        <v>219.46597765500002</v>
      </c>
      <c r="N74" s="7">
        <v>273.939051608</v>
      </c>
      <c r="O74" s="7">
        <v>332.24610784000004</v>
      </c>
      <c r="P74" s="7">
        <v>375.58828773200003</v>
      </c>
      <c r="Q74" s="7">
        <v>299.60422900000003</v>
      </c>
      <c r="R74" s="7">
        <v>292.28772100000003</v>
      </c>
      <c r="S74" s="7"/>
      <c r="T74" s="7"/>
      <c r="U74" s="7"/>
      <c r="V74" s="7"/>
      <c r="W74" s="11">
        <f t="shared" si="1"/>
        <v>2180.0536631160003</v>
      </c>
    </row>
    <row r="75" spans="1:23" x14ac:dyDescent="0.2">
      <c r="A75" s="4" t="s">
        <v>565</v>
      </c>
      <c r="B75" s="4" t="s">
        <v>9</v>
      </c>
      <c r="C75" s="4" t="s">
        <v>10</v>
      </c>
      <c r="D75" s="4" t="s">
        <v>28</v>
      </c>
      <c r="E75" s="4" t="s">
        <v>29</v>
      </c>
      <c r="F75" s="4" t="s">
        <v>538</v>
      </c>
      <c r="G75" s="4" t="s">
        <v>549</v>
      </c>
      <c r="H75" s="4" t="s">
        <v>46</v>
      </c>
      <c r="I75" s="4" t="s">
        <v>52</v>
      </c>
      <c r="J75" s="4" t="s">
        <v>561</v>
      </c>
      <c r="K75" s="7">
        <v>157.27961519999999</v>
      </c>
      <c r="L75" s="7">
        <v>146.61468864</v>
      </c>
      <c r="M75" s="7">
        <v>149.42678838</v>
      </c>
      <c r="N75" s="7">
        <v>183.69680349999999</v>
      </c>
      <c r="O75" s="7">
        <v>0</v>
      </c>
      <c r="P75" s="7">
        <v>0</v>
      </c>
      <c r="Q75" s="7">
        <v>0</v>
      </c>
      <c r="R75" s="7">
        <v>0</v>
      </c>
      <c r="S75" s="7"/>
      <c r="T75" s="7"/>
      <c r="U75" s="7"/>
      <c r="V75" s="7"/>
      <c r="W75" s="11">
        <f t="shared" si="1"/>
        <v>637.01789572000007</v>
      </c>
    </row>
    <row r="76" spans="1:23" x14ac:dyDescent="0.2">
      <c r="A76" s="4" t="s">
        <v>565</v>
      </c>
      <c r="B76" s="4" t="s">
        <v>9</v>
      </c>
      <c r="C76" s="4" t="s">
        <v>10</v>
      </c>
      <c r="D76" s="4" t="s">
        <v>28</v>
      </c>
      <c r="E76" s="4" t="s">
        <v>29</v>
      </c>
      <c r="F76" s="4" t="s">
        <v>906</v>
      </c>
      <c r="G76" s="4" t="s">
        <v>907</v>
      </c>
      <c r="H76" s="4" t="s">
        <v>15</v>
      </c>
      <c r="I76" s="4" t="s">
        <v>908</v>
      </c>
      <c r="J76" s="4" t="s">
        <v>909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46.893052410000003</v>
      </c>
      <c r="Q76" s="7">
        <v>0</v>
      </c>
      <c r="R76" s="7">
        <v>18.833233</v>
      </c>
      <c r="S76" s="7"/>
      <c r="T76" s="7"/>
      <c r="U76" s="7"/>
      <c r="V76" s="7"/>
      <c r="W76" s="11">
        <f t="shared" si="1"/>
        <v>65.726285410000003</v>
      </c>
    </row>
    <row r="77" spans="1:23" x14ac:dyDescent="0.2">
      <c r="A77" s="4" t="s">
        <v>565</v>
      </c>
      <c r="B77" s="4" t="s">
        <v>9</v>
      </c>
      <c r="C77" s="4" t="s">
        <v>10</v>
      </c>
      <c r="D77" s="4" t="s">
        <v>28</v>
      </c>
      <c r="E77" s="4" t="s">
        <v>12</v>
      </c>
      <c r="F77" s="4" t="s">
        <v>78</v>
      </c>
      <c r="G77" s="4" t="s">
        <v>79</v>
      </c>
      <c r="H77" s="4" t="s">
        <v>32</v>
      </c>
      <c r="I77" s="4" t="s">
        <v>80</v>
      </c>
      <c r="J77" s="4" t="s">
        <v>80</v>
      </c>
      <c r="K77" s="7">
        <v>0</v>
      </c>
      <c r="L77" s="7">
        <v>5.1333364000000001</v>
      </c>
      <c r="M77" s="7">
        <v>0</v>
      </c>
      <c r="N77" s="7">
        <v>0</v>
      </c>
      <c r="O77" s="7">
        <v>0</v>
      </c>
      <c r="P77" s="7">
        <v>0</v>
      </c>
      <c r="Q77" s="7">
        <v>8.4284990000000004</v>
      </c>
      <c r="R77" s="7">
        <v>0</v>
      </c>
      <c r="S77" s="7"/>
      <c r="T77" s="7"/>
      <c r="U77" s="7"/>
      <c r="V77" s="7"/>
      <c r="W77" s="11">
        <f t="shared" si="1"/>
        <v>13.5618354</v>
      </c>
    </row>
    <row r="78" spans="1:23" x14ac:dyDescent="0.2">
      <c r="A78" s="4" t="s">
        <v>565</v>
      </c>
      <c r="B78" s="4" t="s">
        <v>9</v>
      </c>
      <c r="C78" s="4" t="s">
        <v>10</v>
      </c>
      <c r="D78" s="4" t="s">
        <v>28</v>
      </c>
      <c r="E78" s="4" t="s">
        <v>12</v>
      </c>
      <c r="F78" s="4" t="s">
        <v>867</v>
      </c>
      <c r="G78" s="4" t="s">
        <v>683</v>
      </c>
      <c r="H78" s="4" t="s">
        <v>592</v>
      </c>
      <c r="I78" s="4" t="s">
        <v>23</v>
      </c>
      <c r="J78" s="4" t="s">
        <v>683</v>
      </c>
      <c r="K78" s="7">
        <v>0</v>
      </c>
      <c r="L78" s="7">
        <v>0</v>
      </c>
      <c r="M78" s="7">
        <v>0</v>
      </c>
      <c r="N78" s="7">
        <v>0</v>
      </c>
      <c r="O78" s="7">
        <v>1.0000000000000001E-5</v>
      </c>
      <c r="P78" s="7">
        <v>0</v>
      </c>
      <c r="Q78" s="7">
        <v>0</v>
      </c>
      <c r="R78" s="7">
        <v>0</v>
      </c>
      <c r="S78" s="7"/>
      <c r="T78" s="7"/>
      <c r="U78" s="7"/>
      <c r="V78" s="7"/>
      <c r="W78" s="11">
        <f t="shared" si="1"/>
        <v>1.0000000000000001E-5</v>
      </c>
    </row>
    <row r="79" spans="1:23" x14ac:dyDescent="0.2">
      <c r="A79" s="4" t="s">
        <v>565</v>
      </c>
      <c r="B79" s="4" t="s">
        <v>9</v>
      </c>
      <c r="C79" s="4" t="s">
        <v>10</v>
      </c>
      <c r="D79" s="4" t="s">
        <v>28</v>
      </c>
      <c r="E79" s="4" t="s">
        <v>12</v>
      </c>
      <c r="F79" s="4" t="s">
        <v>107</v>
      </c>
      <c r="G79" s="4" t="s">
        <v>166</v>
      </c>
      <c r="H79" s="4" t="s">
        <v>26</v>
      </c>
      <c r="I79" s="4" t="s">
        <v>26</v>
      </c>
      <c r="J79" s="4" t="s">
        <v>109</v>
      </c>
      <c r="K79" s="7">
        <v>0.29986371000000001</v>
      </c>
      <c r="L79" s="7">
        <v>0.82144711999999998</v>
      </c>
      <c r="M79" s="7">
        <v>0.50635914299999996</v>
      </c>
      <c r="N79" s="7">
        <v>0.211254312</v>
      </c>
      <c r="O79" s="7">
        <v>0.66087344400000003</v>
      </c>
      <c r="P79" s="7">
        <v>1.127427062</v>
      </c>
      <c r="Q79" s="7">
        <v>1.274124</v>
      </c>
      <c r="R79" s="7">
        <v>1.109464</v>
      </c>
      <c r="S79" s="7"/>
      <c r="T79" s="7"/>
      <c r="U79" s="7"/>
      <c r="V79" s="7"/>
      <c r="W79" s="11">
        <f t="shared" si="1"/>
        <v>6.0108127910000002</v>
      </c>
    </row>
    <row r="80" spans="1:23" x14ac:dyDescent="0.2">
      <c r="A80" s="4" t="s">
        <v>565</v>
      </c>
      <c r="B80" s="4" t="s">
        <v>9</v>
      </c>
      <c r="C80" s="4" t="s">
        <v>10</v>
      </c>
      <c r="D80" s="4" t="s">
        <v>28</v>
      </c>
      <c r="E80" s="4" t="s">
        <v>12</v>
      </c>
      <c r="F80" s="4" t="s">
        <v>769</v>
      </c>
      <c r="G80" s="4" t="s">
        <v>770</v>
      </c>
      <c r="H80" s="4" t="s">
        <v>68</v>
      </c>
      <c r="I80" s="4" t="s">
        <v>771</v>
      </c>
      <c r="J80" s="4" t="s">
        <v>772</v>
      </c>
      <c r="K80" s="7">
        <v>0</v>
      </c>
      <c r="L80" s="7">
        <v>0</v>
      </c>
      <c r="M80" s="7">
        <v>0</v>
      </c>
      <c r="N80" s="7">
        <v>188.60998113900001</v>
      </c>
      <c r="O80" s="7">
        <v>0</v>
      </c>
      <c r="P80" s="7">
        <v>0</v>
      </c>
      <c r="Q80" s="7">
        <v>0</v>
      </c>
      <c r="R80" s="7">
        <v>0</v>
      </c>
      <c r="S80" s="7"/>
      <c r="T80" s="7"/>
      <c r="U80" s="7"/>
      <c r="V80" s="7"/>
      <c r="W80" s="11">
        <f t="shared" si="1"/>
        <v>188.60998113900001</v>
      </c>
    </row>
    <row r="81" spans="1:23" x14ac:dyDescent="0.2">
      <c r="A81" s="4" t="s">
        <v>565</v>
      </c>
      <c r="B81" s="4" t="s">
        <v>9</v>
      </c>
      <c r="C81" s="4" t="s">
        <v>10</v>
      </c>
      <c r="D81" s="4" t="s">
        <v>595</v>
      </c>
      <c r="E81" s="4" t="s">
        <v>29</v>
      </c>
      <c r="F81" s="4" t="s">
        <v>63</v>
      </c>
      <c r="G81" s="4" t="s">
        <v>64</v>
      </c>
      <c r="H81" s="4" t="s">
        <v>46</v>
      </c>
      <c r="I81" s="4" t="s">
        <v>52</v>
      </c>
      <c r="J81" s="4" t="s">
        <v>65</v>
      </c>
      <c r="K81" s="7">
        <v>0</v>
      </c>
      <c r="L81" s="7">
        <v>0</v>
      </c>
      <c r="M81" s="7">
        <v>0</v>
      </c>
      <c r="N81" s="7">
        <v>7.9519999999999998E-5</v>
      </c>
      <c r="O81" s="7">
        <v>0</v>
      </c>
      <c r="P81" s="7">
        <v>0</v>
      </c>
      <c r="Q81" s="7">
        <v>0</v>
      </c>
      <c r="R81" s="7">
        <v>0</v>
      </c>
      <c r="S81" s="7"/>
      <c r="T81" s="7"/>
      <c r="U81" s="7"/>
      <c r="V81" s="7"/>
      <c r="W81" s="11">
        <f t="shared" si="1"/>
        <v>7.9519999999999998E-5</v>
      </c>
    </row>
    <row r="82" spans="1:23" x14ac:dyDescent="0.2">
      <c r="A82" s="4" t="s">
        <v>565</v>
      </c>
      <c r="B82" s="4" t="s">
        <v>9</v>
      </c>
      <c r="C82" s="4" t="s">
        <v>10</v>
      </c>
      <c r="D82" s="4" t="s">
        <v>595</v>
      </c>
      <c r="E82" s="4" t="s">
        <v>29</v>
      </c>
      <c r="F82" s="4" t="s">
        <v>630</v>
      </c>
      <c r="G82" s="4" t="s">
        <v>631</v>
      </c>
      <c r="H82" s="4" t="s">
        <v>46</v>
      </c>
      <c r="I82" s="4" t="s">
        <v>52</v>
      </c>
      <c r="J82" s="4" t="s">
        <v>561</v>
      </c>
      <c r="K82" s="7">
        <v>0.76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/>
      <c r="T82" s="7"/>
      <c r="U82" s="7"/>
      <c r="V82" s="7"/>
      <c r="W82" s="11">
        <f t="shared" si="1"/>
        <v>0.76</v>
      </c>
    </row>
    <row r="83" spans="1:23" x14ac:dyDescent="0.2">
      <c r="A83" s="4" t="s">
        <v>565</v>
      </c>
      <c r="B83" s="4" t="s">
        <v>9</v>
      </c>
      <c r="C83" s="4" t="s">
        <v>10</v>
      </c>
      <c r="D83" s="4" t="s">
        <v>595</v>
      </c>
      <c r="E83" s="4" t="s">
        <v>12</v>
      </c>
      <c r="F83" s="4" t="s">
        <v>78</v>
      </c>
      <c r="G83" s="4" t="s">
        <v>79</v>
      </c>
      <c r="H83" s="4" t="s">
        <v>32</v>
      </c>
      <c r="I83" s="4" t="s">
        <v>80</v>
      </c>
      <c r="J83" s="4" t="s">
        <v>80</v>
      </c>
      <c r="K83" s="7">
        <v>783.21600000000001</v>
      </c>
      <c r="L83" s="7">
        <v>653.346</v>
      </c>
      <c r="M83" s="7">
        <v>696.303</v>
      </c>
      <c r="N83" s="7">
        <v>605.39400000000001</v>
      </c>
      <c r="O83" s="7">
        <v>323.29238400000003</v>
      </c>
      <c r="P83" s="7">
        <v>323.50517100000002</v>
      </c>
      <c r="Q83" s="7">
        <v>431.56799999999998</v>
      </c>
      <c r="R83" s="7">
        <v>451.33721100000002</v>
      </c>
      <c r="S83" s="7"/>
      <c r="T83" s="7"/>
      <c r="U83" s="7"/>
      <c r="V83" s="7"/>
      <c r="W83" s="11">
        <f t="shared" si="1"/>
        <v>4267.9617660000004</v>
      </c>
    </row>
    <row r="84" spans="1:23" x14ac:dyDescent="0.2">
      <c r="A84" s="4" t="s">
        <v>565</v>
      </c>
      <c r="B84" s="4" t="s">
        <v>9</v>
      </c>
      <c r="C84" s="4" t="s">
        <v>10</v>
      </c>
      <c r="D84" s="4" t="s">
        <v>595</v>
      </c>
      <c r="E84" s="4" t="s">
        <v>12</v>
      </c>
      <c r="F84" s="4" t="s">
        <v>81</v>
      </c>
      <c r="G84" s="4" t="s">
        <v>484</v>
      </c>
      <c r="H84" s="4" t="s">
        <v>46</v>
      </c>
      <c r="I84" s="4" t="s">
        <v>52</v>
      </c>
      <c r="J84" s="4" t="s">
        <v>65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895.048</v>
      </c>
      <c r="R84" s="7">
        <v>105.377139</v>
      </c>
      <c r="S84" s="7"/>
      <c r="T84" s="7"/>
      <c r="U84" s="7"/>
      <c r="V84" s="7"/>
      <c r="W84" s="11">
        <f t="shared" si="1"/>
        <v>1000.4251389999999</v>
      </c>
    </row>
    <row r="85" spans="1:23" x14ac:dyDescent="0.2">
      <c r="A85" s="4" t="s">
        <v>565</v>
      </c>
      <c r="B85" s="4" t="s">
        <v>9</v>
      </c>
      <c r="C85" s="4" t="s">
        <v>10</v>
      </c>
      <c r="D85" s="4" t="s">
        <v>595</v>
      </c>
      <c r="E85" s="4" t="s">
        <v>12</v>
      </c>
      <c r="F85" s="4" t="s">
        <v>107</v>
      </c>
      <c r="G85" s="4" t="s">
        <v>166</v>
      </c>
      <c r="H85" s="4" t="s">
        <v>26</v>
      </c>
      <c r="I85" s="4" t="s">
        <v>26</v>
      </c>
      <c r="J85" s="4" t="s">
        <v>109</v>
      </c>
      <c r="K85" s="7">
        <v>0.47399866800000001</v>
      </c>
      <c r="L85" s="7">
        <v>0.71199794400000005</v>
      </c>
      <c r="M85" s="7">
        <v>0.74100338200000004</v>
      </c>
      <c r="N85" s="7">
        <v>0.212002681</v>
      </c>
      <c r="O85" s="7">
        <v>0.72399847399999995</v>
      </c>
      <c r="P85" s="7">
        <v>0.70300203500000003</v>
      </c>
      <c r="Q85" s="7">
        <v>0.72999800000000004</v>
      </c>
      <c r="R85" s="7">
        <v>0.80900000000000005</v>
      </c>
      <c r="S85" s="7"/>
      <c r="T85" s="7"/>
      <c r="U85" s="7"/>
      <c r="V85" s="7"/>
      <c r="W85" s="11">
        <f t="shared" si="1"/>
        <v>5.1050011839999998</v>
      </c>
    </row>
    <row r="86" spans="1:23" x14ac:dyDescent="0.2">
      <c r="A86" s="4" t="s">
        <v>565</v>
      </c>
      <c r="B86" s="4" t="s">
        <v>9</v>
      </c>
      <c r="C86" s="4" t="s">
        <v>10</v>
      </c>
      <c r="D86" s="4" t="s">
        <v>595</v>
      </c>
      <c r="E86" s="4" t="s">
        <v>12</v>
      </c>
      <c r="F86" s="4" t="s">
        <v>121</v>
      </c>
      <c r="G86" s="4" t="s">
        <v>122</v>
      </c>
      <c r="H86" s="4" t="s">
        <v>54</v>
      </c>
      <c r="I86" s="4" t="s">
        <v>123</v>
      </c>
      <c r="J86" s="4" t="s">
        <v>124</v>
      </c>
      <c r="K86" s="7">
        <v>3802.7118549000002</v>
      </c>
      <c r="L86" s="7">
        <v>3452.6673580000001</v>
      </c>
      <c r="M86" s="7">
        <v>3268.4555690500001</v>
      </c>
      <c r="N86" s="7">
        <v>3618.8540482499998</v>
      </c>
      <c r="O86" s="7">
        <v>3879.4300188000002</v>
      </c>
      <c r="P86" s="7">
        <v>3473.70130625</v>
      </c>
      <c r="Q86" s="7">
        <v>3196.5001670000001</v>
      </c>
      <c r="R86" s="7">
        <v>4099.9849899999999</v>
      </c>
      <c r="S86" s="7"/>
      <c r="T86" s="7"/>
      <c r="U86" s="7"/>
      <c r="V86" s="7"/>
      <c r="W86" s="11">
        <f t="shared" si="1"/>
        <v>28792.305312250002</v>
      </c>
    </row>
    <row r="87" spans="1:23" x14ac:dyDescent="0.2">
      <c r="A87" s="4" t="s">
        <v>565</v>
      </c>
      <c r="B87" s="4" t="s">
        <v>9</v>
      </c>
      <c r="C87" s="4" t="s">
        <v>10</v>
      </c>
      <c r="D87" s="4" t="s">
        <v>595</v>
      </c>
      <c r="E87" s="4" t="s">
        <v>12</v>
      </c>
      <c r="F87" s="4" t="s">
        <v>769</v>
      </c>
      <c r="G87" s="4" t="s">
        <v>770</v>
      </c>
      <c r="H87" s="4" t="s">
        <v>68</v>
      </c>
      <c r="I87" s="4" t="s">
        <v>771</v>
      </c>
      <c r="J87" s="4" t="s">
        <v>772</v>
      </c>
      <c r="K87" s="7">
        <v>0</v>
      </c>
      <c r="L87" s="7">
        <v>0</v>
      </c>
      <c r="M87" s="7">
        <v>94.798103999999995</v>
      </c>
      <c r="N87" s="7">
        <v>0</v>
      </c>
      <c r="O87" s="7">
        <v>0</v>
      </c>
      <c r="P87" s="7">
        <v>427.85</v>
      </c>
      <c r="Q87" s="7">
        <v>0</v>
      </c>
      <c r="R87" s="7">
        <v>500</v>
      </c>
      <c r="S87" s="7"/>
      <c r="T87" s="7"/>
      <c r="U87" s="7"/>
      <c r="V87" s="7"/>
      <c r="W87" s="11">
        <f t="shared" si="1"/>
        <v>1022.648104</v>
      </c>
    </row>
    <row r="88" spans="1:23" x14ac:dyDescent="0.2">
      <c r="A88" s="4" t="s">
        <v>565</v>
      </c>
      <c r="B88" s="4" t="s">
        <v>9</v>
      </c>
      <c r="C88" s="4" t="s">
        <v>10</v>
      </c>
      <c r="D88" s="4" t="s">
        <v>595</v>
      </c>
      <c r="E88" s="4" t="s">
        <v>12</v>
      </c>
      <c r="F88" s="4" t="s">
        <v>167</v>
      </c>
      <c r="G88" s="4" t="s">
        <v>168</v>
      </c>
      <c r="H88" s="4" t="s">
        <v>88</v>
      </c>
      <c r="I88" s="4" t="s">
        <v>88</v>
      </c>
      <c r="J88" s="4" t="s">
        <v>169</v>
      </c>
      <c r="K88" s="7">
        <v>444.52688499999999</v>
      </c>
      <c r="L88" s="7">
        <v>330.40784600000001</v>
      </c>
      <c r="M88" s="7">
        <v>392.589249</v>
      </c>
      <c r="N88" s="7">
        <v>397.36415799999997</v>
      </c>
      <c r="O88" s="7">
        <v>286.27364499999999</v>
      </c>
      <c r="P88" s="7">
        <v>468.01476400000001</v>
      </c>
      <c r="Q88" s="7">
        <v>432.56206500000002</v>
      </c>
      <c r="R88" s="7">
        <v>429.92522300000002</v>
      </c>
      <c r="S88" s="7"/>
      <c r="T88" s="7"/>
      <c r="U88" s="7"/>
      <c r="V88" s="7"/>
      <c r="W88" s="11">
        <f t="shared" si="1"/>
        <v>3181.6638350000003</v>
      </c>
    </row>
    <row r="89" spans="1:23" x14ac:dyDescent="0.2">
      <c r="A89" s="4" t="s">
        <v>565</v>
      </c>
      <c r="B89" s="4" t="s">
        <v>9</v>
      </c>
      <c r="C89" s="4" t="s">
        <v>10</v>
      </c>
      <c r="D89" s="4" t="s">
        <v>595</v>
      </c>
      <c r="E89" s="4" t="s">
        <v>12</v>
      </c>
      <c r="F89" s="4" t="s">
        <v>773</v>
      </c>
      <c r="G89" s="4" t="s">
        <v>774</v>
      </c>
      <c r="H89" s="4" t="s">
        <v>104</v>
      </c>
      <c r="I89" s="4" t="s">
        <v>221</v>
      </c>
      <c r="J89" s="4" t="s">
        <v>222</v>
      </c>
      <c r="K89" s="7">
        <v>16.520728876900002</v>
      </c>
      <c r="L89" s="7">
        <v>16.042491855000002</v>
      </c>
      <c r="M89" s="7">
        <v>14.337571689600001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/>
      <c r="T89" s="7"/>
      <c r="U89" s="7"/>
      <c r="V89" s="7"/>
      <c r="W89" s="11">
        <f t="shared" si="1"/>
        <v>46.9007924215</v>
      </c>
    </row>
    <row r="90" spans="1:23" x14ac:dyDescent="0.2">
      <c r="A90" s="4" t="s">
        <v>565</v>
      </c>
      <c r="B90" s="4" t="s">
        <v>9</v>
      </c>
      <c r="C90" s="4" t="s">
        <v>10</v>
      </c>
      <c r="D90" s="4" t="s">
        <v>595</v>
      </c>
      <c r="E90" s="4" t="s">
        <v>12</v>
      </c>
      <c r="F90" s="4" t="s">
        <v>149</v>
      </c>
      <c r="G90" s="4" t="s">
        <v>150</v>
      </c>
      <c r="H90" s="4" t="s">
        <v>46</v>
      </c>
      <c r="I90" s="4" t="s">
        <v>46</v>
      </c>
      <c r="J90" s="4" t="s">
        <v>151</v>
      </c>
      <c r="K90" s="7">
        <v>2123.7955992000002</v>
      </c>
      <c r="L90" s="7">
        <v>1935.9143892</v>
      </c>
      <c r="M90" s="7">
        <v>2052.0907704000001</v>
      </c>
      <c r="N90" s="7">
        <v>1908.7521056999999</v>
      </c>
      <c r="O90" s="7">
        <v>1852.7007114</v>
      </c>
      <c r="P90" s="7">
        <v>1817.848197</v>
      </c>
      <c r="Q90" s="7">
        <v>1820.5889219999999</v>
      </c>
      <c r="R90" s="7">
        <v>1791.182863</v>
      </c>
      <c r="S90" s="7"/>
      <c r="T90" s="7"/>
      <c r="U90" s="7"/>
      <c r="V90" s="7"/>
      <c r="W90" s="11">
        <f t="shared" si="1"/>
        <v>15302.8735579</v>
      </c>
    </row>
    <row r="91" spans="1:23" x14ac:dyDescent="0.2">
      <c r="A91" s="4" t="s">
        <v>565</v>
      </c>
      <c r="B91" s="4" t="s">
        <v>9</v>
      </c>
      <c r="C91" s="4" t="s">
        <v>10</v>
      </c>
      <c r="D91" s="4" t="s">
        <v>595</v>
      </c>
      <c r="E91" s="4" t="s">
        <v>12</v>
      </c>
      <c r="F91" s="4" t="s">
        <v>156</v>
      </c>
      <c r="G91" s="4" t="s">
        <v>170</v>
      </c>
      <c r="H91" s="4" t="s">
        <v>159</v>
      </c>
      <c r="I91" s="4" t="s">
        <v>160</v>
      </c>
      <c r="J91" s="4" t="s">
        <v>161</v>
      </c>
      <c r="K91" s="7">
        <v>1585.3972437939999</v>
      </c>
      <c r="L91" s="7">
        <v>1489.1145326430001</v>
      </c>
      <c r="M91" s="7">
        <v>1704.565886287</v>
      </c>
      <c r="N91" s="7">
        <v>1621.5951352</v>
      </c>
      <c r="O91" s="7">
        <v>1540.5698376959999</v>
      </c>
      <c r="P91" s="7">
        <v>1595.7858084219999</v>
      </c>
      <c r="Q91" s="7">
        <v>1686.2526270000001</v>
      </c>
      <c r="R91" s="7">
        <v>1696.945606</v>
      </c>
      <c r="S91" s="7"/>
      <c r="T91" s="7"/>
      <c r="U91" s="7"/>
      <c r="V91" s="7"/>
      <c r="W91" s="11">
        <f t="shared" si="1"/>
        <v>12920.226677041999</v>
      </c>
    </row>
    <row r="92" spans="1:23" x14ac:dyDescent="0.2">
      <c r="A92" s="4" t="s">
        <v>565</v>
      </c>
      <c r="B92" s="4" t="s">
        <v>9</v>
      </c>
      <c r="C92" s="4" t="s">
        <v>10</v>
      </c>
      <c r="D92" s="4" t="s">
        <v>595</v>
      </c>
      <c r="E92" s="4" t="s">
        <v>12</v>
      </c>
      <c r="F92" s="4" t="s">
        <v>156</v>
      </c>
      <c r="G92" s="4" t="s">
        <v>171</v>
      </c>
      <c r="H92" s="4" t="s">
        <v>68</v>
      </c>
      <c r="I92" s="4" t="s">
        <v>69</v>
      </c>
      <c r="J92" s="4" t="s">
        <v>70</v>
      </c>
      <c r="K92" s="7">
        <v>299.53610138900001</v>
      </c>
      <c r="L92" s="7">
        <v>179.84946045000001</v>
      </c>
      <c r="M92" s="7">
        <v>237.87628636900001</v>
      </c>
      <c r="N92" s="7">
        <v>262.95921112000002</v>
      </c>
      <c r="O92" s="7">
        <v>288.06884772000001</v>
      </c>
      <c r="P92" s="7">
        <v>262.85247429399999</v>
      </c>
      <c r="Q92" s="7">
        <v>241.02751699999999</v>
      </c>
      <c r="R92" s="7">
        <v>259.84748000000002</v>
      </c>
      <c r="S92" s="7"/>
      <c r="T92" s="7"/>
      <c r="U92" s="7"/>
      <c r="V92" s="7"/>
      <c r="W92" s="11">
        <f t="shared" si="1"/>
        <v>2032.017378342</v>
      </c>
    </row>
    <row r="93" spans="1:23" x14ac:dyDescent="0.2">
      <c r="A93" s="4" t="s">
        <v>574</v>
      </c>
      <c r="B93" s="4" t="s">
        <v>9</v>
      </c>
      <c r="C93" s="4" t="s">
        <v>10</v>
      </c>
      <c r="D93" s="4" t="s">
        <v>11</v>
      </c>
      <c r="E93" s="4" t="s">
        <v>12</v>
      </c>
      <c r="F93" s="4" t="s">
        <v>172</v>
      </c>
      <c r="G93" s="4" t="s">
        <v>173</v>
      </c>
      <c r="H93" s="4" t="s">
        <v>104</v>
      </c>
      <c r="I93" s="4" t="s">
        <v>174</v>
      </c>
      <c r="J93" s="4" t="s">
        <v>175</v>
      </c>
      <c r="K93" s="7">
        <v>208.454274</v>
      </c>
      <c r="L93" s="7">
        <v>220.61134200000001</v>
      </c>
      <c r="M93" s="7">
        <v>193.159616</v>
      </c>
      <c r="N93" s="7">
        <v>235.92797999999999</v>
      </c>
      <c r="O93" s="7">
        <v>242.19499500000001</v>
      </c>
      <c r="P93" s="7">
        <v>258.0752</v>
      </c>
      <c r="Q93" s="7">
        <v>285.639411</v>
      </c>
      <c r="R93" s="7">
        <v>206.76793000000001</v>
      </c>
      <c r="S93" s="7"/>
      <c r="T93" s="7"/>
      <c r="U93" s="7"/>
      <c r="V93" s="7"/>
      <c r="W93" s="11">
        <f t="shared" si="1"/>
        <v>1850.8307479999999</v>
      </c>
    </row>
    <row r="94" spans="1:23" x14ac:dyDescent="0.2">
      <c r="A94" s="4" t="s">
        <v>574</v>
      </c>
      <c r="B94" s="4" t="s">
        <v>9</v>
      </c>
      <c r="C94" s="4" t="s">
        <v>10</v>
      </c>
      <c r="D94" s="4" t="s">
        <v>28</v>
      </c>
      <c r="E94" s="4" t="s">
        <v>12</v>
      </c>
      <c r="F94" s="4" t="s">
        <v>172</v>
      </c>
      <c r="G94" s="4" t="s">
        <v>173</v>
      </c>
      <c r="H94" s="4" t="s">
        <v>104</v>
      </c>
      <c r="I94" s="4" t="s">
        <v>174</v>
      </c>
      <c r="J94" s="4" t="s">
        <v>175</v>
      </c>
      <c r="K94" s="7">
        <v>2429.6471179999999</v>
      </c>
      <c r="L94" s="7">
        <v>2390.3906080000002</v>
      </c>
      <c r="M94" s="7">
        <v>2550.5347259999999</v>
      </c>
      <c r="N94" s="7">
        <v>2828.985122</v>
      </c>
      <c r="O94" s="7">
        <v>3059.1752849999998</v>
      </c>
      <c r="P94" s="7">
        <v>2897.204076</v>
      </c>
      <c r="Q94" s="7">
        <v>2945.1308140000001</v>
      </c>
      <c r="R94" s="7">
        <v>2526.0237649999999</v>
      </c>
      <c r="S94" s="7"/>
      <c r="T94" s="7"/>
      <c r="U94" s="7"/>
      <c r="V94" s="7"/>
      <c r="W94" s="11">
        <f t="shared" si="1"/>
        <v>21627.091514</v>
      </c>
    </row>
    <row r="95" spans="1:23" x14ac:dyDescent="0.2">
      <c r="A95" s="4" t="s">
        <v>566</v>
      </c>
      <c r="B95" s="4" t="s">
        <v>9</v>
      </c>
      <c r="C95" s="4" t="s">
        <v>10</v>
      </c>
      <c r="D95" s="4" t="s">
        <v>11</v>
      </c>
      <c r="E95" s="4" t="s">
        <v>12</v>
      </c>
      <c r="F95" s="4" t="s">
        <v>132</v>
      </c>
      <c r="G95" s="4" t="s">
        <v>133</v>
      </c>
      <c r="H95" s="4" t="s">
        <v>54</v>
      </c>
      <c r="I95" s="4" t="s">
        <v>123</v>
      </c>
      <c r="J95" s="4" t="s">
        <v>124</v>
      </c>
      <c r="K95" s="7">
        <v>23424.21399</v>
      </c>
      <c r="L95" s="7">
        <v>17884.498608000002</v>
      </c>
      <c r="M95" s="7">
        <v>22169.710992</v>
      </c>
      <c r="N95" s="7">
        <v>20753.186453999999</v>
      </c>
      <c r="O95" s="7">
        <v>21135.017995999999</v>
      </c>
      <c r="P95" s="7">
        <v>16617.742328</v>
      </c>
      <c r="Q95" s="7">
        <v>21275.672460000002</v>
      </c>
      <c r="R95" s="7">
        <v>15317.331743999999</v>
      </c>
      <c r="S95" s="7"/>
      <c r="T95" s="7"/>
      <c r="U95" s="7"/>
      <c r="V95" s="7"/>
      <c r="W95" s="11">
        <f t="shared" si="1"/>
        <v>158577.374572</v>
      </c>
    </row>
    <row r="96" spans="1:23" x14ac:dyDescent="0.2">
      <c r="A96" s="4" t="s">
        <v>566</v>
      </c>
      <c r="B96" s="4" t="s">
        <v>9</v>
      </c>
      <c r="C96" s="4" t="s">
        <v>10</v>
      </c>
      <c r="D96" s="4" t="s">
        <v>11</v>
      </c>
      <c r="E96" s="4" t="s">
        <v>12</v>
      </c>
      <c r="F96" s="4" t="s">
        <v>176</v>
      </c>
      <c r="G96" s="4" t="s">
        <v>177</v>
      </c>
      <c r="H96" s="4" t="s">
        <v>54</v>
      </c>
      <c r="I96" s="4" t="s">
        <v>123</v>
      </c>
      <c r="J96" s="4" t="s">
        <v>124</v>
      </c>
      <c r="K96" s="7">
        <v>1152180.4476000001</v>
      </c>
      <c r="L96" s="7">
        <v>1120942.176</v>
      </c>
      <c r="M96" s="7">
        <v>1232273.6416</v>
      </c>
      <c r="N96" s="7">
        <v>1093400.551</v>
      </c>
      <c r="O96" s="7">
        <v>1219236.7494000001</v>
      </c>
      <c r="P96" s="7">
        <v>1189258.9615</v>
      </c>
      <c r="Q96" s="7">
        <v>1045094.9774</v>
      </c>
      <c r="R96" s="7">
        <v>1238055.4478</v>
      </c>
      <c r="S96" s="7"/>
      <c r="T96" s="7"/>
      <c r="U96" s="7"/>
      <c r="V96" s="7"/>
      <c r="W96" s="11">
        <f t="shared" si="1"/>
        <v>9290442.9523000009</v>
      </c>
    </row>
    <row r="97" spans="1:23" x14ac:dyDescent="0.2">
      <c r="A97" s="4" t="s">
        <v>567</v>
      </c>
      <c r="B97" s="4" t="s">
        <v>9</v>
      </c>
      <c r="C97" s="4" t="s">
        <v>10</v>
      </c>
      <c r="D97" s="4" t="s">
        <v>11</v>
      </c>
      <c r="E97" s="4" t="s">
        <v>12</v>
      </c>
      <c r="F97" s="4" t="s">
        <v>40</v>
      </c>
      <c r="G97" s="4" t="s">
        <v>41</v>
      </c>
      <c r="H97" s="4" t="s">
        <v>591</v>
      </c>
      <c r="I97" s="4" t="s">
        <v>42</v>
      </c>
      <c r="J97" s="4" t="s">
        <v>43</v>
      </c>
      <c r="K97" s="7">
        <v>3.9908700000000001</v>
      </c>
      <c r="L97" s="7">
        <v>4.047072</v>
      </c>
      <c r="M97" s="7">
        <v>5.5070579999999998</v>
      </c>
      <c r="N97" s="7">
        <v>4.3102679999999998</v>
      </c>
      <c r="O97" s="7">
        <v>3.9205589999999999</v>
      </c>
      <c r="P97" s="7">
        <v>5.3677859999999997</v>
      </c>
      <c r="Q97" s="7">
        <v>3.2440980000000001</v>
      </c>
      <c r="R97" s="7">
        <v>4.7183190000000002</v>
      </c>
      <c r="S97" s="7"/>
      <c r="T97" s="7"/>
      <c r="U97" s="7"/>
      <c r="V97" s="7"/>
      <c r="W97" s="11">
        <f t="shared" si="1"/>
        <v>35.106030000000004</v>
      </c>
    </row>
    <row r="98" spans="1:23" x14ac:dyDescent="0.2">
      <c r="A98" s="4" t="s">
        <v>568</v>
      </c>
      <c r="B98" s="4" t="s">
        <v>9</v>
      </c>
      <c r="C98" s="4" t="s">
        <v>10</v>
      </c>
      <c r="D98" s="4" t="s">
        <v>11</v>
      </c>
      <c r="E98" s="4" t="s">
        <v>12</v>
      </c>
      <c r="F98" s="4" t="s">
        <v>13</v>
      </c>
      <c r="G98" s="4" t="s">
        <v>178</v>
      </c>
      <c r="H98" s="4" t="s">
        <v>88</v>
      </c>
      <c r="I98" s="4" t="s">
        <v>179</v>
      </c>
      <c r="J98" s="4" t="s">
        <v>179</v>
      </c>
      <c r="K98" s="7">
        <v>3380.6199323000001</v>
      </c>
      <c r="L98" s="7">
        <v>3245.0883159999998</v>
      </c>
      <c r="M98" s="7">
        <v>3114.9524163999999</v>
      </c>
      <c r="N98" s="7">
        <v>3933.6068587999998</v>
      </c>
      <c r="O98" s="7">
        <v>3028.7725049999999</v>
      </c>
      <c r="P98" s="7">
        <v>3234.0587</v>
      </c>
      <c r="Q98" s="7">
        <v>3383.3143699999996</v>
      </c>
      <c r="R98" s="7">
        <v>2585.6734189999997</v>
      </c>
      <c r="S98" s="7"/>
      <c r="T98" s="7"/>
      <c r="U98" s="7"/>
      <c r="V98" s="7"/>
      <c r="W98" s="11">
        <f t="shared" si="1"/>
        <v>25906.0865175</v>
      </c>
    </row>
    <row r="99" spans="1:23" x14ac:dyDescent="0.2">
      <c r="A99" s="4" t="s">
        <v>568</v>
      </c>
      <c r="B99" s="4" t="s">
        <v>9</v>
      </c>
      <c r="C99" s="4" t="s">
        <v>10</v>
      </c>
      <c r="D99" s="4" t="s">
        <v>11</v>
      </c>
      <c r="E99" s="4" t="s">
        <v>12</v>
      </c>
      <c r="F99" s="4" t="s">
        <v>18</v>
      </c>
      <c r="G99" s="4" t="s">
        <v>19</v>
      </c>
      <c r="H99" s="4" t="s">
        <v>591</v>
      </c>
      <c r="I99" s="4" t="s">
        <v>20</v>
      </c>
      <c r="J99" s="4" t="s">
        <v>20</v>
      </c>
      <c r="K99" s="7">
        <v>11.507776</v>
      </c>
      <c r="L99" s="7">
        <v>10.931571</v>
      </c>
      <c r="M99" s="7">
        <v>12.109851000000001</v>
      </c>
      <c r="N99" s="7">
        <v>6.9127884000000002</v>
      </c>
      <c r="O99" s="7">
        <v>10.5496844</v>
      </c>
      <c r="P99" s="7">
        <v>5.4607770000000002</v>
      </c>
      <c r="Q99" s="7">
        <v>5.6696400000000002</v>
      </c>
      <c r="R99" s="7">
        <v>6.3206759999999997</v>
      </c>
      <c r="S99" s="7"/>
      <c r="T99" s="7"/>
      <c r="U99" s="7"/>
      <c r="V99" s="7"/>
      <c r="W99" s="11">
        <f t="shared" si="1"/>
        <v>69.462763800000005</v>
      </c>
    </row>
    <row r="100" spans="1:23" x14ac:dyDescent="0.2">
      <c r="A100" s="4" t="s">
        <v>568</v>
      </c>
      <c r="B100" s="4" t="s">
        <v>9</v>
      </c>
      <c r="C100" s="4" t="s">
        <v>10</v>
      </c>
      <c r="D100" s="4" t="s">
        <v>11</v>
      </c>
      <c r="E100" s="4" t="s">
        <v>12</v>
      </c>
      <c r="F100" s="4" t="s">
        <v>44</v>
      </c>
      <c r="G100" s="4" t="s">
        <v>45</v>
      </c>
      <c r="H100" s="4" t="s">
        <v>46</v>
      </c>
      <c r="I100" s="4" t="s">
        <v>47</v>
      </c>
      <c r="J100" s="4" t="s">
        <v>47</v>
      </c>
      <c r="K100" s="7">
        <v>80.241681</v>
      </c>
      <c r="L100" s="7">
        <v>61.894500000000001</v>
      </c>
      <c r="M100" s="7">
        <v>57.128087000000001</v>
      </c>
      <c r="N100" s="7">
        <v>66.116062999999997</v>
      </c>
      <c r="O100" s="7">
        <v>62.154411999999994</v>
      </c>
      <c r="P100" s="7">
        <v>74.122518999999997</v>
      </c>
      <c r="Q100" s="7">
        <v>68.767635999999996</v>
      </c>
      <c r="R100" s="7">
        <v>65.651898000000003</v>
      </c>
      <c r="S100" s="7"/>
      <c r="T100" s="7"/>
      <c r="U100" s="7"/>
      <c r="V100" s="7"/>
      <c r="W100" s="11">
        <f t="shared" si="1"/>
        <v>536.07679599999994</v>
      </c>
    </row>
    <row r="101" spans="1:23" x14ac:dyDescent="0.2">
      <c r="A101" s="4" t="s">
        <v>568</v>
      </c>
      <c r="B101" s="4" t="s">
        <v>9</v>
      </c>
      <c r="C101" s="4" t="s">
        <v>10</v>
      </c>
      <c r="D101" s="4" t="s">
        <v>11</v>
      </c>
      <c r="E101" s="4" t="s">
        <v>12</v>
      </c>
      <c r="F101" s="4" t="s">
        <v>40</v>
      </c>
      <c r="G101" s="4" t="s">
        <v>41</v>
      </c>
      <c r="H101" s="4" t="s">
        <v>591</v>
      </c>
      <c r="I101" s="4" t="s">
        <v>42</v>
      </c>
      <c r="J101" s="4" t="s">
        <v>43</v>
      </c>
      <c r="K101" s="7">
        <v>3.9908700000000001</v>
      </c>
      <c r="L101" s="7">
        <v>4.047072</v>
      </c>
      <c r="M101" s="7">
        <v>5.5070579999999998</v>
      </c>
      <c r="N101" s="7">
        <v>4.3102679999999998</v>
      </c>
      <c r="O101" s="7">
        <v>3.9205589999999999</v>
      </c>
      <c r="P101" s="7">
        <v>5.3677859999999997</v>
      </c>
      <c r="Q101" s="7">
        <v>3.2440980000000001</v>
      </c>
      <c r="R101" s="7">
        <v>4.7183190000000002</v>
      </c>
      <c r="S101" s="7"/>
      <c r="T101" s="7"/>
      <c r="U101" s="7"/>
      <c r="V101" s="7"/>
      <c r="W101" s="11">
        <f t="shared" si="1"/>
        <v>35.106030000000004</v>
      </c>
    </row>
    <row r="102" spans="1:23" x14ac:dyDescent="0.2">
      <c r="A102" s="4" t="s">
        <v>569</v>
      </c>
      <c r="B102" s="4" t="s">
        <v>9</v>
      </c>
      <c r="C102" s="4" t="s">
        <v>10</v>
      </c>
      <c r="D102" s="4" t="s">
        <v>11</v>
      </c>
      <c r="E102" s="4" t="s">
        <v>12</v>
      </c>
      <c r="F102" s="4" t="s">
        <v>66</v>
      </c>
      <c r="G102" s="4" t="s">
        <v>67</v>
      </c>
      <c r="H102" s="4" t="s">
        <v>68</v>
      </c>
      <c r="I102" s="4" t="s">
        <v>69</v>
      </c>
      <c r="J102" s="4" t="s">
        <v>70</v>
      </c>
      <c r="K102" s="7">
        <v>471.58452599999998</v>
      </c>
      <c r="L102" s="7">
        <v>579.95220666199998</v>
      </c>
      <c r="M102" s="7">
        <v>439.53295752000002</v>
      </c>
      <c r="N102" s="7">
        <v>602.18621259999998</v>
      </c>
      <c r="O102" s="7">
        <v>446.28430790800002</v>
      </c>
      <c r="P102" s="7">
        <v>479.4464637534</v>
      </c>
      <c r="Q102" s="7">
        <v>458.07126</v>
      </c>
      <c r="R102" s="7">
        <v>497.156474</v>
      </c>
      <c r="S102" s="7"/>
      <c r="T102" s="7"/>
      <c r="U102" s="7"/>
      <c r="V102" s="7"/>
      <c r="W102" s="11">
        <f t="shared" si="1"/>
        <v>3974.2144084433999</v>
      </c>
    </row>
    <row r="103" spans="1:23" x14ac:dyDescent="0.2">
      <c r="A103" s="4" t="s">
        <v>569</v>
      </c>
      <c r="B103" s="4" t="s">
        <v>9</v>
      </c>
      <c r="C103" s="4" t="s">
        <v>10</v>
      </c>
      <c r="D103" s="4" t="s">
        <v>11</v>
      </c>
      <c r="E103" s="4" t="s">
        <v>12</v>
      </c>
      <c r="F103" s="4" t="s">
        <v>76</v>
      </c>
      <c r="G103" s="4" t="s">
        <v>77</v>
      </c>
      <c r="H103" s="4" t="s">
        <v>591</v>
      </c>
      <c r="I103" s="4" t="s">
        <v>42</v>
      </c>
      <c r="J103" s="4" t="s">
        <v>43</v>
      </c>
      <c r="K103" s="7">
        <v>54.650648099999998</v>
      </c>
      <c r="L103" s="7">
        <v>178.37596919999999</v>
      </c>
      <c r="M103" s="7">
        <v>203.2070238</v>
      </c>
      <c r="N103" s="7">
        <v>134.80611400000001</v>
      </c>
      <c r="O103" s="7">
        <v>199.33900349999999</v>
      </c>
      <c r="P103" s="7">
        <v>34.860981600000002</v>
      </c>
      <c r="Q103" s="7">
        <v>337.03527400000002</v>
      </c>
      <c r="R103" s="7">
        <v>268.455668</v>
      </c>
      <c r="S103" s="7"/>
      <c r="T103" s="7"/>
      <c r="U103" s="7"/>
      <c r="V103" s="7"/>
      <c r="W103" s="11">
        <f t="shared" si="1"/>
        <v>1410.7306822</v>
      </c>
    </row>
    <row r="104" spans="1:23" x14ac:dyDescent="0.2">
      <c r="A104" s="4" t="s">
        <v>569</v>
      </c>
      <c r="B104" s="4" t="s">
        <v>9</v>
      </c>
      <c r="C104" s="4" t="s">
        <v>10</v>
      </c>
      <c r="D104" s="4" t="s">
        <v>11</v>
      </c>
      <c r="E104" s="4" t="s">
        <v>12</v>
      </c>
      <c r="F104" s="4" t="s">
        <v>117</v>
      </c>
      <c r="G104" s="4" t="s">
        <v>118</v>
      </c>
      <c r="H104" s="4" t="s">
        <v>32</v>
      </c>
      <c r="I104" s="4" t="s">
        <v>119</v>
      </c>
      <c r="J104" s="4" t="s">
        <v>120</v>
      </c>
      <c r="K104" s="7">
        <v>131.57152692</v>
      </c>
      <c r="L104" s="7">
        <v>96.299193160000002</v>
      </c>
      <c r="M104" s="7">
        <v>151.92911745000001</v>
      </c>
      <c r="N104" s="7">
        <v>107.17180474</v>
      </c>
      <c r="O104" s="7">
        <v>63.978849279999999</v>
      </c>
      <c r="P104" s="7">
        <v>106.4054397</v>
      </c>
      <c r="Q104" s="7">
        <v>95.812340000000006</v>
      </c>
      <c r="R104" s="7">
        <v>101.258651</v>
      </c>
      <c r="S104" s="7"/>
      <c r="T104" s="7"/>
      <c r="U104" s="7"/>
      <c r="V104" s="7"/>
      <c r="W104" s="11">
        <f t="shared" si="1"/>
        <v>854.42692224999985</v>
      </c>
    </row>
    <row r="105" spans="1:23" x14ac:dyDescent="0.2">
      <c r="A105" s="4" t="s">
        <v>569</v>
      </c>
      <c r="B105" s="4" t="s">
        <v>9</v>
      </c>
      <c r="C105" s="4" t="s">
        <v>10</v>
      </c>
      <c r="D105" s="4" t="s">
        <v>11</v>
      </c>
      <c r="E105" s="4" t="s">
        <v>12</v>
      </c>
      <c r="F105" s="4" t="s">
        <v>21</v>
      </c>
      <c r="G105" s="4" t="s">
        <v>22</v>
      </c>
      <c r="H105" s="4" t="s">
        <v>592</v>
      </c>
      <c r="I105" s="4" t="s">
        <v>23</v>
      </c>
      <c r="J105" s="4" t="s">
        <v>23</v>
      </c>
      <c r="K105" s="7">
        <v>104.385318</v>
      </c>
      <c r="L105" s="7">
        <v>177.860591</v>
      </c>
      <c r="M105" s="7">
        <v>60.175392000000002</v>
      </c>
      <c r="N105" s="7">
        <v>117.203148</v>
      </c>
      <c r="O105" s="7">
        <v>96.303207</v>
      </c>
      <c r="P105" s="7">
        <v>101.18536</v>
      </c>
      <c r="Q105" s="7">
        <v>152.33754200000001</v>
      </c>
      <c r="R105" s="7">
        <v>71.233058999999997</v>
      </c>
      <c r="S105" s="7"/>
      <c r="T105" s="7"/>
      <c r="U105" s="7"/>
      <c r="V105" s="7"/>
      <c r="W105" s="11">
        <f t="shared" si="1"/>
        <v>880.68361700000003</v>
      </c>
    </row>
    <row r="106" spans="1:23" x14ac:dyDescent="0.2">
      <c r="A106" s="4" t="s">
        <v>569</v>
      </c>
      <c r="B106" s="4" t="s">
        <v>9</v>
      </c>
      <c r="C106" s="4" t="s">
        <v>10</v>
      </c>
      <c r="D106" s="4" t="s">
        <v>11</v>
      </c>
      <c r="E106" s="4" t="s">
        <v>12</v>
      </c>
      <c r="F106" s="4" t="s">
        <v>128</v>
      </c>
      <c r="G106" s="4" t="s">
        <v>129</v>
      </c>
      <c r="H106" s="4" t="s">
        <v>593</v>
      </c>
      <c r="I106" s="4" t="s">
        <v>130</v>
      </c>
      <c r="J106" s="4" t="s">
        <v>131</v>
      </c>
      <c r="K106" s="7">
        <v>277.96998000000002</v>
      </c>
      <c r="L106" s="7">
        <v>237.812625</v>
      </c>
      <c r="M106" s="7">
        <v>175.938974</v>
      </c>
      <c r="N106" s="7">
        <v>308.09692899999999</v>
      </c>
      <c r="O106" s="7">
        <v>346.91271999999998</v>
      </c>
      <c r="P106" s="7">
        <v>299.83502800000002</v>
      </c>
      <c r="Q106" s="7">
        <v>336.65199000000001</v>
      </c>
      <c r="R106" s="7">
        <v>357.53128400000003</v>
      </c>
      <c r="S106" s="7"/>
      <c r="T106" s="7"/>
      <c r="U106" s="7"/>
      <c r="V106" s="7"/>
      <c r="W106" s="11">
        <f t="shared" si="1"/>
        <v>2340.74953</v>
      </c>
    </row>
    <row r="107" spans="1:23" x14ac:dyDescent="0.2">
      <c r="A107" s="4" t="s">
        <v>569</v>
      </c>
      <c r="B107" s="4" t="s">
        <v>9</v>
      </c>
      <c r="C107" s="4" t="s">
        <v>10</v>
      </c>
      <c r="D107" s="4" t="s">
        <v>11</v>
      </c>
      <c r="E107" s="4" t="s">
        <v>12</v>
      </c>
      <c r="F107" s="4" t="s">
        <v>149</v>
      </c>
      <c r="G107" s="4" t="s">
        <v>150</v>
      </c>
      <c r="H107" s="4" t="s">
        <v>46</v>
      </c>
      <c r="I107" s="4" t="s">
        <v>46</v>
      </c>
      <c r="J107" s="4" t="s">
        <v>151</v>
      </c>
      <c r="K107" s="7">
        <v>847.53301350000004</v>
      </c>
      <c r="L107" s="7">
        <v>711.56644200000005</v>
      </c>
      <c r="M107" s="7">
        <v>1173.487545</v>
      </c>
      <c r="N107" s="7">
        <v>961.35963330000004</v>
      </c>
      <c r="O107" s="7">
        <v>580.32624850000002</v>
      </c>
      <c r="P107" s="7">
        <v>942.68627879999997</v>
      </c>
      <c r="Q107" s="7">
        <v>1012.2219</v>
      </c>
      <c r="R107" s="7">
        <v>698.66276900000003</v>
      </c>
      <c r="S107" s="7"/>
      <c r="T107" s="7"/>
      <c r="U107" s="7"/>
      <c r="V107" s="7"/>
      <c r="W107" s="11">
        <f t="shared" si="1"/>
        <v>6927.8438301000006</v>
      </c>
    </row>
    <row r="108" spans="1:23" x14ac:dyDescent="0.2">
      <c r="A108" s="4" t="s">
        <v>569</v>
      </c>
      <c r="B108" s="4" t="s">
        <v>9</v>
      </c>
      <c r="C108" s="4" t="s">
        <v>10</v>
      </c>
      <c r="D108" s="4" t="s">
        <v>11</v>
      </c>
      <c r="E108" s="4" t="s">
        <v>12</v>
      </c>
      <c r="F108" s="4" t="s">
        <v>156</v>
      </c>
      <c r="G108" s="4" t="s">
        <v>157</v>
      </c>
      <c r="H108" s="4" t="s">
        <v>68</v>
      </c>
      <c r="I108" s="4" t="s">
        <v>69</v>
      </c>
      <c r="J108" s="4" t="s">
        <v>70</v>
      </c>
      <c r="K108" s="7">
        <v>337.6285178</v>
      </c>
      <c r="L108" s="7">
        <v>272.78479399999998</v>
      </c>
      <c r="M108" s="7">
        <v>382.60629990000001</v>
      </c>
      <c r="N108" s="7">
        <v>346.91904</v>
      </c>
      <c r="O108" s="7">
        <v>385.08888899999999</v>
      </c>
      <c r="P108" s="7">
        <v>342.76814669999999</v>
      </c>
      <c r="Q108" s="7">
        <v>341.19468000000001</v>
      </c>
      <c r="R108" s="7">
        <v>406.98708299999998</v>
      </c>
      <c r="S108" s="7"/>
      <c r="T108" s="7"/>
      <c r="U108" s="7"/>
      <c r="V108" s="7"/>
      <c r="W108" s="11">
        <f t="shared" si="1"/>
        <v>2815.9774504000002</v>
      </c>
    </row>
    <row r="109" spans="1:23" x14ac:dyDescent="0.2">
      <c r="A109" s="4" t="s">
        <v>569</v>
      </c>
      <c r="B109" s="4" t="s">
        <v>9</v>
      </c>
      <c r="C109" s="4" t="s">
        <v>10</v>
      </c>
      <c r="D109" s="4" t="s">
        <v>11</v>
      </c>
      <c r="E109" s="4" t="s">
        <v>12</v>
      </c>
      <c r="F109" s="4" t="s">
        <v>156</v>
      </c>
      <c r="G109" s="4" t="s">
        <v>158</v>
      </c>
      <c r="H109" s="4" t="s">
        <v>159</v>
      </c>
      <c r="I109" s="4" t="s">
        <v>160</v>
      </c>
      <c r="J109" s="4" t="s">
        <v>161</v>
      </c>
      <c r="K109" s="7">
        <v>874.90689580000003</v>
      </c>
      <c r="L109" s="7">
        <v>861.45612149999999</v>
      </c>
      <c r="M109" s="7">
        <v>920.26404119999995</v>
      </c>
      <c r="N109" s="7">
        <v>601.09780720000003</v>
      </c>
      <c r="O109" s="7">
        <v>727.40222640000002</v>
      </c>
      <c r="P109" s="7">
        <v>722.10169370000006</v>
      </c>
      <c r="Q109" s="7">
        <v>873.46821399999999</v>
      </c>
      <c r="R109" s="7">
        <v>832.01889400000005</v>
      </c>
      <c r="S109" s="7"/>
      <c r="T109" s="7"/>
      <c r="U109" s="7"/>
      <c r="V109" s="7"/>
      <c r="W109" s="11">
        <f t="shared" si="1"/>
        <v>6412.7158938000002</v>
      </c>
    </row>
    <row r="110" spans="1:23" x14ac:dyDescent="0.2">
      <c r="A110" s="4" t="s">
        <v>570</v>
      </c>
      <c r="B110" s="4" t="s">
        <v>585</v>
      </c>
      <c r="C110" s="4" t="s">
        <v>10</v>
      </c>
      <c r="D110" s="4" t="s">
        <v>11</v>
      </c>
      <c r="E110" s="4" t="s">
        <v>29</v>
      </c>
      <c r="F110" s="4" t="s">
        <v>679</v>
      </c>
      <c r="G110" s="4" t="s">
        <v>680</v>
      </c>
      <c r="H110" s="4" t="s">
        <v>15</v>
      </c>
      <c r="I110" s="4" t="s">
        <v>681</v>
      </c>
      <c r="J110" s="4" t="s">
        <v>681</v>
      </c>
      <c r="K110" s="7">
        <v>0</v>
      </c>
      <c r="L110" s="7">
        <v>669.55200000000002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944.49434799999995</v>
      </c>
      <c r="S110" s="7"/>
      <c r="T110" s="7"/>
      <c r="U110" s="7"/>
      <c r="V110" s="7"/>
      <c r="W110" s="11">
        <f t="shared" si="1"/>
        <v>1614.0463479999999</v>
      </c>
    </row>
    <row r="111" spans="1:23" x14ac:dyDescent="0.2">
      <c r="A111" s="4" t="s">
        <v>570</v>
      </c>
      <c r="B111" s="4" t="s">
        <v>585</v>
      </c>
      <c r="C111" s="4" t="s">
        <v>10</v>
      </c>
      <c r="D111" s="4" t="s">
        <v>11</v>
      </c>
      <c r="E111" s="4" t="s">
        <v>29</v>
      </c>
      <c r="F111" s="4" t="s">
        <v>764</v>
      </c>
      <c r="G111" s="4" t="s">
        <v>765</v>
      </c>
      <c r="H111" s="4" t="s">
        <v>54</v>
      </c>
      <c r="I111" s="4" t="s">
        <v>54</v>
      </c>
      <c r="J111" s="4" t="s">
        <v>766</v>
      </c>
      <c r="K111" s="7">
        <v>0</v>
      </c>
      <c r="L111" s="7">
        <v>306.14139999999998</v>
      </c>
      <c r="M111" s="7">
        <v>468.584</v>
      </c>
      <c r="N111" s="7">
        <v>639.91110000000003</v>
      </c>
      <c r="O111" s="7">
        <v>0</v>
      </c>
      <c r="P111" s="7">
        <v>0</v>
      </c>
      <c r="Q111" s="7">
        <v>421.69292999999999</v>
      </c>
      <c r="R111" s="7">
        <v>0</v>
      </c>
      <c r="S111" s="7"/>
      <c r="T111" s="7"/>
      <c r="U111" s="7"/>
      <c r="V111" s="7"/>
      <c r="W111" s="11">
        <f t="shared" si="1"/>
        <v>1836.32943</v>
      </c>
    </row>
    <row r="112" spans="1:23" x14ac:dyDescent="0.2">
      <c r="A112" s="4" t="s">
        <v>570</v>
      </c>
      <c r="B112" s="4" t="s">
        <v>585</v>
      </c>
      <c r="C112" s="4" t="s">
        <v>10</v>
      </c>
      <c r="D112" s="4" t="s">
        <v>11</v>
      </c>
      <c r="E112" s="4" t="s">
        <v>29</v>
      </c>
      <c r="F112" s="4" t="s">
        <v>180</v>
      </c>
      <c r="G112" s="4" t="s">
        <v>181</v>
      </c>
      <c r="H112" s="4" t="s">
        <v>46</v>
      </c>
      <c r="I112" s="4" t="s">
        <v>47</v>
      </c>
      <c r="J112" s="4" t="s">
        <v>47</v>
      </c>
      <c r="K112" s="7">
        <v>3461.3258000000001</v>
      </c>
      <c r="L112" s="7">
        <v>3013.5913999999998</v>
      </c>
      <c r="M112" s="7">
        <v>6045.8940000000002</v>
      </c>
      <c r="N112" s="7">
        <v>5156.4642999999996</v>
      </c>
      <c r="O112" s="7">
        <v>4573.7867999999999</v>
      </c>
      <c r="P112" s="7">
        <v>3895.9616000000001</v>
      </c>
      <c r="Q112" s="7">
        <v>0</v>
      </c>
      <c r="R112" s="7">
        <v>4355.6513000000004</v>
      </c>
      <c r="S112" s="7"/>
      <c r="T112" s="7"/>
      <c r="U112" s="7"/>
      <c r="V112" s="7"/>
      <c r="W112" s="11">
        <f t="shared" si="1"/>
        <v>30502.675199999998</v>
      </c>
    </row>
    <row r="113" spans="1:23" x14ac:dyDescent="0.2">
      <c r="A113" s="4" t="s">
        <v>570</v>
      </c>
      <c r="B113" s="4" t="s">
        <v>585</v>
      </c>
      <c r="C113" s="4" t="s">
        <v>10</v>
      </c>
      <c r="D113" s="4" t="s">
        <v>11</v>
      </c>
      <c r="E113" s="4" t="s">
        <v>29</v>
      </c>
      <c r="F113" s="4" t="s">
        <v>596</v>
      </c>
      <c r="G113" s="4" t="s">
        <v>182</v>
      </c>
      <c r="H113" s="4" t="s">
        <v>593</v>
      </c>
      <c r="I113" s="4" t="s">
        <v>183</v>
      </c>
      <c r="J113" s="4" t="s">
        <v>184</v>
      </c>
      <c r="K113" s="7">
        <v>5910.8699995200004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/>
      <c r="T113" s="7"/>
      <c r="U113" s="7"/>
      <c r="V113" s="7"/>
      <c r="W113" s="11">
        <f t="shared" si="1"/>
        <v>5910.8699995200004</v>
      </c>
    </row>
    <row r="114" spans="1:23" x14ac:dyDescent="0.2">
      <c r="A114" s="4" t="s">
        <v>570</v>
      </c>
      <c r="B114" s="4" t="s">
        <v>585</v>
      </c>
      <c r="C114" s="4" t="s">
        <v>10</v>
      </c>
      <c r="D114" s="4" t="s">
        <v>11</v>
      </c>
      <c r="E114" s="4" t="s">
        <v>29</v>
      </c>
      <c r="F114" s="4" t="s">
        <v>59</v>
      </c>
      <c r="G114" s="4" t="s">
        <v>60</v>
      </c>
      <c r="H114" s="4" t="s">
        <v>46</v>
      </c>
      <c r="I114" s="4" t="s">
        <v>52</v>
      </c>
      <c r="J114" s="4" t="s">
        <v>61</v>
      </c>
      <c r="K114" s="7">
        <v>0</v>
      </c>
      <c r="L114" s="7">
        <v>0</v>
      </c>
      <c r="M114" s="7">
        <v>69382.508168</v>
      </c>
      <c r="N114" s="7">
        <v>0</v>
      </c>
      <c r="O114" s="7">
        <v>0</v>
      </c>
      <c r="P114" s="7">
        <v>0</v>
      </c>
      <c r="Q114" s="7">
        <v>0</v>
      </c>
      <c r="R114" s="7">
        <v>35938.643364000003</v>
      </c>
      <c r="S114" s="7"/>
      <c r="T114" s="7"/>
      <c r="U114" s="7"/>
      <c r="V114" s="7"/>
      <c r="W114" s="11">
        <f t="shared" si="1"/>
        <v>105321.151532</v>
      </c>
    </row>
    <row r="115" spans="1:23" x14ac:dyDescent="0.2">
      <c r="A115" s="4" t="s">
        <v>570</v>
      </c>
      <c r="B115" s="4" t="s">
        <v>585</v>
      </c>
      <c r="C115" s="4" t="s">
        <v>10</v>
      </c>
      <c r="D115" s="4" t="s">
        <v>11</v>
      </c>
      <c r="E115" s="4" t="s">
        <v>29</v>
      </c>
      <c r="F115" s="4" t="s">
        <v>63</v>
      </c>
      <c r="G115" s="4" t="s">
        <v>64</v>
      </c>
      <c r="H115" s="4" t="s">
        <v>46</v>
      </c>
      <c r="I115" s="4" t="s">
        <v>52</v>
      </c>
      <c r="J115" s="4" t="s">
        <v>65</v>
      </c>
      <c r="K115" s="7">
        <v>506.38437499999998</v>
      </c>
      <c r="L115" s="7">
        <v>484.37722000000002</v>
      </c>
      <c r="M115" s="7">
        <v>618.43412000000001</v>
      </c>
      <c r="N115" s="7">
        <v>14.53712</v>
      </c>
      <c r="O115" s="7">
        <v>426.48030999999997</v>
      </c>
      <c r="P115" s="7">
        <v>423.454836</v>
      </c>
      <c r="Q115" s="7">
        <v>1429.89714</v>
      </c>
      <c r="R115" s="7">
        <v>489.29597999999999</v>
      </c>
      <c r="S115" s="7"/>
      <c r="T115" s="7"/>
      <c r="U115" s="7"/>
      <c r="V115" s="7"/>
      <c r="W115" s="11">
        <f t="shared" ref="W115:W173" si="2">SUM(K115:V115)</f>
        <v>4392.8611009999995</v>
      </c>
    </row>
    <row r="116" spans="1:23" x14ac:dyDescent="0.2">
      <c r="A116" s="4" t="s">
        <v>570</v>
      </c>
      <c r="B116" s="4" t="s">
        <v>585</v>
      </c>
      <c r="C116" s="4" t="s">
        <v>10</v>
      </c>
      <c r="D116" s="4" t="s">
        <v>11</v>
      </c>
      <c r="E116" s="4" t="s">
        <v>29</v>
      </c>
      <c r="F116" s="4" t="s">
        <v>632</v>
      </c>
      <c r="G116" s="4" t="s">
        <v>633</v>
      </c>
      <c r="H116" s="4" t="s">
        <v>32</v>
      </c>
      <c r="I116" s="4" t="s">
        <v>80</v>
      </c>
      <c r="J116" s="4" t="s">
        <v>634</v>
      </c>
      <c r="K116" s="7">
        <v>2298.0592000000001</v>
      </c>
      <c r="L116" s="7">
        <v>1251.8312000000001</v>
      </c>
      <c r="M116" s="7">
        <v>232.155</v>
      </c>
      <c r="N116" s="7">
        <v>138.91650000000001</v>
      </c>
      <c r="O116" s="7">
        <v>0</v>
      </c>
      <c r="P116" s="7">
        <v>0</v>
      </c>
      <c r="Q116" s="7">
        <v>138.3494</v>
      </c>
      <c r="R116" s="7">
        <v>857.38559999999995</v>
      </c>
      <c r="S116" s="7"/>
      <c r="T116" s="7"/>
      <c r="U116" s="7"/>
      <c r="V116" s="7"/>
      <c r="W116" s="11">
        <f t="shared" si="2"/>
        <v>4916.6968999999999</v>
      </c>
    </row>
    <row r="117" spans="1:23" x14ac:dyDescent="0.2">
      <c r="A117" s="4" t="s">
        <v>570</v>
      </c>
      <c r="B117" s="4" t="s">
        <v>585</v>
      </c>
      <c r="C117" s="4" t="s">
        <v>10</v>
      </c>
      <c r="D117" s="4" t="s">
        <v>11</v>
      </c>
      <c r="E117" s="4" t="s">
        <v>12</v>
      </c>
      <c r="F117" s="4" t="s">
        <v>71</v>
      </c>
      <c r="G117" s="4" t="s">
        <v>72</v>
      </c>
      <c r="H117" s="4" t="s">
        <v>73</v>
      </c>
      <c r="I117" s="4" t="s">
        <v>74</v>
      </c>
      <c r="J117" s="4" t="s">
        <v>75</v>
      </c>
      <c r="K117" s="7">
        <v>3448.0892250000002</v>
      </c>
      <c r="L117" s="7">
        <v>4123.9058999999997</v>
      </c>
      <c r="M117" s="7">
        <v>5660.8843200000001</v>
      </c>
      <c r="N117" s="7">
        <v>9107.1766000000007</v>
      </c>
      <c r="O117" s="7">
        <v>7621.25378</v>
      </c>
      <c r="P117" s="7">
        <v>4478.7868840000001</v>
      </c>
      <c r="Q117" s="7">
        <v>4145.9644200000002</v>
      </c>
      <c r="R117" s="7">
        <v>2239.1014799999998</v>
      </c>
      <c r="S117" s="7"/>
      <c r="T117" s="7"/>
      <c r="U117" s="7"/>
      <c r="V117" s="7"/>
      <c r="W117" s="11">
        <f t="shared" si="2"/>
        <v>40825.162608999992</v>
      </c>
    </row>
    <row r="118" spans="1:23" x14ac:dyDescent="0.2">
      <c r="A118" s="4" t="s">
        <v>570</v>
      </c>
      <c r="B118" s="4" t="s">
        <v>585</v>
      </c>
      <c r="C118" s="4" t="s">
        <v>10</v>
      </c>
      <c r="D118" s="4" t="s">
        <v>11</v>
      </c>
      <c r="E118" s="4" t="s">
        <v>12</v>
      </c>
      <c r="F118" s="4" t="s">
        <v>536</v>
      </c>
      <c r="G118" s="4" t="s">
        <v>547</v>
      </c>
      <c r="H118" s="4" t="s">
        <v>88</v>
      </c>
      <c r="I118" s="4" t="s">
        <v>111</v>
      </c>
      <c r="J118" s="4" t="s">
        <v>112</v>
      </c>
      <c r="K118" s="7">
        <v>732.56399999999996</v>
      </c>
      <c r="L118" s="7">
        <v>918.24419999999998</v>
      </c>
      <c r="M118" s="7">
        <v>860.92619999999999</v>
      </c>
      <c r="N118" s="7">
        <v>936.06299999999999</v>
      </c>
      <c r="O118" s="7">
        <v>814.91759999999999</v>
      </c>
      <c r="P118" s="7">
        <v>0</v>
      </c>
      <c r="Q118" s="7">
        <v>1083.4093</v>
      </c>
      <c r="R118" s="7">
        <v>2074.1324</v>
      </c>
      <c r="S118" s="7"/>
      <c r="T118" s="7"/>
      <c r="U118" s="7"/>
      <c r="V118" s="7"/>
      <c r="W118" s="11">
        <f t="shared" si="2"/>
        <v>7420.2566999999999</v>
      </c>
    </row>
    <row r="119" spans="1:23" x14ac:dyDescent="0.2">
      <c r="A119" s="4" t="s">
        <v>570</v>
      </c>
      <c r="B119" s="4" t="s">
        <v>585</v>
      </c>
      <c r="C119" s="4" t="s">
        <v>10</v>
      </c>
      <c r="D119" s="4" t="s">
        <v>11</v>
      </c>
      <c r="E119" s="4" t="s">
        <v>12</v>
      </c>
      <c r="F119" s="4" t="s">
        <v>13</v>
      </c>
      <c r="G119" s="4" t="s">
        <v>185</v>
      </c>
      <c r="H119" s="4" t="s">
        <v>46</v>
      </c>
      <c r="I119" s="4" t="s">
        <v>186</v>
      </c>
      <c r="J119" s="4" t="s">
        <v>187</v>
      </c>
      <c r="K119" s="7">
        <v>3687.8303999999998</v>
      </c>
      <c r="L119" s="7">
        <v>3333.7192</v>
      </c>
      <c r="M119" s="7">
        <v>22178.658599999999</v>
      </c>
      <c r="N119" s="7">
        <v>3781.6752000000001</v>
      </c>
      <c r="O119" s="7">
        <v>4065.511</v>
      </c>
      <c r="P119" s="7">
        <v>8314.4</v>
      </c>
      <c r="Q119" s="7">
        <v>7568.9856</v>
      </c>
      <c r="R119" s="7">
        <v>6085.1556</v>
      </c>
      <c r="S119" s="7"/>
      <c r="T119" s="7"/>
      <c r="U119" s="7"/>
      <c r="V119" s="7"/>
      <c r="W119" s="11">
        <f t="shared" si="2"/>
        <v>59015.935599999997</v>
      </c>
    </row>
    <row r="120" spans="1:23" x14ac:dyDescent="0.2">
      <c r="A120" s="4" t="s">
        <v>570</v>
      </c>
      <c r="B120" s="4" t="s">
        <v>585</v>
      </c>
      <c r="C120" s="4" t="s">
        <v>10</v>
      </c>
      <c r="D120" s="4" t="s">
        <v>11</v>
      </c>
      <c r="E120" s="4" t="s">
        <v>12</v>
      </c>
      <c r="F120" s="4" t="s">
        <v>13</v>
      </c>
      <c r="G120" s="4" t="s">
        <v>14</v>
      </c>
      <c r="H120" s="4" t="s">
        <v>15</v>
      </c>
      <c r="I120" s="4" t="s">
        <v>16</v>
      </c>
      <c r="J120" s="4" t="s">
        <v>17</v>
      </c>
      <c r="K120" s="7">
        <v>26311.55472</v>
      </c>
      <c r="L120" s="7">
        <v>23882.371019999999</v>
      </c>
      <c r="M120" s="7">
        <v>26446.409479999998</v>
      </c>
      <c r="N120" s="7">
        <v>26991.909099999997</v>
      </c>
      <c r="O120" s="7">
        <v>27918.141100000001</v>
      </c>
      <c r="P120" s="7">
        <v>30622.95984</v>
      </c>
      <c r="Q120" s="7">
        <v>32159.77245</v>
      </c>
      <c r="R120" s="7">
        <v>39239.929889999999</v>
      </c>
      <c r="S120" s="7"/>
      <c r="T120" s="7"/>
      <c r="U120" s="7"/>
      <c r="V120" s="7"/>
      <c r="W120" s="11">
        <f t="shared" si="2"/>
        <v>233573.04759999999</v>
      </c>
    </row>
    <row r="121" spans="1:23" x14ac:dyDescent="0.2">
      <c r="A121" s="4" t="s">
        <v>570</v>
      </c>
      <c r="B121" s="4" t="s">
        <v>585</v>
      </c>
      <c r="C121" s="4" t="s">
        <v>10</v>
      </c>
      <c r="D121" s="4" t="s">
        <v>11</v>
      </c>
      <c r="E121" s="4" t="s">
        <v>12</v>
      </c>
      <c r="F121" s="4" t="s">
        <v>13</v>
      </c>
      <c r="G121" s="4" t="s">
        <v>188</v>
      </c>
      <c r="H121" s="4" t="s">
        <v>46</v>
      </c>
      <c r="I121" s="4" t="s">
        <v>47</v>
      </c>
      <c r="J121" s="4" t="s">
        <v>189</v>
      </c>
      <c r="K121" s="7">
        <v>25235.388019999999</v>
      </c>
      <c r="L121" s="7">
        <v>24667.969130000001</v>
      </c>
      <c r="M121" s="7">
        <v>30315.407940000001</v>
      </c>
      <c r="N121" s="7">
        <v>26818.314979999999</v>
      </c>
      <c r="O121" s="7">
        <v>28874.365889999997</v>
      </c>
      <c r="P121" s="7">
        <v>29349.867160000002</v>
      </c>
      <c r="Q121" s="7">
        <v>24066.102869999999</v>
      </c>
      <c r="R121" s="7">
        <v>45052.851900000001</v>
      </c>
      <c r="S121" s="7"/>
      <c r="T121" s="7"/>
      <c r="U121" s="7"/>
      <c r="V121" s="7"/>
      <c r="W121" s="11">
        <f t="shared" si="2"/>
        <v>234380.26788999999</v>
      </c>
    </row>
    <row r="122" spans="1:23" x14ac:dyDescent="0.2">
      <c r="A122" s="4" t="s">
        <v>570</v>
      </c>
      <c r="B122" s="4" t="s">
        <v>585</v>
      </c>
      <c r="C122" s="4" t="s">
        <v>10</v>
      </c>
      <c r="D122" s="4" t="s">
        <v>11</v>
      </c>
      <c r="E122" s="4" t="s">
        <v>12</v>
      </c>
      <c r="F122" s="4" t="s">
        <v>78</v>
      </c>
      <c r="G122" s="4" t="s">
        <v>79</v>
      </c>
      <c r="H122" s="4" t="s">
        <v>32</v>
      </c>
      <c r="I122" s="4" t="s">
        <v>80</v>
      </c>
      <c r="J122" s="4" t="s">
        <v>80</v>
      </c>
      <c r="K122" s="7">
        <v>107833.68</v>
      </c>
      <c r="L122" s="7">
        <v>38208.120000000003</v>
      </c>
      <c r="M122" s="7">
        <v>60261.855000000003</v>
      </c>
      <c r="N122" s="7">
        <v>84549.288</v>
      </c>
      <c r="O122" s="7">
        <v>107503.574628</v>
      </c>
      <c r="P122" s="7">
        <v>61395.661332000003</v>
      </c>
      <c r="Q122" s="7">
        <v>46023.292000000001</v>
      </c>
      <c r="R122" s="7">
        <v>40694.143362000003</v>
      </c>
      <c r="S122" s="7"/>
      <c r="T122" s="7"/>
      <c r="U122" s="7"/>
      <c r="V122" s="7"/>
      <c r="W122" s="11">
        <f t="shared" si="2"/>
        <v>546469.61432199995</v>
      </c>
    </row>
    <row r="123" spans="1:23" x14ac:dyDescent="0.2">
      <c r="A123" s="4" t="s">
        <v>570</v>
      </c>
      <c r="B123" s="4" t="s">
        <v>585</v>
      </c>
      <c r="C123" s="4" t="s">
        <v>10</v>
      </c>
      <c r="D123" s="4" t="s">
        <v>11</v>
      </c>
      <c r="E123" s="4" t="s">
        <v>12</v>
      </c>
      <c r="F123" s="4" t="s">
        <v>86</v>
      </c>
      <c r="G123" s="4" t="s">
        <v>87</v>
      </c>
      <c r="H123" s="4" t="s">
        <v>88</v>
      </c>
      <c r="I123" s="4" t="s">
        <v>89</v>
      </c>
      <c r="J123" s="4" t="s">
        <v>90</v>
      </c>
      <c r="K123" s="7">
        <v>41242.889029999998</v>
      </c>
      <c r="L123" s="7">
        <v>33008.800000000003</v>
      </c>
      <c r="M123" s="7">
        <v>62146.904300000002</v>
      </c>
      <c r="N123" s="7">
        <v>53299.966979999997</v>
      </c>
      <c r="O123" s="7">
        <v>47862.1</v>
      </c>
      <c r="P123" s="7">
        <v>38057.630799999999</v>
      </c>
      <c r="Q123" s="7">
        <v>39604.449999999997</v>
      </c>
      <c r="R123" s="7">
        <v>33497.800000000003</v>
      </c>
      <c r="S123" s="7"/>
      <c r="T123" s="7"/>
      <c r="U123" s="7"/>
      <c r="V123" s="7"/>
      <c r="W123" s="11">
        <f t="shared" si="2"/>
        <v>348720.54110999999</v>
      </c>
    </row>
    <row r="124" spans="1:23" x14ac:dyDescent="0.2">
      <c r="A124" s="4" t="s">
        <v>570</v>
      </c>
      <c r="B124" s="4" t="s">
        <v>585</v>
      </c>
      <c r="C124" s="4" t="s">
        <v>10</v>
      </c>
      <c r="D124" s="4" t="s">
        <v>11</v>
      </c>
      <c r="E124" s="4" t="s">
        <v>12</v>
      </c>
      <c r="F124" s="4" t="s">
        <v>18</v>
      </c>
      <c r="G124" s="4" t="s">
        <v>19</v>
      </c>
      <c r="H124" s="4" t="s">
        <v>591</v>
      </c>
      <c r="I124" s="4" t="s">
        <v>20</v>
      </c>
      <c r="J124" s="4" t="s">
        <v>20</v>
      </c>
      <c r="K124" s="7">
        <v>981.44140000000004</v>
      </c>
      <c r="L124" s="7">
        <v>1058.5198</v>
      </c>
      <c r="M124" s="7">
        <v>859.64053999999999</v>
      </c>
      <c r="N124" s="7">
        <v>747.53710000000001</v>
      </c>
      <c r="O124" s="7">
        <v>1014.3355</v>
      </c>
      <c r="P124" s="7">
        <v>934.17074000000002</v>
      </c>
      <c r="Q124" s="7">
        <v>1929.8169600000001</v>
      </c>
      <c r="R124" s="7">
        <v>2169.9814000000001</v>
      </c>
      <c r="S124" s="7"/>
      <c r="T124" s="7"/>
      <c r="U124" s="7"/>
      <c r="V124" s="7"/>
      <c r="W124" s="11">
        <f t="shared" si="2"/>
        <v>9695.4434400000009</v>
      </c>
    </row>
    <row r="125" spans="1:23" x14ac:dyDescent="0.2">
      <c r="A125" s="4" t="s">
        <v>570</v>
      </c>
      <c r="B125" s="4" t="s">
        <v>585</v>
      </c>
      <c r="C125" s="4" t="s">
        <v>10</v>
      </c>
      <c r="D125" s="4" t="s">
        <v>11</v>
      </c>
      <c r="E125" s="4" t="s">
        <v>12</v>
      </c>
      <c r="F125" s="4" t="s">
        <v>102</v>
      </c>
      <c r="G125" s="4" t="s">
        <v>103</v>
      </c>
      <c r="H125" s="4" t="s">
        <v>104</v>
      </c>
      <c r="I125" s="4" t="s">
        <v>105</v>
      </c>
      <c r="J125" s="4" t="s">
        <v>106</v>
      </c>
      <c r="K125" s="7">
        <v>18780.61853</v>
      </c>
      <c r="L125" s="7">
        <v>8557.7108499999995</v>
      </c>
      <c r="M125" s="7">
        <v>13911.113220000001</v>
      </c>
      <c r="N125" s="7">
        <v>6541.3911200000002</v>
      </c>
      <c r="O125" s="7">
        <v>0</v>
      </c>
      <c r="P125" s="7">
        <v>0</v>
      </c>
      <c r="Q125" s="7">
        <v>11118.86514</v>
      </c>
      <c r="R125" s="7">
        <v>3782.4041099999999</v>
      </c>
      <c r="S125" s="7"/>
      <c r="T125" s="7"/>
      <c r="U125" s="7"/>
      <c r="V125" s="7"/>
      <c r="W125" s="11">
        <f t="shared" si="2"/>
        <v>62692.102970000007</v>
      </c>
    </row>
    <row r="126" spans="1:23" x14ac:dyDescent="0.2">
      <c r="A126" s="4" t="s">
        <v>570</v>
      </c>
      <c r="B126" s="4" t="s">
        <v>585</v>
      </c>
      <c r="C126" s="4" t="s">
        <v>10</v>
      </c>
      <c r="D126" s="4" t="s">
        <v>11</v>
      </c>
      <c r="E126" s="4" t="s">
        <v>12</v>
      </c>
      <c r="F126" s="4" t="s">
        <v>868</v>
      </c>
      <c r="G126" s="4" t="s">
        <v>635</v>
      </c>
      <c r="H126" s="4" t="s">
        <v>26</v>
      </c>
      <c r="I126" s="4" t="s">
        <v>636</v>
      </c>
      <c r="J126" s="4" t="s">
        <v>637</v>
      </c>
      <c r="K126" s="7">
        <v>6012.5940000000001</v>
      </c>
      <c r="L126" s="7">
        <v>5666.7443000000003</v>
      </c>
      <c r="M126" s="7">
        <v>5320.9390000000003</v>
      </c>
      <c r="N126" s="7">
        <v>4860.2430000000004</v>
      </c>
      <c r="O126" s="7">
        <v>5460.1184000000003</v>
      </c>
      <c r="P126" s="7">
        <v>6345.2223999999997</v>
      </c>
      <c r="Q126" s="7">
        <v>4764.5411999999997</v>
      </c>
      <c r="R126" s="7">
        <v>3668.5106000000001</v>
      </c>
      <c r="S126" s="7"/>
      <c r="T126" s="7"/>
      <c r="U126" s="7"/>
      <c r="V126" s="7"/>
      <c r="W126" s="11">
        <f t="shared" si="2"/>
        <v>42098.912900000003</v>
      </c>
    </row>
    <row r="127" spans="1:23" x14ac:dyDescent="0.2">
      <c r="A127" s="4" t="s">
        <v>570</v>
      </c>
      <c r="B127" s="4" t="s">
        <v>585</v>
      </c>
      <c r="C127" s="4" t="s">
        <v>10</v>
      </c>
      <c r="D127" s="4" t="s">
        <v>11</v>
      </c>
      <c r="E127" s="4" t="s">
        <v>12</v>
      </c>
      <c r="F127" s="4" t="s">
        <v>190</v>
      </c>
      <c r="G127" s="4" t="s">
        <v>191</v>
      </c>
      <c r="H127" s="4" t="s">
        <v>104</v>
      </c>
      <c r="I127" s="4" t="s">
        <v>192</v>
      </c>
      <c r="J127" s="4" t="s">
        <v>193</v>
      </c>
      <c r="K127" s="7">
        <v>38869.664777999998</v>
      </c>
      <c r="L127" s="7">
        <v>40844.341200000003</v>
      </c>
      <c r="M127" s="7">
        <v>42703.947525000003</v>
      </c>
      <c r="N127" s="7">
        <v>34669.692049999998</v>
      </c>
      <c r="O127" s="7">
        <v>38496.154752000002</v>
      </c>
      <c r="P127" s="7">
        <v>36770.260936999999</v>
      </c>
      <c r="Q127" s="7">
        <v>39392.917949000002</v>
      </c>
      <c r="R127" s="7">
        <v>37147.18518</v>
      </c>
      <c r="S127" s="7"/>
      <c r="T127" s="7"/>
      <c r="U127" s="7"/>
      <c r="V127" s="7"/>
      <c r="W127" s="11">
        <f t="shared" si="2"/>
        <v>308894.16437100002</v>
      </c>
    </row>
    <row r="128" spans="1:23" x14ac:dyDescent="0.2">
      <c r="A128" s="4" t="s">
        <v>570</v>
      </c>
      <c r="B128" s="4" t="s">
        <v>585</v>
      </c>
      <c r="C128" s="4" t="s">
        <v>10</v>
      </c>
      <c r="D128" s="4" t="s">
        <v>11</v>
      </c>
      <c r="E128" s="4" t="s">
        <v>12</v>
      </c>
      <c r="F128" s="4" t="s">
        <v>113</v>
      </c>
      <c r="G128" s="4" t="s">
        <v>114</v>
      </c>
      <c r="H128" s="4" t="s">
        <v>115</v>
      </c>
      <c r="I128" s="4" t="s">
        <v>116</v>
      </c>
      <c r="J128" s="4" t="s">
        <v>116</v>
      </c>
      <c r="K128" s="7">
        <v>171327.005</v>
      </c>
      <c r="L128" s="7">
        <v>177457.37700000001</v>
      </c>
      <c r="M128" s="7">
        <v>168873.55093</v>
      </c>
      <c r="N128" s="7">
        <v>187270.36799999999</v>
      </c>
      <c r="O128" s="7">
        <v>173565.8805</v>
      </c>
      <c r="P128" s="7">
        <v>156578.46</v>
      </c>
      <c r="Q128" s="7">
        <v>155988.215</v>
      </c>
      <c r="R128" s="7">
        <v>171185.64</v>
      </c>
      <c r="S128" s="7"/>
      <c r="T128" s="7"/>
      <c r="U128" s="7"/>
      <c r="V128" s="7"/>
      <c r="W128" s="11">
        <f t="shared" si="2"/>
        <v>1362246.4964299998</v>
      </c>
    </row>
    <row r="129" spans="1:23" x14ac:dyDescent="0.2">
      <c r="A129" s="4" t="s">
        <v>570</v>
      </c>
      <c r="B129" s="4" t="s">
        <v>585</v>
      </c>
      <c r="C129" s="4" t="s">
        <v>10</v>
      </c>
      <c r="D129" s="4" t="s">
        <v>11</v>
      </c>
      <c r="E129" s="4" t="s">
        <v>12</v>
      </c>
      <c r="F129" s="4" t="s">
        <v>117</v>
      </c>
      <c r="G129" s="4" t="s">
        <v>118</v>
      </c>
      <c r="H129" s="4" t="s">
        <v>32</v>
      </c>
      <c r="I129" s="4" t="s">
        <v>119</v>
      </c>
      <c r="J129" s="4" t="s">
        <v>120</v>
      </c>
      <c r="K129" s="7">
        <v>150598.86109200001</v>
      </c>
      <c r="L129" s="7">
        <v>54710.204120000002</v>
      </c>
      <c r="M129" s="7">
        <v>67453.681689999998</v>
      </c>
      <c r="N129" s="7">
        <v>70236.333524999995</v>
      </c>
      <c r="O129" s="7">
        <v>41082.920987999998</v>
      </c>
      <c r="P129" s="7">
        <v>52985.156027999998</v>
      </c>
      <c r="Q129" s="7">
        <v>36447.830824999997</v>
      </c>
      <c r="R129" s="7">
        <v>62194.230516000003</v>
      </c>
      <c r="S129" s="7"/>
      <c r="T129" s="7"/>
      <c r="U129" s="7"/>
      <c r="V129" s="7"/>
      <c r="W129" s="11">
        <f t="shared" si="2"/>
        <v>535709.21878400003</v>
      </c>
    </row>
    <row r="130" spans="1:23" x14ac:dyDescent="0.2">
      <c r="A130" s="4" t="s">
        <v>570</v>
      </c>
      <c r="B130" s="4" t="s">
        <v>585</v>
      </c>
      <c r="C130" s="4" t="s">
        <v>10</v>
      </c>
      <c r="D130" s="4" t="s">
        <v>11</v>
      </c>
      <c r="E130" s="4" t="s">
        <v>12</v>
      </c>
      <c r="F130" s="4" t="s">
        <v>44</v>
      </c>
      <c r="G130" s="4" t="s">
        <v>45</v>
      </c>
      <c r="H130" s="4" t="s">
        <v>46</v>
      </c>
      <c r="I130" s="4" t="s">
        <v>47</v>
      </c>
      <c r="J130" s="4" t="s">
        <v>47</v>
      </c>
      <c r="K130" s="7">
        <v>2536.4452000000001</v>
      </c>
      <c r="L130" s="7">
        <v>2024.7180000000001</v>
      </c>
      <c r="M130" s="7">
        <v>7825.7011000000002</v>
      </c>
      <c r="N130" s="7">
        <v>3905.6956</v>
      </c>
      <c r="O130" s="7">
        <v>1791.1766000000002</v>
      </c>
      <c r="P130" s="7">
        <v>8730.7649999999994</v>
      </c>
      <c r="Q130" s="7">
        <v>1753.2118</v>
      </c>
      <c r="R130" s="7">
        <v>6881.893399999999</v>
      </c>
      <c r="S130" s="7"/>
      <c r="T130" s="7"/>
      <c r="U130" s="7"/>
      <c r="V130" s="7"/>
      <c r="W130" s="11">
        <f t="shared" si="2"/>
        <v>35449.606699999997</v>
      </c>
    </row>
    <row r="131" spans="1:23" x14ac:dyDescent="0.2">
      <c r="A131" s="4" t="s">
        <v>570</v>
      </c>
      <c r="B131" s="4" t="s">
        <v>585</v>
      </c>
      <c r="C131" s="4" t="s">
        <v>10</v>
      </c>
      <c r="D131" s="4" t="s">
        <v>11</v>
      </c>
      <c r="E131" s="4" t="s">
        <v>12</v>
      </c>
      <c r="F131" s="4" t="s">
        <v>128</v>
      </c>
      <c r="G131" s="4" t="s">
        <v>129</v>
      </c>
      <c r="H131" s="4" t="s">
        <v>593</v>
      </c>
      <c r="I131" s="4" t="s">
        <v>130</v>
      </c>
      <c r="J131" s="4" t="s">
        <v>131</v>
      </c>
      <c r="K131" s="7">
        <v>291515.038</v>
      </c>
      <c r="L131" s="7">
        <v>233281.45800000001</v>
      </c>
      <c r="M131" s="7">
        <v>238367.92499999999</v>
      </c>
      <c r="N131" s="7">
        <v>231250.4088</v>
      </c>
      <c r="O131" s="7">
        <v>180438.23699999999</v>
      </c>
      <c r="P131" s="7">
        <v>199717.57120000001</v>
      </c>
      <c r="Q131" s="7">
        <v>179511.272</v>
      </c>
      <c r="R131" s="7">
        <v>181486.83199999999</v>
      </c>
      <c r="S131" s="7"/>
      <c r="T131" s="7"/>
      <c r="U131" s="7"/>
      <c r="V131" s="7"/>
      <c r="W131" s="11">
        <f t="shared" si="2"/>
        <v>1735568.7420000001</v>
      </c>
    </row>
    <row r="132" spans="1:23" x14ac:dyDescent="0.2">
      <c r="A132" s="4" t="s">
        <v>570</v>
      </c>
      <c r="B132" s="4" t="s">
        <v>585</v>
      </c>
      <c r="C132" s="4" t="s">
        <v>10</v>
      </c>
      <c r="D132" s="4" t="s">
        <v>11</v>
      </c>
      <c r="E132" s="4" t="s">
        <v>12</v>
      </c>
      <c r="F132" s="4" t="s">
        <v>134</v>
      </c>
      <c r="G132" s="4" t="s">
        <v>135</v>
      </c>
      <c r="H132" s="4" t="s">
        <v>46</v>
      </c>
      <c r="I132" s="4" t="s">
        <v>52</v>
      </c>
      <c r="J132" s="4" t="s">
        <v>61</v>
      </c>
      <c r="K132" s="7">
        <v>26129.512500000001</v>
      </c>
      <c r="L132" s="7">
        <v>18080.461210000001</v>
      </c>
      <c r="M132" s="7">
        <v>17912.959200000001</v>
      </c>
      <c r="N132" s="7">
        <v>27777.44398</v>
      </c>
      <c r="O132" s="7">
        <v>29981.741959999999</v>
      </c>
      <c r="P132" s="7">
        <v>26723.7752</v>
      </c>
      <c r="Q132" s="7">
        <v>37997.740149999998</v>
      </c>
      <c r="R132" s="7">
        <v>33793.736700000001</v>
      </c>
      <c r="S132" s="7"/>
      <c r="T132" s="7"/>
      <c r="U132" s="7"/>
      <c r="V132" s="7"/>
      <c r="W132" s="11">
        <f t="shared" si="2"/>
        <v>218397.37090000001</v>
      </c>
    </row>
    <row r="133" spans="1:23" x14ac:dyDescent="0.2">
      <c r="A133" s="4" t="s">
        <v>570</v>
      </c>
      <c r="B133" s="4" t="s">
        <v>585</v>
      </c>
      <c r="C133" s="4" t="s">
        <v>10</v>
      </c>
      <c r="D133" s="4" t="s">
        <v>11</v>
      </c>
      <c r="E133" s="4" t="s">
        <v>12</v>
      </c>
      <c r="F133" s="4" t="s">
        <v>518</v>
      </c>
      <c r="G133" s="4" t="s">
        <v>519</v>
      </c>
      <c r="H133" s="4" t="s">
        <v>46</v>
      </c>
      <c r="I133" s="4" t="s">
        <v>52</v>
      </c>
      <c r="J133" s="4" t="s">
        <v>61</v>
      </c>
      <c r="K133" s="7">
        <v>0</v>
      </c>
      <c r="L133" s="7">
        <v>0</v>
      </c>
      <c r="M133" s="7">
        <v>4292.8672420920002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/>
      <c r="T133" s="7"/>
      <c r="U133" s="7"/>
      <c r="V133" s="7"/>
      <c r="W133" s="11">
        <f t="shared" si="2"/>
        <v>4292.8672420920002</v>
      </c>
    </row>
    <row r="134" spans="1:23" x14ac:dyDescent="0.2">
      <c r="A134" s="4" t="s">
        <v>570</v>
      </c>
      <c r="B134" s="4" t="s">
        <v>585</v>
      </c>
      <c r="C134" s="4" t="s">
        <v>10</v>
      </c>
      <c r="D134" s="4" t="s">
        <v>11</v>
      </c>
      <c r="E134" s="4" t="s">
        <v>12</v>
      </c>
      <c r="F134" s="4" t="s">
        <v>35</v>
      </c>
      <c r="G134" s="4" t="s">
        <v>36</v>
      </c>
      <c r="H134" s="4" t="s">
        <v>26</v>
      </c>
      <c r="I134" s="4" t="s">
        <v>26</v>
      </c>
      <c r="J134" s="4" t="s">
        <v>37</v>
      </c>
      <c r="K134" s="7">
        <v>17439.393899999999</v>
      </c>
      <c r="L134" s="7">
        <v>14487.1211</v>
      </c>
      <c r="M134" s="7">
        <v>21022.4126</v>
      </c>
      <c r="N134" s="7">
        <v>23028.5</v>
      </c>
      <c r="O134" s="7">
        <v>22396.571100000001</v>
      </c>
      <c r="P134" s="7">
        <v>20974.244900000002</v>
      </c>
      <c r="Q134" s="7">
        <v>24893.542000000001</v>
      </c>
      <c r="R134" s="7">
        <v>19761.4584</v>
      </c>
      <c r="S134" s="7"/>
      <c r="T134" s="7"/>
      <c r="U134" s="7"/>
      <c r="V134" s="7"/>
      <c r="W134" s="11">
        <f t="shared" si="2"/>
        <v>164003.24400000001</v>
      </c>
    </row>
    <row r="135" spans="1:23" x14ac:dyDescent="0.2">
      <c r="A135" s="4" t="s">
        <v>570</v>
      </c>
      <c r="B135" s="4" t="s">
        <v>585</v>
      </c>
      <c r="C135" s="4" t="s">
        <v>10</v>
      </c>
      <c r="D135" s="4" t="s">
        <v>11</v>
      </c>
      <c r="E135" s="4" t="s">
        <v>12</v>
      </c>
      <c r="F135" s="4" t="s">
        <v>38</v>
      </c>
      <c r="G135" s="4" t="s">
        <v>39</v>
      </c>
      <c r="H135" s="4" t="s">
        <v>26</v>
      </c>
      <c r="I135" s="4" t="s">
        <v>26</v>
      </c>
      <c r="J135" s="4" t="s">
        <v>37</v>
      </c>
      <c r="K135" s="7">
        <v>12210.0792</v>
      </c>
      <c r="L135" s="7">
        <v>11901.0488</v>
      </c>
      <c r="M135" s="7">
        <v>16054.6903</v>
      </c>
      <c r="N135" s="7">
        <v>18814.696900000003</v>
      </c>
      <c r="O135" s="7">
        <v>20719.364099999999</v>
      </c>
      <c r="P135" s="7">
        <v>23883.647400000002</v>
      </c>
      <c r="Q135" s="7">
        <v>22981.0749</v>
      </c>
      <c r="R135" s="7">
        <v>22298.875199999999</v>
      </c>
      <c r="S135" s="7"/>
      <c r="T135" s="7"/>
      <c r="U135" s="7"/>
      <c r="V135" s="7"/>
      <c r="W135" s="11">
        <f t="shared" si="2"/>
        <v>148863.4768</v>
      </c>
    </row>
    <row r="136" spans="1:23" x14ac:dyDescent="0.2">
      <c r="A136" s="4" t="s">
        <v>570</v>
      </c>
      <c r="B136" s="4" t="s">
        <v>585</v>
      </c>
      <c r="C136" s="4" t="s">
        <v>10</v>
      </c>
      <c r="D136" s="4" t="s">
        <v>11</v>
      </c>
      <c r="E136" s="4" t="s">
        <v>12</v>
      </c>
      <c r="F136" s="4" t="s">
        <v>144</v>
      </c>
      <c r="G136" s="4" t="s">
        <v>145</v>
      </c>
      <c r="H136" s="4" t="s">
        <v>26</v>
      </c>
      <c r="I136" s="4" t="s">
        <v>26</v>
      </c>
      <c r="J136" s="4" t="s">
        <v>85</v>
      </c>
      <c r="K136" s="7">
        <v>2681.03964</v>
      </c>
      <c r="L136" s="7">
        <v>3132.0681099999997</v>
      </c>
      <c r="M136" s="7">
        <v>2472.8536000000004</v>
      </c>
      <c r="N136" s="7">
        <v>2827.8484400000002</v>
      </c>
      <c r="O136" s="7">
        <v>2904.1541999999999</v>
      </c>
      <c r="P136" s="7">
        <v>2454.8566000000001</v>
      </c>
      <c r="Q136" s="7">
        <v>3367.9373399999995</v>
      </c>
      <c r="R136" s="7">
        <v>3071.7572</v>
      </c>
      <c r="S136" s="7"/>
      <c r="T136" s="7"/>
      <c r="U136" s="7"/>
      <c r="V136" s="7"/>
      <c r="W136" s="11">
        <f t="shared" si="2"/>
        <v>22912.51513</v>
      </c>
    </row>
    <row r="137" spans="1:23" x14ac:dyDescent="0.2">
      <c r="A137" s="4" t="s">
        <v>570</v>
      </c>
      <c r="B137" s="4" t="s">
        <v>585</v>
      </c>
      <c r="C137" s="4" t="s">
        <v>10</v>
      </c>
      <c r="D137" s="4" t="s">
        <v>11</v>
      </c>
      <c r="E137" s="4" t="s">
        <v>12</v>
      </c>
      <c r="F137" s="4" t="s">
        <v>638</v>
      </c>
      <c r="G137" s="4" t="s">
        <v>639</v>
      </c>
      <c r="H137" s="4" t="s">
        <v>46</v>
      </c>
      <c r="I137" s="4" t="s">
        <v>455</v>
      </c>
      <c r="J137" s="4" t="s">
        <v>640</v>
      </c>
      <c r="K137" s="7">
        <v>9253.7275000000009</v>
      </c>
      <c r="L137" s="7">
        <v>9435.5908739999995</v>
      </c>
      <c r="M137" s="7">
        <v>17201.649399999998</v>
      </c>
      <c r="N137" s="7">
        <v>21330.546849999999</v>
      </c>
      <c r="O137" s="7">
        <v>11906.747232</v>
      </c>
      <c r="P137" s="7">
        <v>15306.99984</v>
      </c>
      <c r="Q137" s="7">
        <v>15249.144</v>
      </c>
      <c r="R137" s="7">
        <v>16342.03911</v>
      </c>
      <c r="S137" s="7"/>
      <c r="T137" s="7"/>
      <c r="U137" s="7"/>
      <c r="V137" s="7"/>
      <c r="W137" s="11">
        <f t="shared" si="2"/>
        <v>116026.444806</v>
      </c>
    </row>
    <row r="138" spans="1:23" x14ac:dyDescent="0.2">
      <c r="A138" s="4" t="s">
        <v>570</v>
      </c>
      <c r="B138" s="4" t="s">
        <v>585</v>
      </c>
      <c r="C138" s="4" t="s">
        <v>10</v>
      </c>
      <c r="D138" s="4" t="s">
        <v>11</v>
      </c>
      <c r="E138" s="4" t="s">
        <v>12</v>
      </c>
      <c r="F138" s="4" t="s">
        <v>24</v>
      </c>
      <c r="G138" s="4" t="s">
        <v>25</v>
      </c>
      <c r="H138" s="4" t="s">
        <v>26</v>
      </c>
      <c r="I138" s="4" t="s">
        <v>26</v>
      </c>
      <c r="J138" s="4" t="s">
        <v>27</v>
      </c>
      <c r="K138" s="7">
        <v>30509.868674599998</v>
      </c>
      <c r="L138" s="7">
        <v>50276.380819999998</v>
      </c>
      <c r="M138" s="7">
        <v>51009.88596</v>
      </c>
      <c r="N138" s="7">
        <v>41143.722199999997</v>
      </c>
      <c r="O138" s="7">
        <v>44887.098149999998</v>
      </c>
      <c r="P138" s="7">
        <v>67341.123219999994</v>
      </c>
      <c r="Q138" s="7">
        <v>55555.528599999998</v>
      </c>
      <c r="R138" s="7">
        <v>44790.28544</v>
      </c>
      <c r="S138" s="7"/>
      <c r="T138" s="7"/>
      <c r="U138" s="7"/>
      <c r="V138" s="7"/>
      <c r="W138" s="11">
        <f t="shared" si="2"/>
        <v>385513.89306460001</v>
      </c>
    </row>
    <row r="139" spans="1:23" x14ac:dyDescent="0.2">
      <c r="A139" s="4" t="s">
        <v>570</v>
      </c>
      <c r="B139" s="4" t="s">
        <v>585</v>
      </c>
      <c r="C139" s="4" t="s">
        <v>10</v>
      </c>
      <c r="D139" s="4" t="s">
        <v>11</v>
      </c>
      <c r="E139" s="4" t="s">
        <v>12</v>
      </c>
      <c r="F139" s="4" t="s">
        <v>156</v>
      </c>
      <c r="G139" s="4" t="s">
        <v>157</v>
      </c>
      <c r="H139" s="4" t="s">
        <v>68</v>
      </c>
      <c r="I139" s="4" t="s">
        <v>69</v>
      </c>
      <c r="J139" s="4" t="s">
        <v>70</v>
      </c>
      <c r="K139" s="7">
        <v>10646.41886</v>
      </c>
      <c r="L139" s="7">
        <v>9800.9087400000008</v>
      </c>
      <c r="M139" s="7">
        <v>11171.05726</v>
      </c>
      <c r="N139" s="7">
        <v>11341.391310000001</v>
      </c>
      <c r="O139" s="7">
        <v>10414.168589999999</v>
      </c>
      <c r="P139" s="7">
        <v>11918.674559999999</v>
      </c>
      <c r="Q139" s="7">
        <v>10431.81414</v>
      </c>
      <c r="R139" s="7">
        <v>11103.113581</v>
      </c>
      <c r="S139" s="7"/>
      <c r="T139" s="7"/>
      <c r="U139" s="7"/>
      <c r="V139" s="7"/>
      <c r="W139" s="11">
        <f t="shared" si="2"/>
        <v>86827.547040999998</v>
      </c>
    </row>
    <row r="140" spans="1:23" x14ac:dyDescent="0.2">
      <c r="A140" s="4" t="s">
        <v>570</v>
      </c>
      <c r="B140" s="4" t="s">
        <v>585</v>
      </c>
      <c r="C140" s="4" t="s">
        <v>10</v>
      </c>
      <c r="D140" s="4" t="s">
        <v>11</v>
      </c>
      <c r="E140" s="4" t="s">
        <v>12</v>
      </c>
      <c r="F140" s="4" t="s">
        <v>156</v>
      </c>
      <c r="G140" s="4" t="s">
        <v>158</v>
      </c>
      <c r="H140" s="4" t="s">
        <v>159</v>
      </c>
      <c r="I140" s="4" t="s">
        <v>160</v>
      </c>
      <c r="J140" s="4" t="s">
        <v>161</v>
      </c>
      <c r="K140" s="7">
        <v>12935.657520000001</v>
      </c>
      <c r="L140" s="7">
        <v>10464.062879999999</v>
      </c>
      <c r="M140" s="7">
        <v>11924.985919999999</v>
      </c>
      <c r="N140" s="7">
        <v>10759.24288</v>
      </c>
      <c r="O140" s="7">
        <v>10529.56365</v>
      </c>
      <c r="P140" s="7">
        <v>10510.847820000001</v>
      </c>
      <c r="Q140" s="7">
        <v>10305.866400000001</v>
      </c>
      <c r="R140" s="7">
        <v>11191.74294</v>
      </c>
      <c r="S140" s="7"/>
      <c r="T140" s="7"/>
      <c r="U140" s="7"/>
      <c r="V140" s="7"/>
      <c r="W140" s="11">
        <f t="shared" si="2"/>
        <v>88621.97000999999</v>
      </c>
    </row>
    <row r="141" spans="1:23" x14ac:dyDescent="0.2">
      <c r="A141" s="4" t="s">
        <v>570</v>
      </c>
      <c r="B141" s="4" t="s">
        <v>585</v>
      </c>
      <c r="C141" s="4" t="s">
        <v>10</v>
      </c>
      <c r="D141" s="4" t="s">
        <v>28</v>
      </c>
      <c r="E141" s="4" t="s">
        <v>29</v>
      </c>
      <c r="F141" s="4" t="s">
        <v>194</v>
      </c>
      <c r="G141" s="4" t="s">
        <v>195</v>
      </c>
      <c r="H141" s="4" t="s">
        <v>196</v>
      </c>
      <c r="I141" s="4" t="s">
        <v>197</v>
      </c>
      <c r="J141" s="4" t="s">
        <v>198</v>
      </c>
      <c r="K141" s="7">
        <v>118.58</v>
      </c>
      <c r="L141" s="7">
        <v>0</v>
      </c>
      <c r="M141" s="7">
        <v>147.97999999999999</v>
      </c>
      <c r="N141" s="7">
        <v>112.7</v>
      </c>
      <c r="O141" s="7">
        <v>61.74</v>
      </c>
      <c r="P141" s="7">
        <v>99.96</v>
      </c>
      <c r="Q141" s="7">
        <v>144.06</v>
      </c>
      <c r="R141" s="7">
        <v>158.76</v>
      </c>
      <c r="S141" s="7"/>
      <c r="T141" s="7"/>
      <c r="U141" s="7"/>
      <c r="V141" s="7"/>
      <c r="W141" s="11">
        <f t="shared" si="2"/>
        <v>843.78</v>
      </c>
    </row>
    <row r="142" spans="1:23" x14ac:dyDescent="0.2">
      <c r="A142" s="4" t="s">
        <v>570</v>
      </c>
      <c r="B142" s="4" t="s">
        <v>585</v>
      </c>
      <c r="C142" s="4" t="s">
        <v>10</v>
      </c>
      <c r="D142" s="4" t="s">
        <v>28</v>
      </c>
      <c r="E142" s="4" t="s">
        <v>29</v>
      </c>
      <c r="F142" s="4" t="s">
        <v>687</v>
      </c>
      <c r="G142" s="4" t="s">
        <v>688</v>
      </c>
      <c r="H142" s="4" t="s">
        <v>32</v>
      </c>
      <c r="I142" s="4" t="s">
        <v>199</v>
      </c>
      <c r="J142" s="4" t="s">
        <v>200</v>
      </c>
      <c r="K142" s="7">
        <v>332.5</v>
      </c>
      <c r="L142" s="7">
        <v>399</v>
      </c>
      <c r="M142" s="7">
        <v>475</v>
      </c>
      <c r="N142" s="7">
        <v>422.75</v>
      </c>
      <c r="O142" s="7">
        <v>366.7</v>
      </c>
      <c r="P142" s="7">
        <v>0</v>
      </c>
      <c r="Q142" s="7">
        <v>0</v>
      </c>
      <c r="R142" s="7">
        <v>0</v>
      </c>
      <c r="S142" s="7"/>
      <c r="T142" s="7"/>
      <c r="U142" s="7"/>
      <c r="V142" s="7"/>
      <c r="W142" s="11">
        <f t="shared" si="2"/>
        <v>1995.95</v>
      </c>
    </row>
    <row r="143" spans="1:23" x14ac:dyDescent="0.2">
      <c r="A143" s="4" t="s">
        <v>570</v>
      </c>
      <c r="B143" s="4" t="s">
        <v>585</v>
      </c>
      <c r="C143" s="4" t="s">
        <v>10</v>
      </c>
      <c r="D143" s="4" t="s">
        <v>28</v>
      </c>
      <c r="E143" s="4" t="s">
        <v>29</v>
      </c>
      <c r="F143" s="4" t="s">
        <v>689</v>
      </c>
      <c r="G143" s="4" t="s">
        <v>690</v>
      </c>
      <c r="H143" s="4" t="s">
        <v>32</v>
      </c>
      <c r="I143" s="4" t="s">
        <v>199</v>
      </c>
      <c r="J143" s="4" t="s">
        <v>200</v>
      </c>
      <c r="K143" s="7">
        <v>137.75</v>
      </c>
      <c r="L143" s="7">
        <v>114</v>
      </c>
      <c r="M143" s="7">
        <v>123.5</v>
      </c>
      <c r="N143" s="7">
        <v>140.6</v>
      </c>
      <c r="O143" s="7">
        <v>140.6</v>
      </c>
      <c r="P143" s="7">
        <v>231.8</v>
      </c>
      <c r="Q143" s="7">
        <v>0</v>
      </c>
      <c r="R143" s="7">
        <v>0</v>
      </c>
      <c r="S143" s="7"/>
      <c r="T143" s="7"/>
      <c r="U143" s="7"/>
      <c r="V143" s="7"/>
      <c r="W143" s="11">
        <f t="shared" si="2"/>
        <v>888.25</v>
      </c>
    </row>
    <row r="144" spans="1:23" x14ac:dyDescent="0.2">
      <c r="A144" s="4" t="s">
        <v>570</v>
      </c>
      <c r="B144" s="4" t="s">
        <v>585</v>
      </c>
      <c r="C144" s="4" t="s">
        <v>10</v>
      </c>
      <c r="D144" s="4" t="s">
        <v>28</v>
      </c>
      <c r="E144" s="4" t="s">
        <v>29</v>
      </c>
      <c r="F144" s="4" t="s">
        <v>201</v>
      </c>
      <c r="G144" s="4" t="s">
        <v>869</v>
      </c>
      <c r="H144" s="4" t="s">
        <v>196</v>
      </c>
      <c r="I144" s="4" t="s">
        <v>202</v>
      </c>
      <c r="J144" s="4" t="s">
        <v>196</v>
      </c>
      <c r="K144" s="7">
        <v>0</v>
      </c>
      <c r="L144" s="7">
        <v>0</v>
      </c>
      <c r="M144" s="7">
        <v>0</v>
      </c>
      <c r="N144" s="7">
        <v>0</v>
      </c>
      <c r="O144" s="7">
        <v>128.38</v>
      </c>
      <c r="P144" s="7">
        <v>147</v>
      </c>
      <c r="Q144" s="7">
        <v>196.98</v>
      </c>
      <c r="R144" s="7">
        <v>244.02</v>
      </c>
      <c r="S144" s="7"/>
      <c r="T144" s="7"/>
      <c r="U144" s="7"/>
      <c r="V144" s="7"/>
      <c r="W144" s="11">
        <f t="shared" si="2"/>
        <v>716.38</v>
      </c>
    </row>
    <row r="145" spans="1:23" x14ac:dyDescent="0.2">
      <c r="A145" s="4" t="s">
        <v>570</v>
      </c>
      <c r="B145" s="4" t="s">
        <v>585</v>
      </c>
      <c r="C145" s="4" t="s">
        <v>10</v>
      </c>
      <c r="D145" s="4" t="s">
        <v>28</v>
      </c>
      <c r="E145" s="4" t="s">
        <v>29</v>
      </c>
      <c r="F145" s="4" t="s">
        <v>201</v>
      </c>
      <c r="G145" s="4" t="s">
        <v>775</v>
      </c>
      <c r="H145" s="4" t="s">
        <v>196</v>
      </c>
      <c r="I145" s="4" t="s">
        <v>202</v>
      </c>
      <c r="J145" s="4" t="s">
        <v>196</v>
      </c>
      <c r="K145" s="7">
        <v>0</v>
      </c>
      <c r="L145" s="7">
        <v>0</v>
      </c>
      <c r="M145" s="7">
        <v>150.91999999999999</v>
      </c>
      <c r="N145" s="7">
        <v>124.46</v>
      </c>
      <c r="O145" s="7">
        <v>0</v>
      </c>
      <c r="P145" s="7">
        <v>0</v>
      </c>
      <c r="Q145" s="7">
        <v>0</v>
      </c>
      <c r="R145" s="7">
        <v>158.76</v>
      </c>
      <c r="S145" s="7"/>
      <c r="T145" s="7"/>
      <c r="U145" s="7"/>
      <c r="V145" s="7"/>
      <c r="W145" s="11">
        <f t="shared" si="2"/>
        <v>434.14</v>
      </c>
    </row>
    <row r="146" spans="1:23" x14ac:dyDescent="0.2">
      <c r="A146" s="4" t="s">
        <v>570</v>
      </c>
      <c r="B146" s="4" t="s">
        <v>585</v>
      </c>
      <c r="C146" s="4" t="s">
        <v>10</v>
      </c>
      <c r="D146" s="4" t="s">
        <v>28</v>
      </c>
      <c r="E146" s="4" t="s">
        <v>29</v>
      </c>
      <c r="F146" s="4" t="s">
        <v>201</v>
      </c>
      <c r="G146" s="4" t="s">
        <v>550</v>
      </c>
      <c r="H146" s="4" t="s">
        <v>196</v>
      </c>
      <c r="I146" s="4" t="s">
        <v>202</v>
      </c>
      <c r="J146" s="4" t="s">
        <v>196</v>
      </c>
      <c r="K146" s="7">
        <v>199.92</v>
      </c>
      <c r="L146" s="7">
        <v>196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/>
      <c r="T146" s="7"/>
      <c r="U146" s="7"/>
      <c r="V146" s="7"/>
      <c r="W146" s="11">
        <f t="shared" si="2"/>
        <v>395.91999999999996</v>
      </c>
    </row>
    <row r="147" spans="1:23" x14ac:dyDescent="0.2">
      <c r="A147" s="4" t="s">
        <v>570</v>
      </c>
      <c r="B147" s="4" t="s">
        <v>585</v>
      </c>
      <c r="C147" s="4" t="s">
        <v>10</v>
      </c>
      <c r="D147" s="4" t="s">
        <v>28</v>
      </c>
      <c r="E147" s="4" t="s">
        <v>29</v>
      </c>
      <c r="F147" s="4" t="s">
        <v>691</v>
      </c>
      <c r="G147" s="4" t="s">
        <v>692</v>
      </c>
      <c r="H147" s="4" t="s">
        <v>196</v>
      </c>
      <c r="I147" s="4" t="s">
        <v>197</v>
      </c>
      <c r="J147" s="4" t="s">
        <v>198</v>
      </c>
      <c r="K147" s="7">
        <v>88.999991100000003</v>
      </c>
      <c r="L147" s="7">
        <v>130.99998690000001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/>
      <c r="T147" s="7"/>
      <c r="U147" s="7"/>
      <c r="V147" s="7"/>
      <c r="W147" s="11">
        <f t="shared" si="2"/>
        <v>219.999978</v>
      </c>
    </row>
    <row r="148" spans="1:23" x14ac:dyDescent="0.2">
      <c r="A148" s="4" t="s">
        <v>570</v>
      </c>
      <c r="B148" s="4" t="s">
        <v>585</v>
      </c>
      <c r="C148" s="4" t="s">
        <v>10</v>
      </c>
      <c r="D148" s="4" t="s">
        <v>28</v>
      </c>
      <c r="E148" s="4" t="s">
        <v>29</v>
      </c>
      <c r="F148" s="4" t="s">
        <v>203</v>
      </c>
      <c r="G148" s="4" t="s">
        <v>204</v>
      </c>
      <c r="H148" s="4" t="s">
        <v>196</v>
      </c>
      <c r="I148" s="4" t="s">
        <v>202</v>
      </c>
      <c r="J148" s="4" t="s">
        <v>205</v>
      </c>
      <c r="K148" s="7">
        <v>739.14</v>
      </c>
      <c r="L148" s="7">
        <v>679</v>
      </c>
      <c r="M148" s="7">
        <v>308.45999999999998</v>
      </c>
      <c r="N148" s="7">
        <v>436.5</v>
      </c>
      <c r="O148" s="7">
        <v>505.37</v>
      </c>
      <c r="P148" s="7">
        <v>279.36</v>
      </c>
      <c r="Q148" s="7">
        <v>702.28</v>
      </c>
      <c r="R148" s="7">
        <v>48.5</v>
      </c>
      <c r="S148" s="7"/>
      <c r="T148" s="7"/>
      <c r="U148" s="7"/>
      <c r="V148" s="7"/>
      <c r="W148" s="11">
        <f t="shared" si="2"/>
        <v>3698.6099999999997</v>
      </c>
    </row>
    <row r="149" spans="1:23" x14ac:dyDescent="0.2">
      <c r="A149" s="4" t="s">
        <v>570</v>
      </c>
      <c r="B149" s="4" t="s">
        <v>585</v>
      </c>
      <c r="C149" s="4" t="s">
        <v>10</v>
      </c>
      <c r="D149" s="4" t="s">
        <v>28</v>
      </c>
      <c r="E149" s="4" t="s">
        <v>29</v>
      </c>
      <c r="F149" s="4" t="s">
        <v>924</v>
      </c>
      <c r="G149" s="4" t="s">
        <v>925</v>
      </c>
      <c r="H149" s="4" t="s">
        <v>196</v>
      </c>
      <c r="I149" s="4" t="s">
        <v>202</v>
      </c>
      <c r="J149" s="4" t="s">
        <v>205</v>
      </c>
      <c r="K149" s="7">
        <v>1043.9998955999999</v>
      </c>
      <c r="L149" s="7">
        <v>499.99995000000001</v>
      </c>
      <c r="M149" s="7">
        <v>514.99994849999996</v>
      </c>
      <c r="N149" s="7">
        <v>575.99994240000001</v>
      </c>
      <c r="O149" s="7">
        <v>0</v>
      </c>
      <c r="P149" s="7">
        <v>0</v>
      </c>
      <c r="Q149" s="7">
        <v>0</v>
      </c>
      <c r="R149" s="7">
        <v>0</v>
      </c>
      <c r="S149" s="7"/>
      <c r="T149" s="7"/>
      <c r="U149" s="7"/>
      <c r="V149" s="7"/>
      <c r="W149" s="11">
        <f t="shared" si="2"/>
        <v>2634.9997364999999</v>
      </c>
    </row>
    <row r="150" spans="1:23" x14ac:dyDescent="0.2">
      <c r="A150" s="4" t="s">
        <v>570</v>
      </c>
      <c r="B150" s="4" t="s">
        <v>585</v>
      </c>
      <c r="C150" s="4" t="s">
        <v>10</v>
      </c>
      <c r="D150" s="4" t="s">
        <v>28</v>
      </c>
      <c r="E150" s="4" t="s">
        <v>29</v>
      </c>
      <c r="F150" s="4" t="s">
        <v>776</v>
      </c>
      <c r="G150" s="4" t="s">
        <v>777</v>
      </c>
      <c r="H150" s="4" t="s">
        <v>196</v>
      </c>
      <c r="I150" s="4" t="s">
        <v>197</v>
      </c>
      <c r="J150" s="4" t="s">
        <v>198</v>
      </c>
      <c r="K150" s="7">
        <v>0</v>
      </c>
      <c r="L150" s="7">
        <v>0</v>
      </c>
      <c r="M150" s="7">
        <v>212.66</v>
      </c>
      <c r="N150" s="7">
        <v>257.74</v>
      </c>
      <c r="O150" s="7">
        <v>0</v>
      </c>
      <c r="P150" s="7">
        <v>0</v>
      </c>
      <c r="Q150" s="7">
        <v>0</v>
      </c>
      <c r="R150" s="7">
        <v>0</v>
      </c>
      <c r="S150" s="7"/>
      <c r="T150" s="7"/>
      <c r="U150" s="7"/>
      <c r="V150" s="7"/>
      <c r="W150" s="11">
        <f t="shared" si="2"/>
        <v>470.4</v>
      </c>
    </row>
    <row r="151" spans="1:23" x14ac:dyDescent="0.2">
      <c r="A151" s="4" t="s">
        <v>570</v>
      </c>
      <c r="B151" s="4" t="s">
        <v>585</v>
      </c>
      <c r="C151" s="4" t="s">
        <v>10</v>
      </c>
      <c r="D151" s="4" t="s">
        <v>28</v>
      </c>
      <c r="E151" s="4" t="s">
        <v>29</v>
      </c>
      <c r="F151" s="4" t="s">
        <v>778</v>
      </c>
      <c r="G151" s="4" t="s">
        <v>779</v>
      </c>
      <c r="H151" s="4" t="s">
        <v>196</v>
      </c>
      <c r="I151" s="4" t="s">
        <v>197</v>
      </c>
      <c r="J151" s="4" t="s">
        <v>198</v>
      </c>
      <c r="K151" s="7">
        <v>0</v>
      </c>
      <c r="L151" s="7">
        <v>0</v>
      </c>
      <c r="M151" s="7">
        <v>136.22</v>
      </c>
      <c r="N151" s="7">
        <v>197.96</v>
      </c>
      <c r="O151" s="7">
        <v>0</v>
      </c>
      <c r="P151" s="7">
        <v>0</v>
      </c>
      <c r="Q151" s="7">
        <v>0</v>
      </c>
      <c r="R151" s="7">
        <v>0</v>
      </c>
      <c r="S151" s="7"/>
      <c r="T151" s="7"/>
      <c r="U151" s="7"/>
      <c r="V151" s="7"/>
      <c r="W151" s="11">
        <f t="shared" si="2"/>
        <v>334.18</v>
      </c>
    </row>
    <row r="152" spans="1:23" x14ac:dyDescent="0.2">
      <c r="A152" s="4" t="s">
        <v>570</v>
      </c>
      <c r="B152" s="4" t="s">
        <v>585</v>
      </c>
      <c r="C152" s="4" t="s">
        <v>10</v>
      </c>
      <c r="D152" s="4" t="s">
        <v>28</v>
      </c>
      <c r="E152" s="4" t="s">
        <v>29</v>
      </c>
      <c r="F152" s="4" t="s">
        <v>805</v>
      </c>
      <c r="G152" s="4" t="s">
        <v>806</v>
      </c>
      <c r="H152" s="4" t="s">
        <v>196</v>
      </c>
      <c r="I152" s="4" t="s">
        <v>197</v>
      </c>
      <c r="J152" s="4" t="s">
        <v>198</v>
      </c>
      <c r="K152" s="7">
        <v>0</v>
      </c>
      <c r="L152" s="7">
        <v>0</v>
      </c>
      <c r="M152" s="7">
        <v>154.84</v>
      </c>
      <c r="N152" s="7">
        <v>211.68</v>
      </c>
      <c r="O152" s="7">
        <v>0</v>
      </c>
      <c r="P152" s="7">
        <v>0</v>
      </c>
      <c r="Q152" s="7">
        <v>0</v>
      </c>
      <c r="R152" s="7">
        <v>0</v>
      </c>
      <c r="S152" s="7"/>
      <c r="T152" s="7"/>
      <c r="U152" s="7"/>
      <c r="V152" s="7"/>
      <c r="W152" s="11">
        <f t="shared" si="2"/>
        <v>366.52</v>
      </c>
    </row>
    <row r="153" spans="1:23" x14ac:dyDescent="0.2">
      <c r="A153" s="4" t="s">
        <v>570</v>
      </c>
      <c r="B153" s="4" t="s">
        <v>585</v>
      </c>
      <c r="C153" s="4" t="s">
        <v>10</v>
      </c>
      <c r="D153" s="4" t="s">
        <v>28</v>
      </c>
      <c r="E153" s="4" t="s">
        <v>29</v>
      </c>
      <c r="F153" s="4" t="s">
        <v>206</v>
      </c>
      <c r="G153" s="4" t="s">
        <v>207</v>
      </c>
      <c r="H153" s="4" t="s">
        <v>196</v>
      </c>
      <c r="I153" s="4" t="s">
        <v>202</v>
      </c>
      <c r="J153" s="4" t="s">
        <v>205</v>
      </c>
      <c r="K153" s="7">
        <v>1221.777</v>
      </c>
      <c r="L153" s="7">
        <v>1997.001</v>
      </c>
      <c r="M153" s="7">
        <v>1411.587</v>
      </c>
      <c r="N153" s="7">
        <v>699.3</v>
      </c>
      <c r="O153" s="7">
        <v>1479.519</v>
      </c>
      <c r="P153" s="7">
        <v>851.14800000000002</v>
      </c>
      <c r="Q153" s="7">
        <v>1668.33</v>
      </c>
      <c r="R153" s="7">
        <v>688.31100000000004</v>
      </c>
      <c r="S153" s="7"/>
      <c r="T153" s="7"/>
      <c r="U153" s="7"/>
      <c r="V153" s="7"/>
      <c r="W153" s="11">
        <f t="shared" si="2"/>
        <v>10016.973</v>
      </c>
    </row>
    <row r="154" spans="1:23" x14ac:dyDescent="0.2">
      <c r="A154" s="4" t="s">
        <v>570</v>
      </c>
      <c r="B154" s="4" t="s">
        <v>585</v>
      </c>
      <c r="C154" s="4" t="s">
        <v>10</v>
      </c>
      <c r="D154" s="4" t="s">
        <v>28</v>
      </c>
      <c r="E154" s="4" t="s">
        <v>29</v>
      </c>
      <c r="F154" s="4" t="s">
        <v>208</v>
      </c>
      <c r="G154" s="4" t="s">
        <v>209</v>
      </c>
      <c r="H154" s="4" t="s">
        <v>196</v>
      </c>
      <c r="I154" s="4" t="s">
        <v>202</v>
      </c>
      <c r="J154" s="4" t="s">
        <v>196</v>
      </c>
      <c r="K154" s="7">
        <v>98.474999999999994</v>
      </c>
      <c r="L154" s="7">
        <v>147.22499999999999</v>
      </c>
      <c r="M154" s="7">
        <v>146.25</v>
      </c>
      <c r="N154" s="7">
        <v>146.25</v>
      </c>
      <c r="O154" s="7">
        <v>0</v>
      </c>
      <c r="P154" s="7">
        <v>147.22499999999999</v>
      </c>
      <c r="Q154" s="7">
        <v>0</v>
      </c>
      <c r="R154" s="7">
        <v>146.25</v>
      </c>
      <c r="S154" s="7"/>
      <c r="T154" s="7"/>
      <c r="U154" s="7"/>
      <c r="V154" s="7"/>
      <c r="W154" s="11">
        <f t="shared" si="2"/>
        <v>831.67500000000007</v>
      </c>
    </row>
    <row r="155" spans="1:23" x14ac:dyDescent="0.2">
      <c r="A155" s="4" t="s">
        <v>570</v>
      </c>
      <c r="B155" s="4" t="s">
        <v>585</v>
      </c>
      <c r="C155" s="4" t="s">
        <v>10</v>
      </c>
      <c r="D155" s="4" t="s">
        <v>28</v>
      </c>
      <c r="E155" s="4" t="s">
        <v>29</v>
      </c>
      <c r="F155" s="4" t="s">
        <v>693</v>
      </c>
      <c r="G155" s="4" t="s">
        <v>694</v>
      </c>
      <c r="H155" s="4" t="s">
        <v>196</v>
      </c>
      <c r="I155" s="4" t="s">
        <v>202</v>
      </c>
      <c r="J155" s="4" t="s">
        <v>196</v>
      </c>
      <c r="K155" s="7">
        <v>0</v>
      </c>
      <c r="L155" s="7">
        <v>239.12</v>
      </c>
      <c r="M155" s="7">
        <v>145.04</v>
      </c>
      <c r="N155" s="7">
        <v>87.22</v>
      </c>
      <c r="O155" s="7">
        <v>154.84</v>
      </c>
      <c r="P155" s="7">
        <v>97.02</v>
      </c>
      <c r="Q155" s="7">
        <v>97.02</v>
      </c>
      <c r="R155" s="7">
        <v>289.10000000000002</v>
      </c>
      <c r="S155" s="7"/>
      <c r="T155" s="7"/>
      <c r="U155" s="7"/>
      <c r="V155" s="7"/>
      <c r="W155" s="11">
        <f t="shared" si="2"/>
        <v>1109.3600000000001</v>
      </c>
    </row>
    <row r="156" spans="1:23" x14ac:dyDescent="0.2">
      <c r="A156" s="4" t="s">
        <v>570</v>
      </c>
      <c r="B156" s="4" t="s">
        <v>585</v>
      </c>
      <c r="C156" s="4" t="s">
        <v>10</v>
      </c>
      <c r="D156" s="4" t="s">
        <v>28</v>
      </c>
      <c r="E156" s="4" t="s">
        <v>29</v>
      </c>
      <c r="F156" s="4" t="s">
        <v>575</v>
      </c>
      <c r="G156" s="4" t="s">
        <v>578</v>
      </c>
      <c r="H156" s="4" t="s">
        <v>196</v>
      </c>
      <c r="I156" s="4" t="s">
        <v>197</v>
      </c>
      <c r="J156" s="4" t="s">
        <v>198</v>
      </c>
      <c r="K156" s="7">
        <v>87.3</v>
      </c>
      <c r="L156" s="7">
        <v>46.56</v>
      </c>
      <c r="M156" s="7">
        <v>42.68</v>
      </c>
      <c r="N156" s="7">
        <v>22.31</v>
      </c>
      <c r="O156" s="7">
        <v>0</v>
      </c>
      <c r="P156" s="7">
        <v>0</v>
      </c>
      <c r="Q156" s="7">
        <v>0</v>
      </c>
      <c r="R156" s="7">
        <v>0</v>
      </c>
      <c r="S156" s="7"/>
      <c r="T156" s="7"/>
      <c r="U156" s="7"/>
      <c r="V156" s="7"/>
      <c r="W156" s="11">
        <f t="shared" si="2"/>
        <v>198.85000000000002</v>
      </c>
    </row>
    <row r="157" spans="1:23" x14ac:dyDescent="0.2">
      <c r="A157" s="4" t="s">
        <v>570</v>
      </c>
      <c r="B157" s="4" t="s">
        <v>585</v>
      </c>
      <c r="C157" s="4" t="s">
        <v>10</v>
      </c>
      <c r="D157" s="4" t="s">
        <v>28</v>
      </c>
      <c r="E157" s="4" t="s">
        <v>29</v>
      </c>
      <c r="F157" s="4" t="s">
        <v>575</v>
      </c>
      <c r="G157" s="4" t="s">
        <v>921</v>
      </c>
      <c r="H157" s="4" t="s">
        <v>196</v>
      </c>
      <c r="I157" s="4" t="s">
        <v>197</v>
      </c>
      <c r="J157" s="4" t="s">
        <v>198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26.19</v>
      </c>
      <c r="Q157" s="7">
        <v>50.44</v>
      </c>
      <c r="R157" s="7">
        <v>0</v>
      </c>
      <c r="S157" s="7"/>
      <c r="T157" s="7"/>
      <c r="U157" s="7"/>
      <c r="V157" s="7"/>
      <c r="W157" s="11">
        <f t="shared" si="2"/>
        <v>76.63</v>
      </c>
    </row>
    <row r="158" spans="1:23" x14ac:dyDescent="0.2">
      <c r="A158" s="4" t="s">
        <v>570</v>
      </c>
      <c r="B158" s="4" t="s">
        <v>585</v>
      </c>
      <c r="C158" s="4" t="s">
        <v>10</v>
      </c>
      <c r="D158" s="4" t="s">
        <v>28</v>
      </c>
      <c r="E158" s="4" t="s">
        <v>29</v>
      </c>
      <c r="F158" s="4" t="s">
        <v>575</v>
      </c>
      <c r="G158" s="4" t="s">
        <v>886</v>
      </c>
      <c r="H158" s="4" t="s">
        <v>196</v>
      </c>
      <c r="I158" s="4" t="s">
        <v>197</v>
      </c>
      <c r="J158" s="4" t="s">
        <v>198</v>
      </c>
      <c r="K158" s="7">
        <v>0</v>
      </c>
      <c r="L158" s="7">
        <v>0</v>
      </c>
      <c r="M158" s="7">
        <v>0</v>
      </c>
      <c r="N158" s="7">
        <v>0</v>
      </c>
      <c r="O158" s="7">
        <v>191.09</v>
      </c>
      <c r="P158" s="7">
        <v>0</v>
      </c>
      <c r="Q158" s="7">
        <v>0</v>
      </c>
      <c r="R158" s="7">
        <v>0</v>
      </c>
      <c r="S158" s="7"/>
      <c r="T158" s="7"/>
      <c r="U158" s="7"/>
      <c r="V158" s="7"/>
      <c r="W158" s="11">
        <f t="shared" si="2"/>
        <v>191.09</v>
      </c>
    </row>
    <row r="159" spans="1:23" x14ac:dyDescent="0.2">
      <c r="A159" s="4" t="s">
        <v>570</v>
      </c>
      <c r="B159" s="4" t="s">
        <v>585</v>
      </c>
      <c r="C159" s="4" t="s">
        <v>10</v>
      </c>
      <c r="D159" s="4" t="s">
        <v>28</v>
      </c>
      <c r="E159" s="4" t="s">
        <v>29</v>
      </c>
      <c r="F159" s="4" t="s">
        <v>575</v>
      </c>
      <c r="G159" s="4" t="s">
        <v>106</v>
      </c>
      <c r="H159" s="4" t="s">
        <v>196</v>
      </c>
      <c r="I159" s="4" t="s">
        <v>197</v>
      </c>
      <c r="J159" s="4" t="s">
        <v>198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25.22</v>
      </c>
      <c r="S159" s="7"/>
      <c r="T159" s="7"/>
      <c r="U159" s="7"/>
      <c r="V159" s="7"/>
      <c r="W159" s="11">
        <f t="shared" si="2"/>
        <v>25.22</v>
      </c>
    </row>
    <row r="160" spans="1:23" x14ac:dyDescent="0.2">
      <c r="A160" s="4" t="s">
        <v>570</v>
      </c>
      <c r="B160" s="4" t="s">
        <v>585</v>
      </c>
      <c r="C160" s="4" t="s">
        <v>10</v>
      </c>
      <c r="D160" s="4" t="s">
        <v>28</v>
      </c>
      <c r="E160" s="4" t="s">
        <v>29</v>
      </c>
      <c r="F160" s="4" t="s">
        <v>210</v>
      </c>
      <c r="G160" s="4" t="s">
        <v>211</v>
      </c>
      <c r="H160" s="4" t="s">
        <v>196</v>
      </c>
      <c r="I160" s="4" t="s">
        <v>202</v>
      </c>
      <c r="J160" s="4" t="s">
        <v>205</v>
      </c>
      <c r="K160" s="7">
        <v>599.4</v>
      </c>
      <c r="L160" s="7">
        <v>1492.5060000000001</v>
      </c>
      <c r="M160" s="7">
        <v>1211.787</v>
      </c>
      <c r="N160" s="7">
        <v>0</v>
      </c>
      <c r="O160" s="7">
        <v>1228.77</v>
      </c>
      <c r="P160" s="7">
        <v>1380.6179999999999</v>
      </c>
      <c r="Q160" s="7">
        <v>1045.953</v>
      </c>
      <c r="R160" s="7">
        <v>1340.6579999999999</v>
      </c>
      <c r="S160" s="7"/>
      <c r="T160" s="7"/>
      <c r="U160" s="7"/>
      <c r="V160" s="7"/>
      <c r="W160" s="11">
        <f t="shared" si="2"/>
        <v>8299.6919999999991</v>
      </c>
    </row>
    <row r="161" spans="1:23" x14ac:dyDescent="0.2">
      <c r="A161" s="4" t="s">
        <v>570</v>
      </c>
      <c r="B161" s="4" t="s">
        <v>585</v>
      </c>
      <c r="C161" s="4" t="s">
        <v>10</v>
      </c>
      <c r="D161" s="4" t="s">
        <v>28</v>
      </c>
      <c r="E161" s="4" t="s">
        <v>29</v>
      </c>
      <c r="F161" s="4" t="s">
        <v>641</v>
      </c>
      <c r="G161" s="4" t="s">
        <v>642</v>
      </c>
      <c r="H161" s="4" t="s">
        <v>196</v>
      </c>
      <c r="I161" s="4" t="s">
        <v>197</v>
      </c>
      <c r="J161" s="4" t="s">
        <v>198</v>
      </c>
      <c r="K161" s="7">
        <v>51.999948000000003</v>
      </c>
      <c r="L161" s="7">
        <v>63.603200000000001</v>
      </c>
      <c r="M161" s="7">
        <v>125.50230000000001</v>
      </c>
      <c r="N161" s="7">
        <v>54.999944999999997</v>
      </c>
      <c r="O161" s="7">
        <v>75.999923999999993</v>
      </c>
      <c r="P161" s="7">
        <v>52.999946999999999</v>
      </c>
      <c r="Q161" s="7">
        <v>109.604</v>
      </c>
      <c r="R161" s="7">
        <v>87.999911999999995</v>
      </c>
      <c r="S161" s="7"/>
      <c r="T161" s="7"/>
      <c r="U161" s="7"/>
      <c r="V161" s="7"/>
      <c r="W161" s="11">
        <f t="shared" si="2"/>
        <v>622.70917600000007</v>
      </c>
    </row>
    <row r="162" spans="1:23" x14ac:dyDescent="0.2">
      <c r="A162" s="4" t="s">
        <v>570</v>
      </c>
      <c r="B162" s="4" t="s">
        <v>585</v>
      </c>
      <c r="C162" s="4" t="s">
        <v>10</v>
      </c>
      <c r="D162" s="4" t="s">
        <v>28</v>
      </c>
      <c r="E162" s="4" t="s">
        <v>29</v>
      </c>
      <c r="F162" s="4" t="s">
        <v>587</v>
      </c>
      <c r="G162" s="4" t="s">
        <v>588</v>
      </c>
      <c r="H162" s="4" t="s">
        <v>196</v>
      </c>
      <c r="I162" s="4" t="s">
        <v>202</v>
      </c>
      <c r="J162" s="4" t="s">
        <v>205</v>
      </c>
      <c r="K162" s="7">
        <v>69.58</v>
      </c>
      <c r="L162" s="7">
        <v>439.04</v>
      </c>
      <c r="M162" s="7">
        <v>56.84</v>
      </c>
      <c r="N162" s="7">
        <v>0</v>
      </c>
      <c r="O162" s="7">
        <v>221.48</v>
      </c>
      <c r="P162" s="7">
        <v>265.58</v>
      </c>
      <c r="Q162" s="7">
        <v>265.58</v>
      </c>
      <c r="R162" s="7">
        <v>461.58</v>
      </c>
      <c r="S162" s="7"/>
      <c r="T162" s="7"/>
      <c r="U162" s="7"/>
      <c r="V162" s="7"/>
      <c r="W162" s="11">
        <f t="shared" si="2"/>
        <v>1779.6799999999998</v>
      </c>
    </row>
    <row r="163" spans="1:23" x14ac:dyDescent="0.2">
      <c r="A163" s="4" t="s">
        <v>570</v>
      </c>
      <c r="B163" s="4" t="s">
        <v>585</v>
      </c>
      <c r="C163" s="4" t="s">
        <v>10</v>
      </c>
      <c r="D163" s="4" t="s">
        <v>28</v>
      </c>
      <c r="E163" s="4" t="s">
        <v>29</v>
      </c>
      <c r="F163" s="4" t="s">
        <v>626</v>
      </c>
      <c r="G163" s="4" t="s">
        <v>627</v>
      </c>
      <c r="H163" s="4" t="s">
        <v>196</v>
      </c>
      <c r="I163" s="4" t="s">
        <v>197</v>
      </c>
      <c r="J163" s="4" t="s">
        <v>198</v>
      </c>
      <c r="K163" s="7">
        <v>56.26</v>
      </c>
      <c r="L163" s="7">
        <v>57.23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/>
      <c r="T163" s="7"/>
      <c r="U163" s="7"/>
      <c r="V163" s="7"/>
      <c r="W163" s="11">
        <f t="shared" si="2"/>
        <v>113.49</v>
      </c>
    </row>
    <row r="164" spans="1:23" x14ac:dyDescent="0.2">
      <c r="A164" s="4" t="s">
        <v>570</v>
      </c>
      <c r="B164" s="4" t="s">
        <v>585</v>
      </c>
      <c r="C164" s="4" t="s">
        <v>10</v>
      </c>
      <c r="D164" s="4" t="s">
        <v>28</v>
      </c>
      <c r="E164" s="4" t="s">
        <v>29</v>
      </c>
      <c r="F164" s="4" t="s">
        <v>626</v>
      </c>
      <c r="G164" s="4" t="s">
        <v>695</v>
      </c>
      <c r="H164" s="4" t="s">
        <v>196</v>
      </c>
      <c r="I164" s="4" t="s">
        <v>197</v>
      </c>
      <c r="J164" s="4" t="s">
        <v>198</v>
      </c>
      <c r="K164" s="7">
        <v>0</v>
      </c>
      <c r="L164" s="7">
        <v>96.03</v>
      </c>
      <c r="M164" s="7">
        <v>60.14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/>
      <c r="T164" s="7"/>
      <c r="U164" s="7"/>
      <c r="V164" s="7"/>
      <c r="W164" s="11">
        <f t="shared" si="2"/>
        <v>156.17000000000002</v>
      </c>
    </row>
    <row r="165" spans="1:23" x14ac:dyDescent="0.2">
      <c r="A165" s="4" t="s">
        <v>570</v>
      </c>
      <c r="B165" s="4" t="s">
        <v>585</v>
      </c>
      <c r="C165" s="4" t="s">
        <v>10</v>
      </c>
      <c r="D165" s="4" t="s">
        <v>28</v>
      </c>
      <c r="E165" s="4" t="s">
        <v>29</v>
      </c>
      <c r="F165" s="4" t="s">
        <v>966</v>
      </c>
      <c r="G165" s="4" t="s">
        <v>932</v>
      </c>
      <c r="H165" s="4" t="s">
        <v>196</v>
      </c>
      <c r="I165" s="4" t="s">
        <v>202</v>
      </c>
      <c r="J165" s="4" t="s">
        <v>205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457.54199999999997</v>
      </c>
      <c r="S165" s="7"/>
      <c r="T165" s="7"/>
      <c r="U165" s="7"/>
      <c r="V165" s="7"/>
      <c r="W165" s="11">
        <f t="shared" si="2"/>
        <v>457.54199999999997</v>
      </c>
    </row>
    <row r="166" spans="1:23" x14ac:dyDescent="0.2">
      <c r="A166" s="4" t="s">
        <v>570</v>
      </c>
      <c r="B166" s="4" t="s">
        <v>585</v>
      </c>
      <c r="C166" s="4" t="s">
        <v>10</v>
      </c>
      <c r="D166" s="4" t="s">
        <v>28</v>
      </c>
      <c r="E166" s="4" t="s">
        <v>29</v>
      </c>
      <c r="F166" s="4" t="s">
        <v>931</v>
      </c>
      <c r="G166" s="4" t="s">
        <v>932</v>
      </c>
      <c r="H166" s="4" t="s">
        <v>196</v>
      </c>
      <c r="I166" s="4" t="s">
        <v>202</v>
      </c>
      <c r="J166" s="4" t="s">
        <v>205</v>
      </c>
      <c r="K166" s="7">
        <v>0</v>
      </c>
      <c r="L166" s="7">
        <v>0</v>
      </c>
      <c r="M166" s="7">
        <v>0</v>
      </c>
      <c r="N166" s="7">
        <v>314.37</v>
      </c>
      <c r="O166" s="7">
        <v>409.59</v>
      </c>
      <c r="P166" s="7">
        <v>571.428</v>
      </c>
      <c r="Q166" s="7">
        <v>0</v>
      </c>
      <c r="R166" s="7">
        <v>0</v>
      </c>
      <c r="S166" s="7"/>
      <c r="T166" s="7"/>
      <c r="U166" s="7"/>
      <c r="V166" s="7"/>
      <c r="W166" s="11">
        <f t="shared" si="2"/>
        <v>1295.3879999999999</v>
      </c>
    </row>
    <row r="167" spans="1:23" x14ac:dyDescent="0.2">
      <c r="A167" s="4" t="s">
        <v>570</v>
      </c>
      <c r="B167" s="4" t="s">
        <v>585</v>
      </c>
      <c r="C167" s="4" t="s">
        <v>10</v>
      </c>
      <c r="D167" s="4" t="s">
        <v>28</v>
      </c>
      <c r="E167" s="4" t="s">
        <v>29</v>
      </c>
      <c r="F167" s="4" t="s">
        <v>828</v>
      </c>
      <c r="G167" s="4" t="s">
        <v>870</v>
      </c>
      <c r="H167" s="4" t="s">
        <v>196</v>
      </c>
      <c r="I167" s="4" t="s">
        <v>202</v>
      </c>
      <c r="J167" s="4" t="s">
        <v>196</v>
      </c>
      <c r="K167" s="7">
        <v>0</v>
      </c>
      <c r="L167" s="7">
        <v>0</v>
      </c>
      <c r="M167" s="7">
        <v>0</v>
      </c>
      <c r="N167" s="7">
        <v>0</v>
      </c>
      <c r="O167" s="7">
        <v>119.31</v>
      </c>
      <c r="P167" s="7">
        <v>0</v>
      </c>
      <c r="Q167" s="7">
        <v>0</v>
      </c>
      <c r="R167" s="7">
        <v>0</v>
      </c>
      <c r="S167" s="7"/>
      <c r="T167" s="7"/>
      <c r="U167" s="7"/>
      <c r="V167" s="7"/>
      <c r="W167" s="11">
        <f t="shared" si="2"/>
        <v>119.31</v>
      </c>
    </row>
    <row r="168" spans="1:23" x14ac:dyDescent="0.2">
      <c r="A168" s="4" t="s">
        <v>570</v>
      </c>
      <c r="B168" s="4" t="s">
        <v>585</v>
      </c>
      <c r="C168" s="4" t="s">
        <v>10</v>
      </c>
      <c r="D168" s="4" t="s">
        <v>28</v>
      </c>
      <c r="E168" s="4" t="s">
        <v>29</v>
      </c>
      <c r="F168" s="4" t="s">
        <v>828</v>
      </c>
      <c r="G168" s="4" t="s">
        <v>910</v>
      </c>
      <c r="H168" s="4" t="s">
        <v>196</v>
      </c>
      <c r="I168" s="4" t="s">
        <v>202</v>
      </c>
      <c r="J168" s="4" t="s">
        <v>196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90.21</v>
      </c>
      <c r="Q168" s="7">
        <v>127.07</v>
      </c>
      <c r="R168" s="7">
        <v>0</v>
      </c>
      <c r="S168" s="7"/>
      <c r="T168" s="7"/>
      <c r="U168" s="7"/>
      <c r="V168" s="7"/>
      <c r="W168" s="11">
        <f t="shared" si="2"/>
        <v>217.27999999999997</v>
      </c>
    </row>
    <row r="169" spans="1:23" x14ac:dyDescent="0.2">
      <c r="A169" s="4" t="s">
        <v>570</v>
      </c>
      <c r="B169" s="4" t="s">
        <v>585</v>
      </c>
      <c r="C169" s="4" t="s">
        <v>10</v>
      </c>
      <c r="D169" s="4" t="s">
        <v>28</v>
      </c>
      <c r="E169" s="4" t="s">
        <v>29</v>
      </c>
      <c r="F169" s="4" t="s">
        <v>828</v>
      </c>
      <c r="G169" s="4" t="s">
        <v>829</v>
      </c>
      <c r="H169" s="4" t="s">
        <v>196</v>
      </c>
      <c r="I169" s="4" t="s">
        <v>202</v>
      </c>
      <c r="J169" s="4" t="s">
        <v>196</v>
      </c>
      <c r="K169" s="7">
        <v>0</v>
      </c>
      <c r="L169" s="7">
        <v>0</v>
      </c>
      <c r="M169" s="7">
        <v>0</v>
      </c>
      <c r="N169" s="7">
        <v>93.12</v>
      </c>
      <c r="O169" s="7">
        <v>0</v>
      </c>
      <c r="P169" s="7">
        <v>0</v>
      </c>
      <c r="Q169" s="7">
        <v>0</v>
      </c>
      <c r="R169" s="7">
        <v>84.39</v>
      </c>
      <c r="S169" s="7"/>
      <c r="T169" s="7"/>
      <c r="U169" s="7"/>
      <c r="V169" s="7"/>
      <c r="W169" s="11">
        <f t="shared" si="2"/>
        <v>177.51</v>
      </c>
    </row>
    <row r="170" spans="1:23" x14ac:dyDescent="0.2">
      <c r="A170" s="4" t="s">
        <v>570</v>
      </c>
      <c r="B170" s="4" t="s">
        <v>585</v>
      </c>
      <c r="C170" s="4" t="s">
        <v>10</v>
      </c>
      <c r="D170" s="4" t="s">
        <v>28</v>
      </c>
      <c r="E170" s="4" t="s">
        <v>29</v>
      </c>
      <c r="F170" s="4" t="s">
        <v>780</v>
      </c>
      <c r="G170" s="4" t="s">
        <v>781</v>
      </c>
      <c r="H170" s="4" t="s">
        <v>196</v>
      </c>
      <c r="I170" s="4" t="s">
        <v>197</v>
      </c>
      <c r="J170" s="4" t="s">
        <v>198</v>
      </c>
      <c r="K170" s="7">
        <v>0</v>
      </c>
      <c r="L170" s="7">
        <v>0</v>
      </c>
      <c r="M170" s="7">
        <v>132.30000000000001</v>
      </c>
      <c r="N170" s="7">
        <v>113.68</v>
      </c>
      <c r="O170" s="7">
        <v>0</v>
      </c>
      <c r="P170" s="7">
        <v>0</v>
      </c>
      <c r="Q170" s="7">
        <v>0</v>
      </c>
      <c r="R170" s="7">
        <v>0</v>
      </c>
      <c r="S170" s="7"/>
      <c r="T170" s="7"/>
      <c r="U170" s="7"/>
      <c r="V170" s="7"/>
      <c r="W170" s="11">
        <f t="shared" si="2"/>
        <v>245.98000000000002</v>
      </c>
    </row>
    <row r="171" spans="1:23" x14ac:dyDescent="0.2">
      <c r="A171" s="4" t="s">
        <v>570</v>
      </c>
      <c r="B171" s="4" t="s">
        <v>585</v>
      </c>
      <c r="C171" s="4" t="s">
        <v>10</v>
      </c>
      <c r="D171" s="4" t="s">
        <v>28</v>
      </c>
      <c r="E171" s="4" t="s">
        <v>29</v>
      </c>
      <c r="F171" s="4" t="s">
        <v>212</v>
      </c>
      <c r="G171" s="4" t="s">
        <v>213</v>
      </c>
      <c r="H171" s="4" t="s">
        <v>196</v>
      </c>
      <c r="I171" s="4" t="s">
        <v>197</v>
      </c>
      <c r="J171" s="4" t="s">
        <v>198</v>
      </c>
      <c r="K171" s="7">
        <v>126.42</v>
      </c>
      <c r="L171" s="7">
        <v>203.84</v>
      </c>
      <c r="M171" s="7">
        <v>153.86000000000001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/>
      <c r="T171" s="7"/>
      <c r="U171" s="7"/>
      <c r="V171" s="7"/>
      <c r="W171" s="11">
        <f t="shared" si="2"/>
        <v>484.12</v>
      </c>
    </row>
    <row r="172" spans="1:23" x14ac:dyDescent="0.2">
      <c r="A172" s="4" t="s">
        <v>570</v>
      </c>
      <c r="B172" s="4" t="s">
        <v>585</v>
      </c>
      <c r="C172" s="4" t="s">
        <v>10</v>
      </c>
      <c r="D172" s="4" t="s">
        <v>28</v>
      </c>
      <c r="E172" s="4" t="s">
        <v>29</v>
      </c>
      <c r="F172" s="4" t="s">
        <v>212</v>
      </c>
      <c r="G172" s="4" t="s">
        <v>830</v>
      </c>
      <c r="H172" s="4" t="s">
        <v>196</v>
      </c>
      <c r="I172" s="4" t="s">
        <v>197</v>
      </c>
      <c r="J172" s="4" t="s">
        <v>198</v>
      </c>
      <c r="K172" s="7">
        <v>0</v>
      </c>
      <c r="L172" s="7">
        <v>0</v>
      </c>
      <c r="M172" s="7">
        <v>0</v>
      </c>
      <c r="N172" s="7">
        <v>246.96</v>
      </c>
      <c r="O172" s="7">
        <v>0</v>
      </c>
      <c r="P172" s="7">
        <v>0</v>
      </c>
      <c r="Q172" s="7">
        <v>0</v>
      </c>
      <c r="R172" s="7">
        <v>294.98</v>
      </c>
      <c r="S172" s="7"/>
      <c r="T172" s="7"/>
      <c r="U172" s="7"/>
      <c r="V172" s="7"/>
      <c r="W172" s="11">
        <f t="shared" si="2"/>
        <v>541.94000000000005</v>
      </c>
    </row>
    <row r="173" spans="1:23" x14ac:dyDescent="0.2">
      <c r="A173" s="4" t="s">
        <v>570</v>
      </c>
      <c r="B173" s="4" t="s">
        <v>585</v>
      </c>
      <c r="C173" s="4" t="s">
        <v>10</v>
      </c>
      <c r="D173" s="4" t="s">
        <v>28</v>
      </c>
      <c r="E173" s="4" t="s">
        <v>29</v>
      </c>
      <c r="F173" s="4" t="s">
        <v>212</v>
      </c>
      <c r="G173" s="4" t="s">
        <v>871</v>
      </c>
      <c r="H173" s="4" t="s">
        <v>196</v>
      </c>
      <c r="I173" s="4" t="s">
        <v>197</v>
      </c>
      <c r="J173" s="4" t="s">
        <v>198</v>
      </c>
      <c r="K173" s="7">
        <v>0</v>
      </c>
      <c r="L173" s="7">
        <v>0</v>
      </c>
      <c r="M173" s="7">
        <v>0</v>
      </c>
      <c r="N173" s="7">
        <v>0</v>
      </c>
      <c r="O173" s="7">
        <v>280.27999999999997</v>
      </c>
      <c r="P173" s="7">
        <v>250.88</v>
      </c>
      <c r="Q173" s="7">
        <v>0</v>
      </c>
      <c r="R173" s="7">
        <v>0</v>
      </c>
      <c r="S173" s="7"/>
      <c r="T173" s="7"/>
      <c r="U173" s="7"/>
      <c r="V173" s="7"/>
      <c r="W173" s="11">
        <f t="shared" si="2"/>
        <v>531.16</v>
      </c>
    </row>
    <row r="174" spans="1:23" x14ac:dyDescent="0.2">
      <c r="A174" s="4" t="s">
        <v>570</v>
      </c>
      <c r="B174" s="4" t="s">
        <v>585</v>
      </c>
      <c r="C174" s="4" t="s">
        <v>10</v>
      </c>
      <c r="D174" s="4" t="s">
        <v>28</v>
      </c>
      <c r="E174" s="4" t="s">
        <v>29</v>
      </c>
      <c r="F174" s="4" t="s">
        <v>212</v>
      </c>
      <c r="G174" s="4" t="s">
        <v>947</v>
      </c>
      <c r="H174" s="4" t="s">
        <v>196</v>
      </c>
      <c r="I174" s="4" t="s">
        <v>197</v>
      </c>
      <c r="J174" s="4" t="s">
        <v>198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257.74</v>
      </c>
      <c r="R174" s="7">
        <v>0</v>
      </c>
      <c r="S174" s="7"/>
      <c r="T174" s="7"/>
      <c r="U174" s="7"/>
      <c r="V174" s="7"/>
      <c r="W174" s="11">
        <f t="shared" ref="W174:W233" si="3">SUM(K174:V174)</f>
        <v>257.74</v>
      </c>
    </row>
    <row r="175" spans="1:23" x14ac:dyDescent="0.2">
      <c r="A175" s="4" t="s">
        <v>570</v>
      </c>
      <c r="B175" s="4" t="s">
        <v>585</v>
      </c>
      <c r="C175" s="4" t="s">
        <v>10</v>
      </c>
      <c r="D175" s="4" t="s">
        <v>28</v>
      </c>
      <c r="E175" s="4" t="s">
        <v>29</v>
      </c>
      <c r="F175" s="4" t="s">
        <v>212</v>
      </c>
      <c r="G175" s="4" t="s">
        <v>967</v>
      </c>
      <c r="H175" s="4" t="s">
        <v>196</v>
      </c>
      <c r="I175" s="4" t="s">
        <v>197</v>
      </c>
      <c r="J175" s="4" t="s">
        <v>198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256.76</v>
      </c>
      <c r="S175" s="7"/>
      <c r="T175" s="7"/>
      <c r="U175" s="7"/>
      <c r="V175" s="7"/>
      <c r="W175" s="11">
        <f t="shared" si="3"/>
        <v>256.76</v>
      </c>
    </row>
    <row r="176" spans="1:23" x14ac:dyDescent="0.2">
      <c r="A176" s="4" t="s">
        <v>570</v>
      </c>
      <c r="B176" s="4" t="s">
        <v>585</v>
      </c>
      <c r="C176" s="4" t="s">
        <v>10</v>
      </c>
      <c r="D176" s="4" t="s">
        <v>28</v>
      </c>
      <c r="E176" s="4" t="s">
        <v>29</v>
      </c>
      <c r="F176" s="4" t="s">
        <v>214</v>
      </c>
      <c r="G176" s="4" t="s">
        <v>215</v>
      </c>
      <c r="H176" s="4" t="s">
        <v>196</v>
      </c>
      <c r="I176" s="4" t="s">
        <v>202</v>
      </c>
      <c r="J176" s="4" t="s">
        <v>205</v>
      </c>
      <c r="K176" s="7">
        <v>2387.64</v>
      </c>
      <c r="L176" s="7">
        <v>0</v>
      </c>
      <c r="M176" s="7">
        <v>0</v>
      </c>
      <c r="N176" s="7">
        <v>2786.5650000000001</v>
      </c>
      <c r="O176" s="7">
        <v>0</v>
      </c>
      <c r="P176" s="7">
        <v>0</v>
      </c>
      <c r="Q176" s="7">
        <v>2801.34</v>
      </c>
      <c r="R176" s="7">
        <v>0</v>
      </c>
      <c r="S176" s="7"/>
      <c r="T176" s="7"/>
      <c r="U176" s="7"/>
      <c r="V176" s="7"/>
      <c r="W176" s="11">
        <f t="shared" si="3"/>
        <v>7975.5450000000001</v>
      </c>
    </row>
    <row r="177" spans="1:23" x14ac:dyDescent="0.2">
      <c r="A177" s="4" t="s">
        <v>570</v>
      </c>
      <c r="B177" s="4" t="s">
        <v>585</v>
      </c>
      <c r="C177" s="4" t="s">
        <v>10</v>
      </c>
      <c r="D177" s="4" t="s">
        <v>28</v>
      </c>
      <c r="E177" s="4" t="s">
        <v>29</v>
      </c>
      <c r="F177" s="4" t="s">
        <v>696</v>
      </c>
      <c r="G177" s="4" t="s">
        <v>697</v>
      </c>
      <c r="H177" s="4" t="s">
        <v>196</v>
      </c>
      <c r="I177" s="4" t="s">
        <v>197</v>
      </c>
      <c r="J177" s="4" t="s">
        <v>198</v>
      </c>
      <c r="K177" s="7">
        <v>0</v>
      </c>
      <c r="L177" s="7">
        <v>528.65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/>
      <c r="T177" s="7"/>
      <c r="U177" s="7"/>
      <c r="V177" s="7"/>
      <c r="W177" s="11">
        <f t="shared" si="3"/>
        <v>528.65</v>
      </c>
    </row>
    <row r="178" spans="1:23" x14ac:dyDescent="0.2">
      <c r="A178" s="4" t="s">
        <v>570</v>
      </c>
      <c r="B178" s="4" t="s">
        <v>585</v>
      </c>
      <c r="C178" s="4" t="s">
        <v>10</v>
      </c>
      <c r="D178" s="4" t="s">
        <v>28</v>
      </c>
      <c r="E178" s="4" t="s">
        <v>29</v>
      </c>
      <c r="F178" s="4" t="s">
        <v>696</v>
      </c>
      <c r="G178" s="4" t="s">
        <v>698</v>
      </c>
      <c r="H178" s="4" t="s">
        <v>196</v>
      </c>
      <c r="I178" s="4" t="s">
        <v>197</v>
      </c>
      <c r="J178" s="4" t="s">
        <v>198</v>
      </c>
      <c r="K178" s="7">
        <v>0</v>
      </c>
      <c r="L178" s="7">
        <v>520.89</v>
      </c>
      <c r="M178" s="7">
        <v>0</v>
      </c>
      <c r="N178" s="7">
        <v>0</v>
      </c>
      <c r="O178" s="7">
        <v>529.62</v>
      </c>
      <c r="P178" s="7">
        <v>1023.35</v>
      </c>
      <c r="Q178" s="7">
        <v>552.9</v>
      </c>
      <c r="R178" s="7">
        <v>576.17999999999995</v>
      </c>
      <c r="S178" s="7"/>
      <c r="T178" s="7"/>
      <c r="U178" s="7"/>
      <c r="V178" s="7"/>
      <c r="W178" s="11">
        <f t="shared" si="3"/>
        <v>3202.94</v>
      </c>
    </row>
    <row r="179" spans="1:23" x14ac:dyDescent="0.2">
      <c r="A179" s="4" t="s">
        <v>570</v>
      </c>
      <c r="B179" s="4" t="s">
        <v>585</v>
      </c>
      <c r="C179" s="4" t="s">
        <v>10</v>
      </c>
      <c r="D179" s="4" t="s">
        <v>28</v>
      </c>
      <c r="E179" s="4" t="s">
        <v>29</v>
      </c>
      <c r="F179" s="4" t="s">
        <v>696</v>
      </c>
      <c r="G179" s="4" t="s">
        <v>782</v>
      </c>
      <c r="H179" s="4" t="s">
        <v>196</v>
      </c>
      <c r="I179" s="4" t="s">
        <v>197</v>
      </c>
      <c r="J179" s="4" t="s">
        <v>198</v>
      </c>
      <c r="K179" s="7">
        <v>0</v>
      </c>
      <c r="L179" s="7">
        <v>0</v>
      </c>
      <c r="M179" s="7">
        <v>873</v>
      </c>
      <c r="N179" s="7">
        <v>585.88</v>
      </c>
      <c r="O179" s="7">
        <v>0</v>
      </c>
      <c r="P179" s="7">
        <v>0</v>
      </c>
      <c r="Q179" s="7">
        <v>0</v>
      </c>
      <c r="R179" s="7">
        <v>0</v>
      </c>
      <c r="S179" s="7"/>
      <c r="T179" s="7"/>
      <c r="U179" s="7"/>
      <c r="V179" s="7"/>
      <c r="W179" s="11">
        <f t="shared" si="3"/>
        <v>1458.88</v>
      </c>
    </row>
    <row r="180" spans="1:23" x14ac:dyDescent="0.2">
      <c r="A180" s="4" t="s">
        <v>570</v>
      </c>
      <c r="B180" s="4" t="s">
        <v>585</v>
      </c>
      <c r="C180" s="4" t="s">
        <v>10</v>
      </c>
      <c r="D180" s="4" t="s">
        <v>28</v>
      </c>
      <c r="E180" s="4" t="s">
        <v>29</v>
      </c>
      <c r="F180" s="4" t="s">
        <v>732</v>
      </c>
      <c r="G180" s="4" t="s">
        <v>733</v>
      </c>
      <c r="H180" s="4" t="s">
        <v>196</v>
      </c>
      <c r="I180" s="4" t="s">
        <v>202</v>
      </c>
      <c r="J180" s="4" t="s">
        <v>205</v>
      </c>
      <c r="K180" s="7">
        <v>0</v>
      </c>
      <c r="L180" s="7">
        <v>649.74</v>
      </c>
      <c r="M180" s="7">
        <v>757.54</v>
      </c>
      <c r="N180" s="7">
        <v>0</v>
      </c>
      <c r="O180" s="7">
        <v>615.44000000000005</v>
      </c>
      <c r="P180" s="7">
        <v>761.46</v>
      </c>
      <c r="Q180" s="7">
        <v>576.24</v>
      </c>
      <c r="R180" s="7">
        <v>651.70000000000005</v>
      </c>
      <c r="S180" s="7"/>
      <c r="T180" s="7"/>
      <c r="U180" s="7"/>
      <c r="V180" s="7"/>
      <c r="W180" s="11">
        <f t="shared" si="3"/>
        <v>4012.12</v>
      </c>
    </row>
    <row r="181" spans="1:23" x14ac:dyDescent="0.2">
      <c r="A181" s="4" t="s">
        <v>570</v>
      </c>
      <c r="B181" s="4" t="s">
        <v>585</v>
      </c>
      <c r="C181" s="4" t="s">
        <v>10</v>
      </c>
      <c r="D181" s="4" t="s">
        <v>28</v>
      </c>
      <c r="E181" s="4" t="s">
        <v>29</v>
      </c>
      <c r="F181" s="4" t="s">
        <v>800</v>
      </c>
      <c r="G181" s="4" t="s">
        <v>801</v>
      </c>
      <c r="H181" s="4" t="s">
        <v>196</v>
      </c>
      <c r="I181" s="4" t="s">
        <v>197</v>
      </c>
      <c r="J181" s="4" t="s">
        <v>216</v>
      </c>
      <c r="K181" s="7">
        <v>0</v>
      </c>
      <c r="L181" s="7">
        <v>0</v>
      </c>
      <c r="M181" s="7">
        <v>192.08</v>
      </c>
      <c r="N181" s="7">
        <v>194.04</v>
      </c>
      <c r="O181" s="7">
        <v>97.02</v>
      </c>
      <c r="P181" s="7">
        <v>118.58</v>
      </c>
      <c r="Q181" s="7">
        <v>99.96</v>
      </c>
      <c r="R181" s="7">
        <v>187.18</v>
      </c>
      <c r="S181" s="7"/>
      <c r="T181" s="7"/>
      <c r="U181" s="7"/>
      <c r="V181" s="7"/>
      <c r="W181" s="11">
        <f t="shared" si="3"/>
        <v>888.86000000000013</v>
      </c>
    </row>
    <row r="182" spans="1:23" x14ac:dyDescent="0.2">
      <c r="A182" s="4" t="s">
        <v>570</v>
      </c>
      <c r="B182" s="4" t="s">
        <v>585</v>
      </c>
      <c r="C182" s="4" t="s">
        <v>10</v>
      </c>
      <c r="D182" s="4" t="s">
        <v>28</v>
      </c>
      <c r="E182" s="4" t="s">
        <v>29</v>
      </c>
      <c r="F182" s="4" t="s">
        <v>812</v>
      </c>
      <c r="G182" s="4" t="s">
        <v>813</v>
      </c>
      <c r="H182" s="4" t="s">
        <v>196</v>
      </c>
      <c r="I182" s="4" t="s">
        <v>202</v>
      </c>
      <c r="J182" s="4" t="s">
        <v>196</v>
      </c>
      <c r="K182" s="7">
        <v>384.99961500000001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/>
      <c r="T182" s="7"/>
      <c r="U182" s="7"/>
      <c r="V182" s="7"/>
      <c r="W182" s="11">
        <f t="shared" si="3"/>
        <v>384.99961500000001</v>
      </c>
    </row>
    <row r="183" spans="1:23" x14ac:dyDescent="0.2">
      <c r="A183" s="4" t="s">
        <v>570</v>
      </c>
      <c r="B183" s="4" t="s">
        <v>585</v>
      </c>
      <c r="C183" s="4" t="s">
        <v>10</v>
      </c>
      <c r="D183" s="4" t="s">
        <v>28</v>
      </c>
      <c r="E183" s="4" t="s">
        <v>29</v>
      </c>
      <c r="F183" s="4" t="s">
        <v>217</v>
      </c>
      <c r="G183" s="4" t="s">
        <v>218</v>
      </c>
      <c r="H183" s="4" t="s">
        <v>196</v>
      </c>
      <c r="I183" s="4" t="s">
        <v>197</v>
      </c>
      <c r="J183" s="4" t="s">
        <v>216</v>
      </c>
      <c r="K183" s="7">
        <v>248.92</v>
      </c>
      <c r="L183" s="7">
        <v>0</v>
      </c>
      <c r="M183" s="7">
        <v>722.26</v>
      </c>
      <c r="N183" s="7">
        <v>0</v>
      </c>
      <c r="O183" s="7">
        <v>974.12</v>
      </c>
      <c r="P183" s="7">
        <v>0</v>
      </c>
      <c r="Q183" s="7">
        <v>0</v>
      </c>
      <c r="R183" s="7">
        <v>169.54</v>
      </c>
      <c r="S183" s="7"/>
      <c r="T183" s="7"/>
      <c r="U183" s="7"/>
      <c r="V183" s="7"/>
      <c r="W183" s="11">
        <f t="shared" si="3"/>
        <v>2114.84</v>
      </c>
    </row>
    <row r="184" spans="1:23" x14ac:dyDescent="0.2">
      <c r="A184" s="4" t="s">
        <v>570</v>
      </c>
      <c r="B184" s="4" t="s">
        <v>585</v>
      </c>
      <c r="C184" s="4" t="s">
        <v>10</v>
      </c>
      <c r="D184" s="4" t="s">
        <v>28</v>
      </c>
      <c r="E184" s="4" t="s">
        <v>29</v>
      </c>
      <c r="F184" s="4" t="s">
        <v>738</v>
      </c>
      <c r="G184" s="4" t="s">
        <v>739</v>
      </c>
      <c r="H184" s="4" t="s">
        <v>196</v>
      </c>
      <c r="I184" s="4" t="s">
        <v>202</v>
      </c>
      <c r="J184" s="4" t="s">
        <v>205</v>
      </c>
      <c r="K184" s="7">
        <v>0</v>
      </c>
      <c r="L184" s="7">
        <v>63.05</v>
      </c>
      <c r="M184" s="7">
        <v>53.35</v>
      </c>
      <c r="N184" s="7">
        <v>58.2</v>
      </c>
      <c r="O184" s="7">
        <v>53.35</v>
      </c>
      <c r="P184" s="7">
        <v>24.25</v>
      </c>
      <c r="Q184" s="7">
        <v>29.1</v>
      </c>
      <c r="R184" s="7">
        <v>21.34</v>
      </c>
      <c r="S184" s="7"/>
      <c r="T184" s="7"/>
      <c r="U184" s="7"/>
      <c r="V184" s="7"/>
      <c r="W184" s="11">
        <f t="shared" si="3"/>
        <v>302.64</v>
      </c>
    </row>
    <row r="185" spans="1:23" x14ac:dyDescent="0.2">
      <c r="A185" s="4" t="s">
        <v>570</v>
      </c>
      <c r="B185" s="4" t="s">
        <v>585</v>
      </c>
      <c r="C185" s="4" t="s">
        <v>10</v>
      </c>
      <c r="D185" s="4" t="s">
        <v>28</v>
      </c>
      <c r="E185" s="4" t="s">
        <v>29</v>
      </c>
      <c r="F185" s="4" t="s">
        <v>539</v>
      </c>
      <c r="G185" s="4" t="s">
        <v>551</v>
      </c>
      <c r="H185" s="4" t="s">
        <v>196</v>
      </c>
      <c r="I185" s="4" t="s">
        <v>197</v>
      </c>
      <c r="J185" s="4" t="s">
        <v>216</v>
      </c>
      <c r="K185" s="7">
        <v>19.899999999999999</v>
      </c>
      <c r="L185" s="7">
        <v>1002.996</v>
      </c>
      <c r="M185" s="7">
        <v>108.89100000000001</v>
      </c>
      <c r="N185" s="7">
        <v>0</v>
      </c>
      <c r="O185" s="7">
        <v>54.56</v>
      </c>
      <c r="P185" s="7">
        <v>0</v>
      </c>
      <c r="Q185" s="7">
        <v>0</v>
      </c>
      <c r="R185" s="7">
        <v>1535.463</v>
      </c>
      <c r="S185" s="7"/>
      <c r="T185" s="7"/>
      <c r="U185" s="7"/>
      <c r="V185" s="7"/>
      <c r="W185" s="11">
        <f t="shared" si="3"/>
        <v>2721.81</v>
      </c>
    </row>
    <row r="186" spans="1:23" x14ac:dyDescent="0.2">
      <c r="A186" s="4" t="s">
        <v>570</v>
      </c>
      <c r="B186" s="4" t="s">
        <v>585</v>
      </c>
      <c r="C186" s="4" t="s">
        <v>10</v>
      </c>
      <c r="D186" s="4" t="s">
        <v>28</v>
      </c>
      <c r="E186" s="4" t="s">
        <v>29</v>
      </c>
      <c r="F186" s="4" t="s">
        <v>699</v>
      </c>
      <c r="G186" s="4" t="s">
        <v>700</v>
      </c>
      <c r="H186" s="4" t="s">
        <v>196</v>
      </c>
      <c r="I186" s="4" t="s">
        <v>197</v>
      </c>
      <c r="J186" s="4" t="s">
        <v>216</v>
      </c>
      <c r="K186" s="7">
        <v>0</v>
      </c>
      <c r="L186" s="7">
        <v>3022.9740000000002</v>
      </c>
      <c r="M186" s="7">
        <v>9.99</v>
      </c>
      <c r="N186" s="7">
        <v>0</v>
      </c>
      <c r="O186" s="7">
        <v>0</v>
      </c>
      <c r="P186" s="7">
        <v>109.89</v>
      </c>
      <c r="Q186" s="7">
        <v>0</v>
      </c>
      <c r="R186" s="7">
        <v>1869.1289999999999</v>
      </c>
      <c r="S186" s="7"/>
      <c r="T186" s="7"/>
      <c r="U186" s="7"/>
      <c r="V186" s="7"/>
      <c r="W186" s="11">
        <f t="shared" si="3"/>
        <v>5011.9830000000002</v>
      </c>
    </row>
    <row r="187" spans="1:23" x14ac:dyDescent="0.2">
      <c r="A187" s="4" t="s">
        <v>570</v>
      </c>
      <c r="B187" s="4" t="s">
        <v>585</v>
      </c>
      <c r="C187" s="4" t="s">
        <v>10</v>
      </c>
      <c r="D187" s="4" t="s">
        <v>28</v>
      </c>
      <c r="E187" s="4" t="s">
        <v>29</v>
      </c>
      <c r="F187" s="4" t="s">
        <v>701</v>
      </c>
      <c r="G187" s="4" t="s">
        <v>702</v>
      </c>
      <c r="H187" s="4" t="s">
        <v>104</v>
      </c>
      <c r="I187" s="4" t="s">
        <v>221</v>
      </c>
      <c r="J187" s="4" t="s">
        <v>222</v>
      </c>
      <c r="K187" s="7">
        <v>2803.482798</v>
      </c>
      <c r="L187" s="7">
        <v>1921.6384</v>
      </c>
      <c r="M187" s="7">
        <v>2124.1649499999999</v>
      </c>
      <c r="N187" s="7">
        <v>0</v>
      </c>
      <c r="O187" s="7">
        <v>1548.5250000000001</v>
      </c>
      <c r="P187" s="7">
        <v>1879.8154999999999</v>
      </c>
      <c r="Q187" s="7">
        <v>2077.5068999999999</v>
      </c>
      <c r="R187" s="7">
        <v>2000.2424000000001</v>
      </c>
      <c r="S187" s="7"/>
      <c r="T187" s="7"/>
      <c r="U187" s="7"/>
      <c r="V187" s="7"/>
      <c r="W187" s="11">
        <f t="shared" si="3"/>
        <v>14355.375948000001</v>
      </c>
    </row>
    <row r="188" spans="1:23" x14ac:dyDescent="0.2">
      <c r="A188" s="4" t="s">
        <v>570</v>
      </c>
      <c r="B188" s="4" t="s">
        <v>585</v>
      </c>
      <c r="C188" s="4" t="s">
        <v>10</v>
      </c>
      <c r="D188" s="4" t="s">
        <v>28</v>
      </c>
      <c r="E188" s="4" t="s">
        <v>29</v>
      </c>
      <c r="F188" s="4" t="s">
        <v>701</v>
      </c>
      <c r="G188" s="4" t="s">
        <v>703</v>
      </c>
      <c r="H188" s="4" t="s">
        <v>104</v>
      </c>
      <c r="I188" s="4" t="s">
        <v>221</v>
      </c>
      <c r="J188" s="4" t="s">
        <v>222</v>
      </c>
      <c r="K188" s="7">
        <v>4119.5236814500004</v>
      </c>
      <c r="L188" s="7">
        <v>3244.0032000000001</v>
      </c>
      <c r="M188" s="7">
        <v>3597.61285</v>
      </c>
      <c r="N188" s="7">
        <v>0</v>
      </c>
      <c r="O188" s="7">
        <v>3076.1205</v>
      </c>
      <c r="P188" s="7">
        <v>3267.5891499999998</v>
      </c>
      <c r="Q188" s="7">
        <v>3371.3679999999999</v>
      </c>
      <c r="R188" s="7">
        <v>2849.15265</v>
      </c>
      <c r="S188" s="7"/>
      <c r="T188" s="7"/>
      <c r="U188" s="7"/>
      <c r="V188" s="7"/>
      <c r="W188" s="11">
        <f t="shared" si="3"/>
        <v>23525.370031449998</v>
      </c>
    </row>
    <row r="189" spans="1:23" x14ac:dyDescent="0.2">
      <c r="A189" s="4" t="s">
        <v>570</v>
      </c>
      <c r="B189" s="4" t="s">
        <v>585</v>
      </c>
      <c r="C189" s="4" t="s">
        <v>10</v>
      </c>
      <c r="D189" s="4" t="s">
        <v>28</v>
      </c>
      <c r="E189" s="4" t="s">
        <v>29</v>
      </c>
      <c r="F189" s="4" t="s">
        <v>426</v>
      </c>
      <c r="G189" s="4" t="s">
        <v>427</v>
      </c>
      <c r="H189" s="4" t="s">
        <v>104</v>
      </c>
      <c r="I189" s="4" t="s">
        <v>221</v>
      </c>
      <c r="J189" s="4" t="s">
        <v>222</v>
      </c>
      <c r="K189" s="7">
        <v>1052.22</v>
      </c>
      <c r="L189" s="7">
        <v>1138.9487999999999</v>
      </c>
      <c r="M189" s="7">
        <v>1149.3327999999999</v>
      </c>
      <c r="N189" s="7">
        <v>1249.31</v>
      </c>
      <c r="O189" s="7">
        <v>933.7</v>
      </c>
      <c r="P189" s="7">
        <v>1462.55945</v>
      </c>
      <c r="Q189" s="7">
        <v>934.8</v>
      </c>
      <c r="R189" s="7">
        <v>1754.1459</v>
      </c>
      <c r="S189" s="7"/>
      <c r="T189" s="7"/>
      <c r="U189" s="7"/>
      <c r="V189" s="7"/>
      <c r="W189" s="11">
        <f t="shared" si="3"/>
        <v>9675.0169499999993</v>
      </c>
    </row>
    <row r="190" spans="1:23" x14ac:dyDescent="0.2">
      <c r="A190" s="4" t="s">
        <v>570</v>
      </c>
      <c r="B190" s="4" t="s">
        <v>585</v>
      </c>
      <c r="C190" s="4" t="s">
        <v>10</v>
      </c>
      <c r="D190" s="4" t="s">
        <v>28</v>
      </c>
      <c r="E190" s="4" t="s">
        <v>29</v>
      </c>
      <c r="F190" s="4" t="s">
        <v>426</v>
      </c>
      <c r="G190" s="4" t="s">
        <v>643</v>
      </c>
      <c r="H190" s="4" t="s">
        <v>104</v>
      </c>
      <c r="I190" s="4" t="s">
        <v>221</v>
      </c>
      <c r="J190" s="4" t="s">
        <v>222</v>
      </c>
      <c r="K190" s="7">
        <v>1114.7392</v>
      </c>
      <c r="L190" s="7">
        <v>1067.0219999999999</v>
      </c>
      <c r="M190" s="7">
        <v>1265.3468</v>
      </c>
      <c r="N190" s="7">
        <v>1160.0129999999999</v>
      </c>
      <c r="O190" s="7">
        <v>948.87239999999997</v>
      </c>
      <c r="P190" s="7">
        <v>1601.0117</v>
      </c>
      <c r="Q190" s="7">
        <v>825.3546</v>
      </c>
      <c r="R190" s="7">
        <v>1372.4425000000001</v>
      </c>
      <c r="S190" s="7"/>
      <c r="T190" s="7"/>
      <c r="U190" s="7"/>
      <c r="V190" s="7"/>
      <c r="W190" s="11">
        <f t="shared" si="3"/>
        <v>9354.8022000000001</v>
      </c>
    </row>
    <row r="191" spans="1:23" x14ac:dyDescent="0.2">
      <c r="A191" s="4" t="s">
        <v>570</v>
      </c>
      <c r="B191" s="4" t="s">
        <v>585</v>
      </c>
      <c r="C191" s="4" t="s">
        <v>10</v>
      </c>
      <c r="D191" s="4" t="s">
        <v>28</v>
      </c>
      <c r="E191" s="4" t="s">
        <v>29</v>
      </c>
      <c r="F191" s="4" t="s">
        <v>219</v>
      </c>
      <c r="G191" s="4" t="s">
        <v>220</v>
      </c>
      <c r="H191" s="4" t="s">
        <v>104</v>
      </c>
      <c r="I191" s="4" t="s">
        <v>221</v>
      </c>
      <c r="J191" s="4" t="s">
        <v>222</v>
      </c>
      <c r="K191" s="7">
        <v>4242.861714222</v>
      </c>
      <c r="L191" s="7">
        <v>4344.7266544626</v>
      </c>
      <c r="M191" s="7">
        <v>5509.6776</v>
      </c>
      <c r="N191" s="7">
        <v>4459.8837751038</v>
      </c>
      <c r="O191" s="7">
        <v>5180.4165575149</v>
      </c>
      <c r="P191" s="7">
        <v>4799.1823614997002</v>
      </c>
      <c r="Q191" s="7">
        <v>4184.3114439999999</v>
      </c>
      <c r="R191" s="7">
        <v>4898.1694660000003</v>
      </c>
      <c r="S191" s="7"/>
      <c r="T191" s="7"/>
      <c r="U191" s="7"/>
      <c r="V191" s="7"/>
      <c r="W191" s="11">
        <f t="shared" si="3"/>
        <v>37619.229572803</v>
      </c>
    </row>
    <row r="192" spans="1:23" x14ac:dyDescent="0.2">
      <c r="A192" s="4" t="s">
        <v>570</v>
      </c>
      <c r="B192" s="4" t="s">
        <v>585</v>
      </c>
      <c r="C192" s="4" t="s">
        <v>10</v>
      </c>
      <c r="D192" s="4" t="s">
        <v>28</v>
      </c>
      <c r="E192" s="4" t="s">
        <v>29</v>
      </c>
      <c r="F192" s="4" t="s">
        <v>223</v>
      </c>
      <c r="G192" s="4" t="s">
        <v>224</v>
      </c>
      <c r="H192" s="4" t="s">
        <v>196</v>
      </c>
      <c r="I192" s="4" t="s">
        <v>197</v>
      </c>
      <c r="J192" s="4" t="s">
        <v>216</v>
      </c>
      <c r="K192" s="7">
        <v>120.54</v>
      </c>
      <c r="L192" s="7">
        <v>735.98</v>
      </c>
      <c r="M192" s="7">
        <v>0</v>
      </c>
      <c r="N192" s="7">
        <v>673.26</v>
      </c>
      <c r="O192" s="7">
        <v>683.06</v>
      </c>
      <c r="P192" s="7">
        <v>735.98</v>
      </c>
      <c r="Q192" s="7">
        <v>756.56</v>
      </c>
      <c r="R192" s="7">
        <v>438.06</v>
      </c>
      <c r="S192" s="7"/>
      <c r="T192" s="7"/>
      <c r="U192" s="7"/>
      <c r="V192" s="7"/>
      <c r="W192" s="11">
        <f t="shared" si="3"/>
        <v>4143.4400000000005</v>
      </c>
    </row>
    <row r="193" spans="1:23" x14ac:dyDescent="0.2">
      <c r="A193" s="4" t="s">
        <v>570</v>
      </c>
      <c r="B193" s="4" t="s">
        <v>585</v>
      </c>
      <c r="C193" s="4" t="s">
        <v>10</v>
      </c>
      <c r="D193" s="4" t="s">
        <v>28</v>
      </c>
      <c r="E193" s="4" t="s">
        <v>29</v>
      </c>
      <c r="F193" s="4" t="s">
        <v>911</v>
      </c>
      <c r="G193" s="4" t="s">
        <v>912</v>
      </c>
      <c r="H193" s="4" t="s">
        <v>196</v>
      </c>
      <c r="I193" s="4" t="s">
        <v>202</v>
      </c>
      <c r="J193" s="4" t="s">
        <v>196</v>
      </c>
      <c r="K193" s="7">
        <v>77.999921999999998</v>
      </c>
      <c r="L193" s="7">
        <v>164.99983499999999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70.999928999999995</v>
      </c>
      <c r="S193" s="7"/>
      <c r="T193" s="7"/>
      <c r="U193" s="7"/>
      <c r="V193" s="7"/>
      <c r="W193" s="11">
        <f t="shared" si="3"/>
        <v>313.999686</v>
      </c>
    </row>
    <row r="194" spans="1:23" x14ac:dyDescent="0.2">
      <c r="A194" s="4" t="s">
        <v>570</v>
      </c>
      <c r="B194" s="4" t="s">
        <v>585</v>
      </c>
      <c r="C194" s="4" t="s">
        <v>10</v>
      </c>
      <c r="D194" s="4" t="s">
        <v>28</v>
      </c>
      <c r="E194" s="4" t="s">
        <v>29</v>
      </c>
      <c r="F194" s="4" t="s">
        <v>911</v>
      </c>
      <c r="G194" s="4" t="s">
        <v>913</v>
      </c>
      <c r="H194" s="4" t="s">
        <v>196</v>
      </c>
      <c r="I194" s="4" t="s">
        <v>202</v>
      </c>
      <c r="J194" s="4" t="s">
        <v>196</v>
      </c>
      <c r="K194" s="7">
        <v>0</v>
      </c>
      <c r="L194" s="7">
        <v>164.99983499999999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70.999928999999995</v>
      </c>
      <c r="S194" s="7"/>
      <c r="T194" s="7"/>
      <c r="U194" s="7"/>
      <c r="V194" s="7"/>
      <c r="W194" s="11">
        <f t="shared" si="3"/>
        <v>235.99976399999997</v>
      </c>
    </row>
    <row r="195" spans="1:23" x14ac:dyDescent="0.2">
      <c r="A195" s="4" t="s">
        <v>570</v>
      </c>
      <c r="B195" s="4" t="s">
        <v>585</v>
      </c>
      <c r="C195" s="4" t="s">
        <v>10</v>
      </c>
      <c r="D195" s="4" t="s">
        <v>28</v>
      </c>
      <c r="E195" s="4" t="s">
        <v>29</v>
      </c>
      <c r="F195" s="4" t="s">
        <v>911</v>
      </c>
      <c r="G195" s="4" t="s">
        <v>914</v>
      </c>
      <c r="H195" s="4" t="s">
        <v>196</v>
      </c>
      <c r="I195" s="4" t="s">
        <v>202</v>
      </c>
      <c r="J195" s="4" t="s">
        <v>196</v>
      </c>
      <c r="K195" s="7">
        <v>0</v>
      </c>
      <c r="L195" s="7">
        <v>164.99983499999999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70.999928999999995</v>
      </c>
      <c r="S195" s="7"/>
      <c r="T195" s="7"/>
      <c r="U195" s="7"/>
      <c r="V195" s="7"/>
      <c r="W195" s="11">
        <f t="shared" si="3"/>
        <v>235.99976399999997</v>
      </c>
    </row>
    <row r="196" spans="1:23" x14ac:dyDescent="0.2">
      <c r="A196" s="4" t="s">
        <v>570</v>
      </c>
      <c r="B196" s="4" t="s">
        <v>585</v>
      </c>
      <c r="C196" s="4" t="s">
        <v>10</v>
      </c>
      <c r="D196" s="4" t="s">
        <v>28</v>
      </c>
      <c r="E196" s="4" t="s">
        <v>29</v>
      </c>
      <c r="F196" s="4" t="s">
        <v>225</v>
      </c>
      <c r="G196" s="4" t="s">
        <v>226</v>
      </c>
      <c r="H196" s="4" t="s">
        <v>196</v>
      </c>
      <c r="I196" s="4" t="s">
        <v>197</v>
      </c>
      <c r="J196" s="4" t="s">
        <v>198</v>
      </c>
      <c r="K196" s="7">
        <v>446.20499999999998</v>
      </c>
      <c r="L196" s="7">
        <v>497.42500000000001</v>
      </c>
      <c r="M196" s="7">
        <v>0</v>
      </c>
      <c r="N196" s="7">
        <v>257.08499999999998</v>
      </c>
      <c r="O196" s="7">
        <v>89.635000000000005</v>
      </c>
      <c r="P196" s="7">
        <v>316.185</v>
      </c>
      <c r="Q196" s="7">
        <v>0</v>
      </c>
      <c r="R196" s="7">
        <v>196.01499999999999</v>
      </c>
      <c r="S196" s="7"/>
      <c r="T196" s="7"/>
      <c r="U196" s="7"/>
      <c r="V196" s="7"/>
      <c r="W196" s="11">
        <f t="shared" si="3"/>
        <v>1802.5499999999997</v>
      </c>
    </row>
    <row r="197" spans="1:23" x14ac:dyDescent="0.2">
      <c r="A197" s="4" t="s">
        <v>570</v>
      </c>
      <c r="B197" s="4" t="s">
        <v>585</v>
      </c>
      <c r="C197" s="4" t="s">
        <v>10</v>
      </c>
      <c r="D197" s="4" t="s">
        <v>28</v>
      </c>
      <c r="E197" s="4" t="s">
        <v>29</v>
      </c>
      <c r="F197" s="4" t="s">
        <v>597</v>
      </c>
      <c r="G197" s="4" t="s">
        <v>227</v>
      </c>
      <c r="H197" s="4" t="s">
        <v>46</v>
      </c>
      <c r="I197" s="4" t="s">
        <v>52</v>
      </c>
      <c r="J197" s="4" t="s">
        <v>53</v>
      </c>
      <c r="K197" s="7">
        <v>30239.46</v>
      </c>
      <c r="L197" s="7">
        <v>32815.657500000001</v>
      </c>
      <c r="M197" s="7">
        <v>30412.2</v>
      </c>
      <c r="N197" s="7">
        <v>30425.4925</v>
      </c>
      <c r="O197" s="7">
        <v>41796.720000000001</v>
      </c>
      <c r="P197" s="7">
        <v>54588.95</v>
      </c>
      <c r="Q197" s="7">
        <v>48794.525000000001</v>
      </c>
      <c r="R197" s="7">
        <v>40077.397499999999</v>
      </c>
      <c r="S197" s="7"/>
      <c r="T197" s="7"/>
      <c r="U197" s="7"/>
      <c r="V197" s="7"/>
      <c r="W197" s="11">
        <f t="shared" si="3"/>
        <v>309150.40250000003</v>
      </c>
    </row>
    <row r="198" spans="1:23" x14ac:dyDescent="0.2">
      <c r="A198" s="4" t="s">
        <v>570</v>
      </c>
      <c r="B198" s="4" t="s">
        <v>585</v>
      </c>
      <c r="C198" s="4" t="s">
        <v>10</v>
      </c>
      <c r="D198" s="4" t="s">
        <v>28</v>
      </c>
      <c r="E198" s="4" t="s">
        <v>29</v>
      </c>
      <c r="F198" s="4" t="s">
        <v>228</v>
      </c>
      <c r="G198" s="4" t="s">
        <v>229</v>
      </c>
      <c r="H198" s="4" t="s">
        <v>73</v>
      </c>
      <c r="I198" s="4" t="s">
        <v>230</v>
      </c>
      <c r="J198" s="4" t="s">
        <v>231</v>
      </c>
      <c r="K198" s="7">
        <v>534.85500000000002</v>
      </c>
      <c r="L198" s="7">
        <v>1252.92</v>
      </c>
      <c r="M198" s="7">
        <v>2245.8000000000002</v>
      </c>
      <c r="N198" s="7">
        <v>2047.8150000000001</v>
      </c>
      <c r="O198" s="7">
        <v>1506.0650000000001</v>
      </c>
      <c r="P198" s="7">
        <v>624.49</v>
      </c>
      <c r="Q198" s="7">
        <v>713.14</v>
      </c>
      <c r="R198" s="7">
        <v>1523.7950000000001</v>
      </c>
      <c r="S198" s="7"/>
      <c r="T198" s="7"/>
      <c r="U198" s="7"/>
      <c r="V198" s="7"/>
      <c r="W198" s="11">
        <f t="shared" si="3"/>
        <v>10448.879999999999</v>
      </c>
    </row>
    <row r="199" spans="1:23" x14ac:dyDescent="0.2">
      <c r="A199" s="4" t="s">
        <v>570</v>
      </c>
      <c r="B199" s="4" t="s">
        <v>585</v>
      </c>
      <c r="C199" s="4" t="s">
        <v>10</v>
      </c>
      <c r="D199" s="4" t="s">
        <v>28</v>
      </c>
      <c r="E199" s="4" t="s">
        <v>29</v>
      </c>
      <c r="F199" s="4" t="s">
        <v>232</v>
      </c>
      <c r="G199" s="4" t="s">
        <v>233</v>
      </c>
      <c r="H199" s="4" t="s">
        <v>104</v>
      </c>
      <c r="I199" s="4" t="s">
        <v>221</v>
      </c>
      <c r="J199" s="4" t="s">
        <v>222</v>
      </c>
      <c r="K199" s="7">
        <v>1012.070288</v>
      </c>
      <c r="L199" s="7">
        <v>0</v>
      </c>
      <c r="M199" s="7">
        <v>0</v>
      </c>
      <c r="N199" s="7">
        <v>0</v>
      </c>
      <c r="O199" s="7">
        <v>1173.2156399999999</v>
      </c>
      <c r="P199" s="7">
        <v>718.40863200000001</v>
      </c>
      <c r="Q199" s="7">
        <v>952.66998000000001</v>
      </c>
      <c r="R199" s="7">
        <v>982.35</v>
      </c>
      <c r="S199" s="7"/>
      <c r="T199" s="7"/>
      <c r="U199" s="7"/>
      <c r="V199" s="7"/>
      <c r="W199" s="11">
        <f t="shared" si="3"/>
        <v>4838.7145399999999</v>
      </c>
    </row>
    <row r="200" spans="1:23" x14ac:dyDescent="0.2">
      <c r="A200" s="4" t="s">
        <v>570</v>
      </c>
      <c r="B200" s="4" t="s">
        <v>585</v>
      </c>
      <c r="C200" s="4" t="s">
        <v>10</v>
      </c>
      <c r="D200" s="4" t="s">
        <v>28</v>
      </c>
      <c r="E200" s="4" t="s">
        <v>29</v>
      </c>
      <c r="F200" s="4" t="s">
        <v>428</v>
      </c>
      <c r="G200" s="4" t="s">
        <v>429</v>
      </c>
      <c r="H200" s="4" t="s">
        <v>196</v>
      </c>
      <c r="I200" s="4" t="s">
        <v>202</v>
      </c>
      <c r="J200" s="4" t="s">
        <v>205</v>
      </c>
      <c r="K200" s="7">
        <v>1086.82</v>
      </c>
      <c r="L200" s="7">
        <v>2931.18</v>
      </c>
      <c r="M200" s="7">
        <v>2614.64</v>
      </c>
      <c r="N200" s="7">
        <v>841.82</v>
      </c>
      <c r="O200" s="7">
        <v>2551.92</v>
      </c>
      <c r="P200" s="7">
        <v>1112.3</v>
      </c>
      <c r="Q200" s="7">
        <v>683.06</v>
      </c>
      <c r="R200" s="7">
        <v>646.79999999999995</v>
      </c>
      <c r="S200" s="7"/>
      <c r="T200" s="7"/>
      <c r="U200" s="7"/>
      <c r="V200" s="7"/>
      <c r="W200" s="11">
        <f t="shared" si="3"/>
        <v>12468.539999999997</v>
      </c>
    </row>
    <row r="201" spans="1:23" x14ac:dyDescent="0.2">
      <c r="A201" s="4" t="s">
        <v>570</v>
      </c>
      <c r="B201" s="4" t="s">
        <v>585</v>
      </c>
      <c r="C201" s="4" t="s">
        <v>10</v>
      </c>
      <c r="D201" s="4" t="s">
        <v>28</v>
      </c>
      <c r="E201" s="4" t="s">
        <v>29</v>
      </c>
      <c r="F201" s="4" t="s">
        <v>234</v>
      </c>
      <c r="G201" s="4" t="s">
        <v>235</v>
      </c>
      <c r="H201" s="4" t="s">
        <v>196</v>
      </c>
      <c r="I201" s="4" t="s">
        <v>202</v>
      </c>
      <c r="J201" s="4" t="s">
        <v>205</v>
      </c>
      <c r="K201" s="7">
        <v>1534.4639999999999</v>
      </c>
      <c r="L201" s="7">
        <v>1693.9998306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/>
      <c r="T201" s="7"/>
      <c r="U201" s="7"/>
      <c r="V201" s="7"/>
      <c r="W201" s="11">
        <f t="shared" si="3"/>
        <v>3228.4638305999997</v>
      </c>
    </row>
    <row r="202" spans="1:23" x14ac:dyDescent="0.2">
      <c r="A202" s="4" t="s">
        <v>570</v>
      </c>
      <c r="B202" s="4" t="s">
        <v>585</v>
      </c>
      <c r="C202" s="4" t="s">
        <v>10</v>
      </c>
      <c r="D202" s="4" t="s">
        <v>28</v>
      </c>
      <c r="E202" s="4" t="s">
        <v>29</v>
      </c>
      <c r="F202" s="4" t="s">
        <v>666</v>
      </c>
      <c r="G202" s="4" t="s">
        <v>667</v>
      </c>
      <c r="H202" s="4" t="s">
        <v>196</v>
      </c>
      <c r="I202" s="4" t="s">
        <v>202</v>
      </c>
      <c r="J202" s="4" t="s">
        <v>205</v>
      </c>
      <c r="K202" s="7">
        <v>296.94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/>
      <c r="T202" s="7"/>
      <c r="U202" s="7"/>
      <c r="V202" s="7"/>
      <c r="W202" s="11">
        <f t="shared" si="3"/>
        <v>296.94</v>
      </c>
    </row>
    <row r="203" spans="1:23" x14ac:dyDescent="0.2">
      <c r="A203" s="4" t="s">
        <v>570</v>
      </c>
      <c r="B203" s="4" t="s">
        <v>585</v>
      </c>
      <c r="C203" s="4" t="s">
        <v>10</v>
      </c>
      <c r="D203" s="4" t="s">
        <v>28</v>
      </c>
      <c r="E203" s="4" t="s">
        <v>29</v>
      </c>
      <c r="F203" s="4" t="s">
        <v>236</v>
      </c>
      <c r="G203" s="4" t="s">
        <v>237</v>
      </c>
      <c r="H203" s="4" t="s">
        <v>104</v>
      </c>
      <c r="I203" s="4" t="s">
        <v>221</v>
      </c>
      <c r="J203" s="4" t="s">
        <v>222</v>
      </c>
      <c r="K203" s="7">
        <v>1145.0154</v>
      </c>
      <c r="L203" s="7">
        <v>1244.8235999999999</v>
      </c>
      <c r="M203" s="7">
        <v>1140.6087</v>
      </c>
      <c r="N203" s="7">
        <v>1152.3499999999999</v>
      </c>
      <c r="O203" s="7">
        <v>1167.2451000000001</v>
      </c>
      <c r="P203" s="7">
        <v>1552.2367999999999</v>
      </c>
      <c r="Q203" s="7">
        <v>1529.3819000000001</v>
      </c>
      <c r="R203" s="7">
        <v>1645.6617000000001</v>
      </c>
      <c r="S203" s="7"/>
      <c r="T203" s="7"/>
      <c r="U203" s="7"/>
      <c r="V203" s="7"/>
      <c r="W203" s="11">
        <f t="shared" si="3"/>
        <v>10577.323199999999</v>
      </c>
    </row>
    <row r="204" spans="1:23" x14ac:dyDescent="0.2">
      <c r="A204" s="4" t="s">
        <v>570</v>
      </c>
      <c r="B204" s="4" t="s">
        <v>585</v>
      </c>
      <c r="C204" s="4" t="s">
        <v>10</v>
      </c>
      <c r="D204" s="4" t="s">
        <v>28</v>
      </c>
      <c r="E204" s="4" t="s">
        <v>29</v>
      </c>
      <c r="F204" s="4" t="s">
        <v>238</v>
      </c>
      <c r="G204" s="4" t="s">
        <v>239</v>
      </c>
      <c r="H204" s="4" t="s">
        <v>104</v>
      </c>
      <c r="I204" s="4" t="s">
        <v>221</v>
      </c>
      <c r="J204" s="4" t="s">
        <v>222</v>
      </c>
      <c r="K204" s="7">
        <v>282.75940000000003</v>
      </c>
      <c r="L204" s="7">
        <v>255.4624</v>
      </c>
      <c r="M204" s="7">
        <v>287.45639999999997</v>
      </c>
      <c r="N204" s="7">
        <v>299.66860000000003</v>
      </c>
      <c r="O204" s="7">
        <v>306.14659999999998</v>
      </c>
      <c r="P204" s="7">
        <v>0</v>
      </c>
      <c r="Q204" s="7">
        <v>0</v>
      </c>
      <c r="R204" s="7">
        <v>0</v>
      </c>
      <c r="S204" s="7"/>
      <c r="T204" s="7"/>
      <c r="U204" s="7"/>
      <c r="V204" s="7"/>
      <c r="W204" s="11">
        <f t="shared" si="3"/>
        <v>1431.4934000000001</v>
      </c>
    </row>
    <row r="205" spans="1:23" x14ac:dyDescent="0.2">
      <c r="A205" s="4" t="s">
        <v>570</v>
      </c>
      <c r="B205" s="4" t="s">
        <v>585</v>
      </c>
      <c r="C205" s="4" t="s">
        <v>10</v>
      </c>
      <c r="D205" s="4" t="s">
        <v>28</v>
      </c>
      <c r="E205" s="4" t="s">
        <v>29</v>
      </c>
      <c r="F205" s="4" t="s">
        <v>238</v>
      </c>
      <c r="G205" s="4" t="s">
        <v>240</v>
      </c>
      <c r="H205" s="4" t="s">
        <v>104</v>
      </c>
      <c r="I205" s="4" t="s">
        <v>221</v>
      </c>
      <c r="J205" s="4" t="s">
        <v>222</v>
      </c>
      <c r="K205" s="7">
        <v>2302.1588000000002</v>
      </c>
      <c r="L205" s="7">
        <v>2895.2248</v>
      </c>
      <c r="M205" s="7">
        <v>3218.0423999999998</v>
      </c>
      <c r="N205" s="7">
        <v>3167.2820000000002</v>
      </c>
      <c r="O205" s="7">
        <v>3207.4205999999999</v>
      </c>
      <c r="P205" s="7">
        <v>0</v>
      </c>
      <c r="Q205" s="7">
        <v>0</v>
      </c>
      <c r="R205" s="7">
        <v>0</v>
      </c>
      <c r="S205" s="7"/>
      <c r="T205" s="7"/>
      <c r="U205" s="7"/>
      <c r="V205" s="7"/>
      <c r="W205" s="11">
        <f t="shared" si="3"/>
        <v>14790.128599999998</v>
      </c>
    </row>
    <row r="206" spans="1:23" x14ac:dyDescent="0.2">
      <c r="A206" s="4" t="s">
        <v>570</v>
      </c>
      <c r="B206" s="4" t="s">
        <v>585</v>
      </c>
      <c r="C206" s="4" t="s">
        <v>10</v>
      </c>
      <c r="D206" s="4" t="s">
        <v>28</v>
      </c>
      <c r="E206" s="4" t="s">
        <v>29</v>
      </c>
      <c r="F206" s="4" t="s">
        <v>430</v>
      </c>
      <c r="G206" s="4" t="s">
        <v>240</v>
      </c>
      <c r="H206" s="4" t="s">
        <v>104</v>
      </c>
      <c r="I206" s="4" t="s">
        <v>221</v>
      </c>
      <c r="J206" s="4" t="s">
        <v>222</v>
      </c>
      <c r="K206" s="7">
        <v>1596.1938</v>
      </c>
      <c r="L206" s="7">
        <v>2099.4614000000001</v>
      </c>
      <c r="M206" s="7">
        <v>2147.1165999999998</v>
      </c>
      <c r="N206" s="7">
        <v>2048.3004000000001</v>
      </c>
      <c r="O206" s="7">
        <v>2073.6612</v>
      </c>
      <c r="P206" s="7">
        <v>1974.3142</v>
      </c>
      <c r="Q206" s="7">
        <v>1998.1332</v>
      </c>
      <c r="R206" s="7">
        <v>1958.6436000000001</v>
      </c>
      <c r="S206" s="7"/>
      <c r="T206" s="7"/>
      <c r="U206" s="7"/>
      <c r="V206" s="7"/>
      <c r="W206" s="11">
        <f t="shared" si="3"/>
        <v>15895.824400000001</v>
      </c>
    </row>
    <row r="207" spans="1:23" x14ac:dyDescent="0.2">
      <c r="A207" s="4" t="s">
        <v>570</v>
      </c>
      <c r="B207" s="4" t="s">
        <v>585</v>
      </c>
      <c r="C207" s="4" t="s">
        <v>10</v>
      </c>
      <c r="D207" s="4" t="s">
        <v>28</v>
      </c>
      <c r="E207" s="4" t="s">
        <v>29</v>
      </c>
      <c r="F207" s="4" t="s">
        <v>241</v>
      </c>
      <c r="G207" s="4" t="s">
        <v>240</v>
      </c>
      <c r="H207" s="4" t="s">
        <v>104</v>
      </c>
      <c r="I207" s="4" t="s">
        <v>221</v>
      </c>
      <c r="J207" s="4" t="s">
        <v>222</v>
      </c>
      <c r="K207" s="7">
        <v>2952.7721999999999</v>
      </c>
      <c r="L207" s="7">
        <v>2768.8206</v>
      </c>
      <c r="M207" s="7">
        <v>2732.1712000000002</v>
      </c>
      <c r="N207" s="7">
        <v>2765.8375999999998</v>
      </c>
      <c r="O207" s="7">
        <v>2352.1316000000002</v>
      </c>
      <c r="P207" s="7">
        <v>2362.9555999999998</v>
      </c>
      <c r="Q207" s="7">
        <v>2325.4648000000002</v>
      </c>
      <c r="R207" s="7">
        <v>2097.2249999999999</v>
      </c>
      <c r="S207" s="7"/>
      <c r="T207" s="7"/>
      <c r="U207" s="7"/>
      <c r="V207" s="7"/>
      <c r="W207" s="11">
        <f t="shared" si="3"/>
        <v>20357.3786</v>
      </c>
    </row>
    <row r="208" spans="1:23" x14ac:dyDescent="0.2">
      <c r="A208" s="4" t="s">
        <v>570</v>
      </c>
      <c r="B208" s="4" t="s">
        <v>585</v>
      </c>
      <c r="C208" s="4" t="s">
        <v>10</v>
      </c>
      <c r="D208" s="4" t="s">
        <v>28</v>
      </c>
      <c r="E208" s="4" t="s">
        <v>29</v>
      </c>
      <c r="F208" s="4" t="s">
        <v>242</v>
      </c>
      <c r="G208" s="4" t="s">
        <v>243</v>
      </c>
      <c r="H208" s="4" t="s">
        <v>104</v>
      </c>
      <c r="I208" s="4" t="s">
        <v>221</v>
      </c>
      <c r="J208" s="4" t="s">
        <v>222</v>
      </c>
      <c r="K208" s="7">
        <v>6005.11</v>
      </c>
      <c r="L208" s="7">
        <v>4250.1000000000004</v>
      </c>
      <c r="M208" s="7">
        <v>4690.5483000000004</v>
      </c>
      <c r="N208" s="7">
        <v>4046.62</v>
      </c>
      <c r="O208" s="7">
        <v>3603.9920000000002</v>
      </c>
      <c r="P208" s="7">
        <v>4205.9750000000004</v>
      </c>
      <c r="Q208" s="7">
        <v>4617.0360000000001</v>
      </c>
      <c r="R208" s="7">
        <v>5092.0739999999996</v>
      </c>
      <c r="S208" s="7"/>
      <c r="T208" s="7"/>
      <c r="U208" s="7"/>
      <c r="V208" s="7"/>
      <c r="W208" s="11">
        <f t="shared" si="3"/>
        <v>36511.455300000001</v>
      </c>
    </row>
    <row r="209" spans="1:23" x14ac:dyDescent="0.2">
      <c r="A209" s="4" t="s">
        <v>570</v>
      </c>
      <c r="B209" s="4" t="s">
        <v>585</v>
      </c>
      <c r="C209" s="4" t="s">
        <v>10</v>
      </c>
      <c r="D209" s="4" t="s">
        <v>28</v>
      </c>
      <c r="E209" s="4" t="s">
        <v>29</v>
      </c>
      <c r="F209" s="4" t="s">
        <v>244</v>
      </c>
      <c r="G209" s="4" t="s">
        <v>245</v>
      </c>
      <c r="H209" s="4" t="s">
        <v>104</v>
      </c>
      <c r="I209" s="4" t="s">
        <v>221</v>
      </c>
      <c r="J209" s="4" t="s">
        <v>222</v>
      </c>
      <c r="K209" s="7">
        <v>2779.6320000000001</v>
      </c>
      <c r="L209" s="7">
        <v>3275.0608000000002</v>
      </c>
      <c r="M209" s="7">
        <v>2303.0832</v>
      </c>
      <c r="N209" s="7">
        <v>2842.2415999999998</v>
      </c>
      <c r="O209" s="7">
        <v>2837.6711</v>
      </c>
      <c r="P209" s="7">
        <v>2522.7024000000001</v>
      </c>
      <c r="Q209" s="7">
        <v>2474.7184000000002</v>
      </c>
      <c r="R209" s="7">
        <v>2810.41</v>
      </c>
      <c r="S209" s="7"/>
      <c r="T209" s="7"/>
      <c r="U209" s="7"/>
      <c r="V209" s="7"/>
      <c r="W209" s="11">
        <f t="shared" si="3"/>
        <v>21845.519500000002</v>
      </c>
    </row>
    <row r="210" spans="1:23" x14ac:dyDescent="0.2">
      <c r="A210" s="4" t="s">
        <v>570</v>
      </c>
      <c r="B210" s="4" t="s">
        <v>585</v>
      </c>
      <c r="C210" s="4" t="s">
        <v>10</v>
      </c>
      <c r="D210" s="4" t="s">
        <v>28</v>
      </c>
      <c r="E210" s="4" t="s">
        <v>29</v>
      </c>
      <c r="F210" s="4" t="s">
        <v>246</v>
      </c>
      <c r="G210" s="4" t="s">
        <v>245</v>
      </c>
      <c r="H210" s="4" t="s">
        <v>104</v>
      </c>
      <c r="I210" s="4" t="s">
        <v>221</v>
      </c>
      <c r="J210" s="4" t="s">
        <v>222</v>
      </c>
      <c r="K210" s="7">
        <v>1504.5340000000001</v>
      </c>
      <c r="L210" s="7">
        <v>1780.0719999999999</v>
      </c>
      <c r="M210" s="7">
        <v>2378.1194999999998</v>
      </c>
      <c r="N210" s="7">
        <v>2433.1691999999998</v>
      </c>
      <c r="O210" s="7">
        <v>2122.5212000000001</v>
      </c>
      <c r="P210" s="7">
        <v>2857.5655000000002</v>
      </c>
      <c r="Q210" s="7">
        <v>2548.5691999999999</v>
      </c>
      <c r="R210" s="7">
        <v>2290.1208000000001</v>
      </c>
      <c r="S210" s="7"/>
      <c r="T210" s="7"/>
      <c r="U210" s="7"/>
      <c r="V210" s="7"/>
      <c r="W210" s="11">
        <f t="shared" si="3"/>
        <v>17914.671399999999</v>
      </c>
    </row>
    <row r="211" spans="1:23" x14ac:dyDescent="0.2">
      <c r="A211" s="4" t="s">
        <v>570</v>
      </c>
      <c r="B211" s="4" t="s">
        <v>585</v>
      </c>
      <c r="C211" s="4" t="s">
        <v>10</v>
      </c>
      <c r="D211" s="4" t="s">
        <v>28</v>
      </c>
      <c r="E211" s="4" t="s">
        <v>29</v>
      </c>
      <c r="F211" s="4" t="s">
        <v>247</v>
      </c>
      <c r="G211" s="4" t="s">
        <v>248</v>
      </c>
      <c r="H211" s="4" t="s">
        <v>104</v>
      </c>
      <c r="I211" s="4" t="s">
        <v>221</v>
      </c>
      <c r="J211" s="4" t="s">
        <v>222</v>
      </c>
      <c r="K211" s="7">
        <v>4588.3296</v>
      </c>
      <c r="L211" s="7">
        <v>5088.9601549999998</v>
      </c>
      <c r="M211" s="7">
        <v>5564.3611639999999</v>
      </c>
      <c r="N211" s="7">
        <v>5505.5866079999996</v>
      </c>
      <c r="O211" s="7">
        <v>4421.8239999999996</v>
      </c>
      <c r="P211" s="7">
        <v>4681.9340000000002</v>
      </c>
      <c r="Q211" s="7">
        <v>4378.6260000000002</v>
      </c>
      <c r="R211" s="7">
        <v>4704.4660869999998</v>
      </c>
      <c r="S211" s="7"/>
      <c r="T211" s="7"/>
      <c r="U211" s="7"/>
      <c r="V211" s="7"/>
      <c r="W211" s="11">
        <f t="shared" si="3"/>
        <v>38934.087613999996</v>
      </c>
    </row>
    <row r="212" spans="1:23" x14ac:dyDescent="0.2">
      <c r="A212" s="4" t="s">
        <v>570</v>
      </c>
      <c r="B212" s="4" t="s">
        <v>585</v>
      </c>
      <c r="C212" s="4" t="s">
        <v>10</v>
      </c>
      <c r="D212" s="4" t="s">
        <v>28</v>
      </c>
      <c r="E212" s="4" t="s">
        <v>29</v>
      </c>
      <c r="F212" s="4" t="s">
        <v>249</v>
      </c>
      <c r="G212" s="4" t="s">
        <v>240</v>
      </c>
      <c r="H212" s="4" t="s">
        <v>104</v>
      </c>
      <c r="I212" s="4" t="s">
        <v>221</v>
      </c>
      <c r="J212" s="4" t="s">
        <v>222</v>
      </c>
      <c r="K212" s="7">
        <v>1359.4392</v>
      </c>
      <c r="L212" s="7">
        <v>2504.8035</v>
      </c>
      <c r="M212" s="7">
        <v>3011.8242</v>
      </c>
      <c r="N212" s="7">
        <v>2221.027</v>
      </c>
      <c r="O212" s="7">
        <v>2072.7849999999999</v>
      </c>
      <c r="P212" s="7">
        <v>2690.6736000000001</v>
      </c>
      <c r="Q212" s="7">
        <v>3772.2791440000001</v>
      </c>
      <c r="R212" s="7">
        <v>2429.8735999999999</v>
      </c>
      <c r="S212" s="7"/>
      <c r="T212" s="7"/>
      <c r="U212" s="7"/>
      <c r="V212" s="7"/>
      <c r="W212" s="11">
        <f t="shared" si="3"/>
        <v>20062.705243999997</v>
      </c>
    </row>
    <row r="213" spans="1:23" x14ac:dyDescent="0.2">
      <c r="A213" s="4" t="s">
        <v>570</v>
      </c>
      <c r="B213" s="4" t="s">
        <v>585</v>
      </c>
      <c r="C213" s="4" t="s">
        <v>10</v>
      </c>
      <c r="D213" s="4" t="s">
        <v>28</v>
      </c>
      <c r="E213" s="4" t="s">
        <v>29</v>
      </c>
      <c r="F213" s="4" t="s">
        <v>432</v>
      </c>
      <c r="G213" s="4" t="s">
        <v>257</v>
      </c>
      <c r="H213" s="4" t="s">
        <v>104</v>
      </c>
      <c r="I213" s="4" t="s">
        <v>221</v>
      </c>
      <c r="J213" s="4" t="s">
        <v>222</v>
      </c>
      <c r="K213" s="7">
        <v>3571.1412</v>
      </c>
      <c r="L213" s="7">
        <v>3151.6858000000002</v>
      </c>
      <c r="M213" s="7">
        <v>3936.8638999999998</v>
      </c>
      <c r="N213" s="7">
        <v>3446.3712</v>
      </c>
      <c r="O213" s="7">
        <v>3731.6</v>
      </c>
      <c r="P213" s="7">
        <v>3971.5174999999999</v>
      </c>
      <c r="Q213" s="7">
        <v>4077.8440000000001</v>
      </c>
      <c r="R213" s="7">
        <v>4062.5880000000002</v>
      </c>
      <c r="S213" s="7"/>
      <c r="T213" s="7"/>
      <c r="U213" s="7"/>
      <c r="V213" s="7"/>
      <c r="W213" s="11">
        <f t="shared" si="3"/>
        <v>29949.611599999997</v>
      </c>
    </row>
    <row r="214" spans="1:23" x14ac:dyDescent="0.2">
      <c r="A214" s="4" t="s">
        <v>570</v>
      </c>
      <c r="B214" s="4" t="s">
        <v>585</v>
      </c>
      <c r="C214" s="4" t="s">
        <v>10</v>
      </c>
      <c r="D214" s="4" t="s">
        <v>28</v>
      </c>
      <c r="E214" s="4" t="s">
        <v>29</v>
      </c>
      <c r="F214" s="4" t="s">
        <v>250</v>
      </c>
      <c r="G214" s="4" t="s">
        <v>251</v>
      </c>
      <c r="H214" s="4" t="s">
        <v>104</v>
      </c>
      <c r="I214" s="4" t="s">
        <v>192</v>
      </c>
      <c r="J214" s="4" t="s">
        <v>252</v>
      </c>
      <c r="K214" s="7">
        <v>155.53200000000001</v>
      </c>
      <c r="L214" s="7">
        <v>1936.174</v>
      </c>
      <c r="M214" s="7">
        <v>1096.7</v>
      </c>
      <c r="N214" s="7">
        <v>2075.7539999999999</v>
      </c>
      <c r="O214" s="7">
        <v>144.565</v>
      </c>
      <c r="P214" s="7">
        <v>1459.6079999999999</v>
      </c>
      <c r="Q214" s="7">
        <v>1257.2170000000001</v>
      </c>
      <c r="R214" s="7">
        <v>2360.8960000000002</v>
      </c>
      <c r="S214" s="7"/>
      <c r="T214" s="7"/>
      <c r="U214" s="7"/>
      <c r="V214" s="7"/>
      <c r="W214" s="11">
        <f t="shared" si="3"/>
        <v>10486.446</v>
      </c>
    </row>
    <row r="215" spans="1:23" x14ac:dyDescent="0.2">
      <c r="A215" s="4" t="s">
        <v>570</v>
      </c>
      <c r="B215" s="4" t="s">
        <v>585</v>
      </c>
      <c r="C215" s="4" t="s">
        <v>10</v>
      </c>
      <c r="D215" s="4" t="s">
        <v>28</v>
      </c>
      <c r="E215" s="4" t="s">
        <v>29</v>
      </c>
      <c r="F215" s="4" t="s">
        <v>250</v>
      </c>
      <c r="G215" s="4" t="s">
        <v>253</v>
      </c>
      <c r="H215" s="4" t="s">
        <v>104</v>
      </c>
      <c r="I215" s="4" t="s">
        <v>192</v>
      </c>
      <c r="J215" s="4" t="s">
        <v>254</v>
      </c>
      <c r="K215" s="7">
        <v>1985.027</v>
      </c>
      <c r="L215" s="7">
        <v>157.52600000000001</v>
      </c>
      <c r="M215" s="7">
        <v>9850.36</v>
      </c>
      <c r="N215" s="7">
        <v>2002.973</v>
      </c>
      <c r="O215" s="7">
        <v>155.19999999999999</v>
      </c>
      <c r="P215" s="7">
        <v>2274.1570000000002</v>
      </c>
      <c r="Q215" s="7">
        <v>2254.2170000000001</v>
      </c>
      <c r="R215" s="7">
        <v>1679.9449999999999</v>
      </c>
      <c r="S215" s="7"/>
      <c r="T215" s="7"/>
      <c r="U215" s="7"/>
      <c r="V215" s="7"/>
      <c r="W215" s="11">
        <f t="shared" si="3"/>
        <v>20359.405000000002</v>
      </c>
    </row>
    <row r="216" spans="1:23" x14ac:dyDescent="0.2">
      <c r="A216" s="4" t="s">
        <v>570</v>
      </c>
      <c r="B216" s="4" t="s">
        <v>585</v>
      </c>
      <c r="C216" s="4" t="s">
        <v>10</v>
      </c>
      <c r="D216" s="4" t="s">
        <v>28</v>
      </c>
      <c r="E216" s="4" t="s">
        <v>29</v>
      </c>
      <c r="F216" s="4" t="s">
        <v>250</v>
      </c>
      <c r="G216" s="4" t="s">
        <v>255</v>
      </c>
      <c r="H216" s="4" t="s">
        <v>104</v>
      </c>
      <c r="I216" s="4" t="s">
        <v>192</v>
      </c>
      <c r="J216" s="4" t="s">
        <v>252</v>
      </c>
      <c r="K216" s="7">
        <v>194.41499999999999</v>
      </c>
      <c r="L216" s="7">
        <v>2019.922</v>
      </c>
      <c r="M216" s="7">
        <v>159.52000000000001</v>
      </c>
      <c r="N216" s="7">
        <v>149.55000000000001</v>
      </c>
      <c r="O216" s="7">
        <v>145.5</v>
      </c>
      <c r="P216" s="7">
        <v>1283.1389999999999</v>
      </c>
      <c r="Q216" s="7">
        <v>1434.683</v>
      </c>
      <c r="R216" s="7">
        <v>1882.336</v>
      </c>
      <c r="S216" s="7"/>
      <c r="T216" s="7"/>
      <c r="U216" s="7"/>
      <c r="V216" s="7"/>
      <c r="W216" s="11">
        <f t="shared" si="3"/>
        <v>7269.0650000000005</v>
      </c>
    </row>
    <row r="217" spans="1:23" x14ac:dyDescent="0.2">
      <c r="A217" s="4" t="s">
        <v>570</v>
      </c>
      <c r="B217" s="4" t="s">
        <v>585</v>
      </c>
      <c r="C217" s="4" t="s">
        <v>10</v>
      </c>
      <c r="D217" s="4" t="s">
        <v>28</v>
      </c>
      <c r="E217" s="4" t="s">
        <v>29</v>
      </c>
      <c r="F217" s="4" t="s">
        <v>256</v>
      </c>
      <c r="G217" s="4" t="s">
        <v>257</v>
      </c>
      <c r="H217" s="4" t="s">
        <v>104</v>
      </c>
      <c r="I217" s="4" t="s">
        <v>221</v>
      </c>
      <c r="J217" s="4" t="s">
        <v>222</v>
      </c>
      <c r="K217" s="7">
        <v>2225.3771999999999</v>
      </c>
      <c r="L217" s="7">
        <v>1978.808</v>
      </c>
      <c r="M217" s="7">
        <v>2088.1605</v>
      </c>
      <c r="N217" s="7">
        <v>1995.336</v>
      </c>
      <c r="O217" s="7">
        <v>1952.307</v>
      </c>
      <c r="P217" s="7">
        <v>2139.6284999999998</v>
      </c>
      <c r="Q217" s="7">
        <v>2156.1909999999998</v>
      </c>
      <c r="R217" s="7">
        <v>2267.3535999999999</v>
      </c>
      <c r="S217" s="7"/>
      <c r="T217" s="7"/>
      <c r="U217" s="7"/>
      <c r="V217" s="7"/>
      <c r="W217" s="11">
        <f t="shared" si="3"/>
        <v>16803.161799999998</v>
      </c>
    </row>
    <row r="218" spans="1:23" x14ac:dyDescent="0.2">
      <c r="A218" s="4" t="s">
        <v>570</v>
      </c>
      <c r="B218" s="4" t="s">
        <v>585</v>
      </c>
      <c r="C218" s="4" t="s">
        <v>10</v>
      </c>
      <c r="D218" s="4" t="s">
        <v>28</v>
      </c>
      <c r="E218" s="4" t="s">
        <v>29</v>
      </c>
      <c r="F218" s="4" t="s">
        <v>256</v>
      </c>
      <c r="G218" s="4" t="s">
        <v>258</v>
      </c>
      <c r="H218" s="4" t="s">
        <v>104</v>
      </c>
      <c r="I218" s="4" t="s">
        <v>221</v>
      </c>
      <c r="J218" s="4" t="s">
        <v>222</v>
      </c>
      <c r="K218" s="7">
        <v>2080.7094000000002</v>
      </c>
      <c r="L218" s="7">
        <v>1893.4176</v>
      </c>
      <c r="M218" s="7">
        <v>2020.1424</v>
      </c>
      <c r="N218" s="7">
        <v>1898.9423999999999</v>
      </c>
      <c r="O218" s="7">
        <v>1871.8388</v>
      </c>
      <c r="P218" s="7">
        <v>2035.7152000000001</v>
      </c>
      <c r="Q218" s="7">
        <v>2048.9609999999998</v>
      </c>
      <c r="R218" s="7">
        <v>2083.4283999999998</v>
      </c>
      <c r="S218" s="7"/>
      <c r="T218" s="7"/>
      <c r="U218" s="7"/>
      <c r="V218" s="7"/>
      <c r="W218" s="11">
        <f t="shared" si="3"/>
        <v>15933.155200000001</v>
      </c>
    </row>
    <row r="219" spans="1:23" x14ac:dyDescent="0.2">
      <c r="A219" s="4" t="s">
        <v>570</v>
      </c>
      <c r="B219" s="4" t="s">
        <v>585</v>
      </c>
      <c r="C219" s="4" t="s">
        <v>10</v>
      </c>
      <c r="D219" s="4" t="s">
        <v>28</v>
      </c>
      <c r="E219" s="4" t="s">
        <v>29</v>
      </c>
      <c r="F219" s="4" t="s">
        <v>259</v>
      </c>
      <c r="G219" s="4" t="s">
        <v>245</v>
      </c>
      <c r="H219" s="4" t="s">
        <v>104</v>
      </c>
      <c r="I219" s="4" t="s">
        <v>221</v>
      </c>
      <c r="J219" s="4" t="s">
        <v>222</v>
      </c>
      <c r="K219" s="7">
        <v>2897.1042000000002</v>
      </c>
      <c r="L219" s="7">
        <v>3444.8562999999999</v>
      </c>
      <c r="M219" s="7">
        <v>3360.96</v>
      </c>
      <c r="N219" s="7">
        <v>2841.7942800000001</v>
      </c>
      <c r="O219" s="7">
        <v>3184.32</v>
      </c>
      <c r="P219" s="7">
        <v>2204.2570799999999</v>
      </c>
      <c r="Q219" s="7">
        <v>2905.4270999999999</v>
      </c>
      <c r="R219" s="7">
        <v>3339.1511999999998</v>
      </c>
      <c r="S219" s="7"/>
      <c r="T219" s="7"/>
      <c r="U219" s="7"/>
      <c r="V219" s="7"/>
      <c r="W219" s="11">
        <f t="shared" si="3"/>
        <v>24177.870160000002</v>
      </c>
    </row>
    <row r="220" spans="1:23" x14ac:dyDescent="0.2">
      <c r="A220" s="4" t="s">
        <v>570</v>
      </c>
      <c r="B220" s="4" t="s">
        <v>585</v>
      </c>
      <c r="C220" s="4" t="s">
        <v>10</v>
      </c>
      <c r="D220" s="4" t="s">
        <v>28</v>
      </c>
      <c r="E220" s="4" t="s">
        <v>29</v>
      </c>
      <c r="F220" s="4" t="s">
        <v>927</v>
      </c>
      <c r="G220" s="4" t="s">
        <v>928</v>
      </c>
      <c r="H220" s="4" t="s">
        <v>196</v>
      </c>
      <c r="I220" s="4" t="s">
        <v>202</v>
      </c>
      <c r="J220" s="4" t="s">
        <v>205</v>
      </c>
      <c r="K220" s="7">
        <v>515.48400000000004</v>
      </c>
      <c r="L220" s="7">
        <v>407.59199999999998</v>
      </c>
      <c r="M220" s="7">
        <v>1264.7339999999999</v>
      </c>
      <c r="N220" s="7">
        <v>606.39300000000003</v>
      </c>
      <c r="O220" s="7">
        <v>344.65499999999997</v>
      </c>
      <c r="P220" s="7">
        <v>299.7</v>
      </c>
      <c r="Q220" s="7">
        <v>240.75899999999999</v>
      </c>
      <c r="R220" s="7">
        <v>605.39400000000001</v>
      </c>
      <c r="S220" s="7"/>
      <c r="T220" s="7"/>
      <c r="U220" s="7"/>
      <c r="V220" s="7"/>
      <c r="W220" s="11">
        <f t="shared" si="3"/>
        <v>4284.7110000000002</v>
      </c>
    </row>
    <row r="221" spans="1:23" x14ac:dyDescent="0.2">
      <c r="A221" s="4" t="s">
        <v>570</v>
      </c>
      <c r="B221" s="4" t="s">
        <v>585</v>
      </c>
      <c r="C221" s="4" t="s">
        <v>10</v>
      </c>
      <c r="D221" s="4" t="s">
        <v>28</v>
      </c>
      <c r="E221" s="4" t="s">
        <v>29</v>
      </c>
      <c r="F221" s="4" t="s">
        <v>260</v>
      </c>
      <c r="G221" s="4" t="s">
        <v>261</v>
      </c>
      <c r="H221" s="4" t="s">
        <v>196</v>
      </c>
      <c r="I221" s="4" t="s">
        <v>202</v>
      </c>
      <c r="J221" s="4" t="s">
        <v>205</v>
      </c>
      <c r="K221" s="7">
        <v>965.03399999999999</v>
      </c>
      <c r="L221" s="7">
        <v>0</v>
      </c>
      <c r="M221" s="7">
        <v>1314.684</v>
      </c>
      <c r="N221" s="7">
        <v>1698.3</v>
      </c>
      <c r="O221" s="7">
        <v>1056.942</v>
      </c>
      <c r="P221" s="7">
        <v>647.35199999999998</v>
      </c>
      <c r="Q221" s="7">
        <v>0</v>
      </c>
      <c r="R221" s="7">
        <v>1446.5519999999999</v>
      </c>
      <c r="S221" s="7"/>
      <c r="T221" s="7"/>
      <c r="U221" s="7"/>
      <c r="V221" s="7"/>
      <c r="W221" s="11">
        <f t="shared" si="3"/>
        <v>7128.8639999999996</v>
      </c>
    </row>
    <row r="222" spans="1:23" x14ac:dyDescent="0.2">
      <c r="A222" s="4" t="s">
        <v>570</v>
      </c>
      <c r="B222" s="4" t="s">
        <v>585</v>
      </c>
      <c r="C222" s="4" t="s">
        <v>10</v>
      </c>
      <c r="D222" s="4" t="s">
        <v>28</v>
      </c>
      <c r="E222" s="4" t="s">
        <v>29</v>
      </c>
      <c r="F222" s="4" t="s">
        <v>262</v>
      </c>
      <c r="G222" s="4" t="s">
        <v>263</v>
      </c>
      <c r="H222" s="4" t="s">
        <v>196</v>
      </c>
      <c r="I222" s="4" t="s">
        <v>202</v>
      </c>
      <c r="J222" s="4" t="s">
        <v>205</v>
      </c>
      <c r="K222" s="7">
        <v>1056.942</v>
      </c>
      <c r="L222" s="7">
        <v>1045.953</v>
      </c>
      <c r="M222" s="7">
        <v>1068.93</v>
      </c>
      <c r="N222" s="7">
        <v>1027.971</v>
      </c>
      <c r="O222" s="7">
        <v>1048.95</v>
      </c>
      <c r="P222" s="7">
        <v>1041.9570000000001</v>
      </c>
      <c r="Q222" s="7">
        <v>1049.9490000000001</v>
      </c>
      <c r="R222" s="7">
        <v>1061.9369999999999</v>
      </c>
      <c r="S222" s="7"/>
      <c r="T222" s="7"/>
      <c r="U222" s="7"/>
      <c r="V222" s="7"/>
      <c r="W222" s="11">
        <f t="shared" si="3"/>
        <v>8402.5889999999999</v>
      </c>
    </row>
    <row r="223" spans="1:23" x14ac:dyDescent="0.2">
      <c r="A223" s="4" t="s">
        <v>570</v>
      </c>
      <c r="B223" s="4" t="s">
        <v>585</v>
      </c>
      <c r="C223" s="4" t="s">
        <v>10</v>
      </c>
      <c r="D223" s="4" t="s">
        <v>28</v>
      </c>
      <c r="E223" s="4" t="s">
        <v>29</v>
      </c>
      <c r="F223" s="4" t="s">
        <v>264</v>
      </c>
      <c r="G223" s="4" t="s">
        <v>265</v>
      </c>
      <c r="H223" s="4" t="s">
        <v>196</v>
      </c>
      <c r="I223" s="4" t="s">
        <v>202</v>
      </c>
      <c r="J223" s="4" t="s">
        <v>205</v>
      </c>
      <c r="K223" s="7">
        <v>1115.883</v>
      </c>
      <c r="L223" s="7">
        <v>699.3</v>
      </c>
      <c r="M223" s="7">
        <v>1051.9469999999999</v>
      </c>
      <c r="N223" s="7">
        <v>0</v>
      </c>
      <c r="O223" s="7">
        <v>0</v>
      </c>
      <c r="P223" s="7">
        <v>585.41399999999999</v>
      </c>
      <c r="Q223" s="7">
        <v>734.26499999999999</v>
      </c>
      <c r="R223" s="7">
        <v>377.62200000000001</v>
      </c>
      <c r="S223" s="7"/>
      <c r="T223" s="7"/>
      <c r="U223" s="7"/>
      <c r="V223" s="7"/>
      <c r="W223" s="11">
        <f t="shared" si="3"/>
        <v>4564.4310000000005</v>
      </c>
    </row>
    <row r="224" spans="1:23" x14ac:dyDescent="0.2">
      <c r="A224" s="4" t="s">
        <v>570</v>
      </c>
      <c r="B224" s="4" t="s">
        <v>585</v>
      </c>
      <c r="C224" s="4" t="s">
        <v>10</v>
      </c>
      <c r="D224" s="4" t="s">
        <v>28</v>
      </c>
      <c r="E224" s="4" t="s">
        <v>29</v>
      </c>
      <c r="F224" s="4" t="s">
        <v>968</v>
      </c>
      <c r="G224" s="4" t="s">
        <v>969</v>
      </c>
      <c r="H224" s="4" t="s">
        <v>196</v>
      </c>
      <c r="I224" s="4" t="s">
        <v>197</v>
      </c>
      <c r="J224" s="4" t="s">
        <v>216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811.18799999999999</v>
      </c>
      <c r="S224" s="7"/>
      <c r="T224" s="7"/>
      <c r="U224" s="7"/>
      <c r="V224" s="7"/>
      <c r="W224" s="11">
        <f t="shared" si="3"/>
        <v>811.18799999999999</v>
      </c>
    </row>
    <row r="225" spans="1:23" x14ac:dyDescent="0.2">
      <c r="A225" s="4" t="s">
        <v>570</v>
      </c>
      <c r="B225" s="4" t="s">
        <v>585</v>
      </c>
      <c r="C225" s="4" t="s">
        <v>10</v>
      </c>
      <c r="D225" s="4" t="s">
        <v>28</v>
      </c>
      <c r="E225" s="4" t="s">
        <v>29</v>
      </c>
      <c r="F225" s="4" t="s">
        <v>266</v>
      </c>
      <c r="G225" s="4" t="s">
        <v>267</v>
      </c>
      <c r="H225" s="4" t="s">
        <v>104</v>
      </c>
      <c r="I225" s="4" t="s">
        <v>221</v>
      </c>
      <c r="J225" s="4" t="s">
        <v>222</v>
      </c>
      <c r="K225" s="7">
        <v>1092.5473999999999</v>
      </c>
      <c r="L225" s="7">
        <v>988.59519999999998</v>
      </c>
      <c r="M225" s="7">
        <v>1179.5914</v>
      </c>
      <c r="N225" s="7">
        <v>1086.242</v>
      </c>
      <c r="O225" s="7">
        <v>1122.72</v>
      </c>
      <c r="P225" s="7">
        <v>1030.3123000000001</v>
      </c>
      <c r="Q225" s="7">
        <v>941.11300000000006</v>
      </c>
      <c r="R225" s="7">
        <v>1012.0322</v>
      </c>
      <c r="S225" s="7"/>
      <c r="T225" s="7"/>
      <c r="U225" s="7"/>
      <c r="V225" s="7"/>
      <c r="W225" s="11">
        <f t="shared" si="3"/>
        <v>8453.1535000000022</v>
      </c>
    </row>
    <row r="226" spans="1:23" x14ac:dyDescent="0.2">
      <c r="A226" s="4" t="s">
        <v>570</v>
      </c>
      <c r="B226" s="4" t="s">
        <v>585</v>
      </c>
      <c r="C226" s="4" t="s">
        <v>10</v>
      </c>
      <c r="D226" s="4" t="s">
        <v>28</v>
      </c>
      <c r="E226" s="4" t="s">
        <v>29</v>
      </c>
      <c r="F226" s="4" t="s">
        <v>268</v>
      </c>
      <c r="G226" s="4" t="s">
        <v>269</v>
      </c>
      <c r="H226" s="4" t="s">
        <v>104</v>
      </c>
      <c r="I226" s="4" t="s">
        <v>221</v>
      </c>
      <c r="J226" s="4" t="s">
        <v>222</v>
      </c>
      <c r="K226" s="7">
        <v>2358.6122</v>
      </c>
      <c r="L226" s="7">
        <v>2266.9263000000001</v>
      </c>
      <c r="M226" s="7">
        <v>2863.1932999999999</v>
      </c>
      <c r="N226" s="7">
        <v>3461.5952000000002</v>
      </c>
      <c r="O226" s="7">
        <v>4318.3976000000002</v>
      </c>
      <c r="P226" s="7">
        <v>4196.28</v>
      </c>
      <c r="Q226" s="7">
        <v>4219.5625</v>
      </c>
      <c r="R226" s="7">
        <v>3703.2292000000002</v>
      </c>
      <c r="S226" s="7"/>
      <c r="T226" s="7"/>
      <c r="U226" s="7"/>
      <c r="V226" s="7"/>
      <c r="W226" s="11">
        <f t="shared" si="3"/>
        <v>27387.796300000002</v>
      </c>
    </row>
    <row r="227" spans="1:23" x14ac:dyDescent="0.2">
      <c r="A227" s="4" t="s">
        <v>570</v>
      </c>
      <c r="B227" s="4" t="s">
        <v>585</v>
      </c>
      <c r="C227" s="4" t="s">
        <v>10</v>
      </c>
      <c r="D227" s="4" t="s">
        <v>28</v>
      </c>
      <c r="E227" s="4" t="s">
        <v>29</v>
      </c>
      <c r="F227" s="4" t="s">
        <v>270</v>
      </c>
      <c r="G227" s="4" t="s">
        <v>271</v>
      </c>
      <c r="H227" s="4" t="s">
        <v>196</v>
      </c>
      <c r="I227" s="4" t="s">
        <v>197</v>
      </c>
      <c r="J227" s="4" t="s">
        <v>216</v>
      </c>
      <c r="K227" s="7">
        <v>1142.68</v>
      </c>
      <c r="L227" s="7">
        <v>1288.7</v>
      </c>
      <c r="M227" s="7">
        <v>734.02</v>
      </c>
      <c r="N227" s="7">
        <v>1078</v>
      </c>
      <c r="O227" s="7">
        <v>934.92</v>
      </c>
      <c r="P227" s="7">
        <v>102.9</v>
      </c>
      <c r="Q227" s="7">
        <v>293.02</v>
      </c>
      <c r="R227" s="7">
        <v>683.06</v>
      </c>
      <c r="S227" s="7"/>
      <c r="T227" s="7"/>
      <c r="U227" s="7"/>
      <c r="V227" s="7"/>
      <c r="W227" s="11">
        <f t="shared" si="3"/>
        <v>6257.2999999999993</v>
      </c>
    </row>
    <row r="228" spans="1:23" x14ac:dyDescent="0.2">
      <c r="A228" s="4" t="s">
        <v>570</v>
      </c>
      <c r="B228" s="4" t="s">
        <v>585</v>
      </c>
      <c r="C228" s="4" t="s">
        <v>10</v>
      </c>
      <c r="D228" s="4" t="s">
        <v>28</v>
      </c>
      <c r="E228" s="4" t="s">
        <v>29</v>
      </c>
      <c r="F228" s="4" t="s">
        <v>744</v>
      </c>
      <c r="G228" s="4" t="s">
        <v>745</v>
      </c>
      <c r="H228" s="4" t="s">
        <v>196</v>
      </c>
      <c r="I228" s="4" t="s">
        <v>202</v>
      </c>
      <c r="J228" s="4" t="s">
        <v>196</v>
      </c>
      <c r="K228" s="7">
        <v>0</v>
      </c>
      <c r="L228" s="7">
        <v>0</v>
      </c>
      <c r="M228" s="7">
        <v>132.99986699999999</v>
      </c>
      <c r="N228" s="7">
        <v>436.99956300000002</v>
      </c>
      <c r="O228" s="7">
        <v>197.99980199999999</v>
      </c>
      <c r="P228" s="7">
        <v>198.99980099999999</v>
      </c>
      <c r="Q228" s="7">
        <v>297.99970200000001</v>
      </c>
      <c r="R228" s="7">
        <v>207.99979200000001</v>
      </c>
      <c r="S228" s="7"/>
      <c r="T228" s="7"/>
      <c r="U228" s="7"/>
      <c r="V228" s="7"/>
      <c r="W228" s="11">
        <f t="shared" si="3"/>
        <v>1472.9985270000002</v>
      </c>
    </row>
    <row r="229" spans="1:23" x14ac:dyDescent="0.2">
      <c r="A229" s="4" t="s">
        <v>570</v>
      </c>
      <c r="B229" s="4" t="s">
        <v>585</v>
      </c>
      <c r="C229" s="4" t="s">
        <v>10</v>
      </c>
      <c r="D229" s="4" t="s">
        <v>28</v>
      </c>
      <c r="E229" s="4" t="s">
        <v>29</v>
      </c>
      <c r="F229" s="4" t="s">
        <v>272</v>
      </c>
      <c r="G229" s="4" t="s">
        <v>273</v>
      </c>
      <c r="H229" s="4" t="s">
        <v>196</v>
      </c>
      <c r="I229" s="4" t="s">
        <v>202</v>
      </c>
      <c r="J229" s="4" t="s">
        <v>205</v>
      </c>
      <c r="K229" s="7">
        <v>501.49799999999999</v>
      </c>
      <c r="L229" s="7">
        <v>701.298</v>
      </c>
      <c r="M229" s="7">
        <v>668.33100000000002</v>
      </c>
      <c r="N229" s="7">
        <v>1081.9169999999999</v>
      </c>
      <c r="O229" s="7">
        <v>603.39599999999996</v>
      </c>
      <c r="P229" s="7">
        <v>502.49700000000001</v>
      </c>
      <c r="Q229" s="7">
        <v>579.41999999999996</v>
      </c>
      <c r="R229" s="7">
        <v>726.27300000000002</v>
      </c>
      <c r="S229" s="7"/>
      <c r="T229" s="7"/>
      <c r="U229" s="7"/>
      <c r="V229" s="7"/>
      <c r="W229" s="11">
        <f t="shared" si="3"/>
        <v>5364.6299999999992</v>
      </c>
    </row>
    <row r="230" spans="1:23" x14ac:dyDescent="0.2">
      <c r="A230" s="4" t="s">
        <v>570</v>
      </c>
      <c r="B230" s="4" t="s">
        <v>585</v>
      </c>
      <c r="C230" s="4" t="s">
        <v>10</v>
      </c>
      <c r="D230" s="4" t="s">
        <v>28</v>
      </c>
      <c r="E230" s="4" t="s">
        <v>29</v>
      </c>
      <c r="F230" s="4" t="s">
        <v>644</v>
      </c>
      <c r="G230" s="4" t="s">
        <v>645</v>
      </c>
      <c r="H230" s="4" t="s">
        <v>104</v>
      </c>
      <c r="I230" s="4" t="s">
        <v>221</v>
      </c>
      <c r="J230" s="4" t="s">
        <v>222</v>
      </c>
      <c r="K230" s="7">
        <v>758.7414</v>
      </c>
      <c r="L230" s="7">
        <v>89.657200000000003</v>
      </c>
      <c r="M230" s="7">
        <v>186.32249999999999</v>
      </c>
      <c r="N230" s="7">
        <v>193.7432</v>
      </c>
      <c r="O230" s="7">
        <v>385.53719999999998</v>
      </c>
      <c r="P230" s="7">
        <v>0</v>
      </c>
      <c r="Q230" s="7">
        <v>0</v>
      </c>
      <c r="R230" s="7">
        <v>1105.7814000000001</v>
      </c>
      <c r="S230" s="7"/>
      <c r="T230" s="7"/>
      <c r="U230" s="7"/>
      <c r="V230" s="7"/>
      <c r="W230" s="11">
        <f t="shared" si="3"/>
        <v>2719.7829000000002</v>
      </c>
    </row>
    <row r="231" spans="1:23" x14ac:dyDescent="0.2">
      <c r="A231" s="4" t="s">
        <v>570</v>
      </c>
      <c r="B231" s="4" t="s">
        <v>585</v>
      </c>
      <c r="C231" s="4" t="s">
        <v>10</v>
      </c>
      <c r="D231" s="4" t="s">
        <v>28</v>
      </c>
      <c r="E231" s="4" t="s">
        <v>29</v>
      </c>
      <c r="F231" s="4" t="s">
        <v>887</v>
      </c>
      <c r="G231" s="4" t="s">
        <v>888</v>
      </c>
      <c r="H231" s="4" t="s">
        <v>196</v>
      </c>
      <c r="I231" s="4" t="s">
        <v>197</v>
      </c>
      <c r="J231" s="4" t="s">
        <v>216</v>
      </c>
      <c r="K231" s="7">
        <v>479.99952000000002</v>
      </c>
      <c r="L231" s="7">
        <v>852.99914699999999</v>
      </c>
      <c r="M231" s="7">
        <v>818.99918100000002</v>
      </c>
      <c r="N231" s="7">
        <v>570.99942899999996</v>
      </c>
      <c r="O231" s="7">
        <v>998.99900100000002</v>
      </c>
      <c r="P231" s="7">
        <v>599.99940000000004</v>
      </c>
      <c r="Q231" s="7">
        <v>841.99915799999997</v>
      </c>
      <c r="R231" s="7">
        <v>399.99959999999999</v>
      </c>
      <c r="S231" s="7"/>
      <c r="T231" s="7"/>
      <c r="U231" s="7"/>
      <c r="V231" s="7"/>
      <c r="W231" s="11">
        <f t="shared" si="3"/>
        <v>5563.994436</v>
      </c>
    </row>
    <row r="232" spans="1:23" x14ac:dyDescent="0.2">
      <c r="A232" s="4" t="s">
        <v>570</v>
      </c>
      <c r="B232" s="4" t="s">
        <v>585</v>
      </c>
      <c r="C232" s="4" t="s">
        <v>10</v>
      </c>
      <c r="D232" s="4" t="s">
        <v>28</v>
      </c>
      <c r="E232" s="4" t="s">
        <v>29</v>
      </c>
      <c r="F232" s="4" t="s">
        <v>274</v>
      </c>
      <c r="G232" s="4" t="s">
        <v>275</v>
      </c>
      <c r="H232" s="4" t="s">
        <v>196</v>
      </c>
      <c r="I232" s="4" t="s">
        <v>202</v>
      </c>
      <c r="J232" s="4" t="s">
        <v>205</v>
      </c>
      <c r="K232" s="7">
        <v>1270.7</v>
      </c>
      <c r="L232" s="7">
        <v>698.4</v>
      </c>
      <c r="M232" s="7">
        <v>1949.7</v>
      </c>
      <c r="N232" s="7">
        <v>1168.8499999999999</v>
      </c>
      <c r="O232" s="7">
        <v>1115.5</v>
      </c>
      <c r="P232" s="7">
        <v>1147.51</v>
      </c>
      <c r="Q232" s="7">
        <v>1188.25</v>
      </c>
      <c r="R232" s="7">
        <v>1244.51</v>
      </c>
      <c r="S232" s="7"/>
      <c r="T232" s="7"/>
      <c r="U232" s="7"/>
      <c r="V232" s="7"/>
      <c r="W232" s="11">
        <f t="shared" si="3"/>
        <v>9783.42</v>
      </c>
    </row>
    <row r="233" spans="1:23" x14ac:dyDescent="0.2">
      <c r="A233" s="4" t="s">
        <v>570</v>
      </c>
      <c r="B233" s="4" t="s">
        <v>585</v>
      </c>
      <c r="C233" s="4" t="s">
        <v>10</v>
      </c>
      <c r="D233" s="4" t="s">
        <v>28</v>
      </c>
      <c r="E233" s="4" t="s">
        <v>29</v>
      </c>
      <c r="F233" s="4" t="s">
        <v>276</v>
      </c>
      <c r="G233" s="4" t="s">
        <v>277</v>
      </c>
      <c r="H233" s="4" t="s">
        <v>196</v>
      </c>
      <c r="I233" s="4" t="s">
        <v>202</v>
      </c>
      <c r="J233" s="4" t="s">
        <v>196</v>
      </c>
      <c r="K233" s="7">
        <v>326.36</v>
      </c>
      <c r="L233" s="7">
        <v>320.39</v>
      </c>
      <c r="M233" s="7">
        <v>330.34</v>
      </c>
      <c r="N233" s="7">
        <v>343.27499999999998</v>
      </c>
      <c r="O233" s="7">
        <v>335.88499999999999</v>
      </c>
      <c r="P233" s="7">
        <v>387.10500000000002</v>
      </c>
      <c r="Q233" s="7">
        <v>223.595</v>
      </c>
      <c r="R233" s="7">
        <v>330.96</v>
      </c>
      <c r="S233" s="7"/>
      <c r="T233" s="7"/>
      <c r="U233" s="7"/>
      <c r="V233" s="7"/>
      <c r="W233" s="11">
        <f t="shared" si="3"/>
        <v>2597.91</v>
      </c>
    </row>
    <row r="234" spans="1:23" x14ac:dyDescent="0.2">
      <c r="A234" s="4" t="s">
        <v>570</v>
      </c>
      <c r="B234" s="4" t="s">
        <v>585</v>
      </c>
      <c r="C234" s="4" t="s">
        <v>10</v>
      </c>
      <c r="D234" s="4" t="s">
        <v>28</v>
      </c>
      <c r="E234" s="4" t="s">
        <v>29</v>
      </c>
      <c r="F234" s="4" t="s">
        <v>831</v>
      </c>
      <c r="G234" s="4" t="s">
        <v>832</v>
      </c>
      <c r="H234" s="4" t="s">
        <v>196</v>
      </c>
      <c r="I234" s="4" t="s">
        <v>197</v>
      </c>
      <c r="J234" s="4" t="s">
        <v>198</v>
      </c>
      <c r="K234" s="7">
        <v>180.999819</v>
      </c>
      <c r="L234" s="7">
        <v>371.99962799999997</v>
      </c>
      <c r="M234" s="7">
        <v>0</v>
      </c>
      <c r="N234" s="7">
        <v>248.999751</v>
      </c>
      <c r="O234" s="7">
        <v>0</v>
      </c>
      <c r="P234" s="7">
        <v>0</v>
      </c>
      <c r="Q234" s="7">
        <v>98.999900999999994</v>
      </c>
      <c r="R234" s="7">
        <v>0</v>
      </c>
      <c r="S234" s="7"/>
      <c r="T234" s="7"/>
      <c r="U234" s="7"/>
      <c r="V234" s="7"/>
      <c r="W234" s="11">
        <f t="shared" ref="W234:W287" si="4">SUM(K234:V234)</f>
        <v>900.999099</v>
      </c>
    </row>
    <row r="235" spans="1:23" x14ac:dyDescent="0.2">
      <c r="A235" s="4" t="s">
        <v>570</v>
      </c>
      <c r="B235" s="4" t="s">
        <v>585</v>
      </c>
      <c r="C235" s="4" t="s">
        <v>10</v>
      </c>
      <c r="D235" s="4" t="s">
        <v>28</v>
      </c>
      <c r="E235" s="4" t="s">
        <v>29</v>
      </c>
      <c r="F235" s="4" t="s">
        <v>671</v>
      </c>
      <c r="G235" s="4" t="s">
        <v>672</v>
      </c>
      <c r="H235" s="4" t="s">
        <v>196</v>
      </c>
      <c r="I235" s="4" t="s">
        <v>202</v>
      </c>
      <c r="J235" s="4" t="s">
        <v>196</v>
      </c>
      <c r="K235" s="7">
        <v>157.6</v>
      </c>
      <c r="L235" s="7">
        <v>315.2</v>
      </c>
      <c r="M235" s="7">
        <v>1037.2049999999999</v>
      </c>
      <c r="N235" s="7">
        <v>316.185</v>
      </c>
      <c r="O235" s="7">
        <v>309.29000000000002</v>
      </c>
      <c r="P235" s="7">
        <v>543.72</v>
      </c>
      <c r="Q235" s="7">
        <v>0</v>
      </c>
      <c r="R235" s="7">
        <v>0</v>
      </c>
      <c r="S235" s="7"/>
      <c r="T235" s="7"/>
      <c r="U235" s="7"/>
      <c r="V235" s="7"/>
      <c r="W235" s="11">
        <f t="shared" si="4"/>
        <v>2679.2</v>
      </c>
    </row>
    <row r="236" spans="1:23" x14ac:dyDescent="0.2">
      <c r="A236" s="4" t="s">
        <v>570</v>
      </c>
      <c r="B236" s="4" t="s">
        <v>585</v>
      </c>
      <c r="C236" s="4" t="s">
        <v>10</v>
      </c>
      <c r="D236" s="4" t="s">
        <v>28</v>
      </c>
      <c r="E236" s="4" t="s">
        <v>29</v>
      </c>
      <c r="F236" s="4" t="s">
        <v>278</v>
      </c>
      <c r="G236" s="4" t="s">
        <v>735</v>
      </c>
      <c r="H236" s="4" t="s">
        <v>196</v>
      </c>
      <c r="I236" s="4" t="s">
        <v>202</v>
      </c>
      <c r="J236" s="4" t="s">
        <v>205</v>
      </c>
      <c r="K236" s="7">
        <v>0</v>
      </c>
      <c r="L236" s="7">
        <v>445.23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/>
      <c r="T236" s="7"/>
      <c r="U236" s="7"/>
      <c r="V236" s="7"/>
      <c r="W236" s="11">
        <f t="shared" si="4"/>
        <v>445.23</v>
      </c>
    </row>
    <row r="237" spans="1:23" x14ac:dyDescent="0.2">
      <c r="A237" s="4" t="s">
        <v>570</v>
      </c>
      <c r="B237" s="4" t="s">
        <v>585</v>
      </c>
      <c r="C237" s="4" t="s">
        <v>10</v>
      </c>
      <c r="D237" s="4" t="s">
        <v>28</v>
      </c>
      <c r="E237" s="4" t="s">
        <v>29</v>
      </c>
      <c r="F237" s="4" t="s">
        <v>278</v>
      </c>
      <c r="G237" s="4" t="s">
        <v>279</v>
      </c>
      <c r="H237" s="4" t="s">
        <v>196</v>
      </c>
      <c r="I237" s="4" t="s">
        <v>202</v>
      </c>
      <c r="J237" s="4" t="s">
        <v>205</v>
      </c>
      <c r="K237" s="7">
        <v>1760.55</v>
      </c>
      <c r="L237" s="7">
        <v>4024.53</v>
      </c>
      <c r="M237" s="7">
        <v>5858.8</v>
      </c>
      <c r="N237" s="7">
        <v>3565.72</v>
      </c>
      <c r="O237" s="7">
        <v>3713.16</v>
      </c>
      <c r="P237" s="7">
        <v>2227.12</v>
      </c>
      <c r="Q237" s="7">
        <v>1591.77</v>
      </c>
      <c r="R237" s="7">
        <v>5250.61</v>
      </c>
      <c r="S237" s="7"/>
      <c r="T237" s="7"/>
      <c r="U237" s="7"/>
      <c r="V237" s="7"/>
      <c r="W237" s="11">
        <f t="shared" si="4"/>
        <v>27992.260000000002</v>
      </c>
    </row>
    <row r="238" spans="1:23" x14ac:dyDescent="0.2">
      <c r="A238" s="4" t="s">
        <v>570</v>
      </c>
      <c r="B238" s="4" t="s">
        <v>585</v>
      </c>
      <c r="C238" s="4" t="s">
        <v>10</v>
      </c>
      <c r="D238" s="4" t="s">
        <v>28</v>
      </c>
      <c r="E238" s="4" t="s">
        <v>29</v>
      </c>
      <c r="F238" s="4" t="s">
        <v>278</v>
      </c>
      <c r="G238" s="4" t="s">
        <v>734</v>
      </c>
      <c r="H238" s="4" t="s">
        <v>196</v>
      </c>
      <c r="I238" s="4" t="s">
        <v>202</v>
      </c>
      <c r="J238" s="4" t="s">
        <v>205</v>
      </c>
      <c r="K238" s="7">
        <v>0</v>
      </c>
      <c r="L238" s="7">
        <v>1205.71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/>
      <c r="T238" s="7"/>
      <c r="U238" s="7"/>
      <c r="V238" s="7"/>
      <c r="W238" s="11">
        <f t="shared" si="4"/>
        <v>1205.71</v>
      </c>
    </row>
    <row r="239" spans="1:23" x14ac:dyDescent="0.2">
      <c r="A239" s="4" t="s">
        <v>570</v>
      </c>
      <c r="B239" s="4" t="s">
        <v>585</v>
      </c>
      <c r="C239" s="4" t="s">
        <v>10</v>
      </c>
      <c r="D239" s="4" t="s">
        <v>28</v>
      </c>
      <c r="E239" s="4" t="s">
        <v>29</v>
      </c>
      <c r="F239" s="4" t="s">
        <v>280</v>
      </c>
      <c r="G239" s="4" t="s">
        <v>615</v>
      </c>
      <c r="H239" s="4" t="s">
        <v>196</v>
      </c>
      <c r="I239" s="4" t="s">
        <v>202</v>
      </c>
      <c r="J239" s="4" t="s">
        <v>196</v>
      </c>
      <c r="K239" s="7">
        <v>133.86600000000001</v>
      </c>
      <c r="L239" s="7">
        <v>210.78899999999999</v>
      </c>
      <c r="M239" s="7">
        <v>150.84899999999999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/>
      <c r="T239" s="7"/>
      <c r="U239" s="7"/>
      <c r="V239" s="7"/>
      <c r="W239" s="11">
        <f t="shared" si="4"/>
        <v>495.50399999999996</v>
      </c>
    </row>
    <row r="240" spans="1:23" x14ac:dyDescent="0.2">
      <c r="A240" s="4" t="s">
        <v>570</v>
      </c>
      <c r="B240" s="4" t="s">
        <v>585</v>
      </c>
      <c r="C240" s="4" t="s">
        <v>10</v>
      </c>
      <c r="D240" s="4" t="s">
        <v>28</v>
      </c>
      <c r="E240" s="4" t="s">
        <v>29</v>
      </c>
      <c r="F240" s="4" t="s">
        <v>280</v>
      </c>
      <c r="G240" s="4" t="s">
        <v>281</v>
      </c>
      <c r="H240" s="4" t="s">
        <v>196</v>
      </c>
      <c r="I240" s="4" t="s">
        <v>197</v>
      </c>
      <c r="J240" s="4" t="s">
        <v>216</v>
      </c>
      <c r="K240" s="7">
        <v>191.80799999999999</v>
      </c>
      <c r="L240" s="7">
        <v>0</v>
      </c>
      <c r="M240" s="7">
        <v>204.79499999999999</v>
      </c>
      <c r="N240" s="7">
        <v>1000.998</v>
      </c>
      <c r="O240" s="7">
        <v>295.70400000000001</v>
      </c>
      <c r="P240" s="7">
        <v>0</v>
      </c>
      <c r="Q240" s="7">
        <v>0</v>
      </c>
      <c r="R240" s="7">
        <v>759.24</v>
      </c>
      <c r="S240" s="7"/>
      <c r="T240" s="7"/>
      <c r="U240" s="7"/>
      <c r="V240" s="7"/>
      <c r="W240" s="11">
        <f t="shared" si="4"/>
        <v>2452.5450000000001</v>
      </c>
    </row>
    <row r="241" spans="1:23" x14ac:dyDescent="0.2">
      <c r="A241" s="4" t="s">
        <v>570</v>
      </c>
      <c r="B241" s="4" t="s">
        <v>585</v>
      </c>
      <c r="C241" s="4" t="s">
        <v>10</v>
      </c>
      <c r="D241" s="4" t="s">
        <v>28</v>
      </c>
      <c r="E241" s="4" t="s">
        <v>29</v>
      </c>
      <c r="F241" s="4" t="s">
        <v>280</v>
      </c>
      <c r="G241" s="4" t="s">
        <v>704</v>
      </c>
      <c r="H241" s="4" t="s">
        <v>196</v>
      </c>
      <c r="I241" s="4" t="s">
        <v>202</v>
      </c>
      <c r="J241" s="4" t="s">
        <v>196</v>
      </c>
      <c r="K241" s="7">
        <v>0</v>
      </c>
      <c r="L241" s="7">
        <v>190.809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/>
      <c r="T241" s="7"/>
      <c r="U241" s="7"/>
      <c r="V241" s="7"/>
      <c r="W241" s="11">
        <f t="shared" si="4"/>
        <v>190.809</v>
      </c>
    </row>
    <row r="242" spans="1:23" x14ac:dyDescent="0.2">
      <c r="A242" s="4" t="s">
        <v>570</v>
      </c>
      <c r="B242" s="4" t="s">
        <v>585</v>
      </c>
      <c r="C242" s="4" t="s">
        <v>10</v>
      </c>
      <c r="D242" s="4" t="s">
        <v>28</v>
      </c>
      <c r="E242" s="4" t="s">
        <v>29</v>
      </c>
      <c r="F242" s="4" t="s">
        <v>646</v>
      </c>
      <c r="G242" s="4" t="s">
        <v>647</v>
      </c>
      <c r="H242" s="4" t="s">
        <v>104</v>
      </c>
      <c r="I242" s="4" t="s">
        <v>192</v>
      </c>
      <c r="J242" s="4" t="s">
        <v>252</v>
      </c>
      <c r="K242" s="7">
        <v>5822.2052999999996</v>
      </c>
      <c r="L242" s="7">
        <v>0</v>
      </c>
      <c r="M242" s="7">
        <v>0</v>
      </c>
      <c r="N242" s="7">
        <v>0</v>
      </c>
      <c r="O242" s="7">
        <v>0</v>
      </c>
      <c r="P242" s="7">
        <v>4885.2683999999999</v>
      </c>
      <c r="Q242" s="7">
        <v>4627.2160000000003</v>
      </c>
      <c r="R242" s="7">
        <v>4805.1019999999999</v>
      </c>
      <c r="S242" s="7"/>
      <c r="T242" s="7"/>
      <c r="U242" s="7"/>
      <c r="V242" s="7"/>
      <c r="W242" s="11">
        <f t="shared" si="4"/>
        <v>20139.791699999998</v>
      </c>
    </row>
    <row r="243" spans="1:23" x14ac:dyDescent="0.2">
      <c r="A243" s="4" t="s">
        <v>570</v>
      </c>
      <c r="B243" s="4" t="s">
        <v>585</v>
      </c>
      <c r="C243" s="4" t="s">
        <v>10</v>
      </c>
      <c r="D243" s="4" t="s">
        <v>28</v>
      </c>
      <c r="E243" s="4" t="s">
        <v>29</v>
      </c>
      <c r="F243" s="4" t="s">
        <v>783</v>
      </c>
      <c r="G243" s="4" t="s">
        <v>784</v>
      </c>
      <c r="H243" s="4" t="s">
        <v>104</v>
      </c>
      <c r="I243" s="4" t="s">
        <v>221</v>
      </c>
      <c r="J243" s="4" t="s">
        <v>222</v>
      </c>
      <c r="K243" s="7">
        <v>2495.1309999999999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/>
      <c r="T243" s="7"/>
      <c r="U243" s="7"/>
      <c r="V243" s="7"/>
      <c r="W243" s="11">
        <f t="shared" si="4"/>
        <v>2495.1309999999999</v>
      </c>
    </row>
    <row r="244" spans="1:23" x14ac:dyDescent="0.2">
      <c r="A244" s="4" t="s">
        <v>570</v>
      </c>
      <c r="B244" s="4" t="s">
        <v>585</v>
      </c>
      <c r="C244" s="4" t="s">
        <v>10</v>
      </c>
      <c r="D244" s="4" t="s">
        <v>28</v>
      </c>
      <c r="E244" s="4" t="s">
        <v>29</v>
      </c>
      <c r="F244" s="4" t="s">
        <v>282</v>
      </c>
      <c r="G244" s="4" t="s">
        <v>283</v>
      </c>
      <c r="H244" s="4" t="s">
        <v>196</v>
      </c>
      <c r="I244" s="4" t="s">
        <v>202</v>
      </c>
      <c r="J244" s="4" t="s">
        <v>205</v>
      </c>
      <c r="K244" s="7">
        <v>1359.94</v>
      </c>
      <c r="L244" s="7">
        <v>745.93</v>
      </c>
      <c r="M244" s="7">
        <v>1959.4</v>
      </c>
      <c r="N244" s="7">
        <v>1362.85</v>
      </c>
      <c r="O244" s="7">
        <v>1261.97</v>
      </c>
      <c r="P244" s="7">
        <v>1241.5999999999999</v>
      </c>
      <c r="Q244" s="7">
        <v>1281.3699999999999</v>
      </c>
      <c r="R244" s="7">
        <v>1423.96</v>
      </c>
      <c r="S244" s="7"/>
      <c r="T244" s="7"/>
      <c r="U244" s="7"/>
      <c r="V244" s="7"/>
      <c r="W244" s="11">
        <f t="shared" si="4"/>
        <v>10637.02</v>
      </c>
    </row>
    <row r="245" spans="1:23" x14ac:dyDescent="0.2">
      <c r="A245" s="4" t="s">
        <v>570</v>
      </c>
      <c r="B245" s="4" t="s">
        <v>585</v>
      </c>
      <c r="C245" s="4" t="s">
        <v>10</v>
      </c>
      <c r="D245" s="4" t="s">
        <v>28</v>
      </c>
      <c r="E245" s="4" t="s">
        <v>29</v>
      </c>
      <c r="F245" s="4" t="s">
        <v>284</v>
      </c>
      <c r="G245" s="4" t="s">
        <v>285</v>
      </c>
      <c r="H245" s="4" t="s">
        <v>104</v>
      </c>
      <c r="I245" s="4" t="s">
        <v>192</v>
      </c>
      <c r="J245" s="4" t="s">
        <v>252</v>
      </c>
      <c r="K245" s="7">
        <v>1014.427926</v>
      </c>
      <c r="L245" s="7">
        <v>0</v>
      </c>
      <c r="M245" s="7">
        <v>1532.5554090000001</v>
      </c>
      <c r="N245" s="7">
        <v>4359.9822750000003</v>
      </c>
      <c r="O245" s="7">
        <v>2064.0327419999999</v>
      </c>
      <c r="P245" s="7">
        <v>2744.7983680000002</v>
      </c>
      <c r="Q245" s="7">
        <v>5628.67076</v>
      </c>
      <c r="R245" s="7">
        <v>3735.9032790000001</v>
      </c>
      <c r="S245" s="7"/>
      <c r="T245" s="7"/>
      <c r="U245" s="7"/>
      <c r="V245" s="7"/>
      <c r="W245" s="11">
        <f t="shared" si="4"/>
        <v>21080.370758999998</v>
      </c>
    </row>
    <row r="246" spans="1:23" x14ac:dyDescent="0.2">
      <c r="A246" s="4" t="s">
        <v>570</v>
      </c>
      <c r="B246" s="4" t="s">
        <v>585</v>
      </c>
      <c r="C246" s="4" t="s">
        <v>10</v>
      </c>
      <c r="D246" s="4" t="s">
        <v>28</v>
      </c>
      <c r="E246" s="4" t="s">
        <v>29</v>
      </c>
      <c r="F246" s="4" t="s">
        <v>286</v>
      </c>
      <c r="G246" s="4" t="s">
        <v>287</v>
      </c>
      <c r="H246" s="4" t="s">
        <v>196</v>
      </c>
      <c r="I246" s="4" t="s">
        <v>202</v>
      </c>
      <c r="J246" s="4" t="s">
        <v>205</v>
      </c>
      <c r="K246" s="7">
        <v>691.30799999999999</v>
      </c>
      <c r="L246" s="7">
        <v>0</v>
      </c>
      <c r="M246" s="7">
        <v>1469.529</v>
      </c>
      <c r="N246" s="7">
        <v>1348.65</v>
      </c>
      <c r="O246" s="7">
        <v>1356.6420000000001</v>
      </c>
      <c r="P246" s="7">
        <v>1050.9480000000001</v>
      </c>
      <c r="Q246" s="7">
        <v>1341.6569999999999</v>
      </c>
      <c r="R246" s="7">
        <v>1585.413</v>
      </c>
      <c r="S246" s="7"/>
      <c r="T246" s="7"/>
      <c r="U246" s="7"/>
      <c r="V246" s="7"/>
      <c r="W246" s="11">
        <f t="shared" si="4"/>
        <v>8844.1470000000008</v>
      </c>
    </row>
    <row r="247" spans="1:23" x14ac:dyDescent="0.2">
      <c r="A247" s="4" t="s">
        <v>570</v>
      </c>
      <c r="B247" s="4" t="s">
        <v>585</v>
      </c>
      <c r="C247" s="4" t="s">
        <v>10</v>
      </c>
      <c r="D247" s="4" t="s">
        <v>28</v>
      </c>
      <c r="E247" s="4" t="s">
        <v>29</v>
      </c>
      <c r="F247" s="4" t="s">
        <v>288</v>
      </c>
      <c r="G247" s="4" t="s">
        <v>289</v>
      </c>
      <c r="H247" s="4" t="s">
        <v>196</v>
      </c>
      <c r="I247" s="4" t="s">
        <v>202</v>
      </c>
      <c r="J247" s="4" t="s">
        <v>205</v>
      </c>
      <c r="K247" s="7">
        <v>2112.66</v>
      </c>
      <c r="L247" s="7">
        <v>1891.89</v>
      </c>
      <c r="M247" s="7">
        <v>2256.21</v>
      </c>
      <c r="N247" s="7">
        <v>2217.7800000000002</v>
      </c>
      <c r="O247" s="7">
        <v>2108.8890000000001</v>
      </c>
      <c r="P247" s="7">
        <v>1683</v>
      </c>
      <c r="Q247" s="7">
        <v>2037.96</v>
      </c>
      <c r="R247" s="7">
        <v>2017.98</v>
      </c>
      <c r="S247" s="7"/>
      <c r="T247" s="7"/>
      <c r="U247" s="7"/>
      <c r="V247" s="7"/>
      <c r="W247" s="11">
        <f t="shared" si="4"/>
        <v>16326.368999999999</v>
      </c>
    </row>
    <row r="248" spans="1:23" x14ac:dyDescent="0.2">
      <c r="A248" s="4" t="s">
        <v>570</v>
      </c>
      <c r="B248" s="4" t="s">
        <v>585</v>
      </c>
      <c r="C248" s="4" t="s">
        <v>10</v>
      </c>
      <c r="D248" s="4" t="s">
        <v>28</v>
      </c>
      <c r="E248" s="4" t="s">
        <v>29</v>
      </c>
      <c r="F248" s="4" t="s">
        <v>807</v>
      </c>
      <c r="G248" s="4" t="s">
        <v>670</v>
      </c>
      <c r="H248" s="4" t="s">
        <v>46</v>
      </c>
      <c r="I248" s="4" t="s">
        <v>52</v>
      </c>
      <c r="J248" s="4" t="s">
        <v>65</v>
      </c>
      <c r="K248" s="7">
        <v>863.84500000000003</v>
      </c>
      <c r="L248" s="7">
        <v>807.7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/>
      <c r="T248" s="7"/>
      <c r="U248" s="7"/>
      <c r="V248" s="7"/>
      <c r="W248" s="11">
        <f t="shared" si="4"/>
        <v>1671.5450000000001</v>
      </c>
    </row>
    <row r="249" spans="1:23" x14ac:dyDescent="0.2">
      <c r="A249" s="4" t="s">
        <v>570</v>
      </c>
      <c r="B249" s="4" t="s">
        <v>585</v>
      </c>
      <c r="C249" s="4" t="s">
        <v>10</v>
      </c>
      <c r="D249" s="4" t="s">
        <v>28</v>
      </c>
      <c r="E249" s="4" t="s">
        <v>29</v>
      </c>
      <c r="F249" s="4" t="s">
        <v>290</v>
      </c>
      <c r="G249" s="4" t="s">
        <v>291</v>
      </c>
      <c r="H249" s="4" t="s">
        <v>196</v>
      </c>
      <c r="I249" s="4" t="s">
        <v>202</v>
      </c>
      <c r="J249" s="4" t="s">
        <v>205</v>
      </c>
      <c r="K249" s="7">
        <v>343.65600000000001</v>
      </c>
      <c r="L249" s="7">
        <v>472.52699999999999</v>
      </c>
      <c r="M249" s="7">
        <v>398.601</v>
      </c>
      <c r="N249" s="7">
        <v>355.64400000000001</v>
      </c>
      <c r="O249" s="7">
        <v>297.702</v>
      </c>
      <c r="P249" s="7">
        <v>325.67399999999998</v>
      </c>
      <c r="Q249" s="7">
        <v>354.64499999999998</v>
      </c>
      <c r="R249" s="7">
        <v>297.702</v>
      </c>
      <c r="S249" s="7"/>
      <c r="T249" s="7"/>
      <c r="U249" s="7"/>
      <c r="V249" s="7"/>
      <c r="W249" s="11">
        <f t="shared" si="4"/>
        <v>2846.1509999999998</v>
      </c>
    </row>
    <row r="250" spans="1:23" x14ac:dyDescent="0.2">
      <c r="A250" s="4" t="s">
        <v>570</v>
      </c>
      <c r="B250" s="4" t="s">
        <v>585</v>
      </c>
      <c r="C250" s="4" t="s">
        <v>10</v>
      </c>
      <c r="D250" s="4" t="s">
        <v>28</v>
      </c>
      <c r="E250" s="4" t="s">
        <v>29</v>
      </c>
      <c r="F250" s="4" t="s">
        <v>970</v>
      </c>
      <c r="G250" s="4" t="s">
        <v>971</v>
      </c>
      <c r="H250" s="4" t="s">
        <v>196</v>
      </c>
      <c r="I250" s="4" t="s">
        <v>197</v>
      </c>
      <c r="J250" s="4" t="s">
        <v>216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174.44</v>
      </c>
      <c r="S250" s="7"/>
      <c r="T250" s="7"/>
      <c r="U250" s="7"/>
      <c r="V250" s="7"/>
      <c r="W250" s="11">
        <f t="shared" si="4"/>
        <v>174.44</v>
      </c>
    </row>
    <row r="251" spans="1:23" x14ac:dyDescent="0.2">
      <c r="A251" s="4" t="s">
        <v>570</v>
      </c>
      <c r="B251" s="4" t="s">
        <v>585</v>
      </c>
      <c r="C251" s="4" t="s">
        <v>10</v>
      </c>
      <c r="D251" s="4" t="s">
        <v>28</v>
      </c>
      <c r="E251" s="4" t="s">
        <v>29</v>
      </c>
      <c r="F251" s="4" t="s">
        <v>292</v>
      </c>
      <c r="G251" s="4" t="s">
        <v>293</v>
      </c>
      <c r="H251" s="4" t="s">
        <v>196</v>
      </c>
      <c r="I251" s="4" t="s">
        <v>202</v>
      </c>
      <c r="J251" s="4" t="s">
        <v>205</v>
      </c>
      <c r="K251" s="7">
        <v>470.4</v>
      </c>
      <c r="L251" s="7">
        <v>588.98</v>
      </c>
      <c r="M251" s="7">
        <v>594.86</v>
      </c>
      <c r="N251" s="7">
        <v>588</v>
      </c>
      <c r="O251" s="7">
        <v>441</v>
      </c>
      <c r="P251" s="7">
        <v>387.1</v>
      </c>
      <c r="Q251" s="7">
        <v>303.8</v>
      </c>
      <c r="R251" s="7">
        <v>364.56</v>
      </c>
      <c r="S251" s="7"/>
      <c r="T251" s="7"/>
      <c r="U251" s="7"/>
      <c r="V251" s="7"/>
      <c r="W251" s="11">
        <f t="shared" si="4"/>
        <v>3738.7000000000003</v>
      </c>
    </row>
    <row r="252" spans="1:23" x14ac:dyDescent="0.2">
      <c r="A252" s="4" t="s">
        <v>570</v>
      </c>
      <c r="B252" s="4" t="s">
        <v>585</v>
      </c>
      <c r="C252" s="4" t="s">
        <v>10</v>
      </c>
      <c r="D252" s="4" t="s">
        <v>28</v>
      </c>
      <c r="E252" s="4" t="s">
        <v>29</v>
      </c>
      <c r="F252" s="4" t="s">
        <v>292</v>
      </c>
      <c r="G252" s="4" t="s">
        <v>294</v>
      </c>
      <c r="H252" s="4" t="s">
        <v>196</v>
      </c>
      <c r="I252" s="4" t="s">
        <v>202</v>
      </c>
      <c r="J252" s="4" t="s">
        <v>205</v>
      </c>
      <c r="K252" s="7">
        <v>388.08</v>
      </c>
      <c r="L252" s="7">
        <v>440.02</v>
      </c>
      <c r="M252" s="7">
        <v>490</v>
      </c>
      <c r="N252" s="7">
        <v>492.94</v>
      </c>
      <c r="O252" s="7">
        <v>337.12</v>
      </c>
      <c r="P252" s="7">
        <v>323.39999999999998</v>
      </c>
      <c r="Q252" s="7">
        <v>242.06</v>
      </c>
      <c r="R252" s="7">
        <v>240.1</v>
      </c>
      <c r="S252" s="7"/>
      <c r="T252" s="7"/>
      <c r="U252" s="7"/>
      <c r="V252" s="7"/>
      <c r="W252" s="11">
        <f t="shared" si="4"/>
        <v>2953.72</v>
      </c>
    </row>
    <row r="253" spans="1:23" x14ac:dyDescent="0.2">
      <c r="A253" s="4" t="s">
        <v>570</v>
      </c>
      <c r="B253" s="4" t="s">
        <v>585</v>
      </c>
      <c r="C253" s="4" t="s">
        <v>10</v>
      </c>
      <c r="D253" s="4" t="s">
        <v>28</v>
      </c>
      <c r="E253" s="4" t="s">
        <v>29</v>
      </c>
      <c r="F253" s="4" t="s">
        <v>424</v>
      </c>
      <c r="G253" s="4" t="s">
        <v>425</v>
      </c>
      <c r="H253" s="4" t="s">
        <v>104</v>
      </c>
      <c r="I253" s="4" t="s">
        <v>192</v>
      </c>
      <c r="J253" s="4" t="s">
        <v>252</v>
      </c>
      <c r="K253" s="7">
        <v>4384.1181999999999</v>
      </c>
      <c r="L253" s="7">
        <v>4692.0459000000001</v>
      </c>
      <c r="M253" s="7">
        <v>4801.8092640000004</v>
      </c>
      <c r="N253" s="7">
        <v>4394.0176000000001</v>
      </c>
      <c r="O253" s="7">
        <v>0</v>
      </c>
      <c r="P253" s="7">
        <v>4569.6122999999998</v>
      </c>
      <c r="Q253" s="7">
        <v>4773.5600000000004</v>
      </c>
      <c r="R253" s="7">
        <v>0</v>
      </c>
      <c r="S253" s="7"/>
      <c r="T253" s="7"/>
      <c r="U253" s="7"/>
      <c r="V253" s="7"/>
      <c r="W253" s="11">
        <f t="shared" si="4"/>
        <v>27615.163264000003</v>
      </c>
    </row>
    <row r="254" spans="1:23" x14ac:dyDescent="0.2">
      <c r="A254" s="4" t="s">
        <v>570</v>
      </c>
      <c r="B254" s="4" t="s">
        <v>585</v>
      </c>
      <c r="C254" s="4" t="s">
        <v>10</v>
      </c>
      <c r="D254" s="4" t="s">
        <v>28</v>
      </c>
      <c r="E254" s="4" t="s">
        <v>29</v>
      </c>
      <c r="F254" s="4" t="s">
        <v>295</v>
      </c>
      <c r="G254" s="4" t="s">
        <v>296</v>
      </c>
      <c r="H254" s="4" t="s">
        <v>196</v>
      </c>
      <c r="I254" s="4" t="s">
        <v>202</v>
      </c>
      <c r="J254" s="4" t="s">
        <v>205</v>
      </c>
      <c r="K254" s="7">
        <v>1349.6489999999999</v>
      </c>
      <c r="L254" s="7">
        <v>0</v>
      </c>
      <c r="M254" s="7">
        <v>1651.347</v>
      </c>
      <c r="N254" s="7">
        <v>1313.6849999999999</v>
      </c>
      <c r="O254" s="7">
        <v>1233.7650000000001</v>
      </c>
      <c r="P254" s="7">
        <v>1327.671</v>
      </c>
      <c r="Q254" s="7">
        <v>1355.643</v>
      </c>
      <c r="R254" s="7">
        <v>1367.6310000000001</v>
      </c>
      <c r="S254" s="7"/>
      <c r="T254" s="7"/>
      <c r="U254" s="7"/>
      <c r="V254" s="7"/>
      <c r="W254" s="11">
        <f t="shared" si="4"/>
        <v>9599.3910000000014</v>
      </c>
    </row>
    <row r="255" spans="1:23" x14ac:dyDescent="0.2">
      <c r="A255" s="4" t="s">
        <v>570</v>
      </c>
      <c r="B255" s="4" t="s">
        <v>585</v>
      </c>
      <c r="C255" s="4" t="s">
        <v>10</v>
      </c>
      <c r="D255" s="4" t="s">
        <v>28</v>
      </c>
      <c r="E255" s="4" t="s">
        <v>29</v>
      </c>
      <c r="F255" s="4" t="s">
        <v>297</v>
      </c>
      <c r="G255" s="4" t="s">
        <v>298</v>
      </c>
      <c r="H255" s="4" t="s">
        <v>104</v>
      </c>
      <c r="I255" s="4" t="s">
        <v>221</v>
      </c>
      <c r="J255" s="4" t="s">
        <v>222</v>
      </c>
      <c r="K255" s="7">
        <v>2383.9868000000001</v>
      </c>
      <c r="L255" s="7">
        <v>2503.17</v>
      </c>
      <c r="M255" s="7">
        <v>2133.0542</v>
      </c>
      <c r="N255" s="7">
        <v>2278.2143999999998</v>
      </c>
      <c r="O255" s="7">
        <v>2308.0255999999999</v>
      </c>
      <c r="P255" s="7">
        <v>2269.1527999999998</v>
      </c>
      <c r="Q255" s="7">
        <v>2357.5540000000001</v>
      </c>
      <c r="R255" s="7">
        <v>2314.085</v>
      </c>
      <c r="S255" s="7"/>
      <c r="T255" s="7"/>
      <c r="U255" s="7"/>
      <c r="V255" s="7"/>
      <c r="W255" s="11">
        <f t="shared" si="4"/>
        <v>18547.2428</v>
      </c>
    </row>
    <row r="256" spans="1:23" x14ac:dyDescent="0.2">
      <c r="A256" s="4" t="s">
        <v>570</v>
      </c>
      <c r="B256" s="4" t="s">
        <v>585</v>
      </c>
      <c r="C256" s="4" t="s">
        <v>10</v>
      </c>
      <c r="D256" s="4" t="s">
        <v>28</v>
      </c>
      <c r="E256" s="4" t="s">
        <v>29</v>
      </c>
      <c r="F256" s="4" t="s">
        <v>299</v>
      </c>
      <c r="G256" s="4" t="s">
        <v>300</v>
      </c>
      <c r="H256" s="4" t="s">
        <v>104</v>
      </c>
      <c r="I256" s="4" t="s">
        <v>221</v>
      </c>
      <c r="J256" s="4" t="s">
        <v>222</v>
      </c>
      <c r="K256" s="7">
        <v>1810.2238</v>
      </c>
      <c r="L256" s="7">
        <v>1834.6106</v>
      </c>
      <c r="M256" s="7">
        <v>1525.4232</v>
      </c>
      <c r="N256" s="7">
        <v>1987.3471999999999</v>
      </c>
      <c r="O256" s="7">
        <v>1949.1564000000001</v>
      </c>
      <c r="P256" s="7">
        <v>1997.5896</v>
      </c>
      <c r="Q256" s="7">
        <v>2744.9268000000002</v>
      </c>
      <c r="R256" s="7">
        <v>2129.1984000000002</v>
      </c>
      <c r="S256" s="7"/>
      <c r="T256" s="7"/>
      <c r="U256" s="7"/>
      <c r="V256" s="7"/>
      <c r="W256" s="11">
        <f t="shared" si="4"/>
        <v>15978.476000000002</v>
      </c>
    </row>
    <row r="257" spans="1:23" x14ac:dyDescent="0.2">
      <c r="A257" s="4" t="s">
        <v>570</v>
      </c>
      <c r="B257" s="4" t="s">
        <v>585</v>
      </c>
      <c r="C257" s="4" t="s">
        <v>10</v>
      </c>
      <c r="D257" s="4" t="s">
        <v>28</v>
      </c>
      <c r="E257" s="4" t="s">
        <v>29</v>
      </c>
      <c r="F257" s="4" t="s">
        <v>740</v>
      </c>
      <c r="G257" s="4" t="s">
        <v>741</v>
      </c>
      <c r="H257" s="4" t="s">
        <v>104</v>
      </c>
      <c r="I257" s="4" t="s">
        <v>221</v>
      </c>
      <c r="J257" s="4" t="s">
        <v>222</v>
      </c>
      <c r="K257" s="7">
        <v>488.8</v>
      </c>
      <c r="L257" s="7">
        <v>319.60000000000002</v>
      </c>
      <c r="M257" s="7">
        <v>0</v>
      </c>
      <c r="N257" s="7">
        <v>0</v>
      </c>
      <c r="O257" s="7">
        <v>287.03190000000001</v>
      </c>
      <c r="P257" s="7">
        <v>291.28160000000003</v>
      </c>
      <c r="Q257" s="7">
        <v>0</v>
      </c>
      <c r="R257" s="7">
        <v>421.32600000000002</v>
      </c>
      <c r="S257" s="7"/>
      <c r="T257" s="7"/>
      <c r="U257" s="7"/>
      <c r="V257" s="7"/>
      <c r="W257" s="11">
        <f t="shared" si="4"/>
        <v>1808.0395000000001</v>
      </c>
    </row>
    <row r="258" spans="1:23" x14ac:dyDescent="0.2">
      <c r="A258" s="4" t="s">
        <v>570</v>
      </c>
      <c r="B258" s="4" t="s">
        <v>585</v>
      </c>
      <c r="C258" s="4" t="s">
        <v>10</v>
      </c>
      <c r="D258" s="4" t="s">
        <v>28</v>
      </c>
      <c r="E258" s="4" t="s">
        <v>29</v>
      </c>
      <c r="F258" s="4" t="s">
        <v>301</v>
      </c>
      <c r="G258" s="4" t="s">
        <v>302</v>
      </c>
      <c r="H258" s="4" t="s">
        <v>196</v>
      </c>
      <c r="I258" s="4" t="s">
        <v>197</v>
      </c>
      <c r="J258" s="4" t="s">
        <v>216</v>
      </c>
      <c r="K258" s="7">
        <v>600.74</v>
      </c>
      <c r="L258" s="7">
        <v>296.94</v>
      </c>
      <c r="M258" s="7">
        <v>745.78</v>
      </c>
      <c r="N258" s="7">
        <v>1456.28</v>
      </c>
      <c r="O258" s="7">
        <v>349.86</v>
      </c>
      <c r="P258" s="7">
        <v>342.02</v>
      </c>
      <c r="Q258" s="7">
        <v>315.56</v>
      </c>
      <c r="R258" s="7">
        <v>234.22</v>
      </c>
      <c r="S258" s="7"/>
      <c r="T258" s="7"/>
      <c r="U258" s="7"/>
      <c r="V258" s="7"/>
      <c r="W258" s="11">
        <f t="shared" si="4"/>
        <v>4341.4000000000005</v>
      </c>
    </row>
    <row r="259" spans="1:23" x14ac:dyDescent="0.2">
      <c r="A259" s="4" t="s">
        <v>570</v>
      </c>
      <c r="B259" s="4" t="s">
        <v>585</v>
      </c>
      <c r="C259" s="4" t="s">
        <v>10</v>
      </c>
      <c r="D259" s="4" t="s">
        <v>28</v>
      </c>
      <c r="E259" s="4" t="s">
        <v>29</v>
      </c>
      <c r="F259" s="4" t="s">
        <v>955</v>
      </c>
      <c r="G259" s="4" t="s">
        <v>889</v>
      </c>
      <c r="H259" s="4" t="s">
        <v>196</v>
      </c>
      <c r="I259" s="4" t="s">
        <v>197</v>
      </c>
      <c r="J259" s="4" t="s">
        <v>216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143.42400000000001</v>
      </c>
      <c r="R259" s="7">
        <v>396.60300000000001</v>
      </c>
      <c r="S259" s="7"/>
      <c r="T259" s="7"/>
      <c r="U259" s="7"/>
      <c r="V259" s="7"/>
      <c r="W259" s="11">
        <f t="shared" si="4"/>
        <v>540.02700000000004</v>
      </c>
    </row>
    <row r="260" spans="1:23" x14ac:dyDescent="0.2">
      <c r="A260" s="4" t="s">
        <v>570</v>
      </c>
      <c r="B260" s="4" t="s">
        <v>585</v>
      </c>
      <c r="C260" s="4" t="s">
        <v>10</v>
      </c>
      <c r="D260" s="4" t="s">
        <v>28</v>
      </c>
      <c r="E260" s="4" t="s">
        <v>29</v>
      </c>
      <c r="F260" s="4" t="s">
        <v>933</v>
      </c>
      <c r="G260" s="4" t="s">
        <v>889</v>
      </c>
      <c r="H260" s="4" t="s">
        <v>196</v>
      </c>
      <c r="I260" s="4" t="s">
        <v>197</v>
      </c>
      <c r="J260" s="4" t="s">
        <v>216</v>
      </c>
      <c r="K260" s="7">
        <v>0</v>
      </c>
      <c r="L260" s="7">
        <v>0</v>
      </c>
      <c r="M260" s="7">
        <v>0</v>
      </c>
      <c r="N260" s="7">
        <v>0</v>
      </c>
      <c r="O260" s="7">
        <v>270.72899999999998</v>
      </c>
      <c r="P260" s="7">
        <v>347.65199999999999</v>
      </c>
      <c r="Q260" s="7">
        <v>0</v>
      </c>
      <c r="R260" s="7">
        <v>0</v>
      </c>
      <c r="S260" s="7"/>
      <c r="T260" s="7"/>
      <c r="U260" s="7"/>
      <c r="V260" s="7"/>
      <c r="W260" s="11">
        <f t="shared" si="4"/>
        <v>618.38099999999997</v>
      </c>
    </row>
    <row r="261" spans="1:23" x14ac:dyDescent="0.2">
      <c r="A261" s="4" t="s">
        <v>570</v>
      </c>
      <c r="B261" s="4" t="s">
        <v>585</v>
      </c>
      <c r="C261" s="4" t="s">
        <v>10</v>
      </c>
      <c r="D261" s="4" t="s">
        <v>28</v>
      </c>
      <c r="E261" s="4" t="s">
        <v>29</v>
      </c>
      <c r="F261" s="4" t="s">
        <v>303</v>
      </c>
      <c r="G261" s="4" t="s">
        <v>304</v>
      </c>
      <c r="H261" s="4" t="s">
        <v>196</v>
      </c>
      <c r="I261" s="4" t="s">
        <v>202</v>
      </c>
      <c r="J261" s="4" t="s">
        <v>205</v>
      </c>
      <c r="K261" s="7">
        <v>2029.9680000000001</v>
      </c>
      <c r="L261" s="7">
        <v>2002.9949999999999</v>
      </c>
      <c r="M261" s="7">
        <v>1985.0129999999999</v>
      </c>
      <c r="N261" s="7">
        <v>1999.998</v>
      </c>
      <c r="O261" s="7">
        <v>1968.03</v>
      </c>
      <c r="P261" s="7">
        <v>1950.048</v>
      </c>
      <c r="Q261" s="7">
        <v>1018.98</v>
      </c>
      <c r="R261" s="7">
        <v>1252.7460000000001</v>
      </c>
      <c r="S261" s="7"/>
      <c r="T261" s="7"/>
      <c r="U261" s="7"/>
      <c r="V261" s="7"/>
      <c r="W261" s="11">
        <f t="shared" si="4"/>
        <v>14207.778000000002</v>
      </c>
    </row>
    <row r="262" spans="1:23" x14ac:dyDescent="0.2">
      <c r="A262" s="4" t="s">
        <v>570</v>
      </c>
      <c r="B262" s="4" t="s">
        <v>585</v>
      </c>
      <c r="C262" s="4" t="s">
        <v>10</v>
      </c>
      <c r="D262" s="4" t="s">
        <v>28</v>
      </c>
      <c r="E262" s="4" t="s">
        <v>29</v>
      </c>
      <c r="F262" s="4" t="s">
        <v>305</v>
      </c>
      <c r="G262" s="4" t="s">
        <v>306</v>
      </c>
      <c r="H262" s="4" t="s">
        <v>196</v>
      </c>
      <c r="I262" s="4" t="s">
        <v>197</v>
      </c>
      <c r="J262" s="4" t="s">
        <v>216</v>
      </c>
      <c r="K262" s="7">
        <v>742.95</v>
      </c>
      <c r="L262" s="7">
        <v>608.4</v>
      </c>
      <c r="M262" s="7">
        <v>588.9</v>
      </c>
      <c r="N262" s="7">
        <v>814.125</v>
      </c>
      <c r="O262" s="7">
        <v>459.22500000000002</v>
      </c>
      <c r="P262" s="7">
        <v>314.92500000000001</v>
      </c>
      <c r="Q262" s="7">
        <v>494.32499999999999</v>
      </c>
      <c r="R262" s="7">
        <v>420.22500000000002</v>
      </c>
      <c r="S262" s="7"/>
      <c r="T262" s="7"/>
      <c r="U262" s="7"/>
      <c r="V262" s="7"/>
      <c r="W262" s="11">
        <f t="shared" si="4"/>
        <v>4443.0749999999998</v>
      </c>
    </row>
    <row r="263" spans="1:23" x14ac:dyDescent="0.2">
      <c r="A263" s="4" t="s">
        <v>570</v>
      </c>
      <c r="B263" s="4" t="s">
        <v>585</v>
      </c>
      <c r="C263" s="4" t="s">
        <v>10</v>
      </c>
      <c r="D263" s="4" t="s">
        <v>28</v>
      </c>
      <c r="E263" s="4" t="s">
        <v>29</v>
      </c>
      <c r="F263" s="4" t="s">
        <v>872</v>
      </c>
      <c r="G263" s="4" t="s">
        <v>873</v>
      </c>
      <c r="H263" s="4" t="s">
        <v>196</v>
      </c>
      <c r="I263" s="4" t="s">
        <v>202</v>
      </c>
      <c r="J263" s="4" t="s">
        <v>205</v>
      </c>
      <c r="K263" s="7">
        <v>0</v>
      </c>
      <c r="L263" s="7">
        <v>0</v>
      </c>
      <c r="M263" s="7">
        <v>0</v>
      </c>
      <c r="N263" s="7">
        <v>0</v>
      </c>
      <c r="O263" s="7">
        <v>3181.55</v>
      </c>
      <c r="P263" s="7">
        <v>0</v>
      </c>
      <c r="Q263" s="7">
        <v>2797.4</v>
      </c>
      <c r="R263" s="7">
        <v>1554.33</v>
      </c>
      <c r="S263" s="7"/>
      <c r="T263" s="7"/>
      <c r="U263" s="7"/>
      <c r="V263" s="7"/>
      <c r="W263" s="11">
        <f t="shared" si="4"/>
        <v>7533.2800000000007</v>
      </c>
    </row>
    <row r="264" spans="1:23" x14ac:dyDescent="0.2">
      <c r="A264" s="4" t="s">
        <v>570</v>
      </c>
      <c r="B264" s="4" t="s">
        <v>585</v>
      </c>
      <c r="C264" s="4" t="s">
        <v>10</v>
      </c>
      <c r="D264" s="4" t="s">
        <v>28</v>
      </c>
      <c r="E264" s="4" t="s">
        <v>29</v>
      </c>
      <c r="F264" s="4" t="s">
        <v>648</v>
      </c>
      <c r="G264" s="4" t="s">
        <v>649</v>
      </c>
      <c r="H264" s="4" t="s">
        <v>196</v>
      </c>
      <c r="I264" s="4" t="s">
        <v>197</v>
      </c>
      <c r="J264" s="4" t="s">
        <v>216</v>
      </c>
      <c r="K264" s="7">
        <v>331.24</v>
      </c>
      <c r="L264" s="7">
        <v>53.9</v>
      </c>
      <c r="M264" s="7">
        <v>43.12</v>
      </c>
      <c r="N264" s="7">
        <v>32.340000000000003</v>
      </c>
      <c r="O264" s="7">
        <v>89.18</v>
      </c>
      <c r="P264" s="7">
        <v>287.14</v>
      </c>
      <c r="Q264" s="7">
        <v>196.98</v>
      </c>
      <c r="R264" s="7">
        <v>303.8</v>
      </c>
      <c r="S264" s="7"/>
      <c r="T264" s="7"/>
      <c r="U264" s="7"/>
      <c r="V264" s="7"/>
      <c r="W264" s="11">
        <f t="shared" si="4"/>
        <v>1337.6999999999998</v>
      </c>
    </row>
    <row r="265" spans="1:23" x14ac:dyDescent="0.2">
      <c r="A265" s="4" t="s">
        <v>570</v>
      </c>
      <c r="B265" s="4" t="s">
        <v>585</v>
      </c>
      <c r="C265" s="4" t="s">
        <v>10</v>
      </c>
      <c r="D265" s="4" t="s">
        <v>28</v>
      </c>
      <c r="E265" s="4" t="s">
        <v>29</v>
      </c>
      <c r="F265" s="4" t="s">
        <v>675</v>
      </c>
      <c r="G265" s="4" t="s">
        <v>676</v>
      </c>
      <c r="H265" s="4" t="s">
        <v>196</v>
      </c>
      <c r="I265" s="4" t="s">
        <v>202</v>
      </c>
      <c r="J265" s="4" t="s">
        <v>205</v>
      </c>
      <c r="K265" s="7">
        <v>0</v>
      </c>
      <c r="L265" s="7">
        <v>0</v>
      </c>
      <c r="M265" s="7">
        <v>0</v>
      </c>
      <c r="N265" s="7">
        <v>2091.3200000000002</v>
      </c>
      <c r="O265" s="7">
        <v>1215.2</v>
      </c>
      <c r="P265" s="7">
        <v>1360.5751</v>
      </c>
      <c r="Q265" s="7">
        <v>2026.7873999999999</v>
      </c>
      <c r="R265" s="7">
        <v>2242.6125000000002</v>
      </c>
      <c r="S265" s="7"/>
      <c r="T265" s="7"/>
      <c r="U265" s="7"/>
      <c r="V265" s="7"/>
      <c r="W265" s="11">
        <f t="shared" si="4"/>
        <v>8936.4950000000008</v>
      </c>
    </row>
    <row r="266" spans="1:23" x14ac:dyDescent="0.2">
      <c r="A266" s="4" t="s">
        <v>570</v>
      </c>
      <c r="B266" s="4" t="s">
        <v>585</v>
      </c>
      <c r="C266" s="4" t="s">
        <v>10</v>
      </c>
      <c r="D266" s="4" t="s">
        <v>28</v>
      </c>
      <c r="E266" s="4" t="s">
        <v>29</v>
      </c>
      <c r="F266" s="4" t="s">
        <v>785</v>
      </c>
      <c r="G266" s="4" t="s">
        <v>786</v>
      </c>
      <c r="H266" s="4" t="s">
        <v>196</v>
      </c>
      <c r="I266" s="4" t="s">
        <v>202</v>
      </c>
      <c r="J266" s="4" t="s">
        <v>205</v>
      </c>
      <c r="K266" s="7">
        <v>0</v>
      </c>
      <c r="L266" s="7">
        <v>0</v>
      </c>
      <c r="M266" s="7">
        <v>2815.1819999999998</v>
      </c>
      <c r="N266" s="7">
        <v>1295.703</v>
      </c>
      <c r="O266" s="7">
        <v>1127.8710000000001</v>
      </c>
      <c r="P266" s="7">
        <v>1300.6980000000001</v>
      </c>
      <c r="Q266" s="7">
        <v>1309.6890000000001</v>
      </c>
      <c r="R266" s="7">
        <v>1339.6590000000001</v>
      </c>
      <c r="S266" s="7"/>
      <c r="T266" s="7"/>
      <c r="U266" s="7"/>
      <c r="V266" s="7"/>
      <c r="W266" s="11">
        <f t="shared" si="4"/>
        <v>9188.8020000000015</v>
      </c>
    </row>
    <row r="267" spans="1:23" x14ac:dyDescent="0.2">
      <c r="A267" s="4" t="s">
        <v>570</v>
      </c>
      <c r="B267" s="4" t="s">
        <v>585</v>
      </c>
      <c r="C267" s="4" t="s">
        <v>10</v>
      </c>
      <c r="D267" s="4" t="s">
        <v>28</v>
      </c>
      <c r="E267" s="4" t="s">
        <v>29</v>
      </c>
      <c r="F267" s="4" t="s">
        <v>308</v>
      </c>
      <c r="G267" s="4" t="s">
        <v>309</v>
      </c>
      <c r="H267" s="4" t="s">
        <v>196</v>
      </c>
      <c r="I267" s="4" t="s">
        <v>202</v>
      </c>
      <c r="J267" s="4" t="s">
        <v>196</v>
      </c>
      <c r="K267" s="7">
        <v>2021.9760000000001</v>
      </c>
      <c r="L267" s="7">
        <v>0</v>
      </c>
      <c r="M267" s="7">
        <v>0</v>
      </c>
      <c r="N267" s="7">
        <v>0</v>
      </c>
      <c r="O267" s="7">
        <v>1010.9880000000001</v>
      </c>
      <c r="P267" s="7">
        <v>1014.984</v>
      </c>
      <c r="Q267" s="7">
        <v>2503.4940000000001</v>
      </c>
      <c r="R267" s="7">
        <v>1524.4739999999999</v>
      </c>
      <c r="S267" s="7"/>
      <c r="T267" s="7"/>
      <c r="U267" s="7"/>
      <c r="V267" s="7"/>
      <c r="W267" s="11">
        <f t="shared" si="4"/>
        <v>8075.9160000000002</v>
      </c>
    </row>
    <row r="268" spans="1:23" x14ac:dyDescent="0.2">
      <c r="A268" s="4" t="s">
        <v>570</v>
      </c>
      <c r="B268" s="4" t="s">
        <v>585</v>
      </c>
      <c r="C268" s="4" t="s">
        <v>10</v>
      </c>
      <c r="D268" s="4" t="s">
        <v>28</v>
      </c>
      <c r="E268" s="4" t="s">
        <v>29</v>
      </c>
      <c r="F268" s="4" t="s">
        <v>590</v>
      </c>
      <c r="G268" s="4" t="s">
        <v>558</v>
      </c>
      <c r="H268" s="4" t="s">
        <v>196</v>
      </c>
      <c r="I268" s="4" t="s">
        <v>202</v>
      </c>
      <c r="J268" s="4" t="s">
        <v>205</v>
      </c>
      <c r="K268" s="7">
        <v>485.1</v>
      </c>
      <c r="L268" s="7">
        <v>600.74</v>
      </c>
      <c r="M268" s="7">
        <v>2614.64</v>
      </c>
      <c r="N268" s="7">
        <v>491.96</v>
      </c>
      <c r="O268" s="7">
        <v>1050.56</v>
      </c>
      <c r="P268" s="7">
        <v>797.72</v>
      </c>
      <c r="Q268" s="7">
        <v>956.48</v>
      </c>
      <c r="R268" s="7">
        <v>531.16</v>
      </c>
      <c r="S268" s="7"/>
      <c r="T268" s="7"/>
      <c r="U268" s="7"/>
      <c r="V268" s="7"/>
      <c r="W268" s="11">
        <f t="shared" si="4"/>
        <v>7528.3600000000006</v>
      </c>
    </row>
    <row r="269" spans="1:23" x14ac:dyDescent="0.2">
      <c r="A269" s="4" t="s">
        <v>570</v>
      </c>
      <c r="B269" s="4" t="s">
        <v>585</v>
      </c>
      <c r="C269" s="4" t="s">
        <v>10</v>
      </c>
      <c r="D269" s="4" t="s">
        <v>28</v>
      </c>
      <c r="E269" s="4" t="s">
        <v>29</v>
      </c>
      <c r="F269" s="4" t="s">
        <v>310</v>
      </c>
      <c r="G269" s="4" t="s">
        <v>311</v>
      </c>
      <c r="H269" s="4" t="s">
        <v>196</v>
      </c>
      <c r="I269" s="4" t="s">
        <v>197</v>
      </c>
      <c r="J269" s="4" t="s">
        <v>216</v>
      </c>
      <c r="K269" s="7">
        <v>245.98</v>
      </c>
      <c r="L269" s="7">
        <v>343.98</v>
      </c>
      <c r="M269" s="7">
        <v>245.98</v>
      </c>
      <c r="N269" s="7">
        <v>254.8</v>
      </c>
      <c r="O269" s="7">
        <v>355.74</v>
      </c>
      <c r="P269" s="7">
        <v>279.3</v>
      </c>
      <c r="Q269" s="7">
        <v>486.08</v>
      </c>
      <c r="R269" s="7">
        <v>343.98</v>
      </c>
      <c r="S269" s="7"/>
      <c r="T269" s="7"/>
      <c r="U269" s="7"/>
      <c r="V269" s="7"/>
      <c r="W269" s="11">
        <f t="shared" si="4"/>
        <v>2555.84</v>
      </c>
    </row>
    <row r="270" spans="1:23" x14ac:dyDescent="0.2">
      <c r="A270" s="4" t="s">
        <v>570</v>
      </c>
      <c r="B270" s="4" t="s">
        <v>585</v>
      </c>
      <c r="C270" s="4" t="s">
        <v>10</v>
      </c>
      <c r="D270" s="4" t="s">
        <v>28</v>
      </c>
      <c r="E270" s="4" t="s">
        <v>29</v>
      </c>
      <c r="F270" s="4" t="s">
        <v>312</v>
      </c>
      <c r="G270" s="4" t="s">
        <v>313</v>
      </c>
      <c r="H270" s="4" t="s">
        <v>196</v>
      </c>
      <c r="I270" s="4" t="s">
        <v>197</v>
      </c>
      <c r="J270" s="4" t="s">
        <v>198</v>
      </c>
      <c r="K270" s="7">
        <v>254.14</v>
      </c>
      <c r="L270" s="7">
        <v>0</v>
      </c>
      <c r="M270" s="7">
        <v>261.89999999999998</v>
      </c>
      <c r="N270" s="7">
        <v>269.66000000000003</v>
      </c>
      <c r="O270" s="7">
        <v>254.14</v>
      </c>
      <c r="P270" s="7">
        <v>294.88</v>
      </c>
      <c r="Q270" s="7">
        <v>252.2</v>
      </c>
      <c r="R270" s="7">
        <v>279.36</v>
      </c>
      <c r="S270" s="7"/>
      <c r="T270" s="7"/>
      <c r="U270" s="7"/>
      <c r="V270" s="7"/>
      <c r="W270" s="11">
        <f t="shared" si="4"/>
        <v>1866.2800000000002</v>
      </c>
    </row>
    <row r="271" spans="1:23" x14ac:dyDescent="0.2">
      <c r="A271" s="4" t="s">
        <v>570</v>
      </c>
      <c r="B271" s="4" t="s">
        <v>585</v>
      </c>
      <c r="C271" s="4" t="s">
        <v>10</v>
      </c>
      <c r="D271" s="4" t="s">
        <v>28</v>
      </c>
      <c r="E271" s="4" t="s">
        <v>29</v>
      </c>
      <c r="F271" s="4" t="s">
        <v>312</v>
      </c>
      <c r="G271" s="4" t="s">
        <v>707</v>
      </c>
      <c r="H271" s="4" t="s">
        <v>196</v>
      </c>
      <c r="I271" s="4" t="s">
        <v>197</v>
      </c>
      <c r="J271" s="4" t="s">
        <v>198</v>
      </c>
      <c r="K271" s="7">
        <v>0</v>
      </c>
      <c r="L271" s="7">
        <v>248.32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/>
      <c r="T271" s="7"/>
      <c r="U271" s="7"/>
      <c r="V271" s="7"/>
      <c r="W271" s="11">
        <f t="shared" si="4"/>
        <v>248.32</v>
      </c>
    </row>
    <row r="272" spans="1:23" x14ac:dyDescent="0.2">
      <c r="A272" s="4" t="s">
        <v>570</v>
      </c>
      <c r="B272" s="4" t="s">
        <v>585</v>
      </c>
      <c r="C272" s="4" t="s">
        <v>10</v>
      </c>
      <c r="D272" s="4" t="s">
        <v>28</v>
      </c>
      <c r="E272" s="4" t="s">
        <v>29</v>
      </c>
      <c r="F272" s="4" t="s">
        <v>314</v>
      </c>
      <c r="G272" s="4" t="s">
        <v>315</v>
      </c>
      <c r="H272" s="4" t="s">
        <v>196</v>
      </c>
      <c r="I272" s="4" t="s">
        <v>202</v>
      </c>
      <c r="J272" s="4" t="s">
        <v>205</v>
      </c>
      <c r="K272" s="7">
        <v>633.41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/>
      <c r="T272" s="7"/>
      <c r="U272" s="7"/>
      <c r="V272" s="7"/>
      <c r="W272" s="11">
        <f t="shared" si="4"/>
        <v>633.41</v>
      </c>
    </row>
    <row r="273" spans="1:23" x14ac:dyDescent="0.2">
      <c r="A273" s="4" t="s">
        <v>570</v>
      </c>
      <c r="B273" s="4" t="s">
        <v>585</v>
      </c>
      <c r="C273" s="4" t="s">
        <v>10</v>
      </c>
      <c r="D273" s="4" t="s">
        <v>28</v>
      </c>
      <c r="E273" s="4" t="s">
        <v>29</v>
      </c>
      <c r="F273" s="4" t="s">
        <v>314</v>
      </c>
      <c r="G273" s="4" t="s">
        <v>833</v>
      </c>
      <c r="H273" s="4" t="s">
        <v>196</v>
      </c>
      <c r="I273" s="4" t="s">
        <v>202</v>
      </c>
      <c r="J273" s="4" t="s">
        <v>196</v>
      </c>
      <c r="K273" s="7">
        <v>0</v>
      </c>
      <c r="L273" s="7">
        <v>0</v>
      </c>
      <c r="M273" s="7">
        <v>0</v>
      </c>
      <c r="N273" s="7">
        <v>630.5</v>
      </c>
      <c r="O273" s="7">
        <v>733.32</v>
      </c>
      <c r="P273" s="7">
        <v>0</v>
      </c>
      <c r="Q273" s="7">
        <v>0</v>
      </c>
      <c r="R273" s="7">
        <v>0</v>
      </c>
      <c r="S273" s="7"/>
      <c r="T273" s="7"/>
      <c r="U273" s="7"/>
      <c r="V273" s="7"/>
      <c r="W273" s="11">
        <f t="shared" si="4"/>
        <v>1363.8200000000002</v>
      </c>
    </row>
    <row r="274" spans="1:23" x14ac:dyDescent="0.2">
      <c r="A274" s="4" t="s">
        <v>570</v>
      </c>
      <c r="B274" s="4" t="s">
        <v>585</v>
      </c>
      <c r="C274" s="4" t="s">
        <v>10</v>
      </c>
      <c r="D274" s="4" t="s">
        <v>28</v>
      </c>
      <c r="E274" s="4" t="s">
        <v>29</v>
      </c>
      <c r="F274" s="4" t="s">
        <v>708</v>
      </c>
      <c r="G274" s="4" t="s">
        <v>709</v>
      </c>
      <c r="H274" s="4" t="s">
        <v>196</v>
      </c>
      <c r="I274" s="4" t="s">
        <v>202</v>
      </c>
      <c r="J274" s="4" t="s">
        <v>196</v>
      </c>
      <c r="K274" s="7">
        <v>0</v>
      </c>
      <c r="L274" s="7">
        <v>622.74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/>
      <c r="T274" s="7"/>
      <c r="U274" s="7"/>
      <c r="V274" s="7"/>
      <c r="W274" s="11">
        <f t="shared" si="4"/>
        <v>622.74</v>
      </c>
    </row>
    <row r="275" spans="1:23" x14ac:dyDescent="0.2">
      <c r="A275" s="4" t="s">
        <v>570</v>
      </c>
      <c r="B275" s="4" t="s">
        <v>585</v>
      </c>
      <c r="C275" s="4" t="s">
        <v>10</v>
      </c>
      <c r="D275" s="4" t="s">
        <v>28</v>
      </c>
      <c r="E275" s="4" t="s">
        <v>29</v>
      </c>
      <c r="F275" s="4" t="s">
        <v>316</v>
      </c>
      <c r="G275" s="4" t="s">
        <v>552</v>
      </c>
      <c r="H275" s="4" t="s">
        <v>196</v>
      </c>
      <c r="I275" s="4" t="s">
        <v>202</v>
      </c>
      <c r="J275" s="4" t="s">
        <v>196</v>
      </c>
      <c r="K275" s="7">
        <v>219.78</v>
      </c>
      <c r="L275" s="7">
        <v>195.804</v>
      </c>
      <c r="M275" s="7">
        <v>94.525000000000006</v>
      </c>
      <c r="N275" s="7">
        <v>326.346</v>
      </c>
      <c r="O275" s="7">
        <v>279.72000000000003</v>
      </c>
      <c r="P275" s="7">
        <v>62.936999999999998</v>
      </c>
      <c r="Q275" s="7">
        <v>115.536</v>
      </c>
      <c r="R275" s="7">
        <v>259.74</v>
      </c>
      <c r="S275" s="7"/>
      <c r="T275" s="7"/>
      <c r="U275" s="7"/>
      <c r="V275" s="7"/>
      <c r="W275" s="11">
        <f t="shared" si="4"/>
        <v>1554.3880000000001</v>
      </c>
    </row>
    <row r="276" spans="1:23" x14ac:dyDescent="0.2">
      <c r="A276" s="4" t="s">
        <v>570</v>
      </c>
      <c r="B276" s="4" t="s">
        <v>585</v>
      </c>
      <c r="C276" s="4" t="s">
        <v>10</v>
      </c>
      <c r="D276" s="4" t="s">
        <v>28</v>
      </c>
      <c r="E276" s="4" t="s">
        <v>29</v>
      </c>
      <c r="F276" s="4" t="s">
        <v>316</v>
      </c>
      <c r="G276" s="4" t="s">
        <v>317</v>
      </c>
      <c r="H276" s="4" t="s">
        <v>196</v>
      </c>
      <c r="I276" s="4" t="s">
        <v>197</v>
      </c>
      <c r="J276" s="4" t="s">
        <v>216</v>
      </c>
      <c r="K276" s="7">
        <v>647.35199999999998</v>
      </c>
      <c r="L276" s="7">
        <v>614.38499999999999</v>
      </c>
      <c r="M276" s="7">
        <v>343.65600000000001</v>
      </c>
      <c r="N276" s="7">
        <v>635.36400000000003</v>
      </c>
      <c r="O276" s="7">
        <v>508.49099999999999</v>
      </c>
      <c r="P276" s="7">
        <v>258.74099999999999</v>
      </c>
      <c r="Q276" s="7">
        <v>387.61200000000002</v>
      </c>
      <c r="R276" s="7">
        <v>486.51299999999998</v>
      </c>
      <c r="S276" s="7"/>
      <c r="T276" s="7"/>
      <c r="U276" s="7"/>
      <c r="V276" s="7"/>
      <c r="W276" s="11">
        <f t="shared" si="4"/>
        <v>3882.114</v>
      </c>
    </row>
    <row r="277" spans="1:23" x14ac:dyDescent="0.2">
      <c r="A277" s="4" t="s">
        <v>570</v>
      </c>
      <c r="B277" s="4" t="s">
        <v>585</v>
      </c>
      <c r="C277" s="4" t="s">
        <v>10</v>
      </c>
      <c r="D277" s="4" t="s">
        <v>28</v>
      </c>
      <c r="E277" s="4" t="s">
        <v>29</v>
      </c>
      <c r="F277" s="4" t="s">
        <v>540</v>
      </c>
      <c r="G277" s="4" t="s">
        <v>553</v>
      </c>
      <c r="H277" s="4" t="s">
        <v>196</v>
      </c>
      <c r="I277" s="4" t="s">
        <v>197</v>
      </c>
      <c r="J277" s="4" t="s">
        <v>198</v>
      </c>
      <c r="K277" s="7">
        <v>501.76</v>
      </c>
      <c r="L277" s="7">
        <v>261.66000000000003</v>
      </c>
      <c r="M277" s="7">
        <v>230.3</v>
      </c>
      <c r="N277" s="7">
        <v>274.39999999999998</v>
      </c>
      <c r="O277" s="7">
        <v>221.48</v>
      </c>
      <c r="P277" s="7">
        <v>145.04</v>
      </c>
      <c r="Q277" s="7">
        <v>0</v>
      </c>
      <c r="R277" s="7">
        <v>208.74</v>
      </c>
      <c r="S277" s="7"/>
      <c r="T277" s="7"/>
      <c r="U277" s="7"/>
      <c r="V277" s="7"/>
      <c r="W277" s="11">
        <f t="shared" si="4"/>
        <v>1843.3799999999999</v>
      </c>
    </row>
    <row r="278" spans="1:23" x14ac:dyDescent="0.2">
      <c r="A278" s="4" t="s">
        <v>570</v>
      </c>
      <c r="B278" s="4" t="s">
        <v>585</v>
      </c>
      <c r="C278" s="4" t="s">
        <v>10</v>
      </c>
      <c r="D278" s="4" t="s">
        <v>28</v>
      </c>
      <c r="E278" s="4" t="s">
        <v>29</v>
      </c>
      <c r="F278" s="4" t="s">
        <v>318</v>
      </c>
      <c r="G278" s="4" t="s">
        <v>948</v>
      </c>
      <c r="H278" s="4" t="s">
        <v>196</v>
      </c>
      <c r="I278" s="4" t="s">
        <v>202</v>
      </c>
      <c r="J278" s="4" t="s">
        <v>196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14.55</v>
      </c>
      <c r="R278" s="7">
        <v>0</v>
      </c>
      <c r="S278" s="7"/>
      <c r="T278" s="7"/>
      <c r="U278" s="7"/>
      <c r="V278" s="7"/>
      <c r="W278" s="11">
        <f t="shared" si="4"/>
        <v>14.55</v>
      </c>
    </row>
    <row r="279" spans="1:23" x14ac:dyDescent="0.2">
      <c r="A279" s="4" t="s">
        <v>570</v>
      </c>
      <c r="B279" s="4" t="s">
        <v>585</v>
      </c>
      <c r="C279" s="4" t="s">
        <v>10</v>
      </c>
      <c r="D279" s="4" t="s">
        <v>28</v>
      </c>
      <c r="E279" s="4" t="s">
        <v>29</v>
      </c>
      <c r="F279" s="4" t="s">
        <v>318</v>
      </c>
      <c r="G279" s="4" t="s">
        <v>319</v>
      </c>
      <c r="H279" s="4" t="s">
        <v>196</v>
      </c>
      <c r="I279" s="4" t="s">
        <v>202</v>
      </c>
      <c r="J279" s="4" t="s">
        <v>196</v>
      </c>
      <c r="K279" s="7">
        <v>105.73</v>
      </c>
      <c r="L279" s="7">
        <v>57.23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/>
      <c r="T279" s="7"/>
      <c r="U279" s="7"/>
      <c r="V279" s="7"/>
      <c r="W279" s="11">
        <f t="shared" si="4"/>
        <v>162.96</v>
      </c>
    </row>
    <row r="280" spans="1:23" x14ac:dyDescent="0.2">
      <c r="A280" s="4" t="s">
        <v>570</v>
      </c>
      <c r="B280" s="4" t="s">
        <v>585</v>
      </c>
      <c r="C280" s="4" t="s">
        <v>10</v>
      </c>
      <c r="D280" s="4" t="s">
        <v>28</v>
      </c>
      <c r="E280" s="4" t="s">
        <v>29</v>
      </c>
      <c r="F280" s="4" t="s">
        <v>541</v>
      </c>
      <c r="G280" s="4" t="s">
        <v>579</v>
      </c>
      <c r="H280" s="4" t="s">
        <v>196</v>
      </c>
      <c r="I280" s="4" t="s">
        <v>197</v>
      </c>
      <c r="J280" s="4" t="s">
        <v>216</v>
      </c>
      <c r="K280" s="7">
        <v>801.22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795.4</v>
      </c>
      <c r="S280" s="7"/>
      <c r="T280" s="7"/>
      <c r="U280" s="7"/>
      <c r="V280" s="7"/>
      <c r="W280" s="11">
        <f t="shared" si="4"/>
        <v>1596.62</v>
      </c>
    </row>
    <row r="281" spans="1:23" x14ac:dyDescent="0.2">
      <c r="A281" s="4" t="s">
        <v>570</v>
      </c>
      <c r="B281" s="4" t="s">
        <v>585</v>
      </c>
      <c r="C281" s="4" t="s">
        <v>10</v>
      </c>
      <c r="D281" s="4" t="s">
        <v>28</v>
      </c>
      <c r="E281" s="4" t="s">
        <v>29</v>
      </c>
      <c r="F281" s="4" t="s">
        <v>541</v>
      </c>
      <c r="G281" s="4" t="s">
        <v>787</v>
      </c>
      <c r="H281" s="4" t="s">
        <v>196</v>
      </c>
      <c r="I281" s="4" t="s">
        <v>197</v>
      </c>
      <c r="J281" s="4" t="s">
        <v>216</v>
      </c>
      <c r="K281" s="7">
        <v>0</v>
      </c>
      <c r="L281" s="7">
        <v>0</v>
      </c>
      <c r="M281" s="7">
        <v>631.47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/>
      <c r="T281" s="7"/>
      <c r="U281" s="7"/>
      <c r="V281" s="7"/>
      <c r="W281" s="11">
        <f t="shared" si="4"/>
        <v>631.47</v>
      </c>
    </row>
    <row r="282" spans="1:23" x14ac:dyDescent="0.2">
      <c r="A282" s="4" t="s">
        <v>570</v>
      </c>
      <c r="B282" s="4" t="s">
        <v>585</v>
      </c>
      <c r="C282" s="4" t="s">
        <v>10</v>
      </c>
      <c r="D282" s="4" t="s">
        <v>28</v>
      </c>
      <c r="E282" s="4" t="s">
        <v>29</v>
      </c>
      <c r="F282" s="4" t="s">
        <v>542</v>
      </c>
      <c r="G282" s="4" t="s">
        <v>616</v>
      </c>
      <c r="H282" s="4" t="s">
        <v>196</v>
      </c>
      <c r="I282" s="4" t="s">
        <v>197</v>
      </c>
      <c r="J282" s="4" t="s">
        <v>198</v>
      </c>
      <c r="K282" s="7">
        <v>80.77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/>
      <c r="T282" s="7"/>
      <c r="U282" s="7"/>
      <c r="V282" s="7"/>
      <c r="W282" s="11">
        <f t="shared" si="4"/>
        <v>80.77</v>
      </c>
    </row>
    <row r="283" spans="1:23" x14ac:dyDescent="0.2">
      <c r="A283" s="4" t="s">
        <v>570</v>
      </c>
      <c r="B283" s="4" t="s">
        <v>585</v>
      </c>
      <c r="C283" s="4" t="s">
        <v>10</v>
      </c>
      <c r="D283" s="4" t="s">
        <v>28</v>
      </c>
      <c r="E283" s="4" t="s">
        <v>29</v>
      </c>
      <c r="F283" s="4" t="s">
        <v>542</v>
      </c>
      <c r="G283" s="4" t="s">
        <v>710</v>
      </c>
      <c r="H283" s="4" t="s">
        <v>196</v>
      </c>
      <c r="I283" s="4" t="s">
        <v>197</v>
      </c>
      <c r="J283" s="4" t="s">
        <v>198</v>
      </c>
      <c r="K283" s="7">
        <v>0</v>
      </c>
      <c r="L283" s="7">
        <v>83.724999999999994</v>
      </c>
      <c r="M283" s="7">
        <v>88.65</v>
      </c>
      <c r="N283" s="7">
        <v>83.724999999999994</v>
      </c>
      <c r="O283" s="7">
        <v>111.30500000000001</v>
      </c>
      <c r="P283" s="7">
        <v>101.455</v>
      </c>
      <c r="Q283" s="7">
        <v>103.425</v>
      </c>
      <c r="R283" s="7">
        <v>353.61500000000001</v>
      </c>
      <c r="S283" s="7"/>
      <c r="T283" s="7"/>
      <c r="U283" s="7"/>
      <c r="V283" s="7"/>
      <c r="W283" s="11">
        <f t="shared" si="4"/>
        <v>925.9</v>
      </c>
    </row>
    <row r="284" spans="1:23" x14ac:dyDescent="0.2">
      <c r="A284" s="4" t="s">
        <v>570</v>
      </c>
      <c r="B284" s="4" t="s">
        <v>585</v>
      </c>
      <c r="C284" s="4" t="s">
        <v>10</v>
      </c>
      <c r="D284" s="4" t="s">
        <v>28</v>
      </c>
      <c r="E284" s="4" t="s">
        <v>29</v>
      </c>
      <c r="F284" s="4" t="s">
        <v>788</v>
      </c>
      <c r="G284" s="4" t="s">
        <v>789</v>
      </c>
      <c r="H284" s="4" t="s">
        <v>196</v>
      </c>
      <c r="I284" s="4" t="s">
        <v>202</v>
      </c>
      <c r="J284" s="4" t="s">
        <v>196</v>
      </c>
      <c r="K284" s="7">
        <v>139.16</v>
      </c>
      <c r="L284" s="7">
        <v>0</v>
      </c>
      <c r="M284" s="7">
        <v>0</v>
      </c>
      <c r="N284" s="7">
        <v>467.46</v>
      </c>
      <c r="O284" s="7">
        <v>0</v>
      </c>
      <c r="P284" s="7">
        <v>0</v>
      </c>
      <c r="Q284" s="7">
        <v>0</v>
      </c>
      <c r="R284" s="7">
        <v>0</v>
      </c>
      <c r="S284" s="7"/>
      <c r="T284" s="7"/>
      <c r="U284" s="7"/>
      <c r="V284" s="7"/>
      <c r="W284" s="11">
        <f t="shared" si="4"/>
        <v>606.62</v>
      </c>
    </row>
    <row r="285" spans="1:23" x14ac:dyDescent="0.2">
      <c r="A285" s="4" t="s">
        <v>570</v>
      </c>
      <c r="B285" s="4" t="s">
        <v>585</v>
      </c>
      <c r="C285" s="4" t="s">
        <v>10</v>
      </c>
      <c r="D285" s="4" t="s">
        <v>28</v>
      </c>
      <c r="E285" s="4" t="s">
        <v>29</v>
      </c>
      <c r="F285" s="4" t="s">
        <v>788</v>
      </c>
      <c r="G285" s="4" t="s">
        <v>972</v>
      </c>
      <c r="H285" s="4" t="s">
        <v>196</v>
      </c>
      <c r="I285" s="4" t="s">
        <v>202</v>
      </c>
      <c r="J285" s="4" t="s">
        <v>196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260.68</v>
      </c>
      <c r="S285" s="7"/>
      <c r="T285" s="7"/>
      <c r="U285" s="7"/>
      <c r="V285" s="7"/>
      <c r="W285" s="11">
        <f t="shared" si="4"/>
        <v>260.68</v>
      </c>
    </row>
    <row r="286" spans="1:23" x14ac:dyDescent="0.2">
      <c r="A286" s="4" t="s">
        <v>570</v>
      </c>
      <c r="B286" s="4" t="s">
        <v>585</v>
      </c>
      <c r="C286" s="4" t="s">
        <v>10</v>
      </c>
      <c r="D286" s="4" t="s">
        <v>28</v>
      </c>
      <c r="E286" s="4" t="s">
        <v>29</v>
      </c>
      <c r="F286" s="4" t="s">
        <v>320</v>
      </c>
      <c r="G286" s="4" t="s">
        <v>321</v>
      </c>
      <c r="H286" s="4" t="s">
        <v>32</v>
      </c>
      <c r="I286" s="4" t="s">
        <v>199</v>
      </c>
      <c r="J286" s="4" t="s">
        <v>200</v>
      </c>
      <c r="K286" s="7">
        <v>43.875</v>
      </c>
      <c r="L286" s="7">
        <v>50.7</v>
      </c>
      <c r="M286" s="7">
        <v>43.875</v>
      </c>
      <c r="N286" s="7">
        <v>29.25</v>
      </c>
      <c r="O286" s="7">
        <v>35.1</v>
      </c>
      <c r="P286" s="7">
        <v>30.225000000000001</v>
      </c>
      <c r="Q286" s="7">
        <v>32.174999999999997</v>
      </c>
      <c r="R286" s="7">
        <v>27.3</v>
      </c>
      <c r="S286" s="7"/>
      <c r="T286" s="7"/>
      <c r="U286" s="7"/>
      <c r="V286" s="7"/>
      <c r="W286" s="11">
        <f t="shared" si="4"/>
        <v>292.5</v>
      </c>
    </row>
    <row r="287" spans="1:23" x14ac:dyDescent="0.2">
      <c r="A287" s="4" t="s">
        <v>570</v>
      </c>
      <c r="B287" s="4" t="s">
        <v>585</v>
      </c>
      <c r="C287" s="4" t="s">
        <v>10</v>
      </c>
      <c r="D287" s="4" t="s">
        <v>28</v>
      </c>
      <c r="E287" s="4" t="s">
        <v>29</v>
      </c>
      <c r="F287" s="4" t="s">
        <v>320</v>
      </c>
      <c r="G287" s="4" t="s">
        <v>322</v>
      </c>
      <c r="H287" s="4" t="s">
        <v>196</v>
      </c>
      <c r="I287" s="4" t="s">
        <v>202</v>
      </c>
      <c r="J287" s="4" t="s">
        <v>205</v>
      </c>
      <c r="K287" s="7">
        <v>48.75</v>
      </c>
      <c r="L287" s="7">
        <v>60.45</v>
      </c>
      <c r="M287" s="7">
        <v>49.725000000000001</v>
      </c>
      <c r="N287" s="7">
        <v>24.375</v>
      </c>
      <c r="O287" s="7">
        <v>31.2</v>
      </c>
      <c r="P287" s="7">
        <v>29.25</v>
      </c>
      <c r="Q287" s="7">
        <v>31.2</v>
      </c>
      <c r="R287" s="7">
        <v>20.475000000000001</v>
      </c>
      <c r="S287" s="7"/>
      <c r="T287" s="7"/>
      <c r="U287" s="7"/>
      <c r="V287" s="7"/>
      <c r="W287" s="11">
        <f t="shared" si="4"/>
        <v>295.42500000000001</v>
      </c>
    </row>
    <row r="288" spans="1:23" x14ac:dyDescent="0.2">
      <c r="A288" s="4" t="s">
        <v>570</v>
      </c>
      <c r="B288" s="4" t="s">
        <v>585</v>
      </c>
      <c r="C288" s="4" t="s">
        <v>10</v>
      </c>
      <c r="D288" s="4" t="s">
        <v>28</v>
      </c>
      <c r="E288" s="4" t="s">
        <v>29</v>
      </c>
      <c r="F288" s="4" t="s">
        <v>949</v>
      </c>
      <c r="G288" s="4" t="s">
        <v>950</v>
      </c>
      <c r="H288" s="4" t="s">
        <v>196</v>
      </c>
      <c r="I288" s="4" t="s">
        <v>197</v>
      </c>
      <c r="J288" s="4" t="s">
        <v>198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138.18</v>
      </c>
      <c r="R288" s="7">
        <v>146.02000000000001</v>
      </c>
      <c r="S288" s="7"/>
      <c r="T288" s="7"/>
      <c r="U288" s="7"/>
      <c r="V288" s="7"/>
      <c r="W288" s="11">
        <f t="shared" ref="W288:W345" si="5">SUM(K288:V288)</f>
        <v>284.20000000000005</v>
      </c>
    </row>
    <row r="289" spans="1:23" x14ac:dyDescent="0.2">
      <c r="A289" s="4" t="s">
        <v>570</v>
      </c>
      <c r="B289" s="4" t="s">
        <v>585</v>
      </c>
      <c r="C289" s="4" t="s">
        <v>10</v>
      </c>
      <c r="D289" s="4" t="s">
        <v>28</v>
      </c>
      <c r="E289" s="4" t="s">
        <v>29</v>
      </c>
      <c r="F289" s="4" t="s">
        <v>874</v>
      </c>
      <c r="G289" s="4" t="s">
        <v>875</v>
      </c>
      <c r="H289" s="4" t="s">
        <v>196</v>
      </c>
      <c r="I289" s="4" t="s">
        <v>197</v>
      </c>
      <c r="J289" s="4" t="s">
        <v>198</v>
      </c>
      <c r="K289" s="7">
        <v>104.999895</v>
      </c>
      <c r="L289" s="7">
        <v>0</v>
      </c>
      <c r="M289" s="7">
        <v>237.999762</v>
      </c>
      <c r="N289" s="7">
        <v>0</v>
      </c>
      <c r="O289" s="7">
        <v>187.99981199999999</v>
      </c>
      <c r="P289" s="7">
        <v>0</v>
      </c>
      <c r="Q289" s="7">
        <v>151.99984799999999</v>
      </c>
      <c r="R289" s="7">
        <v>171.99982800000001</v>
      </c>
      <c r="S289" s="7"/>
      <c r="T289" s="7"/>
      <c r="U289" s="7"/>
      <c r="V289" s="7"/>
      <c r="W289" s="11">
        <f t="shared" si="5"/>
        <v>854.999145</v>
      </c>
    </row>
    <row r="290" spans="1:23" x14ac:dyDescent="0.2">
      <c r="A290" s="4" t="s">
        <v>570</v>
      </c>
      <c r="B290" s="4" t="s">
        <v>585</v>
      </c>
      <c r="C290" s="4" t="s">
        <v>10</v>
      </c>
      <c r="D290" s="4" t="s">
        <v>28</v>
      </c>
      <c r="E290" s="4" t="s">
        <v>29</v>
      </c>
      <c r="F290" s="4" t="s">
        <v>323</v>
      </c>
      <c r="G290" s="4" t="s">
        <v>324</v>
      </c>
      <c r="H290" s="4" t="s">
        <v>196</v>
      </c>
      <c r="I290" s="4" t="s">
        <v>197</v>
      </c>
      <c r="J290" s="4" t="s">
        <v>216</v>
      </c>
      <c r="K290" s="7">
        <v>298.76</v>
      </c>
      <c r="L290" s="7">
        <v>0</v>
      </c>
      <c r="M290" s="7">
        <v>272.57</v>
      </c>
      <c r="N290" s="7">
        <v>354.05</v>
      </c>
      <c r="O290" s="7">
        <v>213.4</v>
      </c>
      <c r="P290" s="7">
        <v>355.02</v>
      </c>
      <c r="Q290" s="7">
        <v>195.94</v>
      </c>
      <c r="R290" s="7">
        <v>293.91000000000003</v>
      </c>
      <c r="S290" s="7"/>
      <c r="T290" s="7"/>
      <c r="U290" s="7"/>
      <c r="V290" s="7"/>
      <c r="W290" s="11">
        <f t="shared" si="5"/>
        <v>1983.65</v>
      </c>
    </row>
    <row r="291" spans="1:23" x14ac:dyDescent="0.2">
      <c r="A291" s="4" t="s">
        <v>570</v>
      </c>
      <c r="B291" s="4" t="s">
        <v>585</v>
      </c>
      <c r="C291" s="4" t="s">
        <v>10</v>
      </c>
      <c r="D291" s="4" t="s">
        <v>28</v>
      </c>
      <c r="E291" s="4" t="s">
        <v>29</v>
      </c>
      <c r="F291" s="4" t="s">
        <v>711</v>
      </c>
      <c r="G291" s="4" t="s">
        <v>712</v>
      </c>
      <c r="H291" s="4" t="s">
        <v>196</v>
      </c>
      <c r="I291" s="4" t="s">
        <v>197</v>
      </c>
      <c r="J291" s="4" t="s">
        <v>198</v>
      </c>
      <c r="K291" s="7">
        <v>0</v>
      </c>
      <c r="L291" s="7">
        <v>156.16999999999999</v>
      </c>
      <c r="M291" s="7">
        <v>51.41</v>
      </c>
      <c r="N291" s="7">
        <v>51.41</v>
      </c>
      <c r="O291" s="7">
        <v>49.47</v>
      </c>
      <c r="P291" s="7">
        <v>54.32</v>
      </c>
      <c r="Q291" s="7">
        <v>50.44</v>
      </c>
      <c r="R291" s="7">
        <v>103.79</v>
      </c>
      <c r="S291" s="7"/>
      <c r="T291" s="7"/>
      <c r="U291" s="7"/>
      <c r="V291" s="7"/>
      <c r="W291" s="11">
        <f t="shared" si="5"/>
        <v>517.01</v>
      </c>
    </row>
    <row r="292" spans="1:23" x14ac:dyDescent="0.2">
      <c r="A292" s="4" t="s">
        <v>570</v>
      </c>
      <c r="B292" s="4" t="s">
        <v>585</v>
      </c>
      <c r="C292" s="4" t="s">
        <v>10</v>
      </c>
      <c r="D292" s="4" t="s">
        <v>28</v>
      </c>
      <c r="E292" s="4" t="s">
        <v>29</v>
      </c>
      <c r="F292" s="4" t="s">
        <v>325</v>
      </c>
      <c r="G292" s="4" t="s">
        <v>326</v>
      </c>
      <c r="H292" s="4" t="s">
        <v>196</v>
      </c>
      <c r="I292" s="4" t="s">
        <v>202</v>
      </c>
      <c r="J292" s="4" t="s">
        <v>196</v>
      </c>
      <c r="K292" s="7">
        <v>640.91999999999996</v>
      </c>
      <c r="L292" s="7">
        <v>684.04</v>
      </c>
      <c r="M292" s="7">
        <v>767.34</v>
      </c>
      <c r="N292" s="7">
        <v>1138.76</v>
      </c>
      <c r="O292" s="7">
        <v>1002.54</v>
      </c>
      <c r="P292" s="7">
        <v>1002.54</v>
      </c>
      <c r="Q292" s="7">
        <v>1388.66</v>
      </c>
      <c r="R292" s="7">
        <v>1961.96</v>
      </c>
      <c r="S292" s="7"/>
      <c r="T292" s="7"/>
      <c r="U292" s="7"/>
      <c r="V292" s="7"/>
      <c r="W292" s="11">
        <f t="shared" si="5"/>
        <v>8586.76</v>
      </c>
    </row>
    <row r="293" spans="1:23" x14ac:dyDescent="0.2">
      <c r="A293" s="4" t="s">
        <v>570</v>
      </c>
      <c r="B293" s="4" t="s">
        <v>585</v>
      </c>
      <c r="C293" s="4" t="s">
        <v>10</v>
      </c>
      <c r="D293" s="4" t="s">
        <v>28</v>
      </c>
      <c r="E293" s="4" t="s">
        <v>29</v>
      </c>
      <c r="F293" s="4" t="s">
        <v>713</v>
      </c>
      <c r="G293" s="4" t="s">
        <v>714</v>
      </c>
      <c r="H293" s="4" t="s">
        <v>196</v>
      </c>
      <c r="I293" s="4" t="s">
        <v>202</v>
      </c>
      <c r="J293" s="4" t="s">
        <v>205</v>
      </c>
      <c r="K293" s="7">
        <v>2165.13</v>
      </c>
      <c r="L293" s="7">
        <v>1994.85</v>
      </c>
      <c r="M293" s="7">
        <v>2360.16</v>
      </c>
      <c r="N293" s="7">
        <v>2507.4899999999998</v>
      </c>
      <c r="O293" s="7">
        <v>2474.5230000000001</v>
      </c>
      <c r="P293" s="7">
        <v>3088.8</v>
      </c>
      <c r="Q293" s="7">
        <v>2997</v>
      </c>
      <c r="R293" s="7">
        <v>3126.87</v>
      </c>
      <c r="S293" s="7"/>
      <c r="T293" s="7"/>
      <c r="U293" s="7"/>
      <c r="V293" s="7"/>
      <c r="W293" s="11">
        <f t="shared" si="5"/>
        <v>20714.822999999997</v>
      </c>
    </row>
    <row r="294" spans="1:23" x14ac:dyDescent="0.2">
      <c r="A294" s="4" t="s">
        <v>570</v>
      </c>
      <c r="B294" s="4" t="s">
        <v>585</v>
      </c>
      <c r="C294" s="4" t="s">
        <v>10</v>
      </c>
      <c r="D294" s="4" t="s">
        <v>28</v>
      </c>
      <c r="E294" s="4" t="s">
        <v>29</v>
      </c>
      <c r="F294" s="4" t="s">
        <v>327</v>
      </c>
      <c r="G294" s="4" t="s">
        <v>328</v>
      </c>
      <c r="H294" s="4" t="s">
        <v>196</v>
      </c>
      <c r="I294" s="4" t="s">
        <v>197</v>
      </c>
      <c r="J294" s="4" t="s">
        <v>198</v>
      </c>
      <c r="K294" s="7">
        <v>621.53499999999997</v>
      </c>
      <c r="L294" s="7">
        <v>144.79499999999999</v>
      </c>
      <c r="M294" s="7">
        <v>850.05499999999995</v>
      </c>
      <c r="N294" s="7">
        <v>1055.92</v>
      </c>
      <c r="O294" s="7">
        <v>815.58</v>
      </c>
      <c r="P294" s="7">
        <v>584.10500000000002</v>
      </c>
      <c r="Q294" s="7">
        <v>655.02499999999998</v>
      </c>
      <c r="R294" s="7">
        <v>577.21</v>
      </c>
      <c r="S294" s="7"/>
      <c r="T294" s="7"/>
      <c r="U294" s="7"/>
      <c r="V294" s="7"/>
      <c r="W294" s="11">
        <f t="shared" si="5"/>
        <v>5304.2249999999995</v>
      </c>
    </row>
    <row r="295" spans="1:23" x14ac:dyDescent="0.2">
      <c r="A295" s="4" t="s">
        <v>570</v>
      </c>
      <c r="B295" s="4" t="s">
        <v>585</v>
      </c>
      <c r="C295" s="4" t="s">
        <v>10</v>
      </c>
      <c r="D295" s="4" t="s">
        <v>28</v>
      </c>
      <c r="E295" s="4" t="s">
        <v>29</v>
      </c>
      <c r="F295" s="4" t="s">
        <v>929</v>
      </c>
      <c r="G295" s="4" t="s">
        <v>930</v>
      </c>
      <c r="H295" s="4" t="s">
        <v>196</v>
      </c>
      <c r="I295" s="4" t="s">
        <v>197</v>
      </c>
      <c r="J295" s="4" t="s">
        <v>216</v>
      </c>
      <c r="K295" s="7">
        <v>0</v>
      </c>
      <c r="L295" s="7">
        <v>0</v>
      </c>
      <c r="M295" s="7">
        <v>291.999708</v>
      </c>
      <c r="N295" s="7">
        <v>0</v>
      </c>
      <c r="O295" s="7">
        <v>0</v>
      </c>
      <c r="P295" s="7">
        <v>0</v>
      </c>
      <c r="Q295" s="7">
        <v>270.999729</v>
      </c>
      <c r="R295" s="7">
        <v>0</v>
      </c>
      <c r="S295" s="7"/>
      <c r="T295" s="7"/>
      <c r="U295" s="7"/>
      <c r="V295" s="7"/>
      <c r="W295" s="11">
        <f t="shared" si="5"/>
        <v>562.99943699999994</v>
      </c>
    </row>
    <row r="296" spans="1:23" x14ac:dyDescent="0.2">
      <c r="A296" s="4" t="s">
        <v>570</v>
      </c>
      <c r="B296" s="4" t="s">
        <v>585</v>
      </c>
      <c r="C296" s="4" t="s">
        <v>10</v>
      </c>
      <c r="D296" s="4" t="s">
        <v>28</v>
      </c>
      <c r="E296" s="4" t="s">
        <v>29</v>
      </c>
      <c r="F296" s="4" t="s">
        <v>847</v>
      </c>
      <c r="G296" s="4" t="s">
        <v>848</v>
      </c>
      <c r="H296" s="4" t="s">
        <v>196</v>
      </c>
      <c r="I296" s="4" t="s">
        <v>202</v>
      </c>
      <c r="J296" s="4" t="s">
        <v>205</v>
      </c>
      <c r="K296" s="7">
        <v>909.1</v>
      </c>
      <c r="L296" s="7">
        <v>899</v>
      </c>
      <c r="M296" s="7">
        <v>434.2</v>
      </c>
      <c r="N296" s="7">
        <v>2601</v>
      </c>
      <c r="O296" s="7">
        <v>0</v>
      </c>
      <c r="P296" s="7">
        <v>715</v>
      </c>
      <c r="Q296" s="7">
        <v>536.4</v>
      </c>
      <c r="R296" s="7">
        <v>1242.7</v>
      </c>
      <c r="S296" s="7"/>
      <c r="T296" s="7"/>
      <c r="U296" s="7"/>
      <c r="V296" s="7"/>
      <c r="W296" s="11">
        <f t="shared" si="5"/>
        <v>7337.3999999999987</v>
      </c>
    </row>
    <row r="297" spans="1:23" x14ac:dyDescent="0.2">
      <c r="A297" s="4" t="s">
        <v>570</v>
      </c>
      <c r="B297" s="4" t="s">
        <v>585</v>
      </c>
      <c r="C297" s="4" t="s">
        <v>10</v>
      </c>
      <c r="D297" s="4" t="s">
        <v>28</v>
      </c>
      <c r="E297" s="4" t="s">
        <v>29</v>
      </c>
      <c r="F297" s="4" t="s">
        <v>329</v>
      </c>
      <c r="G297" s="4" t="s">
        <v>330</v>
      </c>
      <c r="H297" s="4" t="s">
        <v>196</v>
      </c>
      <c r="I297" s="4" t="s">
        <v>197</v>
      </c>
      <c r="J297" s="4" t="s">
        <v>216</v>
      </c>
      <c r="K297" s="7">
        <v>1102.8900000000001</v>
      </c>
      <c r="L297" s="7">
        <v>196.91</v>
      </c>
      <c r="M297" s="7">
        <v>116.4</v>
      </c>
      <c r="N297" s="7">
        <v>145.5</v>
      </c>
      <c r="O297" s="7">
        <v>1015.245</v>
      </c>
      <c r="P297" s="7">
        <v>1498.65</v>
      </c>
      <c r="Q297" s="7">
        <v>145.5</v>
      </c>
      <c r="R297" s="7">
        <v>2437.5129999999999</v>
      </c>
      <c r="S297" s="7"/>
      <c r="T297" s="7"/>
      <c r="U297" s="7"/>
      <c r="V297" s="7"/>
      <c r="W297" s="11">
        <f t="shared" si="5"/>
        <v>6658.6080000000002</v>
      </c>
    </row>
    <row r="298" spans="1:23" x14ac:dyDescent="0.2">
      <c r="A298" s="4" t="s">
        <v>570</v>
      </c>
      <c r="B298" s="4" t="s">
        <v>585</v>
      </c>
      <c r="C298" s="4" t="s">
        <v>10</v>
      </c>
      <c r="D298" s="4" t="s">
        <v>28</v>
      </c>
      <c r="E298" s="4" t="s">
        <v>29</v>
      </c>
      <c r="F298" s="4" t="s">
        <v>331</v>
      </c>
      <c r="G298" s="4" t="s">
        <v>332</v>
      </c>
      <c r="H298" s="4" t="s">
        <v>196</v>
      </c>
      <c r="I298" s="4" t="s">
        <v>202</v>
      </c>
      <c r="J298" s="4" t="s">
        <v>205</v>
      </c>
      <c r="K298" s="7">
        <v>2061.1799999999998</v>
      </c>
      <c r="L298" s="7">
        <v>1976.0219999999999</v>
      </c>
      <c r="M298" s="7">
        <v>1718.28</v>
      </c>
      <c r="N298" s="7">
        <v>1838.16</v>
      </c>
      <c r="O298" s="7">
        <v>1247.751</v>
      </c>
      <c r="P298" s="7">
        <v>1366.2</v>
      </c>
      <c r="Q298" s="7">
        <v>1518.48</v>
      </c>
      <c r="R298" s="7">
        <v>1808.19</v>
      </c>
      <c r="S298" s="7"/>
      <c r="T298" s="7"/>
      <c r="U298" s="7"/>
      <c r="V298" s="7"/>
      <c r="W298" s="11">
        <f t="shared" si="5"/>
        <v>13534.263000000001</v>
      </c>
    </row>
    <row r="299" spans="1:23" x14ac:dyDescent="0.2">
      <c r="A299" s="4" t="s">
        <v>570</v>
      </c>
      <c r="B299" s="4" t="s">
        <v>585</v>
      </c>
      <c r="C299" s="4" t="s">
        <v>10</v>
      </c>
      <c r="D299" s="4" t="s">
        <v>28</v>
      </c>
      <c r="E299" s="4" t="s">
        <v>29</v>
      </c>
      <c r="F299" s="4" t="s">
        <v>333</v>
      </c>
      <c r="G299" s="4" t="s">
        <v>334</v>
      </c>
      <c r="H299" s="4" t="s">
        <v>196</v>
      </c>
      <c r="I299" s="4" t="s">
        <v>202</v>
      </c>
      <c r="J299" s="4" t="s">
        <v>196</v>
      </c>
      <c r="K299" s="7">
        <v>1009.989</v>
      </c>
      <c r="L299" s="7">
        <v>865.13400000000001</v>
      </c>
      <c r="M299" s="7">
        <v>1051.9469999999999</v>
      </c>
      <c r="N299" s="7">
        <v>966.03300000000002</v>
      </c>
      <c r="O299" s="7">
        <v>1486.5119999999999</v>
      </c>
      <c r="P299" s="7">
        <v>996.00300000000004</v>
      </c>
      <c r="Q299" s="7">
        <v>898.101</v>
      </c>
      <c r="R299" s="7">
        <v>972.02700000000004</v>
      </c>
      <c r="S299" s="7"/>
      <c r="T299" s="7"/>
      <c r="U299" s="7"/>
      <c r="V299" s="7"/>
      <c r="W299" s="11">
        <f t="shared" si="5"/>
        <v>8245.7459999999992</v>
      </c>
    </row>
    <row r="300" spans="1:23" x14ac:dyDescent="0.2">
      <c r="A300" s="4" t="s">
        <v>570</v>
      </c>
      <c r="B300" s="4" t="s">
        <v>585</v>
      </c>
      <c r="C300" s="4" t="s">
        <v>10</v>
      </c>
      <c r="D300" s="4" t="s">
        <v>28</v>
      </c>
      <c r="E300" s="4" t="s">
        <v>29</v>
      </c>
      <c r="F300" s="4" t="s">
        <v>934</v>
      </c>
      <c r="G300" s="4" t="s">
        <v>935</v>
      </c>
      <c r="H300" s="4" t="s">
        <v>196</v>
      </c>
      <c r="I300" s="4" t="s">
        <v>202</v>
      </c>
      <c r="J300" s="4" t="s">
        <v>205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747.25199999999995</v>
      </c>
      <c r="Q300" s="7">
        <v>1489.509</v>
      </c>
      <c r="R300" s="7">
        <v>1036.962</v>
      </c>
      <c r="S300" s="7"/>
      <c r="T300" s="7"/>
      <c r="U300" s="7"/>
      <c r="V300" s="7"/>
      <c r="W300" s="11">
        <f t="shared" si="5"/>
        <v>3273.723</v>
      </c>
    </row>
    <row r="301" spans="1:23" x14ac:dyDescent="0.2">
      <c r="A301" s="4" t="s">
        <v>570</v>
      </c>
      <c r="B301" s="4" t="s">
        <v>585</v>
      </c>
      <c r="C301" s="4" t="s">
        <v>10</v>
      </c>
      <c r="D301" s="4" t="s">
        <v>28</v>
      </c>
      <c r="E301" s="4" t="s">
        <v>29</v>
      </c>
      <c r="F301" s="4" t="s">
        <v>606</v>
      </c>
      <c r="G301" s="4" t="s">
        <v>604</v>
      </c>
      <c r="H301" s="4" t="s">
        <v>196</v>
      </c>
      <c r="I301" s="4" t="s">
        <v>197</v>
      </c>
      <c r="J301" s="4" t="s">
        <v>216</v>
      </c>
      <c r="K301" s="7">
        <v>607.39200000000005</v>
      </c>
      <c r="L301" s="7">
        <v>306.69299999999998</v>
      </c>
      <c r="M301" s="7">
        <v>418.58100000000002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/>
      <c r="T301" s="7"/>
      <c r="U301" s="7"/>
      <c r="V301" s="7"/>
      <c r="W301" s="11">
        <f t="shared" si="5"/>
        <v>1332.6660000000002</v>
      </c>
    </row>
    <row r="302" spans="1:23" x14ac:dyDescent="0.2">
      <c r="A302" s="4" t="s">
        <v>570</v>
      </c>
      <c r="B302" s="4" t="s">
        <v>585</v>
      </c>
      <c r="C302" s="4" t="s">
        <v>10</v>
      </c>
      <c r="D302" s="4" t="s">
        <v>28</v>
      </c>
      <c r="E302" s="4" t="s">
        <v>29</v>
      </c>
      <c r="F302" s="4" t="s">
        <v>335</v>
      </c>
      <c r="G302" s="4" t="s">
        <v>336</v>
      </c>
      <c r="H302" s="4" t="s">
        <v>196</v>
      </c>
      <c r="I302" s="4" t="s">
        <v>202</v>
      </c>
      <c r="J302" s="4" t="s">
        <v>205</v>
      </c>
      <c r="K302" s="7">
        <v>244.755</v>
      </c>
      <c r="L302" s="7">
        <v>239.76</v>
      </c>
      <c r="M302" s="7">
        <v>949.05</v>
      </c>
      <c r="N302" s="7">
        <v>0</v>
      </c>
      <c r="O302" s="7">
        <v>767.23199999999997</v>
      </c>
      <c r="P302" s="7">
        <v>0</v>
      </c>
      <c r="Q302" s="7">
        <v>331.66800000000001</v>
      </c>
      <c r="R302" s="7">
        <v>216.78299999999999</v>
      </c>
      <c r="S302" s="7"/>
      <c r="T302" s="7"/>
      <c r="U302" s="7"/>
      <c r="V302" s="7"/>
      <c r="W302" s="11">
        <f t="shared" si="5"/>
        <v>2749.248</v>
      </c>
    </row>
    <row r="303" spans="1:23" x14ac:dyDescent="0.2">
      <c r="A303" s="4" t="s">
        <v>570</v>
      </c>
      <c r="B303" s="4" t="s">
        <v>585</v>
      </c>
      <c r="C303" s="4" t="s">
        <v>10</v>
      </c>
      <c r="D303" s="4" t="s">
        <v>28</v>
      </c>
      <c r="E303" s="4" t="s">
        <v>29</v>
      </c>
      <c r="F303" s="4" t="s">
        <v>337</v>
      </c>
      <c r="G303" s="4" t="s">
        <v>338</v>
      </c>
      <c r="H303" s="4" t="s">
        <v>196</v>
      </c>
      <c r="I303" s="4" t="s">
        <v>202</v>
      </c>
      <c r="J303" s="4" t="s">
        <v>205</v>
      </c>
      <c r="K303" s="7">
        <v>1147.8510000000001</v>
      </c>
      <c r="L303" s="7">
        <v>1308.69</v>
      </c>
      <c r="M303" s="7">
        <v>1938.06</v>
      </c>
      <c r="N303" s="7">
        <v>751.24800000000005</v>
      </c>
      <c r="O303" s="7">
        <v>533.46600000000001</v>
      </c>
      <c r="P303" s="7">
        <v>1183.8150000000001</v>
      </c>
      <c r="Q303" s="7">
        <v>865.13400000000001</v>
      </c>
      <c r="R303" s="7">
        <v>868.13099999999997</v>
      </c>
      <c r="S303" s="7"/>
      <c r="T303" s="7"/>
      <c r="U303" s="7"/>
      <c r="V303" s="7"/>
      <c r="W303" s="11">
        <f t="shared" si="5"/>
        <v>8596.3950000000004</v>
      </c>
    </row>
    <row r="304" spans="1:23" x14ac:dyDescent="0.2">
      <c r="A304" s="4" t="s">
        <v>570</v>
      </c>
      <c r="B304" s="4" t="s">
        <v>585</v>
      </c>
      <c r="C304" s="4" t="s">
        <v>10</v>
      </c>
      <c r="D304" s="4" t="s">
        <v>28</v>
      </c>
      <c r="E304" s="4" t="s">
        <v>29</v>
      </c>
      <c r="F304" s="4" t="s">
        <v>339</v>
      </c>
      <c r="G304" s="4" t="s">
        <v>340</v>
      </c>
      <c r="H304" s="4" t="s">
        <v>196</v>
      </c>
      <c r="I304" s="4" t="s">
        <v>202</v>
      </c>
      <c r="J304" s="4" t="s">
        <v>205</v>
      </c>
      <c r="K304" s="7">
        <v>1503.4949999999999</v>
      </c>
      <c r="L304" s="7">
        <v>2001.9960000000001</v>
      </c>
      <c r="M304" s="7">
        <v>0</v>
      </c>
      <c r="N304" s="7">
        <v>2627.37</v>
      </c>
      <c r="O304" s="7">
        <v>2201.7959999999998</v>
      </c>
      <c r="P304" s="7">
        <v>1793.2049999999999</v>
      </c>
      <c r="Q304" s="7">
        <v>1308.69</v>
      </c>
      <c r="R304" s="7">
        <v>961.03800000000001</v>
      </c>
      <c r="S304" s="7"/>
      <c r="T304" s="7"/>
      <c r="U304" s="7"/>
      <c r="V304" s="7"/>
      <c r="W304" s="11">
        <f t="shared" si="5"/>
        <v>12397.59</v>
      </c>
    </row>
    <row r="305" spans="1:23" x14ac:dyDescent="0.2">
      <c r="A305" s="4" t="s">
        <v>570</v>
      </c>
      <c r="B305" s="4" t="s">
        <v>585</v>
      </c>
      <c r="C305" s="4" t="s">
        <v>10</v>
      </c>
      <c r="D305" s="4" t="s">
        <v>28</v>
      </c>
      <c r="E305" s="4" t="s">
        <v>29</v>
      </c>
      <c r="F305" s="4" t="s">
        <v>341</v>
      </c>
      <c r="G305" s="4" t="s">
        <v>342</v>
      </c>
      <c r="H305" s="4" t="s">
        <v>196</v>
      </c>
      <c r="I305" s="4" t="s">
        <v>202</v>
      </c>
      <c r="J305" s="4" t="s">
        <v>205</v>
      </c>
      <c r="K305" s="7">
        <v>1275.723</v>
      </c>
      <c r="L305" s="7">
        <v>0</v>
      </c>
      <c r="M305" s="7">
        <v>1938.06</v>
      </c>
      <c r="N305" s="7">
        <v>2089.9079999999999</v>
      </c>
      <c r="O305" s="7">
        <v>1372.626</v>
      </c>
      <c r="P305" s="7">
        <v>976.02300000000002</v>
      </c>
      <c r="Q305" s="7">
        <v>0</v>
      </c>
      <c r="R305" s="7">
        <v>2300.6970000000001</v>
      </c>
      <c r="S305" s="7"/>
      <c r="T305" s="7"/>
      <c r="U305" s="7"/>
      <c r="V305" s="7"/>
      <c r="W305" s="11">
        <f t="shared" si="5"/>
        <v>9953.0370000000003</v>
      </c>
    </row>
    <row r="306" spans="1:23" x14ac:dyDescent="0.2">
      <c r="A306" s="4" t="s">
        <v>570</v>
      </c>
      <c r="B306" s="4" t="s">
        <v>585</v>
      </c>
      <c r="C306" s="4" t="s">
        <v>10</v>
      </c>
      <c r="D306" s="4" t="s">
        <v>28</v>
      </c>
      <c r="E306" s="4" t="s">
        <v>29</v>
      </c>
      <c r="F306" s="4" t="s">
        <v>343</v>
      </c>
      <c r="G306" s="4" t="s">
        <v>790</v>
      </c>
      <c r="H306" s="4" t="s">
        <v>196</v>
      </c>
      <c r="I306" s="4" t="s">
        <v>197</v>
      </c>
      <c r="J306" s="4" t="s">
        <v>198</v>
      </c>
      <c r="K306" s="7">
        <v>0</v>
      </c>
      <c r="L306" s="7">
        <v>0</v>
      </c>
      <c r="M306" s="7">
        <v>395.92</v>
      </c>
      <c r="N306" s="7">
        <v>0</v>
      </c>
      <c r="O306" s="7">
        <v>0</v>
      </c>
      <c r="P306" s="7">
        <v>0</v>
      </c>
      <c r="Q306" s="7">
        <v>0</v>
      </c>
      <c r="R306" s="7">
        <v>98</v>
      </c>
      <c r="S306" s="7"/>
      <c r="T306" s="7"/>
      <c r="U306" s="7"/>
      <c r="V306" s="7"/>
      <c r="W306" s="11">
        <f t="shared" si="5"/>
        <v>493.92</v>
      </c>
    </row>
    <row r="307" spans="1:23" x14ac:dyDescent="0.2">
      <c r="A307" s="4" t="s">
        <v>570</v>
      </c>
      <c r="B307" s="4" t="s">
        <v>585</v>
      </c>
      <c r="C307" s="4" t="s">
        <v>10</v>
      </c>
      <c r="D307" s="4" t="s">
        <v>28</v>
      </c>
      <c r="E307" s="4" t="s">
        <v>29</v>
      </c>
      <c r="F307" s="4" t="s">
        <v>343</v>
      </c>
      <c r="G307" s="4" t="s">
        <v>580</v>
      </c>
      <c r="H307" s="4" t="s">
        <v>196</v>
      </c>
      <c r="I307" s="4" t="s">
        <v>197</v>
      </c>
      <c r="J307" s="4" t="s">
        <v>198</v>
      </c>
      <c r="K307" s="7">
        <v>107.8</v>
      </c>
      <c r="L307" s="7">
        <v>118.58</v>
      </c>
      <c r="M307" s="7">
        <v>0</v>
      </c>
      <c r="N307" s="7">
        <v>409.64</v>
      </c>
      <c r="O307" s="7">
        <v>0</v>
      </c>
      <c r="P307" s="7">
        <v>54.88</v>
      </c>
      <c r="Q307" s="7">
        <v>0</v>
      </c>
      <c r="R307" s="7">
        <v>0</v>
      </c>
      <c r="S307" s="7"/>
      <c r="T307" s="7"/>
      <c r="U307" s="7"/>
      <c r="V307" s="7"/>
      <c r="W307" s="11">
        <f t="shared" si="5"/>
        <v>690.9</v>
      </c>
    </row>
    <row r="308" spans="1:23" x14ac:dyDescent="0.2">
      <c r="A308" s="4" t="s">
        <v>570</v>
      </c>
      <c r="B308" s="4" t="s">
        <v>585</v>
      </c>
      <c r="C308" s="4" t="s">
        <v>10</v>
      </c>
      <c r="D308" s="4" t="s">
        <v>28</v>
      </c>
      <c r="E308" s="4" t="s">
        <v>29</v>
      </c>
      <c r="F308" s="4" t="s">
        <v>845</v>
      </c>
      <c r="G308" s="4" t="s">
        <v>846</v>
      </c>
      <c r="H308" s="4" t="s">
        <v>196</v>
      </c>
      <c r="I308" s="4" t="s">
        <v>202</v>
      </c>
      <c r="J308" s="4" t="s">
        <v>205</v>
      </c>
      <c r="K308" s="7">
        <v>0</v>
      </c>
      <c r="L308" s="7">
        <v>0</v>
      </c>
      <c r="M308" s="7">
        <v>0</v>
      </c>
      <c r="N308" s="7">
        <v>962.2</v>
      </c>
      <c r="O308" s="7">
        <v>962.9</v>
      </c>
      <c r="P308" s="7">
        <v>994.3</v>
      </c>
      <c r="Q308" s="7">
        <v>904.3</v>
      </c>
      <c r="R308" s="7">
        <v>1013.5</v>
      </c>
      <c r="S308" s="7"/>
      <c r="T308" s="7"/>
      <c r="U308" s="7"/>
      <c r="V308" s="7"/>
      <c r="W308" s="11">
        <f t="shared" si="5"/>
        <v>4837.2</v>
      </c>
    </row>
    <row r="309" spans="1:23" x14ac:dyDescent="0.2">
      <c r="A309" s="4" t="s">
        <v>570</v>
      </c>
      <c r="B309" s="4" t="s">
        <v>585</v>
      </c>
      <c r="C309" s="4" t="s">
        <v>10</v>
      </c>
      <c r="D309" s="4" t="s">
        <v>28</v>
      </c>
      <c r="E309" s="4" t="s">
        <v>29</v>
      </c>
      <c r="F309" s="4" t="s">
        <v>598</v>
      </c>
      <c r="G309" s="4" t="s">
        <v>599</v>
      </c>
      <c r="H309" s="4" t="s">
        <v>196</v>
      </c>
      <c r="I309" s="4" t="s">
        <v>202</v>
      </c>
      <c r="J309" s="4" t="s">
        <v>205</v>
      </c>
      <c r="K309" s="7">
        <v>386.1</v>
      </c>
      <c r="L309" s="7">
        <v>565.29</v>
      </c>
      <c r="M309" s="7">
        <v>369.27</v>
      </c>
      <c r="N309" s="7">
        <v>499.5</v>
      </c>
      <c r="O309" s="7">
        <v>519.48</v>
      </c>
      <c r="P309" s="7">
        <v>633.6</v>
      </c>
      <c r="Q309" s="7">
        <v>469.53</v>
      </c>
      <c r="R309" s="7">
        <v>509.49</v>
      </c>
      <c r="S309" s="7"/>
      <c r="T309" s="7"/>
      <c r="U309" s="7"/>
      <c r="V309" s="7"/>
      <c r="W309" s="11">
        <f t="shared" si="5"/>
        <v>3952.2599999999993</v>
      </c>
    </row>
    <row r="310" spans="1:23" x14ac:dyDescent="0.2">
      <c r="A310" s="4" t="s">
        <v>570</v>
      </c>
      <c r="B310" s="4" t="s">
        <v>585</v>
      </c>
      <c r="C310" s="4" t="s">
        <v>10</v>
      </c>
      <c r="D310" s="4" t="s">
        <v>28</v>
      </c>
      <c r="E310" s="4" t="s">
        <v>29</v>
      </c>
      <c r="F310" s="4" t="s">
        <v>715</v>
      </c>
      <c r="G310" s="4" t="s">
        <v>876</v>
      </c>
      <c r="H310" s="4" t="s">
        <v>196</v>
      </c>
      <c r="I310" s="4" t="s">
        <v>197</v>
      </c>
      <c r="J310" s="4" t="s">
        <v>198</v>
      </c>
      <c r="K310" s="7">
        <v>0</v>
      </c>
      <c r="L310" s="7">
        <v>0</v>
      </c>
      <c r="M310" s="7">
        <v>0</v>
      </c>
      <c r="N310" s="7">
        <v>0</v>
      </c>
      <c r="O310" s="7">
        <v>197.88</v>
      </c>
      <c r="P310" s="7">
        <v>0</v>
      </c>
      <c r="Q310" s="7">
        <v>0</v>
      </c>
      <c r="R310" s="7">
        <v>0</v>
      </c>
      <c r="S310" s="7"/>
      <c r="T310" s="7"/>
      <c r="U310" s="7"/>
      <c r="V310" s="7"/>
      <c r="W310" s="11">
        <f t="shared" si="5"/>
        <v>197.88</v>
      </c>
    </row>
    <row r="311" spans="1:23" x14ac:dyDescent="0.2">
      <c r="A311" s="4" t="s">
        <v>570</v>
      </c>
      <c r="B311" s="4" t="s">
        <v>585</v>
      </c>
      <c r="C311" s="4" t="s">
        <v>10</v>
      </c>
      <c r="D311" s="4" t="s">
        <v>28</v>
      </c>
      <c r="E311" s="4" t="s">
        <v>29</v>
      </c>
      <c r="F311" s="4" t="s">
        <v>715</v>
      </c>
      <c r="G311" s="4" t="s">
        <v>716</v>
      </c>
      <c r="H311" s="4" t="s">
        <v>196</v>
      </c>
      <c r="I311" s="4" t="s">
        <v>197</v>
      </c>
      <c r="J311" s="4" t="s">
        <v>216</v>
      </c>
      <c r="K311" s="7">
        <v>0</v>
      </c>
      <c r="L311" s="7">
        <v>376.36</v>
      </c>
      <c r="M311" s="7">
        <v>3.88</v>
      </c>
      <c r="N311" s="7">
        <v>519.91999999999996</v>
      </c>
      <c r="O311" s="7">
        <v>0</v>
      </c>
      <c r="P311" s="7">
        <v>214.37</v>
      </c>
      <c r="Q311" s="7">
        <v>658.63</v>
      </c>
      <c r="R311" s="7">
        <v>603.34</v>
      </c>
      <c r="S311" s="7"/>
      <c r="T311" s="7"/>
      <c r="U311" s="7"/>
      <c r="V311" s="7"/>
      <c r="W311" s="11">
        <f t="shared" si="5"/>
        <v>2376.5</v>
      </c>
    </row>
    <row r="312" spans="1:23" x14ac:dyDescent="0.2">
      <c r="A312" s="4" t="s">
        <v>570</v>
      </c>
      <c r="B312" s="4" t="s">
        <v>585</v>
      </c>
      <c r="C312" s="4" t="s">
        <v>10</v>
      </c>
      <c r="D312" s="4" t="s">
        <v>28</v>
      </c>
      <c r="E312" s="4" t="s">
        <v>29</v>
      </c>
      <c r="F312" s="4" t="s">
        <v>715</v>
      </c>
      <c r="G312" s="4" t="s">
        <v>877</v>
      </c>
      <c r="H312" s="4" t="s">
        <v>196</v>
      </c>
      <c r="I312" s="4" t="s">
        <v>197</v>
      </c>
      <c r="J312" s="4" t="s">
        <v>216</v>
      </c>
      <c r="K312" s="7">
        <v>0</v>
      </c>
      <c r="L312" s="7">
        <v>0</v>
      </c>
      <c r="M312" s="7">
        <v>0</v>
      </c>
      <c r="N312" s="7">
        <v>0</v>
      </c>
      <c r="O312" s="7">
        <v>355.99</v>
      </c>
      <c r="P312" s="7">
        <v>0</v>
      </c>
      <c r="Q312" s="7">
        <v>0</v>
      </c>
      <c r="R312" s="7">
        <v>0</v>
      </c>
      <c r="S312" s="7"/>
      <c r="T312" s="7"/>
      <c r="U312" s="7"/>
      <c r="V312" s="7"/>
      <c r="W312" s="11">
        <f t="shared" si="5"/>
        <v>355.99</v>
      </c>
    </row>
    <row r="313" spans="1:23" x14ac:dyDescent="0.2">
      <c r="A313" s="4" t="s">
        <v>570</v>
      </c>
      <c r="B313" s="4" t="s">
        <v>585</v>
      </c>
      <c r="C313" s="4" t="s">
        <v>10</v>
      </c>
      <c r="D313" s="4" t="s">
        <v>28</v>
      </c>
      <c r="E313" s="4" t="s">
        <v>29</v>
      </c>
      <c r="F313" s="4" t="s">
        <v>344</v>
      </c>
      <c r="G313" s="4" t="s">
        <v>345</v>
      </c>
      <c r="H313" s="4" t="s">
        <v>196</v>
      </c>
      <c r="I313" s="4" t="s">
        <v>197</v>
      </c>
      <c r="J313" s="4" t="s">
        <v>198</v>
      </c>
      <c r="K313" s="7">
        <v>196.01499999999999</v>
      </c>
      <c r="L313" s="7">
        <v>98.5</v>
      </c>
      <c r="M313" s="7">
        <v>0</v>
      </c>
      <c r="N313" s="7">
        <v>146.76499999999999</v>
      </c>
      <c r="O313" s="7">
        <v>403.85</v>
      </c>
      <c r="P313" s="7">
        <v>328.99</v>
      </c>
      <c r="Q313" s="7">
        <v>206.85</v>
      </c>
      <c r="R313" s="7">
        <v>256.10000000000002</v>
      </c>
      <c r="S313" s="7"/>
      <c r="T313" s="7"/>
      <c r="U313" s="7"/>
      <c r="V313" s="7"/>
      <c r="W313" s="11">
        <f t="shared" si="5"/>
        <v>1637.0699999999997</v>
      </c>
    </row>
    <row r="314" spans="1:23" x14ac:dyDescent="0.2">
      <c r="A314" s="4" t="s">
        <v>570</v>
      </c>
      <c r="B314" s="4" t="s">
        <v>585</v>
      </c>
      <c r="C314" s="4" t="s">
        <v>10</v>
      </c>
      <c r="D314" s="4" t="s">
        <v>28</v>
      </c>
      <c r="E314" s="4" t="s">
        <v>29</v>
      </c>
      <c r="F314" s="4" t="s">
        <v>596</v>
      </c>
      <c r="G314" s="4" t="s">
        <v>182</v>
      </c>
      <c r="H314" s="4" t="s">
        <v>593</v>
      </c>
      <c r="I314" s="4" t="s">
        <v>183</v>
      </c>
      <c r="J314" s="4" t="s">
        <v>184</v>
      </c>
      <c r="K314" s="7">
        <v>791.99920799999995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1600.9983990000001</v>
      </c>
      <c r="R314" s="7">
        <v>1784.9982150000001</v>
      </c>
      <c r="S314" s="7"/>
      <c r="T314" s="7"/>
      <c r="U314" s="7"/>
      <c r="V314" s="7"/>
      <c r="W314" s="11">
        <f t="shared" si="5"/>
        <v>4177.9958220000008</v>
      </c>
    </row>
    <row r="315" spans="1:23" x14ac:dyDescent="0.2">
      <c r="A315" s="4" t="s">
        <v>570</v>
      </c>
      <c r="B315" s="4" t="s">
        <v>585</v>
      </c>
      <c r="C315" s="4" t="s">
        <v>10</v>
      </c>
      <c r="D315" s="4" t="s">
        <v>28</v>
      </c>
      <c r="E315" s="4" t="s">
        <v>29</v>
      </c>
      <c r="F315" s="4" t="s">
        <v>834</v>
      </c>
      <c r="G315" s="4" t="s">
        <v>835</v>
      </c>
      <c r="H315" s="4" t="s">
        <v>196</v>
      </c>
      <c r="I315" s="4" t="s">
        <v>202</v>
      </c>
      <c r="J315" s="4" t="s">
        <v>205</v>
      </c>
      <c r="K315" s="7">
        <v>1493.9998505999999</v>
      </c>
      <c r="L315" s="7">
        <v>1481.9998518</v>
      </c>
      <c r="M315" s="7">
        <v>1488.9998510999999</v>
      </c>
      <c r="N315" s="7">
        <v>1496.9998502999999</v>
      </c>
      <c r="O315" s="7">
        <v>0</v>
      </c>
      <c r="P315" s="7">
        <v>0</v>
      </c>
      <c r="Q315" s="7">
        <v>0</v>
      </c>
      <c r="R315" s="7">
        <v>0</v>
      </c>
      <c r="S315" s="7"/>
      <c r="T315" s="7"/>
      <c r="U315" s="7"/>
      <c r="V315" s="7"/>
      <c r="W315" s="11">
        <f t="shared" si="5"/>
        <v>5961.9994037999995</v>
      </c>
    </row>
    <row r="316" spans="1:23" x14ac:dyDescent="0.2">
      <c r="A316" s="4" t="s">
        <v>570</v>
      </c>
      <c r="B316" s="4" t="s">
        <v>585</v>
      </c>
      <c r="C316" s="4" t="s">
        <v>10</v>
      </c>
      <c r="D316" s="4" t="s">
        <v>28</v>
      </c>
      <c r="E316" s="4" t="s">
        <v>29</v>
      </c>
      <c r="F316" s="4" t="s">
        <v>650</v>
      </c>
      <c r="G316" s="4" t="s">
        <v>651</v>
      </c>
      <c r="H316" s="4" t="s">
        <v>196</v>
      </c>
      <c r="I316" s="4" t="s">
        <v>202</v>
      </c>
      <c r="J316" s="4" t="s">
        <v>196</v>
      </c>
      <c r="K316" s="7">
        <v>1642.9998356999999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/>
      <c r="T316" s="7"/>
      <c r="U316" s="7"/>
      <c r="V316" s="7"/>
      <c r="W316" s="11">
        <f t="shared" si="5"/>
        <v>1642.9998356999999</v>
      </c>
    </row>
    <row r="317" spans="1:23" x14ac:dyDescent="0.2">
      <c r="A317" s="4" t="s">
        <v>570</v>
      </c>
      <c r="B317" s="4" t="s">
        <v>585</v>
      </c>
      <c r="C317" s="4" t="s">
        <v>10</v>
      </c>
      <c r="D317" s="4" t="s">
        <v>28</v>
      </c>
      <c r="E317" s="4" t="s">
        <v>29</v>
      </c>
      <c r="F317" s="4" t="s">
        <v>346</v>
      </c>
      <c r="G317" s="4" t="s">
        <v>915</v>
      </c>
      <c r="H317" s="4" t="s">
        <v>196</v>
      </c>
      <c r="I317" s="4" t="s">
        <v>197</v>
      </c>
      <c r="J317" s="4" t="s">
        <v>198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173.63</v>
      </c>
      <c r="Q317" s="7">
        <v>118.34</v>
      </c>
      <c r="R317" s="7">
        <v>0</v>
      </c>
      <c r="S317" s="7"/>
      <c r="T317" s="7"/>
      <c r="U317" s="7"/>
      <c r="V317" s="7"/>
      <c r="W317" s="11">
        <f t="shared" si="5"/>
        <v>291.97000000000003</v>
      </c>
    </row>
    <row r="318" spans="1:23" x14ac:dyDescent="0.2">
      <c r="A318" s="4" t="s">
        <v>570</v>
      </c>
      <c r="B318" s="4" t="s">
        <v>585</v>
      </c>
      <c r="C318" s="4" t="s">
        <v>10</v>
      </c>
      <c r="D318" s="4" t="s">
        <v>28</v>
      </c>
      <c r="E318" s="4" t="s">
        <v>29</v>
      </c>
      <c r="F318" s="4" t="s">
        <v>346</v>
      </c>
      <c r="G318" s="4" t="s">
        <v>717</v>
      </c>
      <c r="H318" s="4" t="s">
        <v>196</v>
      </c>
      <c r="I318" s="4" t="s">
        <v>197</v>
      </c>
      <c r="J318" s="4" t="s">
        <v>198</v>
      </c>
      <c r="K318" s="7">
        <v>0</v>
      </c>
      <c r="L318" s="7">
        <v>56.26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/>
      <c r="T318" s="7"/>
      <c r="U318" s="7"/>
      <c r="V318" s="7"/>
      <c r="W318" s="11">
        <f t="shared" si="5"/>
        <v>56.26</v>
      </c>
    </row>
    <row r="319" spans="1:23" x14ac:dyDescent="0.2">
      <c r="A319" s="4" t="s">
        <v>570</v>
      </c>
      <c r="B319" s="4" t="s">
        <v>585</v>
      </c>
      <c r="C319" s="4" t="s">
        <v>10</v>
      </c>
      <c r="D319" s="4" t="s">
        <v>28</v>
      </c>
      <c r="E319" s="4" t="s">
        <v>29</v>
      </c>
      <c r="F319" s="4" t="s">
        <v>346</v>
      </c>
      <c r="G319" s="4" t="s">
        <v>347</v>
      </c>
      <c r="H319" s="4" t="s">
        <v>196</v>
      </c>
      <c r="I319" s="4" t="s">
        <v>197</v>
      </c>
      <c r="J319" s="4" t="s">
        <v>198</v>
      </c>
      <c r="K319" s="7">
        <v>259.95999999999998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/>
      <c r="T319" s="7"/>
      <c r="U319" s="7"/>
      <c r="V319" s="7"/>
      <c r="W319" s="11">
        <f t="shared" si="5"/>
        <v>259.95999999999998</v>
      </c>
    </row>
    <row r="320" spans="1:23" x14ac:dyDescent="0.2">
      <c r="A320" s="4" t="s">
        <v>570</v>
      </c>
      <c r="B320" s="4" t="s">
        <v>585</v>
      </c>
      <c r="C320" s="4" t="s">
        <v>10</v>
      </c>
      <c r="D320" s="4" t="s">
        <v>28</v>
      </c>
      <c r="E320" s="4" t="s">
        <v>29</v>
      </c>
      <c r="F320" s="4" t="s">
        <v>346</v>
      </c>
      <c r="G320" s="4" t="s">
        <v>878</v>
      </c>
      <c r="H320" s="4" t="s">
        <v>196</v>
      </c>
      <c r="I320" s="4" t="s">
        <v>197</v>
      </c>
      <c r="J320" s="4" t="s">
        <v>198</v>
      </c>
      <c r="K320" s="7">
        <v>0</v>
      </c>
      <c r="L320" s="7">
        <v>0</v>
      </c>
      <c r="M320" s="7">
        <v>0</v>
      </c>
      <c r="N320" s="7">
        <v>0</v>
      </c>
      <c r="O320" s="7">
        <v>70.81</v>
      </c>
      <c r="P320" s="7">
        <v>0</v>
      </c>
      <c r="Q320" s="7">
        <v>0</v>
      </c>
      <c r="R320" s="7">
        <v>0</v>
      </c>
      <c r="S320" s="7"/>
      <c r="T320" s="7"/>
      <c r="U320" s="7"/>
      <c r="V320" s="7"/>
      <c r="W320" s="11">
        <f t="shared" si="5"/>
        <v>70.81</v>
      </c>
    </row>
    <row r="321" spans="1:23" x14ac:dyDescent="0.2">
      <c r="A321" s="4" t="s">
        <v>570</v>
      </c>
      <c r="B321" s="4" t="s">
        <v>585</v>
      </c>
      <c r="C321" s="4" t="s">
        <v>10</v>
      </c>
      <c r="D321" s="4" t="s">
        <v>28</v>
      </c>
      <c r="E321" s="4" t="s">
        <v>29</v>
      </c>
      <c r="F321" s="4" t="s">
        <v>346</v>
      </c>
      <c r="G321" s="4" t="s">
        <v>791</v>
      </c>
      <c r="H321" s="4" t="s">
        <v>196</v>
      </c>
      <c r="I321" s="4" t="s">
        <v>197</v>
      </c>
      <c r="J321" s="4" t="s">
        <v>198</v>
      </c>
      <c r="K321" s="7">
        <v>0</v>
      </c>
      <c r="L321" s="7">
        <v>0</v>
      </c>
      <c r="M321" s="7">
        <v>59.17</v>
      </c>
      <c r="N321" s="7">
        <v>65.959999999999994</v>
      </c>
      <c r="O321" s="7">
        <v>0</v>
      </c>
      <c r="P321" s="7">
        <v>0</v>
      </c>
      <c r="Q321" s="7">
        <v>0</v>
      </c>
      <c r="R321" s="7">
        <v>0</v>
      </c>
      <c r="S321" s="7"/>
      <c r="T321" s="7"/>
      <c r="U321" s="7"/>
      <c r="V321" s="7"/>
      <c r="W321" s="11">
        <f t="shared" si="5"/>
        <v>125.13</v>
      </c>
    </row>
    <row r="322" spans="1:23" x14ac:dyDescent="0.2">
      <c r="A322" s="4" t="s">
        <v>570</v>
      </c>
      <c r="B322" s="4" t="s">
        <v>585</v>
      </c>
      <c r="C322" s="4" t="s">
        <v>10</v>
      </c>
      <c r="D322" s="4" t="s">
        <v>28</v>
      </c>
      <c r="E322" s="4" t="s">
        <v>29</v>
      </c>
      <c r="F322" s="4" t="s">
        <v>348</v>
      </c>
      <c r="G322" s="4" t="s">
        <v>349</v>
      </c>
      <c r="H322" s="4" t="s">
        <v>104</v>
      </c>
      <c r="I322" s="4" t="s">
        <v>221</v>
      </c>
      <c r="J322" s="4" t="s">
        <v>222</v>
      </c>
      <c r="K322" s="7">
        <v>362.99759999999998</v>
      </c>
      <c r="L322" s="7">
        <v>388.64</v>
      </c>
      <c r="M322" s="7">
        <v>426.05009999999999</v>
      </c>
      <c r="N322" s="7">
        <v>685.09</v>
      </c>
      <c r="O322" s="7">
        <v>489.05</v>
      </c>
      <c r="P322" s="7">
        <v>592.79999999999995</v>
      </c>
      <c r="Q322" s="7">
        <v>488.6</v>
      </c>
      <c r="R322" s="7">
        <v>499.54500000000002</v>
      </c>
      <c r="S322" s="7"/>
      <c r="T322" s="7"/>
      <c r="U322" s="7"/>
      <c r="V322" s="7"/>
      <c r="W322" s="11">
        <f t="shared" si="5"/>
        <v>3932.7727</v>
      </c>
    </row>
    <row r="323" spans="1:23" x14ac:dyDescent="0.2">
      <c r="A323" s="4" t="s">
        <v>570</v>
      </c>
      <c r="B323" s="4" t="s">
        <v>585</v>
      </c>
      <c r="C323" s="4" t="s">
        <v>10</v>
      </c>
      <c r="D323" s="4" t="s">
        <v>28</v>
      </c>
      <c r="E323" s="4" t="s">
        <v>29</v>
      </c>
      <c r="F323" s="4" t="s">
        <v>350</v>
      </c>
      <c r="G323" s="4" t="s">
        <v>351</v>
      </c>
      <c r="H323" s="4" t="s">
        <v>104</v>
      </c>
      <c r="I323" s="4" t="s">
        <v>221</v>
      </c>
      <c r="J323" s="4" t="s">
        <v>222</v>
      </c>
      <c r="K323" s="7">
        <v>666.81</v>
      </c>
      <c r="L323" s="7">
        <v>883.5</v>
      </c>
      <c r="M323" s="7">
        <v>874.2</v>
      </c>
      <c r="N323" s="7">
        <v>778.41</v>
      </c>
      <c r="O323" s="7">
        <v>677.97</v>
      </c>
      <c r="P323" s="7">
        <v>730.98</v>
      </c>
      <c r="Q323" s="7">
        <v>783.06</v>
      </c>
      <c r="R323" s="7">
        <v>1066.71</v>
      </c>
      <c r="S323" s="7"/>
      <c r="T323" s="7"/>
      <c r="U323" s="7"/>
      <c r="V323" s="7"/>
      <c r="W323" s="11">
        <f t="shared" si="5"/>
        <v>6461.64</v>
      </c>
    </row>
    <row r="324" spans="1:23" x14ac:dyDescent="0.2">
      <c r="A324" s="4" t="s">
        <v>570</v>
      </c>
      <c r="B324" s="4" t="s">
        <v>585</v>
      </c>
      <c r="C324" s="4" t="s">
        <v>10</v>
      </c>
      <c r="D324" s="4" t="s">
        <v>28</v>
      </c>
      <c r="E324" s="4" t="s">
        <v>29</v>
      </c>
      <c r="F324" s="4" t="s">
        <v>652</v>
      </c>
      <c r="G324" s="4" t="s">
        <v>653</v>
      </c>
      <c r="H324" s="4" t="s">
        <v>196</v>
      </c>
      <c r="I324" s="4" t="s">
        <v>202</v>
      </c>
      <c r="J324" s="4" t="s">
        <v>196</v>
      </c>
      <c r="K324" s="7">
        <v>1619.999838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/>
      <c r="T324" s="7"/>
      <c r="U324" s="7"/>
      <c r="V324" s="7"/>
      <c r="W324" s="11">
        <f t="shared" si="5"/>
        <v>1619.999838</v>
      </c>
    </row>
    <row r="325" spans="1:23" x14ac:dyDescent="0.2">
      <c r="A325" s="4" t="s">
        <v>570</v>
      </c>
      <c r="B325" s="4" t="s">
        <v>585</v>
      </c>
      <c r="C325" s="4" t="s">
        <v>10</v>
      </c>
      <c r="D325" s="4" t="s">
        <v>28</v>
      </c>
      <c r="E325" s="4" t="s">
        <v>29</v>
      </c>
      <c r="F325" s="4" t="s">
        <v>352</v>
      </c>
      <c r="G325" s="4" t="s">
        <v>353</v>
      </c>
      <c r="H325" s="4" t="s">
        <v>196</v>
      </c>
      <c r="I325" s="4" t="s">
        <v>202</v>
      </c>
      <c r="J325" s="4" t="s">
        <v>196</v>
      </c>
      <c r="K325" s="7">
        <v>70.81</v>
      </c>
      <c r="L325" s="7">
        <v>48.5</v>
      </c>
      <c r="M325" s="7">
        <v>0</v>
      </c>
      <c r="N325" s="7">
        <v>0</v>
      </c>
      <c r="O325" s="7">
        <v>0</v>
      </c>
      <c r="P325" s="7">
        <v>0</v>
      </c>
      <c r="Q325" s="7">
        <v>14.55</v>
      </c>
      <c r="R325" s="7">
        <v>0</v>
      </c>
      <c r="S325" s="7"/>
      <c r="T325" s="7"/>
      <c r="U325" s="7"/>
      <c r="V325" s="7"/>
      <c r="W325" s="11">
        <f t="shared" si="5"/>
        <v>133.86000000000001</v>
      </c>
    </row>
    <row r="326" spans="1:23" x14ac:dyDescent="0.2">
      <c r="A326" s="4" t="s">
        <v>570</v>
      </c>
      <c r="B326" s="4" t="s">
        <v>585</v>
      </c>
      <c r="C326" s="4" t="s">
        <v>10</v>
      </c>
      <c r="D326" s="4" t="s">
        <v>28</v>
      </c>
      <c r="E326" s="4" t="s">
        <v>29</v>
      </c>
      <c r="F326" s="4" t="s">
        <v>543</v>
      </c>
      <c r="G326" s="4" t="s">
        <v>792</v>
      </c>
      <c r="H326" s="4" t="s">
        <v>196</v>
      </c>
      <c r="I326" s="4" t="s">
        <v>202</v>
      </c>
      <c r="J326" s="4" t="s">
        <v>196</v>
      </c>
      <c r="K326" s="7">
        <v>0</v>
      </c>
      <c r="L326" s="7">
        <v>0</v>
      </c>
      <c r="M326" s="7">
        <v>57.82</v>
      </c>
      <c r="N326" s="7">
        <v>0</v>
      </c>
      <c r="O326" s="7">
        <v>0</v>
      </c>
      <c r="P326" s="7">
        <v>0</v>
      </c>
      <c r="Q326" s="7">
        <v>0</v>
      </c>
      <c r="R326" s="7">
        <v>63.7</v>
      </c>
      <c r="S326" s="7"/>
      <c r="T326" s="7"/>
      <c r="U326" s="7"/>
      <c r="V326" s="7"/>
      <c r="W326" s="11">
        <f t="shared" si="5"/>
        <v>121.52000000000001</v>
      </c>
    </row>
    <row r="327" spans="1:23" x14ac:dyDescent="0.2">
      <c r="A327" s="4" t="s">
        <v>570</v>
      </c>
      <c r="B327" s="4" t="s">
        <v>585</v>
      </c>
      <c r="C327" s="4" t="s">
        <v>10</v>
      </c>
      <c r="D327" s="4" t="s">
        <v>28</v>
      </c>
      <c r="E327" s="4" t="s">
        <v>29</v>
      </c>
      <c r="F327" s="4" t="s">
        <v>543</v>
      </c>
      <c r="G327" s="4" t="s">
        <v>793</v>
      </c>
      <c r="H327" s="4" t="s">
        <v>196</v>
      </c>
      <c r="I327" s="4" t="s">
        <v>202</v>
      </c>
      <c r="J327" s="4" t="s">
        <v>196</v>
      </c>
      <c r="K327" s="7">
        <v>0</v>
      </c>
      <c r="L327" s="7">
        <v>0</v>
      </c>
      <c r="M327" s="7">
        <v>114.66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/>
      <c r="T327" s="7"/>
      <c r="U327" s="7"/>
      <c r="V327" s="7"/>
      <c r="W327" s="11">
        <f t="shared" si="5"/>
        <v>114.66</v>
      </c>
    </row>
    <row r="328" spans="1:23" x14ac:dyDescent="0.2">
      <c r="A328" s="4" t="s">
        <v>570</v>
      </c>
      <c r="B328" s="4" t="s">
        <v>585</v>
      </c>
      <c r="C328" s="4" t="s">
        <v>10</v>
      </c>
      <c r="D328" s="4" t="s">
        <v>28</v>
      </c>
      <c r="E328" s="4" t="s">
        <v>29</v>
      </c>
      <c r="F328" s="4" t="s">
        <v>543</v>
      </c>
      <c r="G328" s="4" t="s">
        <v>973</v>
      </c>
      <c r="H328" s="4" t="s">
        <v>196</v>
      </c>
      <c r="I328" s="4" t="s">
        <v>202</v>
      </c>
      <c r="J328" s="4" t="s">
        <v>196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42.14</v>
      </c>
      <c r="S328" s="7"/>
      <c r="T328" s="7"/>
      <c r="U328" s="7"/>
      <c r="V328" s="7"/>
      <c r="W328" s="11">
        <f t="shared" si="5"/>
        <v>42.14</v>
      </c>
    </row>
    <row r="329" spans="1:23" x14ac:dyDescent="0.2">
      <c r="A329" s="4" t="s">
        <v>570</v>
      </c>
      <c r="B329" s="4" t="s">
        <v>585</v>
      </c>
      <c r="C329" s="4" t="s">
        <v>10</v>
      </c>
      <c r="D329" s="4" t="s">
        <v>28</v>
      </c>
      <c r="E329" s="4" t="s">
        <v>29</v>
      </c>
      <c r="F329" s="4" t="s">
        <v>543</v>
      </c>
      <c r="G329" s="4" t="s">
        <v>974</v>
      </c>
      <c r="H329" s="4" t="s">
        <v>196</v>
      </c>
      <c r="I329" s="4" t="s">
        <v>202</v>
      </c>
      <c r="J329" s="4" t="s">
        <v>196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102.9</v>
      </c>
      <c r="S329" s="7"/>
      <c r="T329" s="7"/>
      <c r="U329" s="7"/>
      <c r="V329" s="7"/>
      <c r="W329" s="11">
        <f t="shared" si="5"/>
        <v>102.9</v>
      </c>
    </row>
    <row r="330" spans="1:23" x14ac:dyDescent="0.2">
      <c r="A330" s="4" t="s">
        <v>570</v>
      </c>
      <c r="B330" s="4" t="s">
        <v>585</v>
      </c>
      <c r="C330" s="4" t="s">
        <v>10</v>
      </c>
      <c r="D330" s="4" t="s">
        <v>28</v>
      </c>
      <c r="E330" s="4" t="s">
        <v>29</v>
      </c>
      <c r="F330" s="4" t="s">
        <v>543</v>
      </c>
      <c r="G330" s="4" t="s">
        <v>554</v>
      </c>
      <c r="H330" s="4" t="s">
        <v>196</v>
      </c>
      <c r="I330" s="4" t="s">
        <v>202</v>
      </c>
      <c r="J330" s="4" t="s">
        <v>196</v>
      </c>
      <c r="K330" s="7">
        <v>322.42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13.72</v>
      </c>
      <c r="S330" s="7"/>
      <c r="T330" s="7"/>
      <c r="U330" s="7"/>
      <c r="V330" s="7"/>
      <c r="W330" s="11">
        <f t="shared" si="5"/>
        <v>336.14000000000004</v>
      </c>
    </row>
    <row r="331" spans="1:23" x14ac:dyDescent="0.2">
      <c r="A331" s="4" t="s">
        <v>570</v>
      </c>
      <c r="B331" s="4" t="s">
        <v>585</v>
      </c>
      <c r="C331" s="4" t="s">
        <v>10</v>
      </c>
      <c r="D331" s="4" t="s">
        <v>28</v>
      </c>
      <c r="E331" s="4" t="s">
        <v>29</v>
      </c>
      <c r="F331" s="4" t="s">
        <v>543</v>
      </c>
      <c r="G331" s="4" t="s">
        <v>581</v>
      </c>
      <c r="H331" s="4" t="s">
        <v>196</v>
      </c>
      <c r="I331" s="4" t="s">
        <v>202</v>
      </c>
      <c r="J331" s="4" t="s">
        <v>196</v>
      </c>
      <c r="K331" s="7">
        <v>147.97999999999999</v>
      </c>
      <c r="L331" s="7">
        <v>0</v>
      </c>
      <c r="M331" s="7">
        <v>284.2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/>
      <c r="T331" s="7"/>
      <c r="U331" s="7"/>
      <c r="V331" s="7"/>
      <c r="W331" s="11">
        <f t="shared" si="5"/>
        <v>432.17999999999995</v>
      </c>
    </row>
    <row r="332" spans="1:23" x14ac:dyDescent="0.2">
      <c r="A332" s="4" t="s">
        <v>570</v>
      </c>
      <c r="B332" s="4" t="s">
        <v>585</v>
      </c>
      <c r="C332" s="4" t="s">
        <v>10</v>
      </c>
      <c r="D332" s="4" t="s">
        <v>28</v>
      </c>
      <c r="E332" s="4" t="s">
        <v>29</v>
      </c>
      <c r="F332" s="4" t="s">
        <v>543</v>
      </c>
      <c r="G332" s="4" t="s">
        <v>975</v>
      </c>
      <c r="H332" s="4" t="s">
        <v>196</v>
      </c>
      <c r="I332" s="4" t="s">
        <v>202</v>
      </c>
      <c r="J332" s="4" t="s">
        <v>196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132.30000000000001</v>
      </c>
      <c r="S332" s="7"/>
      <c r="T332" s="7"/>
      <c r="U332" s="7"/>
      <c r="V332" s="7"/>
      <c r="W332" s="11">
        <f t="shared" si="5"/>
        <v>132.30000000000001</v>
      </c>
    </row>
    <row r="333" spans="1:23" x14ac:dyDescent="0.2">
      <c r="A333" s="4" t="s">
        <v>570</v>
      </c>
      <c r="B333" s="4" t="s">
        <v>585</v>
      </c>
      <c r="C333" s="4" t="s">
        <v>10</v>
      </c>
      <c r="D333" s="4" t="s">
        <v>28</v>
      </c>
      <c r="E333" s="4" t="s">
        <v>29</v>
      </c>
      <c r="F333" s="4" t="s">
        <v>543</v>
      </c>
      <c r="G333" s="4" t="s">
        <v>976</v>
      </c>
      <c r="H333" s="4" t="s">
        <v>196</v>
      </c>
      <c r="I333" s="4" t="s">
        <v>202</v>
      </c>
      <c r="J333" s="4" t="s">
        <v>196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132.30000000000001</v>
      </c>
      <c r="S333" s="7"/>
      <c r="T333" s="7"/>
      <c r="U333" s="7"/>
      <c r="V333" s="7"/>
      <c r="W333" s="11">
        <f t="shared" si="5"/>
        <v>132.30000000000001</v>
      </c>
    </row>
    <row r="334" spans="1:23" x14ac:dyDescent="0.2">
      <c r="A334" s="4" t="s">
        <v>570</v>
      </c>
      <c r="B334" s="4" t="s">
        <v>585</v>
      </c>
      <c r="C334" s="4" t="s">
        <v>10</v>
      </c>
      <c r="D334" s="4" t="s">
        <v>28</v>
      </c>
      <c r="E334" s="4" t="s">
        <v>29</v>
      </c>
      <c r="F334" s="4" t="s">
        <v>354</v>
      </c>
      <c r="G334" s="4" t="s">
        <v>355</v>
      </c>
      <c r="H334" s="4" t="s">
        <v>196</v>
      </c>
      <c r="I334" s="4" t="s">
        <v>197</v>
      </c>
      <c r="J334" s="4" t="s">
        <v>198</v>
      </c>
      <c r="K334" s="7">
        <v>405.72</v>
      </c>
      <c r="L334" s="7">
        <v>348.88</v>
      </c>
      <c r="M334" s="7">
        <v>0</v>
      </c>
      <c r="N334" s="7">
        <v>409.64</v>
      </c>
      <c r="O334" s="7">
        <v>209.72</v>
      </c>
      <c r="P334" s="7">
        <v>201.88</v>
      </c>
      <c r="Q334" s="7">
        <v>207.76</v>
      </c>
      <c r="R334" s="7">
        <v>385.14</v>
      </c>
      <c r="S334" s="7"/>
      <c r="T334" s="7"/>
      <c r="U334" s="7"/>
      <c r="V334" s="7"/>
      <c r="W334" s="11">
        <f t="shared" si="5"/>
        <v>2168.7400000000002</v>
      </c>
    </row>
    <row r="335" spans="1:23" x14ac:dyDescent="0.2">
      <c r="A335" s="4" t="s">
        <v>570</v>
      </c>
      <c r="B335" s="4" t="s">
        <v>585</v>
      </c>
      <c r="C335" s="4" t="s">
        <v>10</v>
      </c>
      <c r="D335" s="4" t="s">
        <v>28</v>
      </c>
      <c r="E335" s="4" t="s">
        <v>29</v>
      </c>
      <c r="F335" s="4" t="s">
        <v>896</v>
      </c>
      <c r="G335" s="4" t="s">
        <v>897</v>
      </c>
      <c r="H335" s="4" t="s">
        <v>196</v>
      </c>
      <c r="I335" s="4" t="s">
        <v>202</v>
      </c>
      <c r="J335" s="4" t="s">
        <v>196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1295.9987040000001</v>
      </c>
      <c r="S335" s="7"/>
      <c r="T335" s="7"/>
      <c r="U335" s="7"/>
      <c r="V335" s="7"/>
      <c r="W335" s="11">
        <f t="shared" si="5"/>
        <v>1295.9987040000001</v>
      </c>
    </row>
    <row r="336" spans="1:23" x14ac:dyDescent="0.2">
      <c r="A336" s="4" t="s">
        <v>570</v>
      </c>
      <c r="B336" s="4" t="s">
        <v>585</v>
      </c>
      <c r="C336" s="4" t="s">
        <v>10</v>
      </c>
      <c r="D336" s="4" t="s">
        <v>28</v>
      </c>
      <c r="E336" s="4" t="s">
        <v>29</v>
      </c>
      <c r="F336" s="4" t="s">
        <v>356</v>
      </c>
      <c r="G336" s="4" t="s">
        <v>357</v>
      </c>
      <c r="H336" s="4" t="s">
        <v>196</v>
      </c>
      <c r="I336" s="4" t="s">
        <v>202</v>
      </c>
      <c r="J336" s="4" t="s">
        <v>205</v>
      </c>
      <c r="K336" s="7">
        <v>2764.2330000000002</v>
      </c>
      <c r="L336" s="7">
        <v>2757.24</v>
      </c>
      <c r="M336" s="7">
        <v>1278.72</v>
      </c>
      <c r="N336" s="7">
        <v>3787.2089999999998</v>
      </c>
      <c r="O336" s="7">
        <v>3559.4369999999999</v>
      </c>
      <c r="P336" s="7">
        <v>3688.308</v>
      </c>
      <c r="Q336" s="7">
        <v>2523.4740000000002</v>
      </c>
      <c r="R336" s="7">
        <v>3119.877</v>
      </c>
      <c r="S336" s="7"/>
      <c r="T336" s="7"/>
      <c r="U336" s="7"/>
      <c r="V336" s="7"/>
      <c r="W336" s="11">
        <f t="shared" si="5"/>
        <v>23478.498</v>
      </c>
    </row>
    <row r="337" spans="1:23" x14ac:dyDescent="0.2">
      <c r="A337" s="4" t="s">
        <v>570</v>
      </c>
      <c r="B337" s="4" t="s">
        <v>585</v>
      </c>
      <c r="C337" s="4" t="s">
        <v>10</v>
      </c>
      <c r="D337" s="4" t="s">
        <v>28</v>
      </c>
      <c r="E337" s="4" t="s">
        <v>29</v>
      </c>
      <c r="F337" s="4" t="s">
        <v>358</v>
      </c>
      <c r="G337" s="4" t="s">
        <v>359</v>
      </c>
      <c r="H337" s="4" t="s">
        <v>46</v>
      </c>
      <c r="I337" s="4" t="s">
        <v>52</v>
      </c>
      <c r="J337" s="4" t="s">
        <v>82</v>
      </c>
      <c r="K337" s="7">
        <v>28717.504308</v>
      </c>
      <c r="L337" s="7">
        <v>26093.668911429399</v>
      </c>
      <c r="M337" s="7">
        <v>28337.938082000001</v>
      </c>
      <c r="N337" s="7">
        <v>33120.215075</v>
      </c>
      <c r="O337" s="7">
        <v>26447.052673999999</v>
      </c>
      <c r="P337" s="7">
        <v>26985.502445999999</v>
      </c>
      <c r="Q337" s="7">
        <v>27382.259995</v>
      </c>
      <c r="R337" s="7">
        <v>26054.385534000001</v>
      </c>
      <c r="S337" s="7"/>
      <c r="T337" s="7"/>
      <c r="U337" s="7"/>
      <c r="V337" s="7"/>
      <c r="W337" s="11">
        <f t="shared" si="5"/>
        <v>223138.52702542939</v>
      </c>
    </row>
    <row r="338" spans="1:23" x14ac:dyDescent="0.2">
      <c r="A338" s="4" t="s">
        <v>570</v>
      </c>
      <c r="B338" s="4" t="s">
        <v>585</v>
      </c>
      <c r="C338" s="4" t="s">
        <v>10</v>
      </c>
      <c r="D338" s="4" t="s">
        <v>28</v>
      </c>
      <c r="E338" s="4" t="s">
        <v>29</v>
      </c>
      <c r="F338" s="4" t="s">
        <v>360</v>
      </c>
      <c r="G338" s="4" t="s">
        <v>361</v>
      </c>
      <c r="H338" s="4" t="s">
        <v>196</v>
      </c>
      <c r="I338" s="4" t="s">
        <v>202</v>
      </c>
      <c r="J338" s="4" t="s">
        <v>205</v>
      </c>
      <c r="K338" s="7">
        <v>336.90226999999999</v>
      </c>
      <c r="L338" s="7">
        <v>394.99960499999997</v>
      </c>
      <c r="M338" s="7">
        <v>321.99967800000002</v>
      </c>
      <c r="N338" s="7">
        <v>350.99964899999998</v>
      </c>
      <c r="O338" s="7">
        <v>411.99958800000002</v>
      </c>
      <c r="P338" s="7">
        <v>0</v>
      </c>
      <c r="Q338" s="7">
        <v>418.80306999999999</v>
      </c>
      <c r="R338" s="7">
        <v>500.90230500000001</v>
      </c>
      <c r="S338" s="7"/>
      <c r="T338" s="7"/>
      <c r="U338" s="7"/>
      <c r="V338" s="7"/>
      <c r="W338" s="11">
        <f t="shared" si="5"/>
        <v>2736.6061650000001</v>
      </c>
    </row>
    <row r="339" spans="1:23" x14ac:dyDescent="0.2">
      <c r="A339" s="4" t="s">
        <v>570</v>
      </c>
      <c r="B339" s="4" t="s">
        <v>585</v>
      </c>
      <c r="C339" s="4" t="s">
        <v>10</v>
      </c>
      <c r="D339" s="4" t="s">
        <v>28</v>
      </c>
      <c r="E339" s="4" t="s">
        <v>29</v>
      </c>
      <c r="F339" s="4" t="s">
        <v>362</v>
      </c>
      <c r="G339" s="4" t="s">
        <v>363</v>
      </c>
      <c r="H339" s="4" t="s">
        <v>196</v>
      </c>
      <c r="I339" s="4" t="s">
        <v>202</v>
      </c>
      <c r="J339" s="4" t="s">
        <v>205</v>
      </c>
      <c r="K339" s="7">
        <v>2326.6709999999998</v>
      </c>
      <c r="L339" s="7">
        <v>2060.9369999999999</v>
      </c>
      <c r="M339" s="7">
        <v>1153.845</v>
      </c>
      <c r="N339" s="7">
        <v>2057.94</v>
      </c>
      <c r="O339" s="7">
        <v>1142.856</v>
      </c>
      <c r="P339" s="7">
        <v>2291.7060000000001</v>
      </c>
      <c r="Q339" s="7">
        <v>2129.8679999999999</v>
      </c>
      <c r="R339" s="7">
        <v>3026.97</v>
      </c>
      <c r="S339" s="7"/>
      <c r="T339" s="7"/>
      <c r="U339" s="7"/>
      <c r="V339" s="7"/>
      <c r="W339" s="11">
        <f t="shared" si="5"/>
        <v>16190.793</v>
      </c>
    </row>
    <row r="340" spans="1:23" x14ac:dyDescent="0.2">
      <c r="A340" s="4" t="s">
        <v>570</v>
      </c>
      <c r="B340" s="4" t="s">
        <v>585</v>
      </c>
      <c r="C340" s="4" t="s">
        <v>10</v>
      </c>
      <c r="D340" s="4" t="s">
        <v>28</v>
      </c>
      <c r="E340" s="4" t="s">
        <v>29</v>
      </c>
      <c r="F340" s="4" t="s">
        <v>364</v>
      </c>
      <c r="G340" s="4" t="s">
        <v>365</v>
      </c>
      <c r="H340" s="4" t="s">
        <v>196</v>
      </c>
      <c r="I340" s="4" t="s">
        <v>197</v>
      </c>
      <c r="J340" s="4" t="s">
        <v>216</v>
      </c>
      <c r="K340" s="7">
        <v>580.41899999999998</v>
      </c>
      <c r="L340" s="7">
        <v>1524.4739999999999</v>
      </c>
      <c r="M340" s="7">
        <v>1469.529</v>
      </c>
      <c r="N340" s="7">
        <v>1185.8130000000001</v>
      </c>
      <c r="O340" s="7">
        <v>2871.1260000000002</v>
      </c>
      <c r="P340" s="7">
        <v>685.31399999999996</v>
      </c>
      <c r="Q340" s="7">
        <v>2366.6309999999999</v>
      </c>
      <c r="R340" s="7">
        <v>619.38</v>
      </c>
      <c r="S340" s="7"/>
      <c r="T340" s="7"/>
      <c r="U340" s="7"/>
      <c r="V340" s="7"/>
      <c r="W340" s="11">
        <f t="shared" si="5"/>
        <v>11302.686</v>
      </c>
    </row>
    <row r="341" spans="1:23" x14ac:dyDescent="0.2">
      <c r="A341" s="4" t="s">
        <v>570</v>
      </c>
      <c r="B341" s="4" t="s">
        <v>585</v>
      </c>
      <c r="C341" s="4" t="s">
        <v>10</v>
      </c>
      <c r="D341" s="4" t="s">
        <v>28</v>
      </c>
      <c r="E341" s="4" t="s">
        <v>29</v>
      </c>
      <c r="F341" s="4" t="s">
        <v>366</v>
      </c>
      <c r="G341" s="4" t="s">
        <v>718</v>
      </c>
      <c r="H341" s="4" t="s">
        <v>196</v>
      </c>
      <c r="I341" s="4" t="s">
        <v>202</v>
      </c>
      <c r="J341" s="4" t="s">
        <v>205</v>
      </c>
      <c r="K341" s="7">
        <v>0</v>
      </c>
      <c r="L341" s="7">
        <v>194.04</v>
      </c>
      <c r="M341" s="7">
        <v>280.17</v>
      </c>
      <c r="N341" s="7">
        <v>0</v>
      </c>
      <c r="O341" s="7">
        <v>99.9</v>
      </c>
      <c r="P341" s="7">
        <v>0</v>
      </c>
      <c r="Q341" s="7">
        <v>149.85</v>
      </c>
      <c r="R341" s="7">
        <v>229.77</v>
      </c>
      <c r="S341" s="7"/>
      <c r="T341" s="7"/>
      <c r="U341" s="7"/>
      <c r="V341" s="7"/>
      <c r="W341" s="11">
        <f t="shared" si="5"/>
        <v>953.73</v>
      </c>
    </row>
    <row r="342" spans="1:23" x14ac:dyDescent="0.2">
      <c r="A342" s="4" t="s">
        <v>570</v>
      </c>
      <c r="B342" s="4" t="s">
        <v>585</v>
      </c>
      <c r="C342" s="4" t="s">
        <v>10</v>
      </c>
      <c r="D342" s="4" t="s">
        <v>28</v>
      </c>
      <c r="E342" s="4" t="s">
        <v>29</v>
      </c>
      <c r="F342" s="4" t="s">
        <v>366</v>
      </c>
      <c r="G342" s="4" t="s">
        <v>367</v>
      </c>
      <c r="H342" s="4" t="s">
        <v>196</v>
      </c>
      <c r="I342" s="4" t="s">
        <v>202</v>
      </c>
      <c r="J342" s="4" t="s">
        <v>205</v>
      </c>
      <c r="K342" s="7">
        <v>398.97</v>
      </c>
      <c r="L342" s="7">
        <v>0</v>
      </c>
      <c r="M342" s="7">
        <v>153.44999999999999</v>
      </c>
      <c r="N342" s="7">
        <v>199.8</v>
      </c>
      <c r="O342" s="7">
        <v>0</v>
      </c>
      <c r="P342" s="7">
        <v>544.5</v>
      </c>
      <c r="Q342" s="7">
        <v>409.59</v>
      </c>
      <c r="R342" s="7">
        <v>199.8</v>
      </c>
      <c r="S342" s="7"/>
      <c r="T342" s="7"/>
      <c r="U342" s="7"/>
      <c r="V342" s="7"/>
      <c r="W342" s="11">
        <f t="shared" si="5"/>
        <v>1906.11</v>
      </c>
    </row>
    <row r="343" spans="1:23" x14ac:dyDescent="0.2">
      <c r="A343" s="4" t="s">
        <v>570</v>
      </c>
      <c r="B343" s="4" t="s">
        <v>585</v>
      </c>
      <c r="C343" s="4" t="s">
        <v>10</v>
      </c>
      <c r="D343" s="4" t="s">
        <v>28</v>
      </c>
      <c r="E343" s="4" t="s">
        <v>29</v>
      </c>
      <c r="F343" s="4" t="s">
        <v>368</v>
      </c>
      <c r="G343" s="4" t="s">
        <v>369</v>
      </c>
      <c r="H343" s="4" t="s">
        <v>196</v>
      </c>
      <c r="I343" s="4" t="s">
        <v>202</v>
      </c>
      <c r="J343" s="4" t="s">
        <v>205</v>
      </c>
      <c r="K343" s="7">
        <v>2061.605</v>
      </c>
      <c r="L343" s="7">
        <v>1600.625</v>
      </c>
      <c r="M343" s="7">
        <v>2275.35</v>
      </c>
      <c r="N343" s="7">
        <v>2717.6149999999998</v>
      </c>
      <c r="O343" s="7">
        <v>667.83</v>
      </c>
      <c r="P343" s="7">
        <v>914.08</v>
      </c>
      <c r="Q343" s="7">
        <v>1579.94</v>
      </c>
      <c r="R343" s="7">
        <v>1326.7950000000001</v>
      </c>
      <c r="S343" s="7"/>
      <c r="T343" s="7"/>
      <c r="U343" s="7"/>
      <c r="V343" s="7"/>
      <c r="W343" s="11">
        <f t="shared" si="5"/>
        <v>13143.84</v>
      </c>
    </row>
    <row r="344" spans="1:23" x14ac:dyDescent="0.2">
      <c r="A344" s="4" t="s">
        <v>570</v>
      </c>
      <c r="B344" s="4" t="s">
        <v>585</v>
      </c>
      <c r="C344" s="4" t="s">
        <v>10</v>
      </c>
      <c r="D344" s="4" t="s">
        <v>28</v>
      </c>
      <c r="E344" s="4" t="s">
        <v>29</v>
      </c>
      <c r="F344" s="4" t="s">
        <v>544</v>
      </c>
      <c r="G344" s="4" t="s">
        <v>555</v>
      </c>
      <c r="H344" s="4" t="s">
        <v>196</v>
      </c>
      <c r="I344" s="4" t="s">
        <v>197</v>
      </c>
      <c r="J344" s="4" t="s">
        <v>216</v>
      </c>
      <c r="K344" s="7">
        <v>210.99978899999999</v>
      </c>
      <c r="L344" s="7">
        <v>602.99939700000004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/>
      <c r="T344" s="7"/>
      <c r="U344" s="7"/>
      <c r="V344" s="7"/>
      <c r="W344" s="11">
        <f t="shared" si="5"/>
        <v>813.99918600000001</v>
      </c>
    </row>
    <row r="345" spans="1:23" x14ac:dyDescent="0.2">
      <c r="A345" s="4" t="s">
        <v>570</v>
      </c>
      <c r="B345" s="4" t="s">
        <v>585</v>
      </c>
      <c r="C345" s="4" t="s">
        <v>10</v>
      </c>
      <c r="D345" s="4" t="s">
        <v>28</v>
      </c>
      <c r="E345" s="4" t="s">
        <v>29</v>
      </c>
      <c r="F345" s="4" t="s">
        <v>849</v>
      </c>
      <c r="G345" s="4" t="s">
        <v>850</v>
      </c>
      <c r="H345" s="4" t="s">
        <v>196</v>
      </c>
      <c r="I345" s="4" t="s">
        <v>202</v>
      </c>
      <c r="J345" s="4" t="s">
        <v>205</v>
      </c>
      <c r="K345" s="7">
        <v>0</v>
      </c>
      <c r="L345" s="7">
        <v>0</v>
      </c>
      <c r="M345" s="7">
        <v>0</v>
      </c>
      <c r="N345" s="7">
        <v>2082.5754999999999</v>
      </c>
      <c r="O345" s="7">
        <v>1966.69</v>
      </c>
      <c r="P345" s="7">
        <v>2000.86</v>
      </c>
      <c r="Q345" s="7">
        <v>3790.55</v>
      </c>
      <c r="R345" s="7">
        <v>0</v>
      </c>
      <c r="S345" s="7"/>
      <c r="T345" s="7"/>
      <c r="U345" s="7"/>
      <c r="V345" s="7"/>
      <c r="W345" s="11">
        <f t="shared" si="5"/>
        <v>9840.6755000000012</v>
      </c>
    </row>
    <row r="346" spans="1:23" x14ac:dyDescent="0.2">
      <c r="A346" s="4" t="s">
        <v>570</v>
      </c>
      <c r="B346" s="4" t="s">
        <v>585</v>
      </c>
      <c r="C346" s="4" t="s">
        <v>10</v>
      </c>
      <c r="D346" s="4" t="s">
        <v>28</v>
      </c>
      <c r="E346" s="4" t="s">
        <v>29</v>
      </c>
      <c r="F346" s="4" t="s">
        <v>370</v>
      </c>
      <c r="G346" s="4" t="s">
        <v>371</v>
      </c>
      <c r="H346" s="4" t="s">
        <v>196</v>
      </c>
      <c r="I346" s="4" t="s">
        <v>202</v>
      </c>
      <c r="J346" s="4" t="s">
        <v>196</v>
      </c>
      <c r="K346" s="7">
        <v>973.02599999999995</v>
      </c>
      <c r="L346" s="7">
        <v>920.07899999999995</v>
      </c>
      <c r="M346" s="7">
        <v>904.09500000000003</v>
      </c>
      <c r="N346" s="7">
        <v>1087.9110000000001</v>
      </c>
      <c r="O346" s="7">
        <v>1031.9670000000001</v>
      </c>
      <c r="P346" s="7">
        <v>1005.9930000000001</v>
      </c>
      <c r="Q346" s="7">
        <v>1040.9580000000001</v>
      </c>
      <c r="R346" s="7">
        <v>1044.900725</v>
      </c>
      <c r="S346" s="7"/>
      <c r="T346" s="7"/>
      <c r="U346" s="7"/>
      <c r="V346" s="7"/>
      <c r="W346" s="11">
        <f t="shared" ref="W346:W407" si="6">SUM(K346:V346)</f>
        <v>8008.929725</v>
      </c>
    </row>
    <row r="347" spans="1:23" x14ac:dyDescent="0.2">
      <c r="A347" s="4" t="s">
        <v>570</v>
      </c>
      <c r="B347" s="4" t="s">
        <v>585</v>
      </c>
      <c r="C347" s="4" t="s">
        <v>10</v>
      </c>
      <c r="D347" s="4" t="s">
        <v>28</v>
      </c>
      <c r="E347" s="4" t="s">
        <v>29</v>
      </c>
      <c r="F347" s="4" t="s">
        <v>372</v>
      </c>
      <c r="G347" s="4" t="s">
        <v>373</v>
      </c>
      <c r="H347" s="4" t="s">
        <v>196</v>
      </c>
      <c r="I347" s="4" t="s">
        <v>202</v>
      </c>
      <c r="J347" s="4" t="s">
        <v>196</v>
      </c>
      <c r="K347" s="7">
        <v>1390.0150000000001</v>
      </c>
      <c r="L347" s="7">
        <v>1040.77</v>
      </c>
      <c r="M347" s="7">
        <v>1047.7349999999999</v>
      </c>
      <c r="N347" s="7">
        <v>965.98599999999999</v>
      </c>
      <c r="O347" s="7">
        <v>978.71439999999996</v>
      </c>
      <c r="P347" s="7">
        <v>1046.3886</v>
      </c>
      <c r="Q347" s="7">
        <v>973.07169999999996</v>
      </c>
      <c r="R347" s="7">
        <v>994.21109999999999</v>
      </c>
      <c r="S347" s="7"/>
      <c r="T347" s="7"/>
      <c r="U347" s="7"/>
      <c r="V347" s="7"/>
      <c r="W347" s="11">
        <f t="shared" si="6"/>
        <v>8436.8917999999994</v>
      </c>
    </row>
    <row r="348" spans="1:23" x14ac:dyDescent="0.2">
      <c r="A348" s="4" t="s">
        <v>570</v>
      </c>
      <c r="B348" s="4" t="s">
        <v>585</v>
      </c>
      <c r="C348" s="4" t="s">
        <v>10</v>
      </c>
      <c r="D348" s="4" t="s">
        <v>28</v>
      </c>
      <c r="E348" s="4" t="s">
        <v>29</v>
      </c>
      <c r="F348" s="4" t="s">
        <v>374</v>
      </c>
      <c r="G348" s="4" t="s">
        <v>375</v>
      </c>
      <c r="H348" s="4" t="s">
        <v>196</v>
      </c>
      <c r="I348" s="4" t="s">
        <v>202</v>
      </c>
      <c r="J348" s="4" t="s">
        <v>205</v>
      </c>
      <c r="K348" s="7">
        <v>1033.2650000000001</v>
      </c>
      <c r="L348" s="7">
        <v>1436.13</v>
      </c>
      <c r="M348" s="7">
        <v>1418.4</v>
      </c>
      <c r="N348" s="7">
        <v>2846.65</v>
      </c>
      <c r="O348" s="7">
        <v>0</v>
      </c>
      <c r="P348" s="7">
        <v>458.02499999999998</v>
      </c>
      <c r="Q348" s="7">
        <v>867.78499999999997</v>
      </c>
      <c r="R348" s="7">
        <v>963.33</v>
      </c>
      <c r="S348" s="7"/>
      <c r="T348" s="7"/>
      <c r="U348" s="7"/>
      <c r="V348" s="7"/>
      <c r="W348" s="11">
        <f t="shared" si="6"/>
        <v>9023.5850000000009</v>
      </c>
    </row>
    <row r="349" spans="1:23" x14ac:dyDescent="0.2">
      <c r="A349" s="4" t="s">
        <v>570</v>
      </c>
      <c r="B349" s="4" t="s">
        <v>585</v>
      </c>
      <c r="C349" s="4" t="s">
        <v>10</v>
      </c>
      <c r="D349" s="4" t="s">
        <v>28</v>
      </c>
      <c r="E349" s="4" t="s">
        <v>29</v>
      </c>
      <c r="F349" s="4" t="s">
        <v>836</v>
      </c>
      <c r="G349" s="4" t="s">
        <v>951</v>
      </c>
      <c r="H349" s="4" t="s">
        <v>196</v>
      </c>
      <c r="I349" s="4" t="s">
        <v>197</v>
      </c>
      <c r="J349" s="4" t="s">
        <v>198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50</v>
      </c>
      <c r="R349" s="7">
        <v>69</v>
      </c>
      <c r="S349" s="7"/>
      <c r="T349" s="7"/>
      <c r="U349" s="7"/>
      <c r="V349" s="7"/>
      <c r="W349" s="11">
        <f t="shared" si="6"/>
        <v>119</v>
      </c>
    </row>
    <row r="350" spans="1:23" x14ac:dyDescent="0.2">
      <c r="A350" s="4" t="s">
        <v>570</v>
      </c>
      <c r="B350" s="4" t="s">
        <v>585</v>
      </c>
      <c r="C350" s="4" t="s">
        <v>10</v>
      </c>
      <c r="D350" s="4" t="s">
        <v>28</v>
      </c>
      <c r="E350" s="4" t="s">
        <v>29</v>
      </c>
      <c r="F350" s="4" t="s">
        <v>836</v>
      </c>
      <c r="G350" s="4" t="s">
        <v>837</v>
      </c>
      <c r="H350" s="4" t="s">
        <v>196</v>
      </c>
      <c r="I350" s="4" t="s">
        <v>197</v>
      </c>
      <c r="J350" s="4" t="s">
        <v>216</v>
      </c>
      <c r="K350" s="7">
        <v>0</v>
      </c>
      <c r="L350" s="7">
        <v>0</v>
      </c>
      <c r="M350" s="7">
        <v>0</v>
      </c>
      <c r="N350" s="7">
        <v>511.2</v>
      </c>
      <c r="O350" s="7">
        <v>229.5</v>
      </c>
      <c r="P350" s="7">
        <v>0</v>
      </c>
      <c r="Q350" s="7">
        <v>65</v>
      </c>
      <c r="R350" s="7">
        <v>139</v>
      </c>
      <c r="S350" s="7"/>
      <c r="T350" s="7"/>
      <c r="U350" s="7"/>
      <c r="V350" s="7"/>
      <c r="W350" s="11">
        <f t="shared" si="6"/>
        <v>944.7</v>
      </c>
    </row>
    <row r="351" spans="1:23" x14ac:dyDescent="0.2">
      <c r="A351" s="4" t="s">
        <v>570</v>
      </c>
      <c r="B351" s="4" t="s">
        <v>585</v>
      </c>
      <c r="C351" s="4" t="s">
        <v>10</v>
      </c>
      <c r="D351" s="4" t="s">
        <v>28</v>
      </c>
      <c r="E351" s="4" t="s">
        <v>29</v>
      </c>
      <c r="F351" s="4" t="s">
        <v>576</v>
      </c>
      <c r="G351" s="4" t="s">
        <v>582</v>
      </c>
      <c r="H351" s="4" t="s">
        <v>196</v>
      </c>
      <c r="I351" s="4" t="s">
        <v>202</v>
      </c>
      <c r="J351" s="4" t="s">
        <v>205</v>
      </c>
      <c r="K351" s="7">
        <v>601.39800000000002</v>
      </c>
      <c r="L351" s="7">
        <v>648.351</v>
      </c>
      <c r="M351" s="7">
        <v>241.75800000000001</v>
      </c>
      <c r="N351" s="7">
        <v>599.4</v>
      </c>
      <c r="O351" s="7">
        <v>337.66199999999998</v>
      </c>
      <c r="P351" s="7">
        <v>848.15099999999995</v>
      </c>
      <c r="Q351" s="7">
        <v>925.07399999999996</v>
      </c>
      <c r="R351" s="7">
        <v>1115.883</v>
      </c>
      <c r="S351" s="7"/>
      <c r="T351" s="7"/>
      <c r="U351" s="7"/>
      <c r="V351" s="7"/>
      <c r="W351" s="11">
        <f t="shared" si="6"/>
        <v>5317.6769999999997</v>
      </c>
    </row>
    <row r="352" spans="1:23" x14ac:dyDescent="0.2">
      <c r="A352" s="4" t="s">
        <v>570</v>
      </c>
      <c r="B352" s="4" t="s">
        <v>585</v>
      </c>
      <c r="C352" s="4" t="s">
        <v>10</v>
      </c>
      <c r="D352" s="4" t="s">
        <v>28</v>
      </c>
      <c r="E352" s="4" t="s">
        <v>29</v>
      </c>
      <c r="F352" s="4" t="s">
        <v>906</v>
      </c>
      <c r="G352" s="4" t="s">
        <v>907</v>
      </c>
      <c r="H352" s="4" t="s">
        <v>15</v>
      </c>
      <c r="I352" s="4" t="s">
        <v>908</v>
      </c>
      <c r="J352" s="4" t="s">
        <v>909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226.44565833600001</v>
      </c>
      <c r="Q352" s="7">
        <v>0</v>
      </c>
      <c r="R352" s="7">
        <v>167.15041400000001</v>
      </c>
      <c r="S352" s="7"/>
      <c r="T352" s="7"/>
      <c r="U352" s="7"/>
      <c r="V352" s="7"/>
      <c r="W352" s="11">
        <f t="shared" si="6"/>
        <v>393.59607233600002</v>
      </c>
    </row>
    <row r="353" spans="1:23" x14ac:dyDescent="0.2">
      <c r="A353" s="4" t="s">
        <v>570</v>
      </c>
      <c r="B353" s="4" t="s">
        <v>585</v>
      </c>
      <c r="C353" s="4" t="s">
        <v>10</v>
      </c>
      <c r="D353" s="4" t="s">
        <v>28</v>
      </c>
      <c r="E353" s="4" t="s">
        <v>29</v>
      </c>
      <c r="F353" s="4" t="s">
        <v>668</v>
      </c>
      <c r="G353" s="4" t="s">
        <v>669</v>
      </c>
      <c r="H353" s="4" t="s">
        <v>196</v>
      </c>
      <c r="I353" s="4" t="s">
        <v>202</v>
      </c>
      <c r="J353" s="4" t="s">
        <v>205</v>
      </c>
      <c r="K353" s="7">
        <v>1031.70072</v>
      </c>
      <c r="L353" s="7">
        <v>1318.998681</v>
      </c>
      <c r="M353" s="7">
        <v>2288.997711</v>
      </c>
      <c r="N353" s="7">
        <v>1657.8010400000001</v>
      </c>
      <c r="O353" s="7">
        <v>1353.6005700000001</v>
      </c>
      <c r="P353" s="7">
        <v>1263.998736</v>
      </c>
      <c r="Q353" s="7">
        <v>1282.701061</v>
      </c>
      <c r="R353" s="7">
        <v>1310.8007279999999</v>
      </c>
      <c r="S353" s="7"/>
      <c r="T353" s="7"/>
      <c r="U353" s="7"/>
      <c r="V353" s="7"/>
      <c r="W353" s="11">
        <f t="shared" si="6"/>
        <v>11508.599247</v>
      </c>
    </row>
    <row r="354" spans="1:23" x14ac:dyDescent="0.2">
      <c r="A354" s="4" t="s">
        <v>570</v>
      </c>
      <c r="B354" s="4" t="s">
        <v>585</v>
      </c>
      <c r="C354" s="4" t="s">
        <v>10</v>
      </c>
      <c r="D354" s="4" t="s">
        <v>28</v>
      </c>
      <c r="E354" s="4" t="s">
        <v>29</v>
      </c>
      <c r="F354" s="4" t="s">
        <v>376</v>
      </c>
      <c r="G354" s="4" t="s">
        <v>377</v>
      </c>
      <c r="H354" s="4" t="s">
        <v>196</v>
      </c>
      <c r="I354" s="4" t="s">
        <v>202</v>
      </c>
      <c r="J354" s="4" t="s">
        <v>196</v>
      </c>
      <c r="K354" s="7">
        <v>237.16</v>
      </c>
      <c r="L354" s="7">
        <v>666.4</v>
      </c>
      <c r="M354" s="7">
        <v>355.74</v>
      </c>
      <c r="N354" s="7">
        <v>294</v>
      </c>
      <c r="O354" s="7">
        <v>290.08</v>
      </c>
      <c r="P354" s="7">
        <v>321.44</v>
      </c>
      <c r="Q354" s="7">
        <v>0</v>
      </c>
      <c r="R354" s="7">
        <v>704.62</v>
      </c>
      <c r="S354" s="7"/>
      <c r="T354" s="7"/>
      <c r="U354" s="7"/>
      <c r="V354" s="7"/>
      <c r="W354" s="11">
        <f t="shared" si="6"/>
        <v>2869.4399999999996</v>
      </c>
    </row>
    <row r="355" spans="1:23" x14ac:dyDescent="0.2">
      <c r="A355" s="4" t="s">
        <v>570</v>
      </c>
      <c r="B355" s="4" t="s">
        <v>585</v>
      </c>
      <c r="C355" s="4" t="s">
        <v>10</v>
      </c>
      <c r="D355" s="4" t="s">
        <v>28</v>
      </c>
      <c r="E355" s="4" t="s">
        <v>29</v>
      </c>
      <c r="F355" s="4" t="s">
        <v>376</v>
      </c>
      <c r="G355" s="4" t="s">
        <v>719</v>
      </c>
      <c r="H355" s="4" t="s">
        <v>196</v>
      </c>
      <c r="I355" s="4" t="s">
        <v>202</v>
      </c>
      <c r="J355" s="4" t="s">
        <v>196</v>
      </c>
      <c r="K355" s="7">
        <v>0</v>
      </c>
      <c r="L355" s="7">
        <v>337.12</v>
      </c>
      <c r="M355" s="7">
        <v>134.26</v>
      </c>
      <c r="N355" s="7">
        <v>230.3</v>
      </c>
      <c r="O355" s="7">
        <v>0</v>
      </c>
      <c r="P355" s="7">
        <v>181.3</v>
      </c>
      <c r="Q355" s="7">
        <v>0</v>
      </c>
      <c r="R355" s="7">
        <v>151.9</v>
      </c>
      <c r="S355" s="7"/>
      <c r="T355" s="7"/>
      <c r="U355" s="7"/>
      <c r="V355" s="7"/>
      <c r="W355" s="11">
        <f t="shared" si="6"/>
        <v>1034.8800000000001</v>
      </c>
    </row>
    <row r="356" spans="1:23" x14ac:dyDescent="0.2">
      <c r="A356" s="4" t="s">
        <v>570</v>
      </c>
      <c r="B356" s="4" t="s">
        <v>585</v>
      </c>
      <c r="C356" s="4" t="s">
        <v>10</v>
      </c>
      <c r="D356" s="4" t="s">
        <v>28</v>
      </c>
      <c r="E356" s="4" t="s">
        <v>29</v>
      </c>
      <c r="F356" s="4" t="s">
        <v>376</v>
      </c>
      <c r="G356" s="4" t="s">
        <v>378</v>
      </c>
      <c r="H356" s="4" t="s">
        <v>196</v>
      </c>
      <c r="I356" s="4" t="s">
        <v>197</v>
      </c>
      <c r="J356" s="4" t="s">
        <v>216</v>
      </c>
      <c r="K356" s="7">
        <v>150.91999999999999</v>
      </c>
      <c r="L356" s="7">
        <v>112.7</v>
      </c>
      <c r="M356" s="7">
        <v>0</v>
      </c>
      <c r="N356" s="7">
        <v>152.88</v>
      </c>
      <c r="O356" s="7">
        <v>117.6</v>
      </c>
      <c r="P356" s="7">
        <v>0</v>
      </c>
      <c r="Q356" s="7">
        <v>0</v>
      </c>
      <c r="R356" s="7">
        <v>0</v>
      </c>
      <c r="S356" s="7"/>
      <c r="T356" s="7"/>
      <c r="U356" s="7"/>
      <c r="V356" s="7"/>
      <c r="W356" s="11">
        <f t="shared" si="6"/>
        <v>534.1</v>
      </c>
    </row>
    <row r="357" spans="1:23" x14ac:dyDescent="0.2">
      <c r="A357" s="4" t="s">
        <v>570</v>
      </c>
      <c r="B357" s="4" t="s">
        <v>585</v>
      </c>
      <c r="C357" s="4" t="s">
        <v>10</v>
      </c>
      <c r="D357" s="4" t="s">
        <v>28</v>
      </c>
      <c r="E357" s="4" t="s">
        <v>29</v>
      </c>
      <c r="F357" s="4" t="s">
        <v>379</v>
      </c>
      <c r="G357" s="4" t="s">
        <v>380</v>
      </c>
      <c r="H357" s="4" t="s">
        <v>196</v>
      </c>
      <c r="I357" s="4" t="s">
        <v>202</v>
      </c>
      <c r="J357" s="4" t="s">
        <v>196</v>
      </c>
      <c r="K357" s="7">
        <v>23.52</v>
      </c>
      <c r="L357" s="7">
        <v>19.600000000000001</v>
      </c>
      <c r="M357" s="7">
        <v>27.44</v>
      </c>
      <c r="N357" s="7">
        <v>33.32</v>
      </c>
      <c r="O357" s="7">
        <v>3.92</v>
      </c>
      <c r="P357" s="7">
        <v>38.22</v>
      </c>
      <c r="Q357" s="7">
        <v>39.200000000000003</v>
      </c>
      <c r="R357" s="7">
        <v>38.22</v>
      </c>
      <c r="S357" s="7"/>
      <c r="T357" s="7"/>
      <c r="U357" s="7"/>
      <c r="V357" s="7"/>
      <c r="W357" s="11">
        <f t="shared" si="6"/>
        <v>223.43999999999997</v>
      </c>
    </row>
    <row r="358" spans="1:23" x14ac:dyDescent="0.2">
      <c r="A358" s="4" t="s">
        <v>570</v>
      </c>
      <c r="B358" s="4" t="s">
        <v>585</v>
      </c>
      <c r="C358" s="4" t="s">
        <v>10</v>
      </c>
      <c r="D358" s="4" t="s">
        <v>28</v>
      </c>
      <c r="E358" s="4" t="s">
        <v>29</v>
      </c>
      <c r="F358" s="4" t="s">
        <v>379</v>
      </c>
      <c r="G358" s="4" t="s">
        <v>381</v>
      </c>
      <c r="H358" s="4" t="s">
        <v>196</v>
      </c>
      <c r="I358" s="4" t="s">
        <v>202</v>
      </c>
      <c r="J358" s="4" t="s">
        <v>196</v>
      </c>
      <c r="K358" s="7">
        <v>20.58</v>
      </c>
      <c r="L358" s="7">
        <v>24.5</v>
      </c>
      <c r="M358" s="7">
        <v>23.52</v>
      </c>
      <c r="N358" s="7">
        <v>32.340000000000003</v>
      </c>
      <c r="O358" s="7">
        <v>3.92</v>
      </c>
      <c r="P358" s="7">
        <v>37.24</v>
      </c>
      <c r="Q358" s="7">
        <v>40.18</v>
      </c>
      <c r="R358" s="7">
        <v>33.32</v>
      </c>
      <c r="S358" s="7"/>
      <c r="T358" s="7"/>
      <c r="U358" s="7"/>
      <c r="V358" s="7"/>
      <c r="W358" s="11">
        <f t="shared" si="6"/>
        <v>215.6</v>
      </c>
    </row>
    <row r="359" spans="1:23" x14ac:dyDescent="0.2">
      <c r="A359" s="4" t="s">
        <v>570</v>
      </c>
      <c r="B359" s="4" t="s">
        <v>585</v>
      </c>
      <c r="C359" s="4" t="s">
        <v>10</v>
      </c>
      <c r="D359" s="4" t="s">
        <v>28</v>
      </c>
      <c r="E359" s="4" t="s">
        <v>29</v>
      </c>
      <c r="F359" s="4" t="s">
        <v>654</v>
      </c>
      <c r="G359" s="4" t="s">
        <v>655</v>
      </c>
      <c r="H359" s="4" t="s">
        <v>104</v>
      </c>
      <c r="I359" s="4" t="s">
        <v>656</v>
      </c>
      <c r="J359" s="4" t="s">
        <v>657</v>
      </c>
      <c r="K359" s="7">
        <v>512.25519999999995</v>
      </c>
      <c r="L359" s="7">
        <v>0</v>
      </c>
      <c r="M359" s="7">
        <v>577.24279999999999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/>
      <c r="T359" s="7"/>
      <c r="U359" s="7"/>
      <c r="V359" s="7"/>
      <c r="W359" s="11">
        <f t="shared" si="6"/>
        <v>1089.498</v>
      </c>
    </row>
    <row r="360" spans="1:23" x14ac:dyDescent="0.2">
      <c r="A360" s="4" t="s">
        <v>570</v>
      </c>
      <c r="B360" s="4" t="s">
        <v>585</v>
      </c>
      <c r="C360" s="4" t="s">
        <v>10</v>
      </c>
      <c r="D360" s="4" t="s">
        <v>28</v>
      </c>
      <c r="E360" s="4" t="s">
        <v>29</v>
      </c>
      <c r="F360" s="4" t="s">
        <v>890</v>
      </c>
      <c r="G360" s="4" t="s">
        <v>891</v>
      </c>
      <c r="H360" s="4" t="s">
        <v>196</v>
      </c>
      <c r="I360" s="4" t="s">
        <v>202</v>
      </c>
      <c r="J360" s="4" t="s">
        <v>196</v>
      </c>
      <c r="K360" s="7">
        <v>1249.999875</v>
      </c>
      <c r="L360" s="7">
        <v>1053.9998946000001</v>
      </c>
      <c r="M360" s="7">
        <v>1218.9998780999999</v>
      </c>
      <c r="N360" s="7">
        <v>1411.9998588000001</v>
      </c>
      <c r="O360" s="7">
        <v>799.99991999999997</v>
      </c>
      <c r="P360" s="7">
        <v>0</v>
      </c>
      <c r="Q360" s="7">
        <v>0</v>
      </c>
      <c r="R360" s="7">
        <v>0</v>
      </c>
      <c r="S360" s="7"/>
      <c r="T360" s="7"/>
      <c r="U360" s="7"/>
      <c r="V360" s="7"/>
      <c r="W360" s="11">
        <f t="shared" si="6"/>
        <v>5734.9994265000005</v>
      </c>
    </row>
    <row r="361" spans="1:23" x14ac:dyDescent="0.2">
      <c r="A361" s="4" t="s">
        <v>570</v>
      </c>
      <c r="B361" s="4" t="s">
        <v>585</v>
      </c>
      <c r="C361" s="4" t="s">
        <v>10</v>
      </c>
      <c r="D361" s="4" t="s">
        <v>28</v>
      </c>
      <c r="E361" s="4" t="s">
        <v>29</v>
      </c>
      <c r="F361" s="4" t="s">
        <v>545</v>
      </c>
      <c r="G361" s="4" t="s">
        <v>556</v>
      </c>
      <c r="H361" s="4" t="s">
        <v>196</v>
      </c>
      <c r="I361" s="4" t="s">
        <v>202</v>
      </c>
      <c r="J361" s="4" t="s">
        <v>205</v>
      </c>
      <c r="K361" s="7">
        <v>2491.0650000000001</v>
      </c>
      <c r="L361" s="7">
        <v>0</v>
      </c>
      <c r="M361" s="7">
        <v>0</v>
      </c>
      <c r="N361" s="7">
        <v>2968.79</v>
      </c>
      <c r="O361" s="7">
        <v>0</v>
      </c>
      <c r="P361" s="7">
        <v>0</v>
      </c>
      <c r="Q361" s="7">
        <v>2795.43</v>
      </c>
      <c r="R361" s="7">
        <v>0</v>
      </c>
      <c r="S361" s="7"/>
      <c r="T361" s="7"/>
      <c r="U361" s="7"/>
      <c r="V361" s="7"/>
      <c r="W361" s="11">
        <f t="shared" si="6"/>
        <v>8255.2849999999999</v>
      </c>
    </row>
    <row r="362" spans="1:23" x14ac:dyDescent="0.2">
      <c r="A362" s="4" t="s">
        <v>570</v>
      </c>
      <c r="B362" s="4" t="s">
        <v>585</v>
      </c>
      <c r="C362" s="4" t="s">
        <v>10</v>
      </c>
      <c r="D362" s="4" t="s">
        <v>28</v>
      </c>
      <c r="E362" s="4" t="s">
        <v>29</v>
      </c>
      <c r="F362" s="4" t="s">
        <v>879</v>
      </c>
      <c r="G362" s="4" t="s">
        <v>880</v>
      </c>
      <c r="H362" s="4" t="s">
        <v>196</v>
      </c>
      <c r="I362" s="4" t="s">
        <v>202</v>
      </c>
      <c r="J362" s="4" t="s">
        <v>196</v>
      </c>
      <c r="K362" s="7">
        <v>0</v>
      </c>
      <c r="L362" s="7">
        <v>0</v>
      </c>
      <c r="M362" s="7">
        <v>0</v>
      </c>
      <c r="N362" s="7">
        <v>0</v>
      </c>
      <c r="O362" s="7">
        <v>449.11</v>
      </c>
      <c r="P362" s="7">
        <v>0</v>
      </c>
      <c r="Q362" s="7">
        <v>0</v>
      </c>
      <c r="R362" s="7">
        <v>0</v>
      </c>
      <c r="S362" s="7"/>
      <c r="T362" s="7"/>
      <c r="U362" s="7"/>
      <c r="V362" s="7"/>
      <c r="W362" s="11">
        <f t="shared" si="6"/>
        <v>449.11</v>
      </c>
    </row>
    <row r="363" spans="1:23" x14ac:dyDescent="0.2">
      <c r="A363" s="4" t="s">
        <v>570</v>
      </c>
      <c r="B363" s="4" t="s">
        <v>585</v>
      </c>
      <c r="C363" s="4" t="s">
        <v>10</v>
      </c>
      <c r="D363" s="4" t="s">
        <v>28</v>
      </c>
      <c r="E363" s="4" t="s">
        <v>29</v>
      </c>
      <c r="F363" s="4" t="s">
        <v>382</v>
      </c>
      <c r="G363" s="4" t="s">
        <v>383</v>
      </c>
      <c r="H363" s="4" t="s">
        <v>196</v>
      </c>
      <c r="I363" s="4" t="s">
        <v>202</v>
      </c>
      <c r="J363" s="4" t="s">
        <v>196</v>
      </c>
      <c r="K363" s="7">
        <v>385.14</v>
      </c>
      <c r="L363" s="7">
        <v>329.28</v>
      </c>
      <c r="M363" s="7">
        <v>0</v>
      </c>
      <c r="N363" s="7">
        <v>364.56</v>
      </c>
      <c r="O363" s="7">
        <v>1807.12</v>
      </c>
      <c r="P363" s="7">
        <v>0</v>
      </c>
      <c r="Q363" s="7">
        <v>5587.96</v>
      </c>
      <c r="R363" s="7">
        <v>5048.96</v>
      </c>
      <c r="S363" s="7"/>
      <c r="T363" s="7"/>
      <c r="U363" s="7"/>
      <c r="V363" s="7"/>
      <c r="W363" s="11">
        <f t="shared" si="6"/>
        <v>13523.02</v>
      </c>
    </row>
    <row r="364" spans="1:23" x14ac:dyDescent="0.2">
      <c r="A364" s="4" t="s">
        <v>570</v>
      </c>
      <c r="B364" s="4" t="s">
        <v>585</v>
      </c>
      <c r="C364" s="4" t="s">
        <v>10</v>
      </c>
      <c r="D364" s="4" t="s">
        <v>28</v>
      </c>
      <c r="E364" s="4" t="s">
        <v>29</v>
      </c>
      <c r="F364" s="4" t="s">
        <v>742</v>
      </c>
      <c r="G364" s="4" t="s">
        <v>743</v>
      </c>
      <c r="H364" s="4" t="s">
        <v>196</v>
      </c>
      <c r="I364" s="4" t="s">
        <v>202</v>
      </c>
      <c r="J364" s="4" t="s">
        <v>205</v>
      </c>
      <c r="K364" s="7">
        <v>0</v>
      </c>
      <c r="L364" s="7">
        <v>0</v>
      </c>
      <c r="M364" s="7">
        <v>0</v>
      </c>
      <c r="N364" s="7">
        <v>0</v>
      </c>
      <c r="O364" s="7">
        <v>1554.444</v>
      </c>
      <c r="P364" s="7">
        <v>0</v>
      </c>
      <c r="Q364" s="7">
        <v>1095.903</v>
      </c>
      <c r="R364" s="7">
        <v>1772.2260000000001</v>
      </c>
      <c r="S364" s="7"/>
      <c r="T364" s="7"/>
      <c r="U364" s="7"/>
      <c r="V364" s="7"/>
      <c r="W364" s="11">
        <f t="shared" si="6"/>
        <v>4422.5730000000003</v>
      </c>
    </row>
    <row r="365" spans="1:23" x14ac:dyDescent="0.2">
      <c r="A365" s="4" t="s">
        <v>570</v>
      </c>
      <c r="B365" s="4" t="s">
        <v>585</v>
      </c>
      <c r="C365" s="4" t="s">
        <v>10</v>
      </c>
      <c r="D365" s="4" t="s">
        <v>28</v>
      </c>
      <c r="E365" s="4" t="s">
        <v>29</v>
      </c>
      <c r="F365" s="4" t="s">
        <v>838</v>
      </c>
      <c r="G365" s="4" t="s">
        <v>839</v>
      </c>
      <c r="H365" s="4" t="s">
        <v>196</v>
      </c>
      <c r="I365" s="4" t="s">
        <v>202</v>
      </c>
      <c r="J365" s="4" t="s">
        <v>196</v>
      </c>
      <c r="K365" s="7">
        <v>0</v>
      </c>
      <c r="L365" s="7">
        <v>0</v>
      </c>
      <c r="M365" s="7">
        <v>0</v>
      </c>
      <c r="N365" s="7">
        <v>65.7</v>
      </c>
      <c r="O365" s="7">
        <v>0</v>
      </c>
      <c r="P365" s="7">
        <v>50.2</v>
      </c>
      <c r="Q365" s="7">
        <v>38</v>
      </c>
      <c r="R365" s="7">
        <v>47.7</v>
      </c>
      <c r="S365" s="7"/>
      <c r="T365" s="7"/>
      <c r="U365" s="7"/>
      <c r="V365" s="7"/>
      <c r="W365" s="11">
        <f t="shared" si="6"/>
        <v>201.60000000000002</v>
      </c>
    </row>
    <row r="366" spans="1:23" x14ac:dyDescent="0.2">
      <c r="A366" s="4" t="s">
        <v>570</v>
      </c>
      <c r="B366" s="4" t="s">
        <v>585</v>
      </c>
      <c r="C366" s="4" t="s">
        <v>10</v>
      </c>
      <c r="D366" s="4" t="s">
        <v>28</v>
      </c>
      <c r="E366" s="4" t="s">
        <v>29</v>
      </c>
      <c r="F366" s="4" t="s">
        <v>838</v>
      </c>
      <c r="G366" s="4" t="s">
        <v>840</v>
      </c>
      <c r="H366" s="4" t="s">
        <v>196</v>
      </c>
      <c r="I366" s="4" t="s">
        <v>202</v>
      </c>
      <c r="J366" s="4" t="s">
        <v>196</v>
      </c>
      <c r="K366" s="7">
        <v>0</v>
      </c>
      <c r="L366" s="7">
        <v>0</v>
      </c>
      <c r="M366" s="7">
        <v>0</v>
      </c>
      <c r="N366" s="7">
        <v>88.2</v>
      </c>
      <c r="O366" s="7">
        <v>51.1</v>
      </c>
      <c r="P366" s="7">
        <v>73.400000000000006</v>
      </c>
      <c r="Q366" s="7">
        <v>58</v>
      </c>
      <c r="R366" s="7">
        <v>96</v>
      </c>
      <c r="S366" s="7"/>
      <c r="T366" s="7"/>
      <c r="U366" s="7"/>
      <c r="V366" s="7"/>
      <c r="W366" s="11">
        <f t="shared" si="6"/>
        <v>366.70000000000005</v>
      </c>
    </row>
    <row r="367" spans="1:23" x14ac:dyDescent="0.2">
      <c r="A367" s="4" t="s">
        <v>570</v>
      </c>
      <c r="B367" s="4" t="s">
        <v>585</v>
      </c>
      <c r="C367" s="4" t="s">
        <v>10</v>
      </c>
      <c r="D367" s="4" t="s">
        <v>28</v>
      </c>
      <c r="E367" s="4" t="s">
        <v>29</v>
      </c>
      <c r="F367" s="4" t="s">
        <v>384</v>
      </c>
      <c r="G367" s="4" t="s">
        <v>385</v>
      </c>
      <c r="H367" s="4" t="s">
        <v>196</v>
      </c>
      <c r="I367" s="4" t="s">
        <v>197</v>
      </c>
      <c r="J367" s="4" t="s">
        <v>198</v>
      </c>
      <c r="K367" s="7">
        <v>200.94</v>
      </c>
      <c r="L367" s="7">
        <v>202.91</v>
      </c>
      <c r="M367" s="7">
        <v>270.875</v>
      </c>
      <c r="N367" s="7">
        <v>232.46</v>
      </c>
      <c r="O367" s="7">
        <v>218.67</v>
      </c>
      <c r="P367" s="7">
        <v>434.38499999999999</v>
      </c>
      <c r="Q367" s="7">
        <v>449.16</v>
      </c>
      <c r="R367" s="7">
        <v>443.25</v>
      </c>
      <c r="S367" s="7"/>
      <c r="T367" s="7"/>
      <c r="U367" s="7"/>
      <c r="V367" s="7"/>
      <c r="W367" s="11">
        <f t="shared" si="6"/>
        <v>2452.65</v>
      </c>
    </row>
    <row r="368" spans="1:23" x14ac:dyDescent="0.2">
      <c r="A368" s="4" t="s">
        <v>570</v>
      </c>
      <c r="B368" s="4" t="s">
        <v>585</v>
      </c>
      <c r="C368" s="4" t="s">
        <v>10</v>
      </c>
      <c r="D368" s="4" t="s">
        <v>28</v>
      </c>
      <c r="E368" s="4" t="s">
        <v>29</v>
      </c>
      <c r="F368" s="4" t="s">
        <v>386</v>
      </c>
      <c r="G368" s="4" t="s">
        <v>387</v>
      </c>
      <c r="H368" s="4" t="s">
        <v>196</v>
      </c>
      <c r="I368" s="4" t="s">
        <v>197</v>
      </c>
      <c r="J368" s="4" t="s">
        <v>198</v>
      </c>
      <c r="K368" s="7">
        <v>145.5</v>
      </c>
      <c r="L368" s="7">
        <v>145.5</v>
      </c>
      <c r="M368" s="7">
        <v>0</v>
      </c>
      <c r="N368" s="7">
        <v>144.53</v>
      </c>
      <c r="O368" s="7">
        <v>140.65</v>
      </c>
      <c r="P368" s="7">
        <v>144.53</v>
      </c>
      <c r="Q368" s="7">
        <v>356.96</v>
      </c>
      <c r="R368" s="7">
        <v>588.79</v>
      </c>
      <c r="S368" s="7"/>
      <c r="T368" s="7"/>
      <c r="U368" s="7"/>
      <c r="V368" s="7"/>
      <c r="W368" s="11">
        <f t="shared" si="6"/>
        <v>1666.4599999999998</v>
      </c>
    </row>
    <row r="369" spans="1:23" x14ac:dyDescent="0.2">
      <c r="A369" s="4" t="s">
        <v>570</v>
      </c>
      <c r="B369" s="4" t="s">
        <v>585</v>
      </c>
      <c r="C369" s="4" t="s">
        <v>10</v>
      </c>
      <c r="D369" s="4" t="s">
        <v>28</v>
      </c>
      <c r="E369" s="4" t="s">
        <v>29</v>
      </c>
      <c r="F369" s="4" t="s">
        <v>388</v>
      </c>
      <c r="G369" s="4" t="s">
        <v>389</v>
      </c>
      <c r="H369" s="4" t="s">
        <v>196</v>
      </c>
      <c r="I369" s="4" t="s">
        <v>202</v>
      </c>
      <c r="J369" s="4" t="s">
        <v>205</v>
      </c>
      <c r="K369" s="7">
        <v>1962.0360000000001</v>
      </c>
      <c r="L369" s="7">
        <v>1995.0029999999999</v>
      </c>
      <c r="M369" s="7">
        <v>2021.9760000000001</v>
      </c>
      <c r="N369" s="7">
        <v>2032.9649999999999</v>
      </c>
      <c r="O369" s="7">
        <v>2039.9580000000001</v>
      </c>
      <c r="P369" s="7">
        <v>1976.0219999999999</v>
      </c>
      <c r="Q369" s="7">
        <v>979.02</v>
      </c>
      <c r="R369" s="7">
        <v>2159.8380000000002</v>
      </c>
      <c r="S369" s="7"/>
      <c r="T369" s="7"/>
      <c r="U369" s="7"/>
      <c r="V369" s="7"/>
      <c r="W369" s="11">
        <f t="shared" si="6"/>
        <v>15166.817999999999</v>
      </c>
    </row>
    <row r="370" spans="1:23" x14ac:dyDescent="0.2">
      <c r="A370" s="4" t="s">
        <v>570</v>
      </c>
      <c r="B370" s="4" t="s">
        <v>585</v>
      </c>
      <c r="C370" s="4" t="s">
        <v>10</v>
      </c>
      <c r="D370" s="4" t="s">
        <v>28</v>
      </c>
      <c r="E370" s="4" t="s">
        <v>29</v>
      </c>
      <c r="F370" s="4" t="s">
        <v>926</v>
      </c>
      <c r="G370" s="4" t="s">
        <v>705</v>
      </c>
      <c r="H370" s="4" t="s">
        <v>196</v>
      </c>
      <c r="I370" s="4" t="s">
        <v>202</v>
      </c>
      <c r="J370" s="4" t="s">
        <v>196</v>
      </c>
      <c r="K370" s="7">
        <v>1999.998</v>
      </c>
      <c r="L370" s="7">
        <v>1059.9989399999999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/>
      <c r="T370" s="7"/>
      <c r="U370" s="7"/>
      <c r="V370" s="7"/>
      <c r="W370" s="11">
        <f t="shared" si="6"/>
        <v>3059.99694</v>
      </c>
    </row>
    <row r="371" spans="1:23" x14ac:dyDescent="0.2">
      <c r="A371" s="4" t="s">
        <v>570</v>
      </c>
      <c r="B371" s="4" t="s">
        <v>585</v>
      </c>
      <c r="C371" s="4" t="s">
        <v>10</v>
      </c>
      <c r="D371" s="4" t="s">
        <v>28</v>
      </c>
      <c r="E371" s="4" t="s">
        <v>29</v>
      </c>
      <c r="F371" s="4" t="s">
        <v>926</v>
      </c>
      <c r="G371" s="4" t="s">
        <v>706</v>
      </c>
      <c r="H371" s="4" t="s">
        <v>196</v>
      </c>
      <c r="I371" s="4" t="s">
        <v>202</v>
      </c>
      <c r="J371" s="4" t="s">
        <v>205</v>
      </c>
      <c r="K371" s="7">
        <v>1999.998</v>
      </c>
      <c r="L371" s="7">
        <v>59.999940000000002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/>
      <c r="T371" s="7"/>
      <c r="U371" s="7"/>
      <c r="V371" s="7"/>
      <c r="W371" s="11">
        <f t="shared" si="6"/>
        <v>2059.9979400000002</v>
      </c>
    </row>
    <row r="372" spans="1:23" x14ac:dyDescent="0.2">
      <c r="A372" s="4" t="s">
        <v>570</v>
      </c>
      <c r="B372" s="4" t="s">
        <v>585</v>
      </c>
      <c r="C372" s="4" t="s">
        <v>10</v>
      </c>
      <c r="D372" s="4" t="s">
        <v>28</v>
      </c>
      <c r="E372" s="4" t="s">
        <v>29</v>
      </c>
      <c r="F372" s="4" t="s">
        <v>390</v>
      </c>
      <c r="G372" s="4" t="s">
        <v>391</v>
      </c>
      <c r="H372" s="4" t="s">
        <v>32</v>
      </c>
      <c r="I372" s="4" t="s">
        <v>199</v>
      </c>
      <c r="J372" s="4" t="s">
        <v>200</v>
      </c>
      <c r="K372" s="7">
        <v>147.97999999999999</v>
      </c>
      <c r="L372" s="7">
        <v>394.94</v>
      </c>
      <c r="M372" s="7">
        <v>82.32</v>
      </c>
      <c r="N372" s="7">
        <v>232.26</v>
      </c>
      <c r="O372" s="7">
        <v>263.62</v>
      </c>
      <c r="P372" s="7">
        <v>0</v>
      </c>
      <c r="Q372" s="7">
        <v>578.20000000000005</v>
      </c>
      <c r="R372" s="7">
        <v>301.83999999999997</v>
      </c>
      <c r="S372" s="7"/>
      <c r="T372" s="7"/>
      <c r="U372" s="7"/>
      <c r="V372" s="7"/>
      <c r="W372" s="11">
        <f t="shared" si="6"/>
        <v>2001.1599999999999</v>
      </c>
    </row>
    <row r="373" spans="1:23" x14ac:dyDescent="0.2">
      <c r="A373" s="4" t="s">
        <v>570</v>
      </c>
      <c r="B373" s="4" t="s">
        <v>585</v>
      </c>
      <c r="C373" s="4" t="s">
        <v>10</v>
      </c>
      <c r="D373" s="4" t="s">
        <v>28</v>
      </c>
      <c r="E373" s="4" t="s">
        <v>29</v>
      </c>
      <c r="F373" s="4" t="s">
        <v>392</v>
      </c>
      <c r="G373" s="4" t="s">
        <v>393</v>
      </c>
      <c r="H373" s="4" t="s">
        <v>196</v>
      </c>
      <c r="I373" s="4" t="s">
        <v>202</v>
      </c>
      <c r="J373" s="4" t="s">
        <v>196</v>
      </c>
      <c r="K373" s="7">
        <v>898.32</v>
      </c>
      <c r="L373" s="7">
        <v>943.63</v>
      </c>
      <c r="M373" s="7">
        <v>1109.1099999999999</v>
      </c>
      <c r="N373" s="7">
        <v>1295.2750000000001</v>
      </c>
      <c r="O373" s="7">
        <v>1365.21</v>
      </c>
      <c r="P373" s="7">
        <v>0</v>
      </c>
      <c r="Q373" s="7">
        <v>1400.67</v>
      </c>
      <c r="R373" s="7">
        <v>2036.98</v>
      </c>
      <c r="S373" s="7"/>
      <c r="T373" s="7"/>
      <c r="U373" s="7"/>
      <c r="V373" s="7"/>
      <c r="W373" s="11">
        <f t="shared" si="6"/>
        <v>9049.1949999999997</v>
      </c>
    </row>
    <row r="374" spans="1:23" x14ac:dyDescent="0.2">
      <c r="A374" s="4" t="s">
        <v>570</v>
      </c>
      <c r="B374" s="4" t="s">
        <v>585</v>
      </c>
      <c r="C374" s="4" t="s">
        <v>10</v>
      </c>
      <c r="D374" s="4" t="s">
        <v>28</v>
      </c>
      <c r="E374" s="4" t="s">
        <v>29</v>
      </c>
      <c r="F374" s="4" t="s">
        <v>977</v>
      </c>
      <c r="G374" s="4" t="s">
        <v>978</v>
      </c>
      <c r="H374" s="4" t="s">
        <v>196</v>
      </c>
      <c r="I374" s="4" t="s">
        <v>202</v>
      </c>
      <c r="J374" s="4" t="s">
        <v>196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300.99969900000002</v>
      </c>
      <c r="S374" s="7"/>
      <c r="T374" s="7"/>
      <c r="U374" s="7"/>
      <c r="V374" s="7"/>
      <c r="W374" s="11">
        <f t="shared" si="6"/>
        <v>300.99969900000002</v>
      </c>
    </row>
    <row r="375" spans="1:23" x14ac:dyDescent="0.2">
      <c r="A375" s="4" t="s">
        <v>570</v>
      </c>
      <c r="B375" s="4" t="s">
        <v>585</v>
      </c>
      <c r="C375" s="4" t="s">
        <v>10</v>
      </c>
      <c r="D375" s="4" t="s">
        <v>28</v>
      </c>
      <c r="E375" s="4" t="s">
        <v>29</v>
      </c>
      <c r="F375" s="4" t="s">
        <v>922</v>
      </c>
      <c r="G375" s="4" t="s">
        <v>923</v>
      </c>
      <c r="H375" s="4" t="s">
        <v>196</v>
      </c>
      <c r="I375" s="4" t="s">
        <v>197</v>
      </c>
      <c r="J375" s="4" t="s">
        <v>216</v>
      </c>
      <c r="K375" s="7">
        <v>280.8</v>
      </c>
      <c r="L375" s="7">
        <v>719.55</v>
      </c>
      <c r="M375" s="7">
        <v>0</v>
      </c>
      <c r="N375" s="7">
        <v>1156.3499999999999</v>
      </c>
      <c r="O375" s="7">
        <v>652.27499999999998</v>
      </c>
      <c r="P375" s="7">
        <v>1252.875</v>
      </c>
      <c r="Q375" s="7">
        <v>614.25</v>
      </c>
      <c r="R375" s="7">
        <v>1083.2249999999999</v>
      </c>
      <c r="S375" s="7"/>
      <c r="T375" s="7"/>
      <c r="U375" s="7"/>
      <c r="V375" s="7"/>
      <c r="W375" s="11">
        <f t="shared" si="6"/>
        <v>5759.3250000000007</v>
      </c>
    </row>
    <row r="376" spans="1:23" x14ac:dyDescent="0.2">
      <c r="A376" s="4" t="s">
        <v>570</v>
      </c>
      <c r="B376" s="4" t="s">
        <v>585</v>
      </c>
      <c r="C376" s="4" t="s">
        <v>10</v>
      </c>
      <c r="D376" s="4" t="s">
        <v>28</v>
      </c>
      <c r="E376" s="4" t="s">
        <v>29</v>
      </c>
      <c r="F376" s="4" t="s">
        <v>916</v>
      </c>
      <c r="G376" s="4" t="s">
        <v>917</v>
      </c>
      <c r="H376" s="4" t="s">
        <v>196</v>
      </c>
      <c r="I376" s="4" t="s">
        <v>197</v>
      </c>
      <c r="J376" s="4" t="s">
        <v>216</v>
      </c>
      <c r="K376" s="7">
        <v>250.99974900000001</v>
      </c>
      <c r="L376" s="7">
        <v>204.99979500000001</v>
      </c>
      <c r="M376" s="7">
        <v>121.999878</v>
      </c>
      <c r="N376" s="7">
        <v>315.999684</v>
      </c>
      <c r="O376" s="7">
        <v>0</v>
      </c>
      <c r="P376" s="7">
        <v>137.99986200000001</v>
      </c>
      <c r="Q376" s="7">
        <v>309.99968999999999</v>
      </c>
      <c r="R376" s="7">
        <v>126.99987299999999</v>
      </c>
      <c r="S376" s="7"/>
      <c r="T376" s="7"/>
      <c r="U376" s="7"/>
      <c r="V376" s="7"/>
      <c r="W376" s="11">
        <f t="shared" si="6"/>
        <v>1468.998531</v>
      </c>
    </row>
    <row r="377" spans="1:23" x14ac:dyDescent="0.2">
      <c r="A377" s="4" t="s">
        <v>570</v>
      </c>
      <c r="B377" s="4" t="s">
        <v>585</v>
      </c>
      <c r="C377" s="4" t="s">
        <v>10</v>
      </c>
      <c r="D377" s="4" t="s">
        <v>28</v>
      </c>
      <c r="E377" s="4" t="s">
        <v>29</v>
      </c>
      <c r="F377" s="4" t="s">
        <v>916</v>
      </c>
      <c r="G377" s="4" t="s">
        <v>918</v>
      </c>
      <c r="H377" s="4" t="s">
        <v>196</v>
      </c>
      <c r="I377" s="4" t="s">
        <v>197</v>
      </c>
      <c r="J377" s="4" t="s">
        <v>216</v>
      </c>
      <c r="K377" s="7">
        <v>0</v>
      </c>
      <c r="L377" s="7">
        <v>146.999853</v>
      </c>
      <c r="M377" s="7">
        <v>0</v>
      </c>
      <c r="N377" s="7">
        <v>50.999949000000001</v>
      </c>
      <c r="O377" s="7">
        <v>0</v>
      </c>
      <c r="P377" s="7">
        <v>12.899870999999999</v>
      </c>
      <c r="Q377" s="7">
        <v>94.999904999999998</v>
      </c>
      <c r="R377" s="7">
        <v>0</v>
      </c>
      <c r="S377" s="7"/>
      <c r="T377" s="7"/>
      <c r="U377" s="7"/>
      <c r="V377" s="7"/>
      <c r="W377" s="11">
        <f t="shared" si="6"/>
        <v>305.89957799999996</v>
      </c>
    </row>
    <row r="378" spans="1:23" x14ac:dyDescent="0.2">
      <c r="A378" s="4" t="s">
        <v>570</v>
      </c>
      <c r="B378" s="4" t="s">
        <v>585</v>
      </c>
      <c r="C378" s="4" t="s">
        <v>10</v>
      </c>
      <c r="D378" s="4" t="s">
        <v>28</v>
      </c>
      <c r="E378" s="4" t="s">
        <v>29</v>
      </c>
      <c r="F378" s="4" t="s">
        <v>394</v>
      </c>
      <c r="G378" s="4" t="s">
        <v>395</v>
      </c>
      <c r="H378" s="4" t="s">
        <v>196</v>
      </c>
      <c r="I378" s="4" t="s">
        <v>197</v>
      </c>
      <c r="J378" s="4" t="s">
        <v>216</v>
      </c>
      <c r="K378" s="7">
        <v>296.70299999999997</v>
      </c>
      <c r="L378" s="7">
        <v>823.17600000000004</v>
      </c>
      <c r="M378" s="7">
        <v>0</v>
      </c>
      <c r="N378" s="7">
        <v>0</v>
      </c>
      <c r="O378" s="7">
        <v>121.39</v>
      </c>
      <c r="P378" s="7">
        <v>363.63600000000002</v>
      </c>
      <c r="Q378" s="7">
        <v>364.63499999999999</v>
      </c>
      <c r="R378" s="7">
        <v>795.20399999999995</v>
      </c>
      <c r="S378" s="7"/>
      <c r="T378" s="7"/>
      <c r="U378" s="7"/>
      <c r="V378" s="7"/>
      <c r="W378" s="11">
        <f t="shared" si="6"/>
        <v>2764.7439999999997</v>
      </c>
    </row>
    <row r="379" spans="1:23" x14ac:dyDescent="0.2">
      <c r="A379" s="4" t="s">
        <v>570</v>
      </c>
      <c r="B379" s="4" t="s">
        <v>585</v>
      </c>
      <c r="C379" s="4" t="s">
        <v>10</v>
      </c>
      <c r="D379" s="4" t="s">
        <v>28</v>
      </c>
      <c r="E379" s="4" t="s">
        <v>29</v>
      </c>
      <c r="F379" s="4" t="s">
        <v>794</v>
      </c>
      <c r="G379" s="4" t="s">
        <v>795</v>
      </c>
      <c r="H379" s="4" t="s">
        <v>196</v>
      </c>
      <c r="I379" s="4" t="s">
        <v>202</v>
      </c>
      <c r="J379" s="4" t="s">
        <v>196</v>
      </c>
      <c r="K379" s="7">
        <v>0</v>
      </c>
      <c r="L379" s="7">
        <v>0</v>
      </c>
      <c r="M379" s="7">
        <v>7.84</v>
      </c>
      <c r="N379" s="7">
        <v>7.84</v>
      </c>
      <c r="O379" s="7">
        <v>16.66</v>
      </c>
      <c r="P379" s="7">
        <v>44.1</v>
      </c>
      <c r="Q379" s="7">
        <v>51.94</v>
      </c>
      <c r="R379" s="7">
        <v>27.44</v>
      </c>
      <c r="S379" s="7"/>
      <c r="T379" s="7"/>
      <c r="U379" s="7"/>
      <c r="V379" s="7"/>
      <c r="W379" s="11">
        <f t="shared" si="6"/>
        <v>155.82</v>
      </c>
    </row>
    <row r="380" spans="1:23" x14ac:dyDescent="0.2">
      <c r="A380" s="4" t="s">
        <v>570</v>
      </c>
      <c r="B380" s="4" t="s">
        <v>585</v>
      </c>
      <c r="C380" s="4" t="s">
        <v>10</v>
      </c>
      <c r="D380" s="4" t="s">
        <v>28</v>
      </c>
      <c r="E380" s="4" t="s">
        <v>29</v>
      </c>
      <c r="F380" s="4" t="s">
        <v>664</v>
      </c>
      <c r="G380" s="4" t="s">
        <v>665</v>
      </c>
      <c r="H380" s="4" t="s">
        <v>196</v>
      </c>
      <c r="I380" s="4" t="s">
        <v>202</v>
      </c>
      <c r="J380" s="4" t="s">
        <v>205</v>
      </c>
      <c r="K380" s="7">
        <v>227.36</v>
      </c>
      <c r="L380" s="7">
        <v>489.02</v>
      </c>
      <c r="M380" s="7">
        <v>279.3</v>
      </c>
      <c r="N380" s="7">
        <v>884.94</v>
      </c>
      <c r="O380" s="7">
        <v>387.1</v>
      </c>
      <c r="P380" s="7">
        <v>166.6</v>
      </c>
      <c r="Q380" s="7">
        <v>0</v>
      </c>
      <c r="R380" s="7">
        <v>701.68</v>
      </c>
      <c r="S380" s="7"/>
      <c r="T380" s="7"/>
      <c r="U380" s="7"/>
      <c r="V380" s="7"/>
      <c r="W380" s="11">
        <f t="shared" si="6"/>
        <v>3136</v>
      </c>
    </row>
    <row r="381" spans="1:23" x14ac:dyDescent="0.2">
      <c r="A381" s="4" t="s">
        <v>570</v>
      </c>
      <c r="B381" s="4" t="s">
        <v>585</v>
      </c>
      <c r="C381" s="4" t="s">
        <v>10</v>
      </c>
      <c r="D381" s="4" t="s">
        <v>28</v>
      </c>
      <c r="E381" s="4" t="s">
        <v>29</v>
      </c>
      <c r="F381" s="4" t="s">
        <v>396</v>
      </c>
      <c r="G381" s="4" t="s">
        <v>397</v>
      </c>
      <c r="H381" s="4" t="s">
        <v>196</v>
      </c>
      <c r="I381" s="4" t="s">
        <v>202</v>
      </c>
      <c r="J381" s="4" t="s">
        <v>205</v>
      </c>
      <c r="K381" s="7">
        <v>261.02499999999998</v>
      </c>
      <c r="L381" s="7">
        <v>460.98</v>
      </c>
      <c r="M381" s="7">
        <v>394</v>
      </c>
      <c r="N381" s="7">
        <v>576.22500000000002</v>
      </c>
      <c r="O381" s="7">
        <v>164.495</v>
      </c>
      <c r="P381" s="7">
        <v>285.64999999999998</v>
      </c>
      <c r="Q381" s="7">
        <v>398.92500000000001</v>
      </c>
      <c r="R381" s="7">
        <v>733.82500000000005</v>
      </c>
      <c r="S381" s="7"/>
      <c r="T381" s="7"/>
      <c r="U381" s="7"/>
      <c r="V381" s="7"/>
      <c r="W381" s="11">
        <f t="shared" si="6"/>
        <v>3275.125</v>
      </c>
    </row>
    <row r="382" spans="1:23" x14ac:dyDescent="0.2">
      <c r="A382" s="4" t="s">
        <v>570</v>
      </c>
      <c r="B382" s="4" t="s">
        <v>585</v>
      </c>
      <c r="C382" s="4" t="s">
        <v>10</v>
      </c>
      <c r="D382" s="4" t="s">
        <v>28</v>
      </c>
      <c r="E382" s="4" t="s">
        <v>29</v>
      </c>
      <c r="F382" s="4" t="s">
        <v>398</v>
      </c>
      <c r="G382" s="4" t="s">
        <v>399</v>
      </c>
      <c r="H382" s="4" t="s">
        <v>196</v>
      </c>
      <c r="I382" s="4" t="s">
        <v>202</v>
      </c>
      <c r="J382" s="4" t="s">
        <v>196</v>
      </c>
      <c r="K382" s="7">
        <v>297.47000000000003</v>
      </c>
      <c r="L382" s="7">
        <v>349.67500000000001</v>
      </c>
      <c r="M382" s="7">
        <v>279.74</v>
      </c>
      <c r="N382" s="7">
        <v>294.51499999999999</v>
      </c>
      <c r="O382" s="7">
        <v>296.48500000000001</v>
      </c>
      <c r="P382" s="7">
        <v>226.55</v>
      </c>
      <c r="Q382" s="7">
        <v>303.38</v>
      </c>
      <c r="R382" s="7">
        <v>306.33499999999998</v>
      </c>
      <c r="S382" s="7"/>
      <c r="T382" s="7"/>
      <c r="U382" s="7"/>
      <c r="V382" s="7"/>
      <c r="W382" s="11">
        <f t="shared" si="6"/>
        <v>2354.15</v>
      </c>
    </row>
    <row r="383" spans="1:23" x14ac:dyDescent="0.2">
      <c r="A383" s="4" t="s">
        <v>570</v>
      </c>
      <c r="B383" s="4" t="s">
        <v>585</v>
      </c>
      <c r="C383" s="4" t="s">
        <v>10</v>
      </c>
      <c r="D383" s="4" t="s">
        <v>28</v>
      </c>
      <c r="E383" s="4" t="s">
        <v>29</v>
      </c>
      <c r="F383" s="4" t="s">
        <v>808</v>
      </c>
      <c r="G383" s="4" t="s">
        <v>809</v>
      </c>
      <c r="H383" s="4" t="s">
        <v>196</v>
      </c>
      <c r="I383" s="4" t="s">
        <v>197</v>
      </c>
      <c r="J383" s="4" t="s">
        <v>198</v>
      </c>
      <c r="K383" s="7">
        <v>0</v>
      </c>
      <c r="L383" s="7">
        <v>212.66</v>
      </c>
      <c r="M383" s="7">
        <v>0</v>
      </c>
      <c r="N383" s="7">
        <v>756.56</v>
      </c>
      <c r="O383" s="7">
        <v>0</v>
      </c>
      <c r="P383" s="7">
        <v>0</v>
      </c>
      <c r="Q383" s="7">
        <v>813.4</v>
      </c>
      <c r="R383" s="7">
        <v>0</v>
      </c>
      <c r="S383" s="7"/>
      <c r="T383" s="7"/>
      <c r="U383" s="7"/>
      <c r="V383" s="7"/>
      <c r="W383" s="11">
        <f t="shared" si="6"/>
        <v>1782.62</v>
      </c>
    </row>
    <row r="384" spans="1:23" x14ac:dyDescent="0.2">
      <c r="A384" s="4" t="s">
        <v>570</v>
      </c>
      <c r="B384" s="4" t="s">
        <v>585</v>
      </c>
      <c r="C384" s="4" t="s">
        <v>10</v>
      </c>
      <c r="D384" s="4" t="s">
        <v>28</v>
      </c>
      <c r="E384" s="4" t="s">
        <v>29</v>
      </c>
      <c r="F384" s="4" t="s">
        <v>400</v>
      </c>
      <c r="G384" s="4" t="s">
        <v>720</v>
      </c>
      <c r="H384" s="4" t="s">
        <v>196</v>
      </c>
      <c r="I384" s="4" t="s">
        <v>197</v>
      </c>
      <c r="J384" s="4" t="s">
        <v>216</v>
      </c>
      <c r="K384" s="7">
        <v>0</v>
      </c>
      <c r="L384" s="7">
        <v>60.14</v>
      </c>
      <c r="M384" s="7">
        <v>48.5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/>
      <c r="T384" s="7"/>
      <c r="U384" s="7"/>
      <c r="V384" s="7"/>
      <c r="W384" s="11">
        <f t="shared" si="6"/>
        <v>108.64</v>
      </c>
    </row>
    <row r="385" spans="1:23" x14ac:dyDescent="0.2">
      <c r="A385" s="4" t="s">
        <v>570</v>
      </c>
      <c r="B385" s="4" t="s">
        <v>585</v>
      </c>
      <c r="C385" s="4" t="s">
        <v>10</v>
      </c>
      <c r="D385" s="4" t="s">
        <v>28</v>
      </c>
      <c r="E385" s="4" t="s">
        <v>29</v>
      </c>
      <c r="F385" s="4" t="s">
        <v>400</v>
      </c>
      <c r="G385" s="4" t="s">
        <v>401</v>
      </c>
      <c r="H385" s="4" t="s">
        <v>196</v>
      </c>
      <c r="I385" s="4" t="s">
        <v>197</v>
      </c>
      <c r="J385" s="4" t="s">
        <v>216</v>
      </c>
      <c r="K385" s="7">
        <v>116.4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127.07</v>
      </c>
      <c r="R385" s="7">
        <v>22.31</v>
      </c>
      <c r="S385" s="7"/>
      <c r="T385" s="7"/>
      <c r="U385" s="7"/>
      <c r="V385" s="7"/>
      <c r="W385" s="11">
        <f t="shared" si="6"/>
        <v>265.77999999999997</v>
      </c>
    </row>
    <row r="386" spans="1:23" x14ac:dyDescent="0.2">
      <c r="A386" s="4" t="s">
        <v>570</v>
      </c>
      <c r="B386" s="4" t="s">
        <v>585</v>
      </c>
      <c r="C386" s="4" t="s">
        <v>10</v>
      </c>
      <c r="D386" s="4" t="s">
        <v>28</v>
      </c>
      <c r="E386" s="4" t="s">
        <v>29</v>
      </c>
      <c r="F386" s="4" t="s">
        <v>400</v>
      </c>
      <c r="G386" s="4" t="s">
        <v>796</v>
      </c>
      <c r="H386" s="4" t="s">
        <v>196</v>
      </c>
      <c r="I386" s="4" t="s">
        <v>197</v>
      </c>
      <c r="J386" s="4" t="s">
        <v>198</v>
      </c>
      <c r="K386" s="7">
        <v>0</v>
      </c>
      <c r="L386" s="7">
        <v>0</v>
      </c>
      <c r="M386" s="7">
        <v>67.900000000000006</v>
      </c>
      <c r="N386" s="7">
        <v>87.3</v>
      </c>
      <c r="O386" s="7">
        <v>97</v>
      </c>
      <c r="P386" s="7">
        <v>118.34</v>
      </c>
      <c r="Q386" s="7">
        <v>0</v>
      </c>
      <c r="R386" s="7">
        <v>0</v>
      </c>
      <c r="S386" s="7"/>
      <c r="T386" s="7"/>
      <c r="U386" s="7"/>
      <c r="V386" s="7"/>
      <c r="W386" s="11">
        <f t="shared" si="6"/>
        <v>370.53999999999996</v>
      </c>
    </row>
    <row r="387" spans="1:23" x14ac:dyDescent="0.2">
      <c r="A387" s="4" t="s">
        <v>570</v>
      </c>
      <c r="B387" s="4" t="s">
        <v>585</v>
      </c>
      <c r="C387" s="4" t="s">
        <v>10</v>
      </c>
      <c r="D387" s="4" t="s">
        <v>28</v>
      </c>
      <c r="E387" s="4" t="s">
        <v>29</v>
      </c>
      <c r="F387" s="4" t="s">
        <v>810</v>
      </c>
      <c r="G387" s="4" t="s">
        <v>811</v>
      </c>
      <c r="H387" s="4" t="s">
        <v>196</v>
      </c>
      <c r="I387" s="4" t="s">
        <v>202</v>
      </c>
      <c r="J387" s="4" t="s">
        <v>196</v>
      </c>
      <c r="K387" s="7">
        <v>251.99974800000001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/>
      <c r="T387" s="7"/>
      <c r="U387" s="7"/>
      <c r="V387" s="7"/>
      <c r="W387" s="11">
        <f t="shared" si="6"/>
        <v>251.99974800000001</v>
      </c>
    </row>
    <row r="388" spans="1:23" x14ac:dyDescent="0.2">
      <c r="A388" s="4" t="s">
        <v>570</v>
      </c>
      <c r="B388" s="4" t="s">
        <v>585</v>
      </c>
      <c r="C388" s="4" t="s">
        <v>10</v>
      </c>
      <c r="D388" s="4" t="s">
        <v>28</v>
      </c>
      <c r="E388" s="4" t="s">
        <v>29</v>
      </c>
      <c r="F388" s="4" t="s">
        <v>402</v>
      </c>
      <c r="G388" s="4" t="s">
        <v>403</v>
      </c>
      <c r="H388" s="4" t="s">
        <v>196</v>
      </c>
      <c r="I388" s="4" t="s">
        <v>202</v>
      </c>
      <c r="J388" s="4" t="s">
        <v>196</v>
      </c>
      <c r="K388" s="7">
        <v>394</v>
      </c>
      <c r="L388" s="7">
        <v>706.245</v>
      </c>
      <c r="M388" s="7">
        <v>428.47500000000002</v>
      </c>
      <c r="N388" s="7">
        <v>304.36500000000001</v>
      </c>
      <c r="O388" s="7">
        <v>1132.75</v>
      </c>
      <c r="P388" s="7">
        <v>157.6</v>
      </c>
      <c r="Q388" s="7">
        <v>788</v>
      </c>
      <c r="R388" s="7">
        <v>778.15</v>
      </c>
      <c r="S388" s="7"/>
      <c r="T388" s="7"/>
      <c r="U388" s="7"/>
      <c r="V388" s="7"/>
      <c r="W388" s="11">
        <f t="shared" si="6"/>
        <v>4689.585</v>
      </c>
    </row>
    <row r="389" spans="1:23" x14ac:dyDescent="0.2">
      <c r="A389" s="4" t="s">
        <v>570</v>
      </c>
      <c r="B389" s="4" t="s">
        <v>585</v>
      </c>
      <c r="C389" s="4" t="s">
        <v>10</v>
      </c>
      <c r="D389" s="4" t="s">
        <v>28</v>
      </c>
      <c r="E389" s="4" t="s">
        <v>29</v>
      </c>
      <c r="F389" s="4" t="s">
        <v>673</v>
      </c>
      <c r="G389" s="4" t="s">
        <v>674</v>
      </c>
      <c r="H389" s="4" t="s">
        <v>196</v>
      </c>
      <c r="I389" s="4" t="s">
        <v>202</v>
      </c>
      <c r="J389" s="4" t="s">
        <v>196</v>
      </c>
      <c r="K389" s="7">
        <v>1636.9998363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/>
      <c r="T389" s="7"/>
      <c r="U389" s="7"/>
      <c r="V389" s="7"/>
      <c r="W389" s="11">
        <f t="shared" si="6"/>
        <v>1636.9998363</v>
      </c>
    </row>
    <row r="390" spans="1:23" x14ac:dyDescent="0.2">
      <c r="A390" s="4" t="s">
        <v>570</v>
      </c>
      <c r="B390" s="4" t="s">
        <v>585</v>
      </c>
      <c r="C390" s="4" t="s">
        <v>10</v>
      </c>
      <c r="D390" s="4" t="s">
        <v>28</v>
      </c>
      <c r="E390" s="4" t="s">
        <v>29</v>
      </c>
      <c r="F390" s="4" t="s">
        <v>851</v>
      </c>
      <c r="G390" s="4" t="s">
        <v>852</v>
      </c>
      <c r="H390" s="4" t="s">
        <v>196</v>
      </c>
      <c r="I390" s="4" t="s">
        <v>202</v>
      </c>
      <c r="J390" s="4" t="s">
        <v>205</v>
      </c>
      <c r="K390" s="7">
        <v>1604.8</v>
      </c>
      <c r="L390" s="7">
        <v>809.6</v>
      </c>
      <c r="M390" s="7">
        <v>1544.9</v>
      </c>
      <c r="N390" s="7">
        <v>450</v>
      </c>
      <c r="O390" s="7">
        <v>0</v>
      </c>
      <c r="P390" s="7">
        <v>805</v>
      </c>
      <c r="Q390" s="7">
        <v>344.3</v>
      </c>
      <c r="R390" s="7">
        <v>1889.8</v>
      </c>
      <c r="S390" s="7"/>
      <c r="T390" s="7"/>
      <c r="U390" s="7"/>
      <c r="V390" s="7"/>
      <c r="W390" s="11">
        <f t="shared" si="6"/>
        <v>7448.4000000000005</v>
      </c>
    </row>
    <row r="391" spans="1:23" x14ac:dyDescent="0.2">
      <c r="A391" s="4" t="s">
        <v>570</v>
      </c>
      <c r="B391" s="4" t="s">
        <v>585</v>
      </c>
      <c r="C391" s="4" t="s">
        <v>10</v>
      </c>
      <c r="D391" s="4" t="s">
        <v>28</v>
      </c>
      <c r="E391" s="4" t="s">
        <v>29</v>
      </c>
      <c r="F391" s="4" t="s">
        <v>404</v>
      </c>
      <c r="G391" s="4" t="s">
        <v>405</v>
      </c>
      <c r="H391" s="4" t="s">
        <v>196</v>
      </c>
      <c r="I391" s="4" t="s">
        <v>197</v>
      </c>
      <c r="J391" s="4" t="s">
        <v>198</v>
      </c>
      <c r="K391" s="7">
        <v>393.96</v>
      </c>
      <c r="L391" s="7">
        <v>0</v>
      </c>
      <c r="M391" s="7">
        <v>98</v>
      </c>
      <c r="N391" s="7">
        <v>0</v>
      </c>
      <c r="O391" s="7">
        <v>245</v>
      </c>
      <c r="P391" s="7">
        <v>49</v>
      </c>
      <c r="Q391" s="7">
        <v>58.8</v>
      </c>
      <c r="R391" s="7">
        <v>88.2</v>
      </c>
      <c r="S391" s="7"/>
      <c r="T391" s="7"/>
      <c r="U391" s="7"/>
      <c r="V391" s="7"/>
      <c r="W391" s="11">
        <f t="shared" si="6"/>
        <v>932.96</v>
      </c>
    </row>
    <row r="392" spans="1:23" x14ac:dyDescent="0.2">
      <c r="A392" s="4" t="s">
        <v>570</v>
      </c>
      <c r="B392" s="4" t="s">
        <v>585</v>
      </c>
      <c r="C392" s="4" t="s">
        <v>10</v>
      </c>
      <c r="D392" s="4" t="s">
        <v>28</v>
      </c>
      <c r="E392" s="4" t="s">
        <v>29</v>
      </c>
      <c r="F392" s="4" t="s">
        <v>841</v>
      </c>
      <c r="G392" s="4" t="s">
        <v>842</v>
      </c>
      <c r="H392" s="4" t="s">
        <v>196</v>
      </c>
      <c r="I392" s="4" t="s">
        <v>202</v>
      </c>
      <c r="J392" s="4" t="s">
        <v>196</v>
      </c>
      <c r="K392" s="7">
        <v>0</v>
      </c>
      <c r="L392" s="7">
        <v>0</v>
      </c>
      <c r="M392" s="7">
        <v>126.90221</v>
      </c>
      <c r="N392" s="7">
        <v>184.90195</v>
      </c>
      <c r="O392" s="7">
        <v>214.80005</v>
      </c>
      <c r="P392" s="7">
        <v>61.999938</v>
      </c>
      <c r="Q392" s="7">
        <v>163.99983599999999</v>
      </c>
      <c r="R392" s="7">
        <v>100.999899</v>
      </c>
      <c r="S392" s="7"/>
      <c r="T392" s="7"/>
      <c r="U392" s="7"/>
      <c r="V392" s="7"/>
      <c r="W392" s="11">
        <f t="shared" si="6"/>
        <v>853.603883</v>
      </c>
    </row>
    <row r="393" spans="1:23" x14ac:dyDescent="0.2">
      <c r="A393" s="4" t="s">
        <v>570</v>
      </c>
      <c r="B393" s="4" t="s">
        <v>585</v>
      </c>
      <c r="C393" s="4" t="s">
        <v>10</v>
      </c>
      <c r="D393" s="4" t="s">
        <v>28</v>
      </c>
      <c r="E393" s="4" t="s">
        <v>29</v>
      </c>
      <c r="F393" s="4" t="s">
        <v>979</v>
      </c>
      <c r="G393" s="4" t="s">
        <v>980</v>
      </c>
      <c r="H393" s="4" t="s">
        <v>196</v>
      </c>
      <c r="I393" s="4" t="s">
        <v>197</v>
      </c>
      <c r="J393" s="4" t="s">
        <v>216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776.97</v>
      </c>
      <c r="S393" s="7"/>
      <c r="T393" s="7"/>
      <c r="U393" s="7"/>
      <c r="V393" s="7"/>
      <c r="W393" s="11">
        <f t="shared" si="6"/>
        <v>776.97</v>
      </c>
    </row>
    <row r="394" spans="1:23" x14ac:dyDescent="0.2">
      <c r="A394" s="4" t="s">
        <v>570</v>
      </c>
      <c r="B394" s="4" t="s">
        <v>585</v>
      </c>
      <c r="C394" s="4" t="s">
        <v>10</v>
      </c>
      <c r="D394" s="4" t="s">
        <v>28</v>
      </c>
      <c r="E394" s="4" t="s">
        <v>29</v>
      </c>
      <c r="F394" s="4" t="s">
        <v>721</v>
      </c>
      <c r="G394" s="4" t="s">
        <v>881</v>
      </c>
      <c r="H394" s="4" t="s">
        <v>196</v>
      </c>
      <c r="I394" s="4" t="s">
        <v>202</v>
      </c>
      <c r="J394" s="4" t="s">
        <v>196</v>
      </c>
      <c r="K394" s="7">
        <v>0</v>
      </c>
      <c r="L394" s="7">
        <v>0</v>
      </c>
      <c r="M394" s="7">
        <v>0</v>
      </c>
      <c r="N394" s="7">
        <v>0</v>
      </c>
      <c r="O394" s="7">
        <v>8.82</v>
      </c>
      <c r="P394" s="7">
        <v>73.5</v>
      </c>
      <c r="Q394" s="7">
        <v>0</v>
      </c>
      <c r="R394" s="7">
        <v>0</v>
      </c>
      <c r="S394" s="7"/>
      <c r="T394" s="7"/>
      <c r="U394" s="7"/>
      <c r="V394" s="7"/>
      <c r="W394" s="11">
        <f t="shared" si="6"/>
        <v>82.32</v>
      </c>
    </row>
    <row r="395" spans="1:23" x14ac:dyDescent="0.2">
      <c r="A395" s="4" t="s">
        <v>570</v>
      </c>
      <c r="B395" s="4" t="s">
        <v>585</v>
      </c>
      <c r="C395" s="4" t="s">
        <v>10</v>
      </c>
      <c r="D395" s="4" t="s">
        <v>28</v>
      </c>
      <c r="E395" s="4" t="s">
        <v>29</v>
      </c>
      <c r="F395" s="4" t="s">
        <v>721</v>
      </c>
      <c r="G395" s="4" t="s">
        <v>722</v>
      </c>
      <c r="H395" s="4" t="s">
        <v>196</v>
      </c>
      <c r="I395" s="4" t="s">
        <v>202</v>
      </c>
      <c r="J395" s="4" t="s">
        <v>196</v>
      </c>
      <c r="K395" s="7">
        <v>0</v>
      </c>
      <c r="L395" s="7">
        <v>57.82</v>
      </c>
      <c r="M395" s="7">
        <v>3.92</v>
      </c>
      <c r="N395" s="7">
        <v>0</v>
      </c>
      <c r="O395" s="7">
        <v>0</v>
      </c>
      <c r="P395" s="7">
        <v>0</v>
      </c>
      <c r="Q395" s="7">
        <v>46.06</v>
      </c>
      <c r="R395" s="7">
        <v>34.299999999999997</v>
      </c>
      <c r="S395" s="7"/>
      <c r="T395" s="7"/>
      <c r="U395" s="7"/>
      <c r="V395" s="7"/>
      <c r="W395" s="11">
        <f t="shared" si="6"/>
        <v>142.10000000000002</v>
      </c>
    </row>
    <row r="396" spans="1:23" x14ac:dyDescent="0.2">
      <c r="A396" s="4" t="s">
        <v>570</v>
      </c>
      <c r="B396" s="4" t="s">
        <v>585</v>
      </c>
      <c r="C396" s="4" t="s">
        <v>10</v>
      </c>
      <c r="D396" s="4" t="s">
        <v>28</v>
      </c>
      <c r="E396" s="4" t="s">
        <v>29</v>
      </c>
      <c r="F396" s="4" t="s">
        <v>658</v>
      </c>
      <c r="G396" s="4" t="s">
        <v>659</v>
      </c>
      <c r="H396" s="4" t="s">
        <v>196</v>
      </c>
      <c r="I396" s="4" t="s">
        <v>197</v>
      </c>
      <c r="J396" s="4" t="s">
        <v>216</v>
      </c>
      <c r="K396" s="7">
        <v>791.99920799999995</v>
      </c>
      <c r="L396" s="7">
        <v>604.99939500000005</v>
      </c>
      <c r="M396" s="7">
        <v>280.99971900000003</v>
      </c>
      <c r="N396" s="7">
        <v>510.99948899999998</v>
      </c>
      <c r="O396" s="7">
        <v>0</v>
      </c>
      <c r="P396" s="7">
        <v>339.99966000000001</v>
      </c>
      <c r="Q396" s="7">
        <v>945.999054</v>
      </c>
      <c r="R396" s="7">
        <v>507.99949199999998</v>
      </c>
      <c r="S396" s="7"/>
      <c r="T396" s="7"/>
      <c r="U396" s="7"/>
      <c r="V396" s="7"/>
      <c r="W396" s="11">
        <f t="shared" si="6"/>
        <v>3982.9960169999995</v>
      </c>
    </row>
    <row r="397" spans="1:23" x14ac:dyDescent="0.2">
      <c r="A397" s="4" t="s">
        <v>570</v>
      </c>
      <c r="B397" s="4" t="s">
        <v>585</v>
      </c>
      <c r="C397" s="4" t="s">
        <v>10</v>
      </c>
      <c r="D397" s="4" t="s">
        <v>28</v>
      </c>
      <c r="E397" s="4" t="s">
        <v>29</v>
      </c>
      <c r="F397" s="4" t="s">
        <v>406</v>
      </c>
      <c r="G397" s="4" t="s">
        <v>407</v>
      </c>
      <c r="H397" s="4" t="s">
        <v>196</v>
      </c>
      <c r="I397" s="4" t="s">
        <v>197</v>
      </c>
      <c r="J397" s="4" t="s">
        <v>198</v>
      </c>
      <c r="K397" s="7">
        <v>254.14</v>
      </c>
      <c r="L397" s="7">
        <v>248.32</v>
      </c>
      <c r="M397" s="7">
        <v>260.93</v>
      </c>
      <c r="N397" s="7">
        <v>269.66000000000003</v>
      </c>
      <c r="O397" s="7">
        <v>254.14</v>
      </c>
      <c r="P397" s="7">
        <v>295.85000000000002</v>
      </c>
      <c r="Q397" s="7">
        <v>258.02</v>
      </c>
      <c r="R397" s="7">
        <v>273.54000000000002</v>
      </c>
      <c r="S397" s="7"/>
      <c r="T397" s="7"/>
      <c r="U397" s="7"/>
      <c r="V397" s="7"/>
      <c r="W397" s="11">
        <f t="shared" si="6"/>
        <v>2114.6</v>
      </c>
    </row>
    <row r="398" spans="1:23" x14ac:dyDescent="0.2">
      <c r="A398" s="4" t="s">
        <v>570</v>
      </c>
      <c r="B398" s="4" t="s">
        <v>585</v>
      </c>
      <c r="C398" s="4" t="s">
        <v>10</v>
      </c>
      <c r="D398" s="4" t="s">
        <v>28</v>
      </c>
      <c r="E398" s="4" t="s">
        <v>29</v>
      </c>
      <c r="F398" s="4" t="s">
        <v>882</v>
      </c>
      <c r="G398" s="4" t="s">
        <v>883</v>
      </c>
      <c r="H398" s="4" t="s">
        <v>196</v>
      </c>
      <c r="I398" s="4" t="s">
        <v>197</v>
      </c>
      <c r="J398" s="4" t="s">
        <v>216</v>
      </c>
      <c r="K398" s="7">
        <v>1899.9981</v>
      </c>
      <c r="L398" s="7">
        <v>1059.9989399999999</v>
      </c>
      <c r="M398" s="7">
        <v>1033.9989660000001</v>
      </c>
      <c r="N398" s="7">
        <v>0</v>
      </c>
      <c r="O398" s="7">
        <v>2039.9979599999999</v>
      </c>
      <c r="P398" s="7">
        <v>0</v>
      </c>
      <c r="Q398" s="7">
        <v>1026.998973</v>
      </c>
      <c r="R398" s="7">
        <v>1596.9984030000001</v>
      </c>
      <c r="S398" s="7"/>
      <c r="T398" s="7"/>
      <c r="U398" s="7"/>
      <c r="V398" s="7"/>
      <c r="W398" s="11">
        <f t="shared" si="6"/>
        <v>8657.9913419999993</v>
      </c>
    </row>
    <row r="399" spans="1:23" x14ac:dyDescent="0.2">
      <c r="A399" s="4" t="s">
        <v>570</v>
      </c>
      <c r="B399" s="4" t="s">
        <v>585</v>
      </c>
      <c r="C399" s="4" t="s">
        <v>10</v>
      </c>
      <c r="D399" s="4" t="s">
        <v>28</v>
      </c>
      <c r="E399" s="4" t="s">
        <v>29</v>
      </c>
      <c r="F399" s="4" t="s">
        <v>853</v>
      </c>
      <c r="G399" s="4" t="s">
        <v>854</v>
      </c>
      <c r="H399" s="4" t="s">
        <v>196</v>
      </c>
      <c r="I399" s="4" t="s">
        <v>202</v>
      </c>
      <c r="J399" s="4" t="s">
        <v>205</v>
      </c>
      <c r="K399" s="7">
        <v>0</v>
      </c>
      <c r="L399" s="7">
        <v>0</v>
      </c>
      <c r="M399" s="7">
        <v>0</v>
      </c>
      <c r="N399" s="7">
        <v>1015</v>
      </c>
      <c r="O399" s="7">
        <v>1050</v>
      </c>
      <c r="P399" s="7">
        <v>590.1</v>
      </c>
      <c r="Q399" s="7">
        <v>372.3</v>
      </c>
      <c r="R399" s="7">
        <v>350</v>
      </c>
      <c r="S399" s="7"/>
      <c r="T399" s="7"/>
      <c r="U399" s="7"/>
      <c r="V399" s="7"/>
      <c r="W399" s="11">
        <f t="shared" si="6"/>
        <v>3377.4</v>
      </c>
    </row>
    <row r="400" spans="1:23" x14ac:dyDescent="0.2">
      <c r="A400" s="4" t="s">
        <v>570</v>
      </c>
      <c r="B400" s="4" t="s">
        <v>585</v>
      </c>
      <c r="C400" s="4" t="s">
        <v>10</v>
      </c>
      <c r="D400" s="4" t="s">
        <v>28</v>
      </c>
      <c r="E400" s="4" t="s">
        <v>29</v>
      </c>
      <c r="F400" s="4" t="s">
        <v>802</v>
      </c>
      <c r="G400" s="4" t="s">
        <v>803</v>
      </c>
      <c r="H400" s="4" t="s">
        <v>196</v>
      </c>
      <c r="I400" s="4" t="s">
        <v>202</v>
      </c>
      <c r="J400" s="4" t="s">
        <v>205</v>
      </c>
      <c r="K400" s="7">
        <v>828.34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/>
      <c r="T400" s="7"/>
      <c r="U400" s="7"/>
      <c r="V400" s="7"/>
      <c r="W400" s="11">
        <f t="shared" si="6"/>
        <v>828.34</v>
      </c>
    </row>
    <row r="401" spans="1:23" x14ac:dyDescent="0.2">
      <c r="A401" s="4" t="s">
        <v>570</v>
      </c>
      <c r="B401" s="4" t="s">
        <v>585</v>
      </c>
      <c r="C401" s="4" t="s">
        <v>10</v>
      </c>
      <c r="D401" s="4" t="s">
        <v>28</v>
      </c>
      <c r="E401" s="4" t="s">
        <v>29</v>
      </c>
      <c r="F401" s="4" t="s">
        <v>600</v>
      </c>
      <c r="G401" s="4" t="s">
        <v>804</v>
      </c>
      <c r="H401" s="4" t="s">
        <v>196</v>
      </c>
      <c r="I401" s="4" t="s">
        <v>197</v>
      </c>
      <c r="J401" s="4" t="s">
        <v>198</v>
      </c>
      <c r="K401" s="7">
        <v>0</v>
      </c>
      <c r="L401" s="7">
        <v>0</v>
      </c>
      <c r="M401" s="7">
        <v>43.12</v>
      </c>
      <c r="N401" s="7">
        <v>229.32</v>
      </c>
      <c r="O401" s="7">
        <v>49</v>
      </c>
      <c r="P401" s="7">
        <v>0</v>
      </c>
      <c r="Q401" s="7">
        <v>0</v>
      </c>
      <c r="R401" s="7">
        <v>0</v>
      </c>
      <c r="S401" s="7"/>
      <c r="T401" s="7"/>
      <c r="U401" s="7"/>
      <c r="V401" s="7"/>
      <c r="W401" s="11">
        <f t="shared" si="6"/>
        <v>321.44</v>
      </c>
    </row>
    <row r="402" spans="1:23" x14ac:dyDescent="0.2">
      <c r="A402" s="4" t="s">
        <v>570</v>
      </c>
      <c r="B402" s="4" t="s">
        <v>585</v>
      </c>
      <c r="C402" s="4" t="s">
        <v>10</v>
      </c>
      <c r="D402" s="4" t="s">
        <v>28</v>
      </c>
      <c r="E402" s="4" t="s">
        <v>29</v>
      </c>
      <c r="F402" s="4" t="s">
        <v>600</v>
      </c>
      <c r="G402" s="4" t="s">
        <v>601</v>
      </c>
      <c r="H402" s="4" t="s">
        <v>196</v>
      </c>
      <c r="I402" s="4" t="s">
        <v>197</v>
      </c>
      <c r="J402" s="4" t="s">
        <v>198</v>
      </c>
      <c r="K402" s="7">
        <v>12.74</v>
      </c>
      <c r="L402" s="7">
        <v>66.64</v>
      </c>
      <c r="M402" s="7">
        <v>52.92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/>
      <c r="T402" s="7"/>
      <c r="U402" s="7"/>
      <c r="V402" s="7"/>
      <c r="W402" s="11">
        <f t="shared" si="6"/>
        <v>132.30000000000001</v>
      </c>
    </row>
    <row r="403" spans="1:23" x14ac:dyDescent="0.2">
      <c r="A403" s="4" t="s">
        <v>570</v>
      </c>
      <c r="B403" s="4" t="s">
        <v>585</v>
      </c>
      <c r="C403" s="4" t="s">
        <v>10</v>
      </c>
      <c r="D403" s="4" t="s">
        <v>28</v>
      </c>
      <c r="E403" s="4" t="s">
        <v>29</v>
      </c>
      <c r="F403" s="4" t="s">
        <v>956</v>
      </c>
      <c r="G403" s="4" t="s">
        <v>957</v>
      </c>
      <c r="H403" s="4" t="s">
        <v>196</v>
      </c>
      <c r="I403" s="4" t="s">
        <v>197</v>
      </c>
      <c r="J403" s="4" t="s">
        <v>216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79.2</v>
      </c>
      <c r="R403" s="7">
        <v>0</v>
      </c>
      <c r="S403" s="7"/>
      <c r="T403" s="7"/>
      <c r="U403" s="7"/>
      <c r="V403" s="7"/>
      <c r="W403" s="11">
        <f t="shared" si="6"/>
        <v>79.2</v>
      </c>
    </row>
    <row r="404" spans="1:23" x14ac:dyDescent="0.2">
      <c r="A404" s="4" t="s">
        <v>570</v>
      </c>
      <c r="B404" s="4" t="s">
        <v>585</v>
      </c>
      <c r="C404" s="4" t="s">
        <v>10</v>
      </c>
      <c r="D404" s="4" t="s">
        <v>28</v>
      </c>
      <c r="E404" s="4" t="s">
        <v>29</v>
      </c>
      <c r="F404" s="4" t="s">
        <v>408</v>
      </c>
      <c r="G404" s="4" t="s">
        <v>884</v>
      </c>
      <c r="H404" s="4" t="s">
        <v>196</v>
      </c>
      <c r="I404" s="4" t="s">
        <v>197</v>
      </c>
      <c r="J404" s="4" t="s">
        <v>198</v>
      </c>
      <c r="K404" s="7">
        <v>0</v>
      </c>
      <c r="L404" s="7">
        <v>0</v>
      </c>
      <c r="M404" s="7">
        <v>25.61</v>
      </c>
      <c r="N404" s="7">
        <v>0</v>
      </c>
      <c r="O404" s="7">
        <v>65.933999999999997</v>
      </c>
      <c r="P404" s="7">
        <v>0</v>
      </c>
      <c r="Q404" s="7">
        <v>0</v>
      </c>
      <c r="R404" s="7">
        <v>0</v>
      </c>
      <c r="S404" s="7"/>
      <c r="T404" s="7"/>
      <c r="U404" s="7"/>
      <c r="V404" s="7"/>
      <c r="W404" s="11">
        <f t="shared" si="6"/>
        <v>91.543999999999997</v>
      </c>
    </row>
    <row r="405" spans="1:23" x14ac:dyDescent="0.2">
      <c r="A405" s="4" t="s">
        <v>570</v>
      </c>
      <c r="B405" s="4" t="s">
        <v>585</v>
      </c>
      <c r="C405" s="4" t="s">
        <v>10</v>
      </c>
      <c r="D405" s="4" t="s">
        <v>28</v>
      </c>
      <c r="E405" s="4" t="s">
        <v>29</v>
      </c>
      <c r="F405" s="4" t="s">
        <v>408</v>
      </c>
      <c r="G405" s="4" t="s">
        <v>409</v>
      </c>
      <c r="H405" s="4" t="s">
        <v>196</v>
      </c>
      <c r="I405" s="4" t="s">
        <v>197</v>
      </c>
      <c r="J405" s="4" t="s">
        <v>198</v>
      </c>
      <c r="K405" s="7">
        <v>16.983000000000001</v>
      </c>
      <c r="L405" s="7">
        <v>84.915000000000006</v>
      </c>
      <c r="M405" s="7">
        <v>103.896</v>
      </c>
      <c r="N405" s="7">
        <v>25.61</v>
      </c>
      <c r="O405" s="7">
        <v>199.8</v>
      </c>
      <c r="P405" s="7">
        <v>398.601</v>
      </c>
      <c r="Q405" s="7">
        <v>442.55700000000002</v>
      </c>
      <c r="R405" s="7">
        <v>220.33699999999999</v>
      </c>
      <c r="S405" s="7"/>
      <c r="T405" s="7"/>
      <c r="U405" s="7"/>
      <c r="V405" s="7"/>
      <c r="W405" s="11">
        <f t="shared" si="6"/>
        <v>1492.6990000000001</v>
      </c>
    </row>
    <row r="406" spans="1:23" x14ac:dyDescent="0.2">
      <c r="A406" s="4" t="s">
        <v>570</v>
      </c>
      <c r="B406" s="4" t="s">
        <v>585</v>
      </c>
      <c r="C406" s="4" t="s">
        <v>10</v>
      </c>
      <c r="D406" s="4" t="s">
        <v>28</v>
      </c>
      <c r="E406" s="4" t="s">
        <v>29</v>
      </c>
      <c r="F406" s="4" t="s">
        <v>408</v>
      </c>
      <c r="G406" s="4" t="s">
        <v>557</v>
      </c>
      <c r="H406" s="4" t="s">
        <v>196</v>
      </c>
      <c r="I406" s="4" t="s">
        <v>197</v>
      </c>
      <c r="J406" s="4" t="s">
        <v>198</v>
      </c>
      <c r="K406" s="7">
        <v>102.89700000000001</v>
      </c>
      <c r="L406" s="7">
        <v>24.75</v>
      </c>
      <c r="M406" s="7">
        <v>0</v>
      </c>
      <c r="N406" s="7">
        <v>0</v>
      </c>
      <c r="O406" s="7">
        <v>195.804</v>
      </c>
      <c r="P406" s="7">
        <v>116.883</v>
      </c>
      <c r="Q406" s="7">
        <v>199.8</v>
      </c>
      <c r="R406" s="7">
        <v>346.65300000000002</v>
      </c>
      <c r="S406" s="7"/>
      <c r="T406" s="7"/>
      <c r="U406" s="7"/>
      <c r="V406" s="7"/>
      <c r="W406" s="11">
        <f t="shared" si="6"/>
        <v>986.78700000000003</v>
      </c>
    </row>
    <row r="407" spans="1:23" x14ac:dyDescent="0.2">
      <c r="A407" s="4" t="s">
        <v>570</v>
      </c>
      <c r="B407" s="4" t="s">
        <v>585</v>
      </c>
      <c r="C407" s="4" t="s">
        <v>10</v>
      </c>
      <c r="D407" s="4" t="s">
        <v>28</v>
      </c>
      <c r="E407" s="4" t="s">
        <v>29</v>
      </c>
      <c r="F407" s="4" t="s">
        <v>410</v>
      </c>
      <c r="G407" s="4" t="s">
        <v>411</v>
      </c>
      <c r="H407" s="4" t="s">
        <v>196</v>
      </c>
      <c r="I407" s="4" t="s">
        <v>202</v>
      </c>
      <c r="J407" s="4" t="s">
        <v>196</v>
      </c>
      <c r="K407" s="7">
        <v>774.06</v>
      </c>
      <c r="L407" s="7">
        <v>580.05999999999995</v>
      </c>
      <c r="M407" s="7">
        <v>791.52</v>
      </c>
      <c r="N407" s="7">
        <v>1273.6099999999999</v>
      </c>
      <c r="O407" s="7">
        <v>886.58</v>
      </c>
      <c r="P407" s="7">
        <v>748.84</v>
      </c>
      <c r="Q407" s="7">
        <v>1020.44</v>
      </c>
      <c r="R407" s="7">
        <v>1386.13</v>
      </c>
      <c r="S407" s="7"/>
      <c r="T407" s="7"/>
      <c r="U407" s="7"/>
      <c r="V407" s="7"/>
      <c r="W407" s="11">
        <f t="shared" si="6"/>
        <v>7461.2400000000007</v>
      </c>
    </row>
    <row r="408" spans="1:23" x14ac:dyDescent="0.2">
      <c r="A408" s="4" t="s">
        <v>570</v>
      </c>
      <c r="B408" s="4" t="s">
        <v>585</v>
      </c>
      <c r="C408" s="4" t="s">
        <v>10</v>
      </c>
      <c r="D408" s="4" t="s">
        <v>28</v>
      </c>
      <c r="E408" s="4" t="s">
        <v>29</v>
      </c>
      <c r="F408" s="4" t="s">
        <v>602</v>
      </c>
      <c r="G408" s="4" t="s">
        <v>603</v>
      </c>
      <c r="H408" s="4" t="s">
        <v>196</v>
      </c>
      <c r="I408" s="4" t="s">
        <v>202</v>
      </c>
      <c r="J408" s="4" t="s">
        <v>205</v>
      </c>
      <c r="K408" s="7">
        <v>475.99952400000001</v>
      </c>
      <c r="L408" s="7">
        <v>329.99966999999998</v>
      </c>
      <c r="M408" s="7">
        <v>622.99937699999998</v>
      </c>
      <c r="N408" s="7">
        <v>429.50335000000001</v>
      </c>
      <c r="O408" s="7">
        <v>431.70019200000002</v>
      </c>
      <c r="P408" s="7">
        <v>734.90077499999995</v>
      </c>
      <c r="Q408" s="7">
        <v>1249.99875</v>
      </c>
      <c r="R408" s="7">
        <v>269.99973</v>
      </c>
      <c r="S408" s="7"/>
      <c r="T408" s="7"/>
      <c r="U408" s="7"/>
      <c r="V408" s="7"/>
      <c r="W408" s="11">
        <f t="shared" ref="W408:W461" si="7">SUM(K408:V408)</f>
        <v>4545.1013679999996</v>
      </c>
    </row>
    <row r="409" spans="1:23" x14ac:dyDescent="0.2">
      <c r="A409" s="4" t="s">
        <v>570</v>
      </c>
      <c r="B409" s="4" t="s">
        <v>585</v>
      </c>
      <c r="C409" s="4" t="s">
        <v>10</v>
      </c>
      <c r="D409" s="4" t="s">
        <v>28</v>
      </c>
      <c r="E409" s="4" t="s">
        <v>29</v>
      </c>
      <c r="F409" s="4" t="s">
        <v>919</v>
      </c>
      <c r="G409" s="4" t="s">
        <v>920</v>
      </c>
      <c r="H409" s="4" t="s">
        <v>196</v>
      </c>
      <c r="I409" s="4" t="s">
        <v>202</v>
      </c>
      <c r="J409" s="4" t="s">
        <v>205</v>
      </c>
      <c r="K409" s="7">
        <v>799.99919999999997</v>
      </c>
      <c r="L409" s="7">
        <v>1452.9985469999999</v>
      </c>
      <c r="M409" s="7">
        <v>385.99961400000001</v>
      </c>
      <c r="N409" s="7">
        <v>272.99972700000001</v>
      </c>
      <c r="O409" s="7">
        <v>307.99969199999998</v>
      </c>
      <c r="P409" s="7">
        <v>1322.998677</v>
      </c>
      <c r="Q409" s="7">
        <v>377.99962199999999</v>
      </c>
      <c r="R409" s="7">
        <v>490.99950899999999</v>
      </c>
      <c r="S409" s="7"/>
      <c r="T409" s="7"/>
      <c r="U409" s="7"/>
      <c r="V409" s="7"/>
      <c r="W409" s="11">
        <f t="shared" si="7"/>
        <v>5411.9945879999996</v>
      </c>
    </row>
    <row r="410" spans="1:23" x14ac:dyDescent="0.2">
      <c r="A410" s="4" t="s">
        <v>570</v>
      </c>
      <c r="B410" s="4" t="s">
        <v>585</v>
      </c>
      <c r="C410" s="4" t="s">
        <v>10</v>
      </c>
      <c r="D410" s="4" t="s">
        <v>28</v>
      </c>
      <c r="E410" s="4" t="s">
        <v>29</v>
      </c>
      <c r="F410" s="4" t="s">
        <v>723</v>
      </c>
      <c r="G410" s="4" t="s">
        <v>724</v>
      </c>
      <c r="H410" s="4" t="s">
        <v>196</v>
      </c>
      <c r="I410" s="4" t="s">
        <v>197</v>
      </c>
      <c r="J410" s="4" t="s">
        <v>198</v>
      </c>
      <c r="K410" s="7">
        <v>0</v>
      </c>
      <c r="L410" s="7">
        <v>169.54</v>
      </c>
      <c r="M410" s="7">
        <v>306.74</v>
      </c>
      <c r="N410" s="7">
        <v>223.44</v>
      </c>
      <c r="O410" s="7">
        <v>279.3</v>
      </c>
      <c r="P410" s="7">
        <v>303.8</v>
      </c>
      <c r="Q410" s="7">
        <v>310.66000000000003</v>
      </c>
      <c r="R410" s="7">
        <v>276.36</v>
      </c>
      <c r="S410" s="7"/>
      <c r="T410" s="7"/>
      <c r="U410" s="7"/>
      <c r="V410" s="7"/>
      <c r="W410" s="11">
        <f t="shared" si="7"/>
        <v>1869.8400000000001</v>
      </c>
    </row>
    <row r="411" spans="1:23" x14ac:dyDescent="0.2">
      <c r="A411" s="4" t="s">
        <v>570</v>
      </c>
      <c r="B411" s="4" t="s">
        <v>585</v>
      </c>
      <c r="C411" s="4" t="s">
        <v>10</v>
      </c>
      <c r="D411" s="4" t="s">
        <v>28</v>
      </c>
      <c r="E411" s="4" t="s">
        <v>29</v>
      </c>
      <c r="F411" s="4" t="s">
        <v>412</v>
      </c>
      <c r="G411" s="4" t="s">
        <v>981</v>
      </c>
      <c r="H411" s="4" t="s">
        <v>196</v>
      </c>
      <c r="I411" s="4" t="s">
        <v>197</v>
      </c>
      <c r="J411" s="4" t="s">
        <v>198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294</v>
      </c>
      <c r="S411" s="7"/>
      <c r="T411" s="7"/>
      <c r="U411" s="7"/>
      <c r="V411" s="7"/>
      <c r="W411" s="11">
        <f t="shared" si="7"/>
        <v>294</v>
      </c>
    </row>
    <row r="412" spans="1:23" x14ac:dyDescent="0.2">
      <c r="A412" s="4" t="s">
        <v>570</v>
      </c>
      <c r="B412" s="4" t="s">
        <v>585</v>
      </c>
      <c r="C412" s="4" t="s">
        <v>10</v>
      </c>
      <c r="D412" s="4" t="s">
        <v>28</v>
      </c>
      <c r="E412" s="4" t="s">
        <v>29</v>
      </c>
      <c r="F412" s="4" t="s">
        <v>412</v>
      </c>
      <c r="G412" s="4" t="s">
        <v>885</v>
      </c>
      <c r="H412" s="4" t="s">
        <v>196</v>
      </c>
      <c r="I412" s="4" t="s">
        <v>197</v>
      </c>
      <c r="J412" s="4" t="s">
        <v>198</v>
      </c>
      <c r="K412" s="7">
        <v>0</v>
      </c>
      <c r="L412" s="7">
        <v>0</v>
      </c>
      <c r="M412" s="7">
        <v>0</v>
      </c>
      <c r="N412" s="7">
        <v>0</v>
      </c>
      <c r="O412" s="7">
        <v>263.62</v>
      </c>
      <c r="P412" s="7">
        <v>0</v>
      </c>
      <c r="Q412" s="7">
        <v>0</v>
      </c>
      <c r="R412" s="7">
        <v>0</v>
      </c>
      <c r="S412" s="7"/>
      <c r="T412" s="7"/>
      <c r="U412" s="7"/>
      <c r="V412" s="7"/>
      <c r="W412" s="11">
        <f t="shared" si="7"/>
        <v>263.62</v>
      </c>
    </row>
    <row r="413" spans="1:23" x14ac:dyDescent="0.2">
      <c r="A413" s="4" t="s">
        <v>570</v>
      </c>
      <c r="B413" s="4" t="s">
        <v>585</v>
      </c>
      <c r="C413" s="4" t="s">
        <v>10</v>
      </c>
      <c r="D413" s="4" t="s">
        <v>28</v>
      </c>
      <c r="E413" s="4" t="s">
        <v>29</v>
      </c>
      <c r="F413" s="4" t="s">
        <v>412</v>
      </c>
      <c r="G413" s="4" t="s">
        <v>725</v>
      </c>
      <c r="H413" s="4" t="s">
        <v>196</v>
      </c>
      <c r="I413" s="4" t="s">
        <v>197</v>
      </c>
      <c r="J413" s="4" t="s">
        <v>198</v>
      </c>
      <c r="K413" s="7">
        <v>0</v>
      </c>
      <c r="L413" s="7">
        <v>226.38</v>
      </c>
      <c r="M413" s="7">
        <v>0</v>
      </c>
      <c r="N413" s="7">
        <v>0</v>
      </c>
      <c r="O413" s="7">
        <v>0</v>
      </c>
      <c r="P413" s="7">
        <v>248.92</v>
      </c>
      <c r="Q413" s="7">
        <v>0</v>
      </c>
      <c r="R413" s="7">
        <v>0</v>
      </c>
      <c r="S413" s="7"/>
      <c r="T413" s="7"/>
      <c r="U413" s="7"/>
      <c r="V413" s="7"/>
      <c r="W413" s="11">
        <f t="shared" si="7"/>
        <v>475.29999999999995</v>
      </c>
    </row>
    <row r="414" spans="1:23" x14ac:dyDescent="0.2">
      <c r="A414" s="4" t="s">
        <v>570</v>
      </c>
      <c r="B414" s="4" t="s">
        <v>585</v>
      </c>
      <c r="C414" s="4" t="s">
        <v>10</v>
      </c>
      <c r="D414" s="4" t="s">
        <v>28</v>
      </c>
      <c r="E414" s="4" t="s">
        <v>29</v>
      </c>
      <c r="F414" s="4" t="s">
        <v>412</v>
      </c>
      <c r="G414" s="4" t="s">
        <v>607</v>
      </c>
      <c r="H414" s="4" t="s">
        <v>196</v>
      </c>
      <c r="I414" s="4" t="s">
        <v>197</v>
      </c>
      <c r="J414" s="4" t="s">
        <v>198</v>
      </c>
      <c r="K414" s="7">
        <v>126.42</v>
      </c>
      <c r="L414" s="7">
        <v>0</v>
      </c>
      <c r="M414" s="7">
        <v>155.82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/>
      <c r="T414" s="7"/>
      <c r="U414" s="7"/>
      <c r="V414" s="7"/>
      <c r="W414" s="11">
        <f t="shared" si="7"/>
        <v>282.24</v>
      </c>
    </row>
    <row r="415" spans="1:23" x14ac:dyDescent="0.2">
      <c r="A415" s="4" t="s">
        <v>570</v>
      </c>
      <c r="B415" s="4" t="s">
        <v>585</v>
      </c>
      <c r="C415" s="4" t="s">
        <v>10</v>
      </c>
      <c r="D415" s="4" t="s">
        <v>28</v>
      </c>
      <c r="E415" s="4" t="s">
        <v>29</v>
      </c>
      <c r="F415" s="4" t="s">
        <v>412</v>
      </c>
      <c r="G415" s="4" t="s">
        <v>843</v>
      </c>
      <c r="H415" s="4" t="s">
        <v>196</v>
      </c>
      <c r="I415" s="4" t="s">
        <v>197</v>
      </c>
      <c r="J415" s="4" t="s">
        <v>198</v>
      </c>
      <c r="K415" s="7">
        <v>0</v>
      </c>
      <c r="L415" s="7">
        <v>0</v>
      </c>
      <c r="M415" s="7">
        <v>0</v>
      </c>
      <c r="N415" s="7">
        <v>246.96</v>
      </c>
      <c r="O415" s="7">
        <v>0</v>
      </c>
      <c r="P415" s="7">
        <v>0</v>
      </c>
      <c r="Q415" s="7">
        <v>257.74</v>
      </c>
      <c r="R415" s="7">
        <v>0</v>
      </c>
      <c r="S415" s="7"/>
      <c r="T415" s="7"/>
      <c r="U415" s="7"/>
      <c r="V415" s="7"/>
      <c r="W415" s="11">
        <f t="shared" si="7"/>
        <v>504.70000000000005</v>
      </c>
    </row>
    <row r="416" spans="1:23" x14ac:dyDescent="0.2">
      <c r="A416" s="4" t="s">
        <v>570</v>
      </c>
      <c r="B416" s="4" t="s">
        <v>585</v>
      </c>
      <c r="C416" s="4" t="s">
        <v>10</v>
      </c>
      <c r="D416" s="4" t="s">
        <v>28</v>
      </c>
      <c r="E416" s="4" t="s">
        <v>29</v>
      </c>
      <c r="F416" s="4" t="s">
        <v>726</v>
      </c>
      <c r="G416" s="4" t="s">
        <v>727</v>
      </c>
      <c r="H416" s="4" t="s">
        <v>196</v>
      </c>
      <c r="I416" s="4" t="s">
        <v>197</v>
      </c>
      <c r="J416" s="4" t="s">
        <v>198</v>
      </c>
      <c r="K416" s="7">
        <v>0</v>
      </c>
      <c r="L416" s="7">
        <v>515.48</v>
      </c>
      <c r="M416" s="7">
        <v>535.08000000000004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/>
      <c r="T416" s="7"/>
      <c r="U416" s="7"/>
      <c r="V416" s="7"/>
      <c r="W416" s="11">
        <f t="shared" si="7"/>
        <v>1050.56</v>
      </c>
    </row>
    <row r="417" spans="1:23" x14ac:dyDescent="0.2">
      <c r="A417" s="4" t="s">
        <v>570</v>
      </c>
      <c r="B417" s="4" t="s">
        <v>585</v>
      </c>
      <c r="C417" s="4" t="s">
        <v>10</v>
      </c>
      <c r="D417" s="4" t="s">
        <v>28</v>
      </c>
      <c r="E417" s="4" t="s">
        <v>29</v>
      </c>
      <c r="F417" s="4" t="s">
        <v>726</v>
      </c>
      <c r="G417" s="4" t="s">
        <v>844</v>
      </c>
      <c r="H417" s="4" t="s">
        <v>196</v>
      </c>
      <c r="I417" s="4" t="s">
        <v>197</v>
      </c>
      <c r="J417" s="4" t="s">
        <v>198</v>
      </c>
      <c r="K417" s="7">
        <v>0</v>
      </c>
      <c r="L417" s="7">
        <v>0</v>
      </c>
      <c r="M417" s="7">
        <v>0</v>
      </c>
      <c r="N417" s="7">
        <v>222.46</v>
      </c>
      <c r="O417" s="7">
        <v>0</v>
      </c>
      <c r="P417" s="7">
        <v>0</v>
      </c>
      <c r="Q417" s="7">
        <v>0</v>
      </c>
      <c r="R417" s="7">
        <v>220.5</v>
      </c>
      <c r="S417" s="7"/>
      <c r="T417" s="7"/>
      <c r="U417" s="7"/>
      <c r="V417" s="7"/>
      <c r="W417" s="11">
        <f t="shared" si="7"/>
        <v>442.96000000000004</v>
      </c>
    </row>
    <row r="418" spans="1:23" x14ac:dyDescent="0.2">
      <c r="A418" s="4" t="s">
        <v>570</v>
      </c>
      <c r="B418" s="4" t="s">
        <v>585</v>
      </c>
      <c r="C418" s="4" t="s">
        <v>10</v>
      </c>
      <c r="D418" s="4" t="s">
        <v>28</v>
      </c>
      <c r="E418" s="4" t="s">
        <v>29</v>
      </c>
      <c r="F418" s="4" t="s">
        <v>726</v>
      </c>
      <c r="G418" s="4" t="s">
        <v>797</v>
      </c>
      <c r="H418" s="4" t="s">
        <v>196</v>
      </c>
      <c r="I418" s="4" t="s">
        <v>197</v>
      </c>
      <c r="J418" s="4" t="s">
        <v>198</v>
      </c>
      <c r="K418" s="7">
        <v>0</v>
      </c>
      <c r="L418" s="7">
        <v>0</v>
      </c>
      <c r="M418" s="7">
        <v>390.04</v>
      </c>
      <c r="N418" s="7">
        <v>165.62</v>
      </c>
      <c r="O418" s="7">
        <v>0</v>
      </c>
      <c r="P418" s="7">
        <v>0</v>
      </c>
      <c r="Q418" s="7">
        <v>0</v>
      </c>
      <c r="R418" s="7">
        <v>220.5</v>
      </c>
      <c r="S418" s="7"/>
      <c r="T418" s="7"/>
      <c r="U418" s="7"/>
      <c r="V418" s="7"/>
      <c r="W418" s="11">
        <f t="shared" si="7"/>
        <v>776.16000000000008</v>
      </c>
    </row>
    <row r="419" spans="1:23" x14ac:dyDescent="0.2">
      <c r="A419" s="4" t="s">
        <v>570</v>
      </c>
      <c r="B419" s="4" t="s">
        <v>585</v>
      </c>
      <c r="C419" s="4" t="s">
        <v>10</v>
      </c>
      <c r="D419" s="4" t="s">
        <v>28</v>
      </c>
      <c r="E419" s="4" t="s">
        <v>29</v>
      </c>
      <c r="F419" s="4" t="s">
        <v>726</v>
      </c>
      <c r="G419" s="4" t="s">
        <v>728</v>
      </c>
      <c r="H419" s="4" t="s">
        <v>196</v>
      </c>
      <c r="I419" s="4" t="s">
        <v>197</v>
      </c>
      <c r="J419" s="4" t="s">
        <v>198</v>
      </c>
      <c r="K419" s="7">
        <v>0</v>
      </c>
      <c r="L419" s="7">
        <v>247.94</v>
      </c>
      <c r="M419" s="7">
        <v>93.1</v>
      </c>
      <c r="N419" s="7">
        <v>255.78</v>
      </c>
      <c r="O419" s="7">
        <v>0</v>
      </c>
      <c r="P419" s="7">
        <v>0</v>
      </c>
      <c r="Q419" s="7">
        <v>0</v>
      </c>
      <c r="R419" s="7">
        <v>0</v>
      </c>
      <c r="S419" s="7"/>
      <c r="T419" s="7"/>
      <c r="U419" s="7"/>
      <c r="V419" s="7"/>
      <c r="W419" s="11">
        <f t="shared" si="7"/>
        <v>596.81999999999994</v>
      </c>
    </row>
    <row r="420" spans="1:23" x14ac:dyDescent="0.2">
      <c r="A420" s="4" t="s">
        <v>570</v>
      </c>
      <c r="B420" s="4" t="s">
        <v>585</v>
      </c>
      <c r="C420" s="4" t="s">
        <v>10</v>
      </c>
      <c r="D420" s="4" t="s">
        <v>28</v>
      </c>
      <c r="E420" s="4" t="s">
        <v>29</v>
      </c>
      <c r="F420" s="4" t="s">
        <v>546</v>
      </c>
      <c r="G420" s="4" t="s">
        <v>559</v>
      </c>
      <c r="H420" s="4" t="s">
        <v>104</v>
      </c>
      <c r="I420" s="4" t="s">
        <v>221</v>
      </c>
      <c r="J420" s="4" t="s">
        <v>222</v>
      </c>
      <c r="K420" s="7">
        <v>41084.077799999999</v>
      </c>
      <c r="L420" s="7">
        <v>0</v>
      </c>
      <c r="M420" s="7">
        <v>0</v>
      </c>
      <c r="N420" s="7">
        <v>15997.081</v>
      </c>
      <c r="O420" s="7">
        <v>22206.187999999998</v>
      </c>
      <c r="P420" s="7">
        <v>0</v>
      </c>
      <c r="Q420" s="7">
        <v>0</v>
      </c>
      <c r="R420" s="7">
        <v>0</v>
      </c>
      <c r="S420" s="7"/>
      <c r="T420" s="7"/>
      <c r="U420" s="7"/>
      <c r="V420" s="7"/>
      <c r="W420" s="11">
        <f t="shared" si="7"/>
        <v>79287.346799999999</v>
      </c>
    </row>
    <row r="421" spans="1:23" x14ac:dyDescent="0.2">
      <c r="A421" s="4" t="s">
        <v>570</v>
      </c>
      <c r="B421" s="4" t="s">
        <v>585</v>
      </c>
      <c r="C421" s="4" t="s">
        <v>10</v>
      </c>
      <c r="D421" s="4" t="s">
        <v>28</v>
      </c>
      <c r="E421" s="4" t="s">
        <v>29</v>
      </c>
      <c r="F421" s="4" t="s">
        <v>413</v>
      </c>
      <c r="G421" s="4" t="s">
        <v>952</v>
      </c>
      <c r="H421" s="4" t="s">
        <v>196</v>
      </c>
      <c r="I421" s="4" t="s">
        <v>202</v>
      </c>
      <c r="J421" s="4" t="s">
        <v>196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434.14</v>
      </c>
      <c r="R421" s="7">
        <v>320.45999999999998</v>
      </c>
      <c r="S421" s="7"/>
      <c r="T421" s="7"/>
      <c r="U421" s="7"/>
      <c r="V421" s="7"/>
      <c r="W421" s="11">
        <f t="shared" si="7"/>
        <v>754.59999999999991</v>
      </c>
    </row>
    <row r="422" spans="1:23" x14ac:dyDescent="0.2">
      <c r="A422" s="4" t="s">
        <v>570</v>
      </c>
      <c r="B422" s="4" t="s">
        <v>585</v>
      </c>
      <c r="C422" s="4" t="s">
        <v>10</v>
      </c>
      <c r="D422" s="4" t="s">
        <v>28</v>
      </c>
      <c r="E422" s="4" t="s">
        <v>29</v>
      </c>
      <c r="F422" s="4" t="s">
        <v>413</v>
      </c>
      <c r="G422" s="4" t="s">
        <v>414</v>
      </c>
      <c r="H422" s="4" t="s">
        <v>196</v>
      </c>
      <c r="I422" s="4" t="s">
        <v>202</v>
      </c>
      <c r="J422" s="4" t="s">
        <v>196</v>
      </c>
      <c r="K422" s="7">
        <v>360.64</v>
      </c>
      <c r="L422" s="7">
        <v>12.74</v>
      </c>
      <c r="M422" s="7">
        <v>579.17999999999995</v>
      </c>
      <c r="N422" s="7">
        <v>573.29999999999995</v>
      </c>
      <c r="O422" s="7">
        <v>255.78</v>
      </c>
      <c r="P422" s="7">
        <v>14.7</v>
      </c>
      <c r="Q422" s="7">
        <v>501.76</v>
      </c>
      <c r="R422" s="7">
        <v>333.2</v>
      </c>
      <c r="S422" s="7"/>
      <c r="T422" s="7"/>
      <c r="U422" s="7"/>
      <c r="V422" s="7"/>
      <c r="W422" s="11">
        <f t="shared" si="7"/>
        <v>2631.2999999999997</v>
      </c>
    </row>
    <row r="423" spans="1:23" x14ac:dyDescent="0.2">
      <c r="A423" s="4" t="s">
        <v>570</v>
      </c>
      <c r="B423" s="4" t="s">
        <v>585</v>
      </c>
      <c r="C423" s="4" t="s">
        <v>10</v>
      </c>
      <c r="D423" s="4" t="s">
        <v>28</v>
      </c>
      <c r="E423" s="4" t="s">
        <v>29</v>
      </c>
      <c r="F423" s="4" t="s">
        <v>413</v>
      </c>
      <c r="G423" s="4" t="s">
        <v>415</v>
      </c>
      <c r="H423" s="4" t="s">
        <v>196</v>
      </c>
      <c r="I423" s="4" t="s">
        <v>202</v>
      </c>
      <c r="J423" s="4" t="s">
        <v>196</v>
      </c>
      <c r="K423" s="7">
        <v>360.64</v>
      </c>
      <c r="L423" s="7">
        <v>11.76</v>
      </c>
      <c r="M423" s="7">
        <v>572.32000000000005</v>
      </c>
      <c r="N423" s="7">
        <v>573.29999999999995</v>
      </c>
      <c r="O423" s="7">
        <v>666.4</v>
      </c>
      <c r="P423" s="7">
        <v>193.06</v>
      </c>
      <c r="Q423" s="7">
        <v>496.86</v>
      </c>
      <c r="R423" s="7">
        <v>346.92</v>
      </c>
      <c r="S423" s="7"/>
      <c r="T423" s="7"/>
      <c r="U423" s="7"/>
      <c r="V423" s="7"/>
      <c r="W423" s="11">
        <f t="shared" si="7"/>
        <v>3221.26</v>
      </c>
    </row>
    <row r="424" spans="1:23" x14ac:dyDescent="0.2">
      <c r="A424" s="4" t="s">
        <v>570</v>
      </c>
      <c r="B424" s="4" t="s">
        <v>585</v>
      </c>
      <c r="C424" s="4" t="s">
        <v>10</v>
      </c>
      <c r="D424" s="4" t="s">
        <v>28</v>
      </c>
      <c r="E424" s="4" t="s">
        <v>29</v>
      </c>
      <c r="F424" s="4" t="s">
        <v>953</v>
      </c>
      <c r="G424" s="4" t="s">
        <v>954</v>
      </c>
      <c r="H424" s="4" t="s">
        <v>196</v>
      </c>
      <c r="I424" s="4" t="s">
        <v>202</v>
      </c>
      <c r="J424" s="4" t="s">
        <v>196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59.17</v>
      </c>
      <c r="R424" s="7">
        <v>97</v>
      </c>
      <c r="S424" s="7"/>
      <c r="T424" s="7"/>
      <c r="U424" s="7"/>
      <c r="V424" s="7"/>
      <c r="W424" s="11">
        <f t="shared" si="7"/>
        <v>156.17000000000002</v>
      </c>
    </row>
    <row r="425" spans="1:23" x14ac:dyDescent="0.2">
      <c r="A425" s="4" t="s">
        <v>570</v>
      </c>
      <c r="B425" s="4" t="s">
        <v>585</v>
      </c>
      <c r="C425" s="4" t="s">
        <v>10</v>
      </c>
      <c r="D425" s="4" t="s">
        <v>28</v>
      </c>
      <c r="E425" s="4" t="s">
        <v>29</v>
      </c>
      <c r="F425" s="4" t="s">
        <v>416</v>
      </c>
      <c r="G425" s="4" t="s">
        <v>417</v>
      </c>
      <c r="H425" s="4" t="s">
        <v>196</v>
      </c>
      <c r="I425" s="4" t="s">
        <v>197</v>
      </c>
      <c r="J425" s="4" t="s">
        <v>198</v>
      </c>
      <c r="K425" s="7">
        <v>581.15</v>
      </c>
      <c r="L425" s="7">
        <v>497.42500000000001</v>
      </c>
      <c r="M425" s="7">
        <v>385.13499999999999</v>
      </c>
      <c r="N425" s="7">
        <v>257.08499999999998</v>
      </c>
      <c r="O425" s="7">
        <v>257.08499999999998</v>
      </c>
      <c r="P425" s="7">
        <v>338.84</v>
      </c>
      <c r="Q425" s="7">
        <v>391.04500000000002</v>
      </c>
      <c r="R425" s="7">
        <v>210.79</v>
      </c>
      <c r="S425" s="7"/>
      <c r="T425" s="7"/>
      <c r="U425" s="7"/>
      <c r="V425" s="7"/>
      <c r="W425" s="11">
        <f t="shared" si="7"/>
        <v>2918.5550000000003</v>
      </c>
    </row>
    <row r="426" spans="1:23" x14ac:dyDescent="0.2">
      <c r="A426" s="4" t="s">
        <v>570</v>
      </c>
      <c r="B426" s="4" t="s">
        <v>585</v>
      </c>
      <c r="C426" s="4" t="s">
        <v>10</v>
      </c>
      <c r="D426" s="4" t="s">
        <v>28</v>
      </c>
      <c r="E426" s="4" t="s">
        <v>29</v>
      </c>
      <c r="F426" s="4" t="s">
        <v>418</v>
      </c>
      <c r="G426" s="4" t="s">
        <v>419</v>
      </c>
      <c r="H426" s="4" t="s">
        <v>196</v>
      </c>
      <c r="I426" s="4" t="s">
        <v>197</v>
      </c>
      <c r="J426" s="4" t="s">
        <v>216</v>
      </c>
      <c r="K426" s="7">
        <v>393.82</v>
      </c>
      <c r="L426" s="7">
        <v>101.85</v>
      </c>
      <c r="M426" s="7">
        <v>77.599999999999994</v>
      </c>
      <c r="N426" s="7">
        <v>67.900000000000006</v>
      </c>
      <c r="O426" s="7">
        <v>82.45</v>
      </c>
      <c r="P426" s="7">
        <v>78.569999999999993</v>
      </c>
      <c r="Q426" s="7">
        <v>423.89</v>
      </c>
      <c r="R426" s="7">
        <v>955.45</v>
      </c>
      <c r="S426" s="7"/>
      <c r="T426" s="7"/>
      <c r="U426" s="7"/>
      <c r="V426" s="7"/>
      <c r="W426" s="11">
        <f t="shared" si="7"/>
        <v>2181.5299999999997</v>
      </c>
    </row>
    <row r="427" spans="1:23" x14ac:dyDescent="0.2">
      <c r="A427" s="4" t="s">
        <v>570</v>
      </c>
      <c r="B427" s="4" t="s">
        <v>585</v>
      </c>
      <c r="C427" s="4" t="s">
        <v>10</v>
      </c>
      <c r="D427" s="4" t="s">
        <v>28</v>
      </c>
      <c r="E427" s="4" t="s">
        <v>29</v>
      </c>
      <c r="F427" s="4" t="s">
        <v>660</v>
      </c>
      <c r="G427" s="4" t="s">
        <v>661</v>
      </c>
      <c r="H427" s="4" t="s">
        <v>196</v>
      </c>
      <c r="I427" s="4" t="s">
        <v>197</v>
      </c>
      <c r="J427" s="4" t="s">
        <v>216</v>
      </c>
      <c r="K427" s="7">
        <v>199.92</v>
      </c>
      <c r="L427" s="7">
        <v>188.16</v>
      </c>
      <c r="M427" s="7">
        <v>128.38</v>
      </c>
      <c r="N427" s="7">
        <v>205.8</v>
      </c>
      <c r="O427" s="7">
        <v>0</v>
      </c>
      <c r="P427" s="7">
        <v>0</v>
      </c>
      <c r="Q427" s="7">
        <v>0</v>
      </c>
      <c r="R427" s="7">
        <v>0</v>
      </c>
      <c r="S427" s="7"/>
      <c r="T427" s="7"/>
      <c r="U427" s="7"/>
      <c r="V427" s="7"/>
      <c r="W427" s="11">
        <f t="shared" si="7"/>
        <v>722.26</v>
      </c>
    </row>
    <row r="428" spans="1:23" x14ac:dyDescent="0.2">
      <c r="A428" s="4" t="s">
        <v>570</v>
      </c>
      <c r="B428" s="4" t="s">
        <v>585</v>
      </c>
      <c r="C428" s="4" t="s">
        <v>10</v>
      </c>
      <c r="D428" s="4" t="s">
        <v>28</v>
      </c>
      <c r="E428" s="4" t="s">
        <v>29</v>
      </c>
      <c r="F428" s="4" t="s">
        <v>729</v>
      </c>
      <c r="G428" s="4" t="s">
        <v>730</v>
      </c>
      <c r="H428" s="4" t="s">
        <v>196</v>
      </c>
      <c r="I428" s="4" t="s">
        <v>202</v>
      </c>
      <c r="J428" s="4" t="s">
        <v>196</v>
      </c>
      <c r="K428" s="7">
        <v>0</v>
      </c>
      <c r="L428" s="7">
        <v>265.58</v>
      </c>
      <c r="M428" s="7">
        <v>0</v>
      </c>
      <c r="N428" s="7">
        <v>98</v>
      </c>
      <c r="O428" s="7">
        <v>0</v>
      </c>
      <c r="P428" s="7">
        <v>0</v>
      </c>
      <c r="Q428" s="7">
        <v>0</v>
      </c>
      <c r="R428" s="7">
        <v>0</v>
      </c>
      <c r="S428" s="7"/>
      <c r="T428" s="7"/>
      <c r="U428" s="7"/>
      <c r="V428" s="7"/>
      <c r="W428" s="11">
        <f t="shared" si="7"/>
        <v>363.58</v>
      </c>
    </row>
    <row r="429" spans="1:23" x14ac:dyDescent="0.2">
      <c r="A429" s="4" t="s">
        <v>570</v>
      </c>
      <c r="B429" s="4" t="s">
        <v>585</v>
      </c>
      <c r="C429" s="4" t="s">
        <v>10</v>
      </c>
      <c r="D429" s="4" t="s">
        <v>28</v>
      </c>
      <c r="E429" s="4" t="s">
        <v>29</v>
      </c>
      <c r="F429" s="4" t="s">
        <v>982</v>
      </c>
      <c r="G429" s="4" t="s">
        <v>983</v>
      </c>
      <c r="H429" s="4" t="s">
        <v>196</v>
      </c>
      <c r="I429" s="4" t="s">
        <v>197</v>
      </c>
      <c r="J429" s="4" t="s">
        <v>216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98.900999999999996</v>
      </c>
      <c r="S429" s="7"/>
      <c r="T429" s="7"/>
      <c r="U429" s="7"/>
      <c r="V429" s="7"/>
      <c r="W429" s="11">
        <f t="shared" si="7"/>
        <v>98.900999999999996</v>
      </c>
    </row>
    <row r="430" spans="1:23" x14ac:dyDescent="0.2">
      <c r="A430" s="4" t="s">
        <v>570</v>
      </c>
      <c r="B430" s="4" t="s">
        <v>585</v>
      </c>
      <c r="C430" s="4" t="s">
        <v>10</v>
      </c>
      <c r="D430" s="4" t="s">
        <v>28</v>
      </c>
      <c r="E430" s="4" t="s">
        <v>29</v>
      </c>
      <c r="F430" s="4" t="s">
        <v>420</v>
      </c>
      <c r="G430" s="4" t="s">
        <v>731</v>
      </c>
      <c r="H430" s="4" t="s">
        <v>196</v>
      </c>
      <c r="I430" s="4" t="s">
        <v>202</v>
      </c>
      <c r="J430" s="4" t="s">
        <v>196</v>
      </c>
      <c r="K430" s="7">
        <v>0</v>
      </c>
      <c r="L430" s="7">
        <v>473.36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/>
      <c r="T430" s="7"/>
      <c r="U430" s="7"/>
      <c r="V430" s="7"/>
      <c r="W430" s="11">
        <f t="shared" si="7"/>
        <v>473.36</v>
      </c>
    </row>
    <row r="431" spans="1:23" x14ac:dyDescent="0.2">
      <c r="A431" s="4" t="s">
        <v>570</v>
      </c>
      <c r="B431" s="4" t="s">
        <v>585</v>
      </c>
      <c r="C431" s="4" t="s">
        <v>10</v>
      </c>
      <c r="D431" s="4" t="s">
        <v>28</v>
      </c>
      <c r="E431" s="4" t="s">
        <v>29</v>
      </c>
      <c r="F431" s="4" t="s">
        <v>420</v>
      </c>
      <c r="G431" s="4" t="s">
        <v>798</v>
      </c>
      <c r="H431" s="4" t="s">
        <v>196</v>
      </c>
      <c r="I431" s="4" t="s">
        <v>202</v>
      </c>
      <c r="J431" s="4" t="s">
        <v>196</v>
      </c>
      <c r="K431" s="7">
        <v>0</v>
      </c>
      <c r="L431" s="7">
        <v>0</v>
      </c>
      <c r="M431" s="7">
        <v>108.64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/>
      <c r="T431" s="7"/>
      <c r="U431" s="7"/>
      <c r="V431" s="7"/>
      <c r="W431" s="11">
        <f t="shared" si="7"/>
        <v>108.64</v>
      </c>
    </row>
    <row r="432" spans="1:23" x14ac:dyDescent="0.2">
      <c r="A432" s="4" t="s">
        <v>570</v>
      </c>
      <c r="B432" s="4" t="s">
        <v>585</v>
      </c>
      <c r="C432" s="4" t="s">
        <v>10</v>
      </c>
      <c r="D432" s="4" t="s">
        <v>28</v>
      </c>
      <c r="E432" s="4" t="s">
        <v>29</v>
      </c>
      <c r="F432" s="4" t="s">
        <v>420</v>
      </c>
      <c r="G432" s="4" t="s">
        <v>421</v>
      </c>
      <c r="H432" s="4" t="s">
        <v>196</v>
      </c>
      <c r="I432" s="4" t="s">
        <v>202</v>
      </c>
      <c r="J432" s="4" t="s">
        <v>196</v>
      </c>
      <c r="K432" s="7">
        <v>812.86</v>
      </c>
      <c r="L432" s="7">
        <v>0</v>
      </c>
      <c r="M432" s="7">
        <v>214.37</v>
      </c>
      <c r="N432" s="7">
        <v>1351.21</v>
      </c>
      <c r="O432" s="7">
        <v>559.69000000000005</v>
      </c>
      <c r="P432" s="7">
        <v>991.34</v>
      </c>
      <c r="Q432" s="7">
        <v>889.49</v>
      </c>
      <c r="R432" s="7">
        <v>1713.99</v>
      </c>
      <c r="S432" s="7"/>
      <c r="T432" s="7"/>
      <c r="U432" s="7"/>
      <c r="V432" s="7"/>
      <c r="W432" s="11">
        <f t="shared" si="7"/>
        <v>6532.95</v>
      </c>
    </row>
    <row r="433" spans="1:23" x14ac:dyDescent="0.2">
      <c r="A433" s="4" t="s">
        <v>570</v>
      </c>
      <c r="B433" s="4" t="s">
        <v>585</v>
      </c>
      <c r="C433" s="4" t="s">
        <v>10</v>
      </c>
      <c r="D433" s="4" t="s">
        <v>28</v>
      </c>
      <c r="E433" s="4" t="s">
        <v>29</v>
      </c>
      <c r="F433" s="4" t="s">
        <v>420</v>
      </c>
      <c r="G433" s="4" t="s">
        <v>799</v>
      </c>
      <c r="H433" s="4" t="s">
        <v>196</v>
      </c>
      <c r="I433" s="4" t="s">
        <v>197</v>
      </c>
      <c r="J433" s="4" t="s">
        <v>198</v>
      </c>
      <c r="K433" s="7">
        <v>0</v>
      </c>
      <c r="L433" s="7">
        <v>0</v>
      </c>
      <c r="M433" s="7">
        <v>210.49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/>
      <c r="T433" s="7"/>
      <c r="U433" s="7"/>
      <c r="V433" s="7"/>
      <c r="W433" s="11">
        <f t="shared" si="7"/>
        <v>210.49</v>
      </c>
    </row>
    <row r="434" spans="1:23" x14ac:dyDescent="0.2">
      <c r="A434" s="4" t="s">
        <v>570</v>
      </c>
      <c r="B434" s="4" t="s">
        <v>585</v>
      </c>
      <c r="C434" s="4" t="s">
        <v>10</v>
      </c>
      <c r="D434" s="4" t="s">
        <v>28</v>
      </c>
      <c r="E434" s="4" t="s">
        <v>29</v>
      </c>
      <c r="F434" s="4" t="s">
        <v>608</v>
      </c>
      <c r="G434" s="4" t="s">
        <v>609</v>
      </c>
      <c r="H434" s="4" t="s">
        <v>196</v>
      </c>
      <c r="I434" s="4" t="s">
        <v>197</v>
      </c>
      <c r="J434" s="4" t="s">
        <v>216</v>
      </c>
      <c r="K434" s="7">
        <v>616.38300000000004</v>
      </c>
      <c r="L434" s="7">
        <v>384.61500000000001</v>
      </c>
      <c r="M434" s="7">
        <v>244.755</v>
      </c>
      <c r="N434" s="7">
        <v>0</v>
      </c>
      <c r="O434" s="7">
        <v>0</v>
      </c>
      <c r="P434" s="7">
        <v>0</v>
      </c>
      <c r="Q434" s="7">
        <v>407.59199999999998</v>
      </c>
      <c r="R434" s="7">
        <v>710.28899999999999</v>
      </c>
      <c r="S434" s="7"/>
      <c r="T434" s="7"/>
      <c r="U434" s="7"/>
      <c r="V434" s="7"/>
      <c r="W434" s="11">
        <f t="shared" si="7"/>
        <v>2363.634</v>
      </c>
    </row>
    <row r="435" spans="1:23" x14ac:dyDescent="0.2">
      <c r="A435" s="4" t="s">
        <v>570</v>
      </c>
      <c r="B435" s="4" t="s">
        <v>585</v>
      </c>
      <c r="C435" s="4" t="s">
        <v>10</v>
      </c>
      <c r="D435" s="4" t="s">
        <v>28</v>
      </c>
      <c r="E435" s="4" t="s">
        <v>29</v>
      </c>
      <c r="F435" s="4" t="s">
        <v>662</v>
      </c>
      <c r="G435" s="4" t="s">
        <v>663</v>
      </c>
      <c r="H435" s="4" t="s">
        <v>196</v>
      </c>
      <c r="I435" s="4" t="s">
        <v>197</v>
      </c>
      <c r="J435" s="4" t="s">
        <v>198</v>
      </c>
      <c r="K435" s="7">
        <v>305.76</v>
      </c>
      <c r="L435" s="7">
        <v>221.48</v>
      </c>
      <c r="M435" s="7">
        <v>331.24</v>
      </c>
      <c r="N435" s="7">
        <v>468.44</v>
      </c>
      <c r="O435" s="7">
        <v>325.36</v>
      </c>
      <c r="P435" s="7">
        <v>236.18</v>
      </c>
      <c r="Q435" s="7">
        <v>351.82</v>
      </c>
      <c r="R435" s="7">
        <v>344.96</v>
      </c>
      <c r="S435" s="7"/>
      <c r="T435" s="7"/>
      <c r="U435" s="7"/>
      <c r="V435" s="7"/>
      <c r="W435" s="11">
        <f t="shared" si="7"/>
        <v>2585.2400000000002</v>
      </c>
    </row>
    <row r="436" spans="1:23" x14ac:dyDescent="0.2">
      <c r="A436" s="4" t="s">
        <v>570</v>
      </c>
      <c r="B436" s="4" t="s">
        <v>585</v>
      </c>
      <c r="C436" s="4" t="s">
        <v>10</v>
      </c>
      <c r="D436" s="4" t="s">
        <v>28</v>
      </c>
      <c r="E436" s="4" t="s">
        <v>29</v>
      </c>
      <c r="F436" s="4" t="s">
        <v>736</v>
      </c>
      <c r="G436" s="4" t="s">
        <v>737</v>
      </c>
      <c r="H436" s="4" t="s">
        <v>196</v>
      </c>
      <c r="I436" s="4" t="s">
        <v>197</v>
      </c>
      <c r="J436" s="4" t="s">
        <v>216</v>
      </c>
      <c r="K436" s="7">
        <v>0</v>
      </c>
      <c r="L436" s="7">
        <v>250.50301999999999</v>
      </c>
      <c r="M436" s="7">
        <v>94.999904999999998</v>
      </c>
      <c r="N436" s="7">
        <v>116.999883</v>
      </c>
      <c r="O436" s="7">
        <v>64.999934999999994</v>
      </c>
      <c r="P436" s="7">
        <v>0</v>
      </c>
      <c r="Q436" s="7">
        <v>128.50335000000001</v>
      </c>
      <c r="R436" s="7">
        <v>0</v>
      </c>
      <c r="S436" s="7"/>
      <c r="T436" s="7"/>
      <c r="U436" s="7"/>
      <c r="V436" s="7"/>
      <c r="W436" s="11">
        <f t="shared" si="7"/>
        <v>656.00609299999996</v>
      </c>
    </row>
    <row r="437" spans="1:23" x14ac:dyDescent="0.2">
      <c r="A437" s="4" t="s">
        <v>570</v>
      </c>
      <c r="B437" s="4" t="s">
        <v>585</v>
      </c>
      <c r="C437" s="4" t="s">
        <v>10</v>
      </c>
      <c r="D437" s="4" t="s">
        <v>28</v>
      </c>
      <c r="E437" s="4" t="s">
        <v>29</v>
      </c>
      <c r="F437" s="4" t="s">
        <v>422</v>
      </c>
      <c r="G437" s="4" t="s">
        <v>423</v>
      </c>
      <c r="H437" s="4" t="s">
        <v>196</v>
      </c>
      <c r="I437" s="4" t="s">
        <v>197</v>
      </c>
      <c r="J437" s="4" t="s">
        <v>216</v>
      </c>
      <c r="K437" s="7">
        <v>107.67</v>
      </c>
      <c r="L437" s="7">
        <v>0</v>
      </c>
      <c r="M437" s="7">
        <v>0</v>
      </c>
      <c r="N437" s="7">
        <v>0</v>
      </c>
      <c r="O437" s="7">
        <v>126.1</v>
      </c>
      <c r="P437" s="7">
        <v>70.81</v>
      </c>
      <c r="Q437" s="7">
        <v>335.62</v>
      </c>
      <c r="R437" s="7">
        <v>252.2</v>
      </c>
      <c r="S437" s="7"/>
      <c r="T437" s="7"/>
      <c r="U437" s="7"/>
      <c r="V437" s="7"/>
      <c r="W437" s="11">
        <f t="shared" si="7"/>
        <v>892.40000000000009</v>
      </c>
    </row>
    <row r="438" spans="1:23" x14ac:dyDescent="0.2">
      <c r="A438" s="4" t="s">
        <v>570</v>
      </c>
      <c r="B438" s="4" t="s">
        <v>585</v>
      </c>
      <c r="C438" s="4" t="s">
        <v>10</v>
      </c>
      <c r="D438" s="4" t="s">
        <v>28</v>
      </c>
      <c r="E438" s="4" t="s">
        <v>814</v>
      </c>
      <c r="F438" s="4" t="s">
        <v>958</v>
      </c>
      <c r="G438" s="4" t="s">
        <v>959</v>
      </c>
      <c r="H438" s="4" t="s">
        <v>104</v>
      </c>
      <c r="I438" s="4" t="s">
        <v>221</v>
      </c>
      <c r="J438" s="4" t="s">
        <v>222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162.75</v>
      </c>
      <c r="R438" s="7">
        <v>0</v>
      </c>
      <c r="S438" s="7"/>
      <c r="T438" s="7"/>
      <c r="U438" s="7"/>
      <c r="V438" s="7"/>
      <c r="W438" s="11">
        <f t="shared" si="7"/>
        <v>162.75</v>
      </c>
    </row>
    <row r="439" spans="1:23" x14ac:dyDescent="0.2">
      <c r="A439" s="4" t="s">
        <v>570</v>
      </c>
      <c r="B439" s="4" t="s">
        <v>585</v>
      </c>
      <c r="C439" s="4" t="s">
        <v>10</v>
      </c>
      <c r="D439" s="4" t="s">
        <v>28</v>
      </c>
      <c r="E439" s="4" t="s">
        <v>814</v>
      </c>
      <c r="F439" s="4" t="s">
        <v>815</v>
      </c>
      <c r="G439" s="4" t="s">
        <v>816</v>
      </c>
      <c r="H439" s="4" t="s">
        <v>32</v>
      </c>
      <c r="I439" s="4" t="s">
        <v>199</v>
      </c>
      <c r="J439" s="4" t="s">
        <v>817</v>
      </c>
      <c r="K439" s="7">
        <v>0</v>
      </c>
      <c r="L439" s="7">
        <v>0</v>
      </c>
      <c r="M439" s="7">
        <v>105.395</v>
      </c>
      <c r="N439" s="7">
        <v>101.455</v>
      </c>
      <c r="O439" s="7">
        <v>0</v>
      </c>
      <c r="P439" s="7">
        <v>17.73</v>
      </c>
      <c r="Q439" s="7">
        <v>34.475000000000001</v>
      </c>
      <c r="R439" s="7">
        <v>0</v>
      </c>
      <c r="S439" s="7"/>
      <c r="T439" s="7"/>
      <c r="U439" s="7"/>
      <c r="V439" s="7"/>
      <c r="W439" s="11">
        <f t="shared" si="7"/>
        <v>259.05500000000001</v>
      </c>
    </row>
    <row r="440" spans="1:23" x14ac:dyDescent="0.2">
      <c r="A440" s="4" t="s">
        <v>570</v>
      </c>
      <c r="B440" s="4" t="s">
        <v>585</v>
      </c>
      <c r="C440" s="4" t="s">
        <v>10</v>
      </c>
      <c r="D440" s="4" t="s">
        <v>28</v>
      </c>
      <c r="E440" s="4" t="s">
        <v>12</v>
      </c>
      <c r="F440" s="4" t="s">
        <v>210</v>
      </c>
      <c r="G440" s="4" t="s">
        <v>211</v>
      </c>
      <c r="H440" s="4" t="s">
        <v>196</v>
      </c>
      <c r="I440" s="4" t="s">
        <v>202</v>
      </c>
      <c r="J440" s="4" t="s">
        <v>205</v>
      </c>
      <c r="K440" s="7">
        <v>0</v>
      </c>
      <c r="L440" s="7">
        <v>0</v>
      </c>
      <c r="M440" s="7">
        <v>0</v>
      </c>
      <c r="N440" s="7">
        <v>1389.6089999999999</v>
      </c>
      <c r="O440" s="7">
        <v>0</v>
      </c>
      <c r="P440" s="7">
        <v>0</v>
      </c>
      <c r="Q440" s="7">
        <v>0</v>
      </c>
      <c r="R440" s="7">
        <v>0</v>
      </c>
      <c r="S440" s="7"/>
      <c r="T440" s="7"/>
      <c r="U440" s="7"/>
      <c r="V440" s="7"/>
      <c r="W440" s="11">
        <f t="shared" si="7"/>
        <v>1389.6089999999999</v>
      </c>
    </row>
    <row r="441" spans="1:23" x14ac:dyDescent="0.2">
      <c r="A441" s="4" t="s">
        <v>570</v>
      </c>
      <c r="B441" s="4" t="s">
        <v>585</v>
      </c>
      <c r="C441" s="4" t="s">
        <v>10</v>
      </c>
      <c r="D441" s="4" t="s">
        <v>28</v>
      </c>
      <c r="E441" s="4" t="s">
        <v>12</v>
      </c>
      <c r="F441" s="4" t="s">
        <v>738</v>
      </c>
      <c r="G441" s="4" t="s">
        <v>739</v>
      </c>
      <c r="H441" s="4" t="s">
        <v>196</v>
      </c>
      <c r="I441" s="4" t="s">
        <v>202</v>
      </c>
      <c r="J441" s="4" t="s">
        <v>205</v>
      </c>
      <c r="K441" s="7">
        <v>53.35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/>
      <c r="T441" s="7"/>
      <c r="U441" s="7"/>
      <c r="V441" s="7"/>
      <c r="W441" s="11">
        <f t="shared" si="7"/>
        <v>53.35</v>
      </c>
    </row>
    <row r="442" spans="1:23" x14ac:dyDescent="0.2">
      <c r="A442" s="4" t="s">
        <v>570</v>
      </c>
      <c r="B442" s="4" t="s">
        <v>585</v>
      </c>
      <c r="C442" s="4" t="s">
        <v>10</v>
      </c>
      <c r="D442" s="4" t="s">
        <v>28</v>
      </c>
      <c r="E442" s="4" t="s">
        <v>12</v>
      </c>
      <c r="F442" s="4" t="s">
        <v>78</v>
      </c>
      <c r="G442" s="4" t="s">
        <v>79</v>
      </c>
      <c r="H442" s="4" t="s">
        <v>32</v>
      </c>
      <c r="I442" s="4" t="s">
        <v>80</v>
      </c>
      <c r="J442" s="4" t="s">
        <v>80</v>
      </c>
      <c r="K442" s="7">
        <v>0</v>
      </c>
      <c r="L442" s="7">
        <v>6461.7618759999996</v>
      </c>
      <c r="M442" s="7">
        <v>0</v>
      </c>
      <c r="N442" s="7">
        <v>0</v>
      </c>
      <c r="O442" s="7">
        <v>0</v>
      </c>
      <c r="P442" s="7">
        <v>0</v>
      </c>
      <c r="Q442" s="7">
        <v>8994.7677999999996</v>
      </c>
      <c r="R442" s="7">
        <v>0</v>
      </c>
      <c r="S442" s="7"/>
      <c r="T442" s="7"/>
      <c r="U442" s="7"/>
      <c r="V442" s="7"/>
      <c r="W442" s="11">
        <f t="shared" si="7"/>
        <v>15456.529675999998</v>
      </c>
    </row>
    <row r="443" spans="1:23" x14ac:dyDescent="0.2">
      <c r="A443" s="4" t="s">
        <v>570</v>
      </c>
      <c r="B443" s="4" t="s">
        <v>585</v>
      </c>
      <c r="C443" s="4" t="s">
        <v>10</v>
      </c>
      <c r="D443" s="4" t="s">
        <v>28</v>
      </c>
      <c r="E443" s="4" t="s">
        <v>12</v>
      </c>
      <c r="F443" s="4" t="s">
        <v>232</v>
      </c>
      <c r="G443" s="4" t="s">
        <v>233</v>
      </c>
      <c r="H443" s="4" t="s">
        <v>104</v>
      </c>
      <c r="I443" s="4" t="s">
        <v>221</v>
      </c>
      <c r="J443" s="4" t="s">
        <v>222</v>
      </c>
      <c r="K443" s="7">
        <v>0</v>
      </c>
      <c r="L443" s="7">
        <v>903.46193600000004</v>
      </c>
      <c r="M443" s="7">
        <v>1349.502</v>
      </c>
      <c r="N443" s="7">
        <v>771.49440000000004</v>
      </c>
      <c r="O443" s="7">
        <v>0</v>
      </c>
      <c r="P443" s="7">
        <v>0</v>
      </c>
      <c r="Q443" s="7">
        <v>0</v>
      </c>
      <c r="R443" s="7">
        <v>0</v>
      </c>
      <c r="S443" s="7"/>
      <c r="T443" s="7"/>
      <c r="U443" s="7"/>
      <c r="V443" s="7"/>
      <c r="W443" s="11">
        <f t="shared" si="7"/>
        <v>3024.4583360000001</v>
      </c>
    </row>
    <row r="444" spans="1:23" x14ac:dyDescent="0.2">
      <c r="A444" s="4" t="s">
        <v>570</v>
      </c>
      <c r="B444" s="4" t="s">
        <v>585</v>
      </c>
      <c r="C444" s="4" t="s">
        <v>10</v>
      </c>
      <c r="D444" s="4" t="s">
        <v>28</v>
      </c>
      <c r="E444" s="4" t="s">
        <v>12</v>
      </c>
      <c r="F444" s="4" t="s">
        <v>868</v>
      </c>
      <c r="G444" s="4" t="s">
        <v>635</v>
      </c>
      <c r="H444" s="4" t="s">
        <v>26</v>
      </c>
      <c r="I444" s="4" t="s">
        <v>636</v>
      </c>
      <c r="J444" s="4" t="s">
        <v>637</v>
      </c>
      <c r="K444" s="7">
        <v>22095.438200000001</v>
      </c>
      <c r="L444" s="7">
        <v>18398.668000000001</v>
      </c>
      <c r="M444" s="7">
        <v>0</v>
      </c>
      <c r="N444" s="7">
        <v>14542.177600000001</v>
      </c>
      <c r="O444" s="7">
        <v>10549.199699999999</v>
      </c>
      <c r="P444" s="7">
        <v>14194.758599999999</v>
      </c>
      <c r="Q444" s="7">
        <v>12686.9545</v>
      </c>
      <c r="R444" s="7">
        <v>12409.625400000001</v>
      </c>
      <c r="S444" s="7"/>
      <c r="T444" s="7"/>
      <c r="U444" s="7"/>
      <c r="V444" s="7"/>
      <c r="W444" s="11">
        <f t="shared" si="7"/>
        <v>104876.822</v>
      </c>
    </row>
    <row r="445" spans="1:23" x14ac:dyDescent="0.2">
      <c r="A445" s="4" t="s">
        <v>570</v>
      </c>
      <c r="B445" s="4" t="s">
        <v>585</v>
      </c>
      <c r="C445" s="4" t="s">
        <v>10</v>
      </c>
      <c r="D445" s="4" t="s">
        <v>28</v>
      </c>
      <c r="E445" s="4" t="s">
        <v>12</v>
      </c>
      <c r="F445" s="4" t="s">
        <v>894</v>
      </c>
      <c r="G445" s="4" t="s">
        <v>895</v>
      </c>
      <c r="H445" s="4" t="s">
        <v>104</v>
      </c>
      <c r="I445" s="4" t="s">
        <v>221</v>
      </c>
      <c r="J445" s="4" t="s">
        <v>222</v>
      </c>
      <c r="K445" s="7">
        <v>0</v>
      </c>
      <c r="L445" s="7">
        <v>0</v>
      </c>
      <c r="M445" s="7">
        <v>3.4849999999999998E-7</v>
      </c>
      <c r="N445" s="7">
        <v>1.037E-7</v>
      </c>
      <c r="O445" s="7">
        <v>9.6600000000000005E-8</v>
      </c>
      <c r="P445" s="7">
        <v>9.7199999999999997E-8</v>
      </c>
      <c r="Q445" s="7">
        <v>0</v>
      </c>
      <c r="R445" s="7">
        <v>0</v>
      </c>
      <c r="S445" s="7"/>
      <c r="T445" s="7"/>
      <c r="U445" s="7"/>
      <c r="V445" s="7"/>
      <c r="W445" s="11">
        <f t="shared" si="7"/>
        <v>6.4599999999999993E-7</v>
      </c>
    </row>
    <row r="446" spans="1:23" x14ac:dyDescent="0.2">
      <c r="A446" s="4" t="s">
        <v>570</v>
      </c>
      <c r="B446" s="4" t="s">
        <v>585</v>
      </c>
      <c r="C446" s="4" t="s">
        <v>10</v>
      </c>
      <c r="D446" s="4" t="s">
        <v>28</v>
      </c>
      <c r="E446" s="4" t="s">
        <v>12</v>
      </c>
      <c r="F446" s="4" t="s">
        <v>238</v>
      </c>
      <c r="G446" s="4" t="s">
        <v>239</v>
      </c>
      <c r="H446" s="4" t="s">
        <v>104</v>
      </c>
      <c r="I446" s="4" t="s">
        <v>221</v>
      </c>
      <c r="J446" s="4" t="s">
        <v>222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252.6448</v>
      </c>
      <c r="Q446" s="7">
        <v>312.7869</v>
      </c>
      <c r="R446" s="7">
        <v>265.85019999999997</v>
      </c>
      <c r="S446" s="7"/>
      <c r="T446" s="7"/>
      <c r="U446" s="7"/>
      <c r="V446" s="7"/>
      <c r="W446" s="11">
        <f t="shared" si="7"/>
        <v>831.28189999999995</v>
      </c>
    </row>
    <row r="447" spans="1:23" x14ac:dyDescent="0.2">
      <c r="A447" s="4" t="s">
        <v>570</v>
      </c>
      <c r="B447" s="4" t="s">
        <v>585</v>
      </c>
      <c r="C447" s="4" t="s">
        <v>10</v>
      </c>
      <c r="D447" s="4" t="s">
        <v>28</v>
      </c>
      <c r="E447" s="4" t="s">
        <v>12</v>
      </c>
      <c r="F447" s="4" t="s">
        <v>238</v>
      </c>
      <c r="G447" s="4" t="s">
        <v>240</v>
      </c>
      <c r="H447" s="4" t="s">
        <v>104</v>
      </c>
      <c r="I447" s="4" t="s">
        <v>221</v>
      </c>
      <c r="J447" s="4" t="s">
        <v>222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3100.6176</v>
      </c>
      <c r="Q447" s="7">
        <v>3319.1550000000002</v>
      </c>
      <c r="R447" s="7">
        <v>2839.8904000000002</v>
      </c>
      <c r="S447" s="7"/>
      <c r="T447" s="7"/>
      <c r="U447" s="7"/>
      <c r="V447" s="7"/>
      <c r="W447" s="11">
        <f t="shared" si="7"/>
        <v>9259.6630000000005</v>
      </c>
    </row>
    <row r="448" spans="1:23" x14ac:dyDescent="0.2">
      <c r="A448" s="4" t="s">
        <v>570</v>
      </c>
      <c r="B448" s="4" t="s">
        <v>585</v>
      </c>
      <c r="C448" s="4" t="s">
        <v>10</v>
      </c>
      <c r="D448" s="4" t="s">
        <v>28</v>
      </c>
      <c r="E448" s="4" t="s">
        <v>12</v>
      </c>
      <c r="F448" s="4" t="s">
        <v>431</v>
      </c>
      <c r="G448" s="4" t="s">
        <v>257</v>
      </c>
      <c r="H448" s="4" t="s">
        <v>104</v>
      </c>
      <c r="I448" s="4" t="s">
        <v>221</v>
      </c>
      <c r="J448" s="4" t="s">
        <v>222</v>
      </c>
      <c r="K448" s="7">
        <v>1370.1869999999999</v>
      </c>
      <c r="L448" s="7">
        <v>1575.0727999999999</v>
      </c>
      <c r="M448" s="7">
        <v>1914.7</v>
      </c>
      <c r="N448" s="7">
        <v>1635.8354999999999</v>
      </c>
      <c r="O448" s="7">
        <v>1582.2825</v>
      </c>
      <c r="P448" s="7">
        <v>1420.2156</v>
      </c>
      <c r="Q448" s="7">
        <v>1702.9467</v>
      </c>
      <c r="R448" s="7">
        <v>1561.2674999999999</v>
      </c>
      <c r="S448" s="7"/>
      <c r="T448" s="7"/>
      <c r="U448" s="7"/>
      <c r="V448" s="7"/>
      <c r="W448" s="11">
        <f t="shared" si="7"/>
        <v>12762.507600000001</v>
      </c>
    </row>
    <row r="449" spans="1:23" x14ac:dyDescent="0.2">
      <c r="A449" s="4" t="s">
        <v>570</v>
      </c>
      <c r="B449" s="4" t="s">
        <v>585</v>
      </c>
      <c r="C449" s="4" t="s">
        <v>10</v>
      </c>
      <c r="D449" s="4" t="s">
        <v>28</v>
      </c>
      <c r="E449" s="4" t="s">
        <v>12</v>
      </c>
      <c r="F449" s="4" t="s">
        <v>190</v>
      </c>
      <c r="G449" s="4" t="s">
        <v>191</v>
      </c>
      <c r="H449" s="4" t="s">
        <v>104</v>
      </c>
      <c r="I449" s="4" t="s">
        <v>192</v>
      </c>
      <c r="J449" s="4" t="s">
        <v>193</v>
      </c>
      <c r="K449" s="7">
        <v>39961.162592000001</v>
      </c>
      <c r="L449" s="7">
        <v>42697.966176000002</v>
      </c>
      <c r="M449" s="7">
        <v>37467.71875</v>
      </c>
      <c r="N449" s="7">
        <v>29852.707313999999</v>
      </c>
      <c r="O449" s="7">
        <v>41113.391184</v>
      </c>
      <c r="P449" s="7">
        <v>37934.800219999997</v>
      </c>
      <c r="Q449" s="7">
        <v>38728.566099999996</v>
      </c>
      <c r="R449" s="7">
        <v>43244.455000000002</v>
      </c>
      <c r="S449" s="7"/>
      <c r="T449" s="7"/>
      <c r="U449" s="7"/>
      <c r="V449" s="7"/>
      <c r="W449" s="11">
        <f t="shared" si="7"/>
        <v>311000.76733600005</v>
      </c>
    </row>
    <row r="450" spans="1:23" x14ac:dyDescent="0.2">
      <c r="A450" s="4" t="s">
        <v>570</v>
      </c>
      <c r="B450" s="4" t="s">
        <v>585</v>
      </c>
      <c r="C450" s="4" t="s">
        <v>10</v>
      </c>
      <c r="D450" s="4" t="s">
        <v>28</v>
      </c>
      <c r="E450" s="4" t="s">
        <v>12</v>
      </c>
      <c r="F450" s="4" t="s">
        <v>744</v>
      </c>
      <c r="G450" s="4" t="s">
        <v>745</v>
      </c>
      <c r="H450" s="4" t="s">
        <v>196</v>
      </c>
      <c r="I450" s="4" t="s">
        <v>202</v>
      </c>
      <c r="J450" s="4" t="s">
        <v>196</v>
      </c>
      <c r="K450" s="7">
        <v>0</v>
      </c>
      <c r="L450" s="7">
        <v>199.99979999999999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/>
      <c r="T450" s="7"/>
      <c r="U450" s="7"/>
      <c r="V450" s="7"/>
      <c r="W450" s="11">
        <f t="shared" si="7"/>
        <v>199.99979999999999</v>
      </c>
    </row>
    <row r="451" spans="1:23" x14ac:dyDescent="0.2">
      <c r="A451" s="4" t="s">
        <v>570</v>
      </c>
      <c r="B451" s="4" t="s">
        <v>585</v>
      </c>
      <c r="C451" s="4" t="s">
        <v>10</v>
      </c>
      <c r="D451" s="4" t="s">
        <v>28</v>
      </c>
      <c r="E451" s="4" t="s">
        <v>12</v>
      </c>
      <c r="F451" s="4" t="s">
        <v>433</v>
      </c>
      <c r="G451" s="4" t="s">
        <v>196</v>
      </c>
      <c r="H451" s="4" t="s">
        <v>196</v>
      </c>
      <c r="I451" s="4" t="s">
        <v>434</v>
      </c>
      <c r="J451" s="4" t="s">
        <v>434</v>
      </c>
      <c r="K451" s="7">
        <v>13381.9999999866</v>
      </c>
      <c r="L451" s="7">
        <v>13601.999999986399</v>
      </c>
      <c r="M451" s="7">
        <v>13616.999999986399</v>
      </c>
      <c r="N451" s="7">
        <v>13624.999999986399</v>
      </c>
      <c r="O451" s="7">
        <v>14037.999999985999</v>
      </c>
      <c r="P451" s="7">
        <v>14041.999999985999</v>
      </c>
      <c r="Q451" s="7">
        <v>14148.999999</v>
      </c>
      <c r="R451" s="7">
        <v>14089.999999</v>
      </c>
      <c r="S451" s="7"/>
      <c r="T451" s="7"/>
      <c r="U451" s="7"/>
      <c r="V451" s="7"/>
      <c r="W451" s="11">
        <f t="shared" si="7"/>
        <v>110544.9999979178</v>
      </c>
    </row>
    <row r="452" spans="1:23" x14ac:dyDescent="0.2">
      <c r="A452" s="4" t="s">
        <v>570</v>
      </c>
      <c r="B452" s="4" t="s">
        <v>585</v>
      </c>
      <c r="C452" s="4" t="s">
        <v>10</v>
      </c>
      <c r="D452" s="4" t="s">
        <v>28</v>
      </c>
      <c r="E452" s="4" t="s">
        <v>12</v>
      </c>
      <c r="F452" s="4" t="s">
        <v>433</v>
      </c>
      <c r="G452" s="4" t="s">
        <v>435</v>
      </c>
      <c r="H452" s="4" t="s">
        <v>46</v>
      </c>
      <c r="I452" s="4" t="s">
        <v>434</v>
      </c>
      <c r="J452" s="4" t="s">
        <v>434</v>
      </c>
      <c r="K452" s="7">
        <v>12205.9999999878</v>
      </c>
      <c r="L452" s="7">
        <v>11978.999999988</v>
      </c>
      <c r="M452" s="7">
        <v>11941.9999999881</v>
      </c>
      <c r="N452" s="7">
        <v>11946.9999999881</v>
      </c>
      <c r="O452" s="7">
        <v>11841.9999999882</v>
      </c>
      <c r="P452" s="7">
        <v>11958.999999988</v>
      </c>
      <c r="Q452" s="7">
        <v>11967.999999</v>
      </c>
      <c r="R452" s="7">
        <v>12110.999999</v>
      </c>
      <c r="S452" s="7"/>
      <c r="T452" s="7"/>
      <c r="U452" s="7"/>
      <c r="V452" s="7"/>
      <c r="W452" s="11">
        <f t="shared" si="7"/>
        <v>95953.999997928186</v>
      </c>
    </row>
    <row r="453" spans="1:23" x14ac:dyDescent="0.2">
      <c r="A453" s="4" t="s">
        <v>570</v>
      </c>
      <c r="B453" s="4" t="s">
        <v>585</v>
      </c>
      <c r="C453" s="4" t="s">
        <v>10</v>
      </c>
      <c r="D453" s="4" t="s">
        <v>28</v>
      </c>
      <c r="E453" s="4" t="s">
        <v>12</v>
      </c>
      <c r="F453" s="4" t="s">
        <v>433</v>
      </c>
      <c r="G453" s="4" t="s">
        <v>436</v>
      </c>
      <c r="H453" s="4" t="s">
        <v>437</v>
      </c>
      <c r="I453" s="4" t="s">
        <v>434</v>
      </c>
      <c r="J453" s="4" t="s">
        <v>434</v>
      </c>
      <c r="K453" s="7">
        <v>3742.9999999963002</v>
      </c>
      <c r="L453" s="7">
        <v>3677.9999999963002</v>
      </c>
      <c r="M453" s="7">
        <v>3720.9999999963002</v>
      </c>
      <c r="N453" s="7">
        <v>3697.9999999963002</v>
      </c>
      <c r="O453" s="7">
        <v>3730.9999999963002</v>
      </c>
      <c r="P453" s="7">
        <v>3752.9999999962001</v>
      </c>
      <c r="Q453" s="7">
        <v>3754.9999990000001</v>
      </c>
      <c r="R453" s="7">
        <v>3761.9999990000001</v>
      </c>
      <c r="S453" s="7"/>
      <c r="T453" s="7"/>
      <c r="U453" s="7"/>
      <c r="V453" s="7"/>
      <c r="W453" s="11">
        <f t="shared" si="7"/>
        <v>29840.999997977699</v>
      </c>
    </row>
    <row r="454" spans="1:23" x14ac:dyDescent="0.2">
      <c r="A454" s="4" t="s">
        <v>570</v>
      </c>
      <c r="B454" s="4" t="s">
        <v>585</v>
      </c>
      <c r="C454" s="4" t="s">
        <v>10</v>
      </c>
      <c r="D454" s="4" t="s">
        <v>28</v>
      </c>
      <c r="E454" s="4" t="s">
        <v>12</v>
      </c>
      <c r="F454" s="4" t="s">
        <v>433</v>
      </c>
      <c r="G454" s="4" t="s">
        <v>438</v>
      </c>
      <c r="H454" s="4" t="s">
        <v>104</v>
      </c>
      <c r="I454" s="4" t="s">
        <v>434</v>
      </c>
      <c r="J454" s="4" t="s">
        <v>434</v>
      </c>
      <c r="K454" s="7">
        <v>12406.9999999876</v>
      </c>
      <c r="L454" s="7">
        <v>12618.9999999874</v>
      </c>
      <c r="M454" s="7">
        <v>12728.9999999873</v>
      </c>
      <c r="N454" s="7">
        <v>12732.9999999873</v>
      </c>
      <c r="O454" s="7">
        <v>12941.9999999871</v>
      </c>
      <c r="P454" s="7">
        <v>12966.999999987</v>
      </c>
      <c r="Q454" s="7">
        <v>12968.999999</v>
      </c>
      <c r="R454" s="7">
        <v>12881.999999</v>
      </c>
      <c r="S454" s="7"/>
      <c r="T454" s="7"/>
      <c r="U454" s="7"/>
      <c r="V454" s="7"/>
      <c r="W454" s="11">
        <f t="shared" si="7"/>
        <v>102247.99999792367</v>
      </c>
    </row>
    <row r="455" spans="1:23" x14ac:dyDescent="0.2">
      <c r="A455" s="4" t="s">
        <v>570</v>
      </c>
      <c r="B455" s="4" t="s">
        <v>585</v>
      </c>
      <c r="C455" s="4" t="s">
        <v>10</v>
      </c>
      <c r="D455" s="4" t="s">
        <v>28</v>
      </c>
      <c r="E455" s="4" t="s">
        <v>12</v>
      </c>
      <c r="F455" s="4" t="s">
        <v>961</v>
      </c>
      <c r="G455" s="4" t="s">
        <v>307</v>
      </c>
      <c r="H455" s="4" t="s">
        <v>196</v>
      </c>
      <c r="I455" s="4" t="s">
        <v>197</v>
      </c>
      <c r="J455" s="4" t="s">
        <v>216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588.98</v>
      </c>
      <c r="R455" s="7">
        <v>527.24</v>
      </c>
      <c r="S455" s="7"/>
      <c r="T455" s="7"/>
      <c r="U455" s="7"/>
      <c r="V455" s="7"/>
      <c r="W455" s="11">
        <f t="shared" si="7"/>
        <v>1116.22</v>
      </c>
    </row>
    <row r="456" spans="1:23" x14ac:dyDescent="0.2">
      <c r="A456" s="4" t="s">
        <v>570</v>
      </c>
      <c r="B456" s="4" t="s">
        <v>585</v>
      </c>
      <c r="C456" s="4" t="s">
        <v>10</v>
      </c>
      <c r="D456" s="4" t="s">
        <v>28</v>
      </c>
      <c r="E456" s="4" t="s">
        <v>12</v>
      </c>
      <c r="F456" s="4" t="s">
        <v>820</v>
      </c>
      <c r="G456" s="4" t="s">
        <v>307</v>
      </c>
      <c r="H456" s="4" t="s">
        <v>196</v>
      </c>
      <c r="I456" s="4" t="s">
        <v>197</v>
      </c>
      <c r="J456" s="4" t="s">
        <v>216</v>
      </c>
      <c r="K456" s="7">
        <v>298.89999999999998</v>
      </c>
      <c r="L456" s="7">
        <v>0</v>
      </c>
      <c r="M456" s="7">
        <v>325.36</v>
      </c>
      <c r="N456" s="7">
        <v>235.2</v>
      </c>
      <c r="O456" s="7">
        <v>424.34</v>
      </c>
      <c r="P456" s="7">
        <v>1029</v>
      </c>
      <c r="Q456" s="7">
        <v>0</v>
      </c>
      <c r="R456" s="7">
        <v>0</v>
      </c>
      <c r="S456" s="7"/>
      <c r="T456" s="7"/>
      <c r="U456" s="7"/>
      <c r="V456" s="7"/>
      <c r="W456" s="11">
        <f t="shared" si="7"/>
        <v>2312.8000000000002</v>
      </c>
    </row>
    <row r="457" spans="1:23" x14ac:dyDescent="0.2">
      <c r="A457" s="4" t="s">
        <v>570</v>
      </c>
      <c r="B457" s="4" t="s">
        <v>585</v>
      </c>
      <c r="C457" s="4" t="s">
        <v>10</v>
      </c>
      <c r="D457" s="4" t="s">
        <v>28</v>
      </c>
      <c r="E457" s="4" t="s">
        <v>12</v>
      </c>
      <c r="F457" s="4" t="s">
        <v>820</v>
      </c>
      <c r="G457" s="4" t="s">
        <v>821</v>
      </c>
      <c r="H457" s="4" t="s">
        <v>196</v>
      </c>
      <c r="I457" s="4" t="s">
        <v>197</v>
      </c>
      <c r="J457" s="4" t="s">
        <v>198</v>
      </c>
      <c r="K457" s="7">
        <v>0</v>
      </c>
      <c r="L457" s="7">
        <v>0</v>
      </c>
      <c r="M457" s="7">
        <v>294</v>
      </c>
      <c r="N457" s="7">
        <v>237.16</v>
      </c>
      <c r="O457" s="7">
        <v>441</v>
      </c>
      <c r="P457" s="7">
        <v>0</v>
      </c>
      <c r="Q457" s="7">
        <v>0</v>
      </c>
      <c r="R457" s="7">
        <v>0</v>
      </c>
      <c r="S457" s="7"/>
      <c r="T457" s="7"/>
      <c r="U457" s="7"/>
      <c r="V457" s="7"/>
      <c r="W457" s="11">
        <f t="shared" si="7"/>
        <v>972.16</v>
      </c>
    </row>
    <row r="458" spans="1:23" x14ac:dyDescent="0.2">
      <c r="A458" s="4" t="s">
        <v>570</v>
      </c>
      <c r="B458" s="4" t="s">
        <v>585</v>
      </c>
      <c r="C458" s="4" t="s">
        <v>10</v>
      </c>
      <c r="D458" s="4" t="s">
        <v>28</v>
      </c>
      <c r="E458" s="4" t="s">
        <v>12</v>
      </c>
      <c r="F458" s="4" t="s">
        <v>107</v>
      </c>
      <c r="G458" s="4" t="s">
        <v>166</v>
      </c>
      <c r="H458" s="4" t="s">
        <v>26</v>
      </c>
      <c r="I458" s="4" t="s">
        <v>26</v>
      </c>
      <c r="J458" s="4" t="s">
        <v>109</v>
      </c>
      <c r="K458" s="7">
        <v>126.384215</v>
      </c>
      <c r="L458" s="7">
        <v>261.14277800000002</v>
      </c>
      <c r="M458" s="7">
        <v>119.90237550000001</v>
      </c>
      <c r="N458" s="7">
        <v>69.534121400000004</v>
      </c>
      <c r="O458" s="7">
        <v>284.52511120000003</v>
      </c>
      <c r="P458" s="7">
        <v>307.57487479999998</v>
      </c>
      <c r="Q458" s="7">
        <v>252.26873599999999</v>
      </c>
      <c r="R458" s="7">
        <v>576.91137600000002</v>
      </c>
      <c r="S458" s="7"/>
      <c r="T458" s="7"/>
      <c r="U458" s="7"/>
      <c r="V458" s="7"/>
      <c r="W458" s="11">
        <f t="shared" si="7"/>
        <v>1998.2435879</v>
      </c>
    </row>
    <row r="459" spans="1:23" x14ac:dyDescent="0.2">
      <c r="A459" s="4" t="s">
        <v>570</v>
      </c>
      <c r="B459" s="4" t="s">
        <v>585</v>
      </c>
      <c r="C459" s="4" t="s">
        <v>10</v>
      </c>
      <c r="D459" s="4" t="s">
        <v>28</v>
      </c>
      <c r="E459" s="4" t="s">
        <v>12</v>
      </c>
      <c r="F459" s="4" t="s">
        <v>960</v>
      </c>
      <c r="G459" s="4" t="s">
        <v>670</v>
      </c>
      <c r="H459" s="4" t="s">
        <v>46</v>
      </c>
      <c r="I459" s="4" t="s">
        <v>52</v>
      </c>
      <c r="J459" s="4" t="s">
        <v>65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2488.11</v>
      </c>
      <c r="R459" s="7">
        <v>0</v>
      </c>
      <c r="S459" s="7"/>
      <c r="T459" s="7"/>
      <c r="U459" s="7"/>
      <c r="V459" s="7"/>
      <c r="W459" s="11">
        <f t="shared" si="7"/>
        <v>2488.11</v>
      </c>
    </row>
    <row r="460" spans="1:23" x14ac:dyDescent="0.2">
      <c r="A460" s="4" t="s">
        <v>570</v>
      </c>
      <c r="B460" s="4" t="s">
        <v>585</v>
      </c>
      <c r="C460" s="4" t="s">
        <v>10</v>
      </c>
      <c r="D460" s="4" t="s">
        <v>28</v>
      </c>
      <c r="E460" s="4" t="s">
        <v>12</v>
      </c>
      <c r="F460" s="4" t="s">
        <v>807</v>
      </c>
      <c r="G460" s="4" t="s">
        <v>670</v>
      </c>
      <c r="H460" s="4" t="s">
        <v>46</v>
      </c>
      <c r="I460" s="4" t="s">
        <v>52</v>
      </c>
      <c r="J460" s="4" t="s">
        <v>65</v>
      </c>
      <c r="K460" s="7">
        <v>0</v>
      </c>
      <c r="L460" s="7">
        <v>0</v>
      </c>
      <c r="M460" s="7">
        <v>2987.5050000000001</v>
      </c>
      <c r="N460" s="7">
        <v>982.04499999999996</v>
      </c>
      <c r="O460" s="7">
        <v>2697.915</v>
      </c>
      <c r="P460" s="7">
        <v>1206.625</v>
      </c>
      <c r="Q460" s="7">
        <v>0</v>
      </c>
      <c r="R460" s="7">
        <v>0</v>
      </c>
      <c r="S460" s="7"/>
      <c r="T460" s="7"/>
      <c r="U460" s="7"/>
      <c r="V460" s="7"/>
      <c r="W460" s="11">
        <f t="shared" si="7"/>
        <v>7874.09</v>
      </c>
    </row>
    <row r="461" spans="1:23" x14ac:dyDescent="0.2">
      <c r="A461" s="4" t="s">
        <v>570</v>
      </c>
      <c r="B461" s="4" t="s">
        <v>585</v>
      </c>
      <c r="C461" s="4" t="s">
        <v>10</v>
      </c>
      <c r="D461" s="4" t="s">
        <v>28</v>
      </c>
      <c r="E461" s="4" t="s">
        <v>12</v>
      </c>
      <c r="F461" s="4" t="s">
        <v>439</v>
      </c>
      <c r="G461" s="4" t="s">
        <v>440</v>
      </c>
      <c r="H461" s="4" t="s">
        <v>104</v>
      </c>
      <c r="I461" s="4" t="s">
        <v>192</v>
      </c>
      <c r="J461" s="4" t="s">
        <v>252</v>
      </c>
      <c r="K461" s="7">
        <v>1006.2248</v>
      </c>
      <c r="L461" s="7">
        <v>0</v>
      </c>
      <c r="M461" s="7">
        <v>1348.5108</v>
      </c>
      <c r="N461" s="7">
        <v>4325.9737999999998</v>
      </c>
      <c r="O461" s="7">
        <v>0</v>
      </c>
      <c r="P461" s="7">
        <v>0</v>
      </c>
      <c r="Q461" s="7">
        <v>0</v>
      </c>
      <c r="R461" s="7">
        <v>0</v>
      </c>
      <c r="S461" s="7"/>
      <c r="T461" s="7"/>
      <c r="U461" s="7"/>
      <c r="V461" s="7"/>
      <c r="W461" s="11">
        <f t="shared" si="7"/>
        <v>6680.7093999999997</v>
      </c>
    </row>
    <row r="462" spans="1:23" x14ac:dyDescent="0.2">
      <c r="A462" s="4" t="s">
        <v>570</v>
      </c>
      <c r="B462" s="4" t="s">
        <v>585</v>
      </c>
      <c r="C462" s="4" t="s">
        <v>10</v>
      </c>
      <c r="D462" s="4" t="s">
        <v>28</v>
      </c>
      <c r="E462" s="4" t="s">
        <v>12</v>
      </c>
      <c r="F462" s="4" t="s">
        <v>675</v>
      </c>
      <c r="G462" s="4" t="s">
        <v>676</v>
      </c>
      <c r="H462" s="4" t="s">
        <v>196</v>
      </c>
      <c r="I462" s="4" t="s">
        <v>202</v>
      </c>
      <c r="J462" s="4" t="s">
        <v>205</v>
      </c>
      <c r="K462" s="7">
        <v>1973.023952</v>
      </c>
      <c r="L462" s="7">
        <v>1943.2979379999999</v>
      </c>
      <c r="M462" s="7">
        <v>1887.461824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/>
      <c r="T462" s="7"/>
      <c r="U462" s="7"/>
      <c r="V462" s="7"/>
      <c r="W462" s="11">
        <f t="shared" ref="W462:W513" si="8">SUM(K462:V462)</f>
        <v>5803.7837140000001</v>
      </c>
    </row>
    <row r="463" spans="1:23" x14ac:dyDescent="0.2">
      <c r="A463" s="4" t="s">
        <v>570</v>
      </c>
      <c r="B463" s="4" t="s">
        <v>585</v>
      </c>
      <c r="C463" s="4" t="s">
        <v>10</v>
      </c>
      <c r="D463" s="4" t="s">
        <v>28</v>
      </c>
      <c r="E463" s="4" t="s">
        <v>12</v>
      </c>
      <c r="F463" s="4" t="s">
        <v>308</v>
      </c>
      <c r="G463" s="4" t="s">
        <v>309</v>
      </c>
      <c r="H463" s="4" t="s">
        <v>196</v>
      </c>
      <c r="I463" s="4" t="s">
        <v>202</v>
      </c>
      <c r="J463" s="4" t="s">
        <v>196</v>
      </c>
      <c r="K463" s="7">
        <v>0</v>
      </c>
      <c r="L463" s="7">
        <v>2020.9770000000001</v>
      </c>
      <c r="M463" s="7">
        <v>2169.828</v>
      </c>
      <c r="N463" s="7">
        <v>1506.492</v>
      </c>
      <c r="O463" s="7">
        <v>0</v>
      </c>
      <c r="P463" s="7">
        <v>0</v>
      </c>
      <c r="Q463" s="7">
        <v>0</v>
      </c>
      <c r="R463" s="7">
        <v>0</v>
      </c>
      <c r="S463" s="7"/>
      <c r="T463" s="7"/>
      <c r="U463" s="7"/>
      <c r="V463" s="7"/>
      <c r="W463" s="11">
        <f t="shared" si="8"/>
        <v>5697.2970000000005</v>
      </c>
    </row>
    <row r="464" spans="1:23" x14ac:dyDescent="0.2">
      <c r="A464" s="4" t="s">
        <v>570</v>
      </c>
      <c r="B464" s="4" t="s">
        <v>585</v>
      </c>
      <c r="C464" s="4" t="s">
        <v>10</v>
      </c>
      <c r="D464" s="4" t="s">
        <v>28</v>
      </c>
      <c r="E464" s="4" t="s">
        <v>12</v>
      </c>
      <c r="F464" s="4" t="s">
        <v>818</v>
      </c>
      <c r="G464" s="4" t="s">
        <v>819</v>
      </c>
      <c r="H464" s="4" t="s">
        <v>196</v>
      </c>
      <c r="I464" s="4" t="s">
        <v>202</v>
      </c>
      <c r="J464" s="4" t="s">
        <v>205</v>
      </c>
      <c r="K464" s="7">
        <v>945.99999999910005</v>
      </c>
      <c r="L464" s="7">
        <v>0</v>
      </c>
      <c r="M464" s="7">
        <v>1477.9998522000001</v>
      </c>
      <c r="N464" s="7">
        <v>1898.9998101000001</v>
      </c>
      <c r="O464" s="7">
        <v>0</v>
      </c>
      <c r="P464" s="7">
        <v>2123.9997876000002</v>
      </c>
      <c r="Q464" s="7">
        <v>0</v>
      </c>
      <c r="R464" s="7">
        <v>0</v>
      </c>
      <c r="S464" s="7"/>
      <c r="T464" s="7"/>
      <c r="U464" s="7"/>
      <c r="V464" s="7"/>
      <c r="W464" s="11">
        <f t="shared" si="8"/>
        <v>6446.9994498991</v>
      </c>
    </row>
    <row r="465" spans="1:23" x14ac:dyDescent="0.2">
      <c r="A465" s="4" t="s">
        <v>570</v>
      </c>
      <c r="B465" s="4" t="s">
        <v>585</v>
      </c>
      <c r="C465" s="4" t="s">
        <v>10</v>
      </c>
      <c r="D465" s="4" t="s">
        <v>28</v>
      </c>
      <c r="E465" s="4" t="s">
        <v>12</v>
      </c>
      <c r="F465" s="4" t="s">
        <v>892</v>
      </c>
      <c r="G465" s="4" t="s">
        <v>893</v>
      </c>
      <c r="H465" s="4" t="s">
        <v>196</v>
      </c>
      <c r="I465" s="4" t="s">
        <v>197</v>
      </c>
      <c r="J465" s="4" t="s">
        <v>216</v>
      </c>
      <c r="K465" s="7">
        <v>0</v>
      </c>
      <c r="L465" s="7">
        <v>0</v>
      </c>
      <c r="M465" s="7">
        <v>0</v>
      </c>
      <c r="N465" s="7">
        <v>0</v>
      </c>
      <c r="O465" s="7">
        <v>2169.89</v>
      </c>
      <c r="P465" s="7">
        <v>0</v>
      </c>
      <c r="Q465" s="7">
        <v>841.96</v>
      </c>
      <c r="R465" s="7">
        <v>940.9</v>
      </c>
      <c r="S465" s="7"/>
      <c r="T465" s="7"/>
      <c r="U465" s="7"/>
      <c r="V465" s="7"/>
      <c r="W465" s="11">
        <f t="shared" si="8"/>
        <v>3952.75</v>
      </c>
    </row>
    <row r="466" spans="1:23" x14ac:dyDescent="0.2">
      <c r="A466" s="4" t="s">
        <v>570</v>
      </c>
      <c r="B466" s="4" t="s">
        <v>585</v>
      </c>
      <c r="C466" s="4" t="s">
        <v>10</v>
      </c>
      <c r="D466" s="4" t="s">
        <v>28</v>
      </c>
      <c r="E466" s="4" t="s">
        <v>12</v>
      </c>
      <c r="F466" s="4" t="s">
        <v>984</v>
      </c>
      <c r="G466" s="4" t="s">
        <v>985</v>
      </c>
      <c r="H466" s="4" t="s">
        <v>196</v>
      </c>
      <c r="I466" s="4" t="s">
        <v>202</v>
      </c>
      <c r="J466" s="4" t="s">
        <v>205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268.999731</v>
      </c>
      <c r="S466" s="7"/>
      <c r="T466" s="7"/>
      <c r="U466" s="7"/>
      <c r="V466" s="7"/>
      <c r="W466" s="11">
        <f t="shared" si="8"/>
        <v>268.999731</v>
      </c>
    </row>
    <row r="467" spans="1:23" x14ac:dyDescent="0.2">
      <c r="A467" s="4" t="s">
        <v>570</v>
      </c>
      <c r="B467" s="4" t="s">
        <v>585</v>
      </c>
      <c r="C467" s="4" t="s">
        <v>10</v>
      </c>
      <c r="D467" s="4" t="s">
        <v>28</v>
      </c>
      <c r="E467" s="4" t="s">
        <v>12</v>
      </c>
      <c r="F467" s="4" t="s">
        <v>441</v>
      </c>
      <c r="G467" s="4" t="s">
        <v>442</v>
      </c>
      <c r="H467" s="4" t="s">
        <v>196</v>
      </c>
      <c r="I467" s="4" t="s">
        <v>202</v>
      </c>
      <c r="J467" s="4" t="s">
        <v>196</v>
      </c>
      <c r="K467" s="7">
        <v>49</v>
      </c>
      <c r="L467" s="7">
        <v>61.74</v>
      </c>
      <c r="M467" s="7">
        <v>54.88</v>
      </c>
      <c r="N467" s="7">
        <v>34.299999999999997</v>
      </c>
      <c r="O467" s="7">
        <v>31.36</v>
      </c>
      <c r="P467" s="7">
        <v>24.5</v>
      </c>
      <c r="Q467" s="7">
        <v>27.44</v>
      </c>
      <c r="R467" s="7">
        <v>20.58</v>
      </c>
      <c r="S467" s="7"/>
      <c r="T467" s="7"/>
      <c r="U467" s="7"/>
      <c r="V467" s="7"/>
      <c r="W467" s="11">
        <f t="shared" si="8"/>
        <v>303.8</v>
      </c>
    </row>
    <row r="468" spans="1:23" x14ac:dyDescent="0.2">
      <c r="A468" s="4" t="s">
        <v>570</v>
      </c>
      <c r="B468" s="4" t="s">
        <v>585</v>
      </c>
      <c r="C468" s="4" t="s">
        <v>10</v>
      </c>
      <c r="D468" s="4" t="s">
        <v>28</v>
      </c>
      <c r="E468" s="4" t="s">
        <v>12</v>
      </c>
      <c r="F468" s="4" t="s">
        <v>896</v>
      </c>
      <c r="G468" s="4" t="s">
        <v>897</v>
      </c>
      <c r="H468" s="4" t="s">
        <v>196</v>
      </c>
      <c r="I468" s="4" t="s">
        <v>202</v>
      </c>
      <c r="J468" s="4" t="s">
        <v>196</v>
      </c>
      <c r="K468" s="7">
        <v>0</v>
      </c>
      <c r="L468" s="7">
        <v>0</v>
      </c>
      <c r="M468" s="7">
        <v>445.99955399999999</v>
      </c>
      <c r="N468" s="7">
        <v>456.99954300000002</v>
      </c>
      <c r="O468" s="7">
        <v>506.99949299999997</v>
      </c>
      <c r="P468" s="7">
        <v>615.99938399999996</v>
      </c>
      <c r="Q468" s="7">
        <v>0</v>
      </c>
      <c r="R468" s="7">
        <v>0</v>
      </c>
      <c r="S468" s="7"/>
      <c r="T468" s="7"/>
      <c r="U468" s="7"/>
      <c r="V468" s="7"/>
      <c r="W468" s="11">
        <f t="shared" si="8"/>
        <v>2025.9979739999999</v>
      </c>
    </row>
    <row r="469" spans="1:23" x14ac:dyDescent="0.2">
      <c r="A469" s="4" t="s">
        <v>570</v>
      </c>
      <c r="B469" s="4" t="s">
        <v>585</v>
      </c>
      <c r="C469" s="4" t="s">
        <v>10</v>
      </c>
      <c r="D469" s="4" t="s">
        <v>28</v>
      </c>
      <c r="E469" s="4" t="s">
        <v>12</v>
      </c>
      <c r="F469" s="4" t="s">
        <v>443</v>
      </c>
      <c r="G469" s="4" t="s">
        <v>444</v>
      </c>
      <c r="H469" s="4" t="s">
        <v>46</v>
      </c>
      <c r="I469" s="4" t="s">
        <v>52</v>
      </c>
      <c r="J469" s="4" t="s">
        <v>82</v>
      </c>
      <c r="K469" s="7">
        <v>4906.8779999999997</v>
      </c>
      <c r="L469" s="7">
        <v>4269.6329999999998</v>
      </c>
      <c r="M469" s="7">
        <v>4792.4359999999997</v>
      </c>
      <c r="N469" s="7">
        <v>3339.39</v>
      </c>
      <c r="O469" s="7">
        <v>4767.5249999999996</v>
      </c>
      <c r="P469" s="7">
        <v>4207.6660000000002</v>
      </c>
      <c r="Q469" s="7">
        <v>5012.28</v>
      </c>
      <c r="R469" s="7">
        <v>4335.1869999999999</v>
      </c>
      <c r="S469" s="7"/>
      <c r="T469" s="7"/>
      <c r="U469" s="7"/>
      <c r="V469" s="7"/>
      <c r="W469" s="11">
        <f t="shared" si="8"/>
        <v>35630.995000000003</v>
      </c>
    </row>
    <row r="470" spans="1:23" x14ac:dyDescent="0.2">
      <c r="A470" s="4" t="s">
        <v>570</v>
      </c>
      <c r="B470" s="4" t="s">
        <v>585</v>
      </c>
      <c r="C470" s="4" t="s">
        <v>10</v>
      </c>
      <c r="D470" s="4" t="s">
        <v>28</v>
      </c>
      <c r="E470" s="4" t="s">
        <v>12</v>
      </c>
      <c r="F470" s="4" t="s">
        <v>742</v>
      </c>
      <c r="G470" s="4" t="s">
        <v>743</v>
      </c>
      <c r="H470" s="4" t="s">
        <v>196</v>
      </c>
      <c r="I470" s="4" t="s">
        <v>202</v>
      </c>
      <c r="J470" s="4" t="s">
        <v>205</v>
      </c>
      <c r="K470" s="7">
        <v>0</v>
      </c>
      <c r="L470" s="7">
        <v>1683.3150000000001</v>
      </c>
      <c r="M470" s="7">
        <v>1421.577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/>
      <c r="T470" s="7"/>
      <c r="U470" s="7"/>
      <c r="V470" s="7"/>
      <c r="W470" s="11">
        <f t="shared" si="8"/>
        <v>3104.8919999999998</v>
      </c>
    </row>
    <row r="471" spans="1:23" x14ac:dyDescent="0.2">
      <c r="A471" s="4" t="s">
        <v>570</v>
      </c>
      <c r="B471" s="4" t="s">
        <v>585</v>
      </c>
      <c r="C471" s="4" t="s">
        <v>10</v>
      </c>
      <c r="D471" s="4" t="s">
        <v>28</v>
      </c>
      <c r="E471" s="4" t="s">
        <v>12</v>
      </c>
      <c r="F471" s="4" t="s">
        <v>613</v>
      </c>
      <c r="G471" s="4" t="s">
        <v>614</v>
      </c>
      <c r="H471" s="4" t="s">
        <v>196</v>
      </c>
      <c r="I471" s="4" t="s">
        <v>197</v>
      </c>
      <c r="J471" s="4" t="s">
        <v>198</v>
      </c>
      <c r="K471" s="7">
        <v>450.54899999999998</v>
      </c>
      <c r="L471" s="7">
        <v>553.44600000000003</v>
      </c>
      <c r="M471" s="7">
        <v>298.70100000000002</v>
      </c>
      <c r="N471" s="7">
        <v>362.274</v>
      </c>
      <c r="O471" s="7">
        <v>0</v>
      </c>
      <c r="P471" s="7">
        <v>0</v>
      </c>
      <c r="Q471" s="7">
        <v>0</v>
      </c>
      <c r="R471" s="7">
        <v>0</v>
      </c>
      <c r="S471" s="7"/>
      <c r="T471" s="7"/>
      <c r="U471" s="7"/>
      <c r="V471" s="7"/>
      <c r="W471" s="11">
        <f t="shared" si="8"/>
        <v>1664.9699999999998</v>
      </c>
    </row>
    <row r="472" spans="1:23" x14ac:dyDescent="0.2">
      <c r="A472" s="4" t="s">
        <v>570</v>
      </c>
      <c r="B472" s="4" t="s">
        <v>585</v>
      </c>
      <c r="C472" s="4" t="s">
        <v>10</v>
      </c>
      <c r="D472" s="4" t="s">
        <v>28</v>
      </c>
      <c r="E472" s="4" t="s">
        <v>12</v>
      </c>
      <c r="F472" s="4" t="s">
        <v>610</v>
      </c>
      <c r="G472" s="4" t="s">
        <v>611</v>
      </c>
      <c r="H472" s="4" t="s">
        <v>104</v>
      </c>
      <c r="I472" s="4" t="s">
        <v>192</v>
      </c>
      <c r="J472" s="4" t="s">
        <v>612</v>
      </c>
      <c r="K472" s="7">
        <v>8623.8415999999997</v>
      </c>
      <c r="L472" s="7">
        <v>8465.1263999999992</v>
      </c>
      <c r="M472" s="7">
        <v>11115.7068</v>
      </c>
      <c r="N472" s="7">
        <v>12317.3748</v>
      </c>
      <c r="O472" s="7">
        <v>12156.2937</v>
      </c>
      <c r="P472" s="7">
        <v>10866.537</v>
      </c>
      <c r="Q472" s="7">
        <v>10780.296200000001</v>
      </c>
      <c r="R472" s="7">
        <v>9246.2706999999991</v>
      </c>
      <c r="S472" s="7"/>
      <c r="T472" s="7"/>
      <c r="U472" s="7"/>
      <c r="V472" s="7"/>
      <c r="W472" s="11">
        <f t="shared" si="8"/>
        <v>83571.447199999995</v>
      </c>
    </row>
    <row r="473" spans="1:23" x14ac:dyDescent="0.2">
      <c r="A473" s="4" t="s">
        <v>570</v>
      </c>
      <c r="B473" s="4" t="s">
        <v>585</v>
      </c>
      <c r="C473" s="4" t="s">
        <v>10</v>
      </c>
      <c r="D473" s="4" t="s">
        <v>595</v>
      </c>
      <c r="E473" s="4" t="s">
        <v>29</v>
      </c>
      <c r="F473" s="4" t="s">
        <v>445</v>
      </c>
      <c r="G473" s="4" t="s">
        <v>446</v>
      </c>
      <c r="H473" s="4" t="s">
        <v>88</v>
      </c>
      <c r="I473" s="4" t="s">
        <v>447</v>
      </c>
      <c r="J473" s="4" t="s">
        <v>448</v>
      </c>
      <c r="K473" s="7">
        <v>23530.976469000001</v>
      </c>
      <c r="L473" s="7">
        <v>16802.983197000001</v>
      </c>
      <c r="M473" s="7">
        <v>35010.964989</v>
      </c>
      <c r="N473" s="7">
        <v>22458.977541</v>
      </c>
      <c r="O473" s="7">
        <v>8198.9918010000001</v>
      </c>
      <c r="P473" s="7">
        <v>41949.958050000001</v>
      </c>
      <c r="Q473" s="7">
        <v>24865.975134</v>
      </c>
      <c r="R473" s="7">
        <v>24256.975742999999</v>
      </c>
      <c r="S473" s="7"/>
      <c r="T473" s="7"/>
      <c r="U473" s="7"/>
      <c r="V473" s="7"/>
      <c r="W473" s="11">
        <f t="shared" si="8"/>
        <v>197075.80292400002</v>
      </c>
    </row>
    <row r="474" spans="1:23" x14ac:dyDescent="0.2">
      <c r="A474" s="4" t="s">
        <v>570</v>
      </c>
      <c r="B474" s="4" t="s">
        <v>585</v>
      </c>
      <c r="C474" s="4" t="s">
        <v>10</v>
      </c>
      <c r="D474" s="4" t="s">
        <v>595</v>
      </c>
      <c r="E474" s="4" t="s">
        <v>29</v>
      </c>
      <c r="F474" s="4" t="s">
        <v>449</v>
      </c>
      <c r="G474" s="4" t="s">
        <v>450</v>
      </c>
      <c r="H474" s="4" t="s">
        <v>46</v>
      </c>
      <c r="I474" s="4" t="s">
        <v>52</v>
      </c>
      <c r="J474" s="4" t="s">
        <v>61</v>
      </c>
      <c r="K474" s="7">
        <v>148352.01037800001</v>
      </c>
      <c r="L474" s="7">
        <v>122305.064</v>
      </c>
      <c r="M474" s="7">
        <v>118168.91228400001</v>
      </c>
      <c r="N474" s="7">
        <v>107113.92907100001</v>
      </c>
      <c r="O474" s="7">
        <v>125731.106292</v>
      </c>
      <c r="P474" s="7">
        <v>122950.812546</v>
      </c>
      <c r="Q474" s="7">
        <v>116285.26486</v>
      </c>
      <c r="R474" s="7">
        <v>119257.75288</v>
      </c>
      <c r="S474" s="7"/>
      <c r="T474" s="7"/>
      <c r="U474" s="7"/>
      <c r="V474" s="7"/>
      <c r="W474" s="11">
        <f t="shared" si="8"/>
        <v>980164.85231100011</v>
      </c>
    </row>
    <row r="475" spans="1:23" x14ac:dyDescent="0.2">
      <c r="A475" s="4" t="s">
        <v>570</v>
      </c>
      <c r="B475" s="4" t="s">
        <v>585</v>
      </c>
      <c r="C475" s="4" t="s">
        <v>10</v>
      </c>
      <c r="D475" s="4" t="s">
        <v>595</v>
      </c>
      <c r="E475" s="4" t="s">
        <v>29</v>
      </c>
      <c r="F475" s="4" t="s">
        <v>451</v>
      </c>
      <c r="G475" s="4" t="s">
        <v>452</v>
      </c>
      <c r="H475" s="4" t="s">
        <v>46</v>
      </c>
      <c r="I475" s="4" t="s">
        <v>52</v>
      </c>
      <c r="J475" s="4" t="s">
        <v>52</v>
      </c>
      <c r="K475" s="7">
        <v>28168.428234039999</v>
      </c>
      <c r="L475" s="7">
        <v>32698.521000000001</v>
      </c>
      <c r="M475" s="7">
        <v>41510.237924189998</v>
      </c>
      <c r="N475" s="7">
        <v>40393.372640219997</v>
      </c>
      <c r="O475" s="7">
        <v>40123.426917440003</v>
      </c>
      <c r="P475" s="7">
        <v>43847.649074710003</v>
      </c>
      <c r="Q475" s="7">
        <v>29307.777335999999</v>
      </c>
      <c r="R475" s="7">
        <v>22543.330651</v>
      </c>
      <c r="S475" s="7"/>
      <c r="T475" s="7"/>
      <c r="U475" s="7"/>
      <c r="V475" s="7"/>
      <c r="W475" s="11">
        <f t="shared" si="8"/>
        <v>278592.7437776</v>
      </c>
    </row>
    <row r="476" spans="1:23" x14ac:dyDescent="0.2">
      <c r="A476" s="4" t="s">
        <v>570</v>
      </c>
      <c r="B476" s="4" t="s">
        <v>585</v>
      </c>
      <c r="C476" s="4" t="s">
        <v>10</v>
      </c>
      <c r="D476" s="4" t="s">
        <v>595</v>
      </c>
      <c r="E476" s="4" t="s">
        <v>29</v>
      </c>
      <c r="F476" s="4" t="s">
        <v>453</v>
      </c>
      <c r="G476" s="4" t="s">
        <v>454</v>
      </c>
      <c r="H476" s="4" t="s">
        <v>46</v>
      </c>
      <c r="I476" s="4" t="s">
        <v>455</v>
      </c>
      <c r="J476" s="4" t="s">
        <v>456</v>
      </c>
      <c r="K476" s="7">
        <v>122729.15648600001</v>
      </c>
      <c r="L476" s="7">
        <v>95857.395724999995</v>
      </c>
      <c r="M476" s="7">
        <v>42792.122499999998</v>
      </c>
      <c r="N476" s="7">
        <v>19025.270400000001</v>
      </c>
      <c r="O476" s="7">
        <v>28425.504870000001</v>
      </c>
      <c r="P476" s="7">
        <v>36653.723209999996</v>
      </c>
      <c r="Q476" s="7">
        <v>116881.55753999999</v>
      </c>
      <c r="R476" s="7">
        <v>242201.26521000001</v>
      </c>
      <c r="S476" s="7"/>
      <c r="T476" s="7"/>
      <c r="U476" s="7"/>
      <c r="V476" s="7"/>
      <c r="W476" s="11">
        <f t="shared" si="8"/>
        <v>704565.99594100006</v>
      </c>
    </row>
    <row r="477" spans="1:23" x14ac:dyDescent="0.2">
      <c r="A477" s="4" t="s">
        <v>570</v>
      </c>
      <c r="B477" s="4" t="s">
        <v>585</v>
      </c>
      <c r="C477" s="4" t="s">
        <v>10</v>
      </c>
      <c r="D477" s="4" t="s">
        <v>595</v>
      </c>
      <c r="E477" s="4" t="s">
        <v>29</v>
      </c>
      <c r="F477" s="4" t="s">
        <v>898</v>
      </c>
      <c r="G477" s="4" t="s">
        <v>899</v>
      </c>
      <c r="H477" s="4" t="s">
        <v>46</v>
      </c>
      <c r="I477" s="4" t="s">
        <v>52</v>
      </c>
      <c r="J477" s="4" t="s">
        <v>900</v>
      </c>
      <c r="K477" s="7">
        <v>0</v>
      </c>
      <c r="L477" s="7">
        <v>0</v>
      </c>
      <c r="M477" s="7">
        <v>0</v>
      </c>
      <c r="N477" s="7">
        <v>0</v>
      </c>
      <c r="O477" s="7">
        <v>72792.890400000004</v>
      </c>
      <c r="P477" s="7">
        <v>0</v>
      </c>
      <c r="Q477" s="7">
        <v>0</v>
      </c>
      <c r="R477" s="7">
        <v>0</v>
      </c>
      <c r="S477" s="7"/>
      <c r="T477" s="7"/>
      <c r="U477" s="7"/>
      <c r="V477" s="7"/>
      <c r="W477" s="11">
        <f t="shared" si="8"/>
        <v>72792.890400000004</v>
      </c>
    </row>
    <row r="478" spans="1:23" x14ac:dyDescent="0.2">
      <c r="A478" s="4" t="s">
        <v>570</v>
      </c>
      <c r="B478" s="4" t="s">
        <v>585</v>
      </c>
      <c r="C478" s="4" t="s">
        <v>10</v>
      </c>
      <c r="D478" s="4" t="s">
        <v>595</v>
      </c>
      <c r="E478" s="4" t="s">
        <v>29</v>
      </c>
      <c r="F478" s="4" t="s">
        <v>822</v>
      </c>
      <c r="G478" s="4" t="s">
        <v>823</v>
      </c>
      <c r="H478" s="4" t="s">
        <v>437</v>
      </c>
      <c r="I478" s="4" t="s">
        <v>437</v>
      </c>
      <c r="J478" s="4" t="s">
        <v>824</v>
      </c>
      <c r="K478" s="7">
        <v>0</v>
      </c>
      <c r="L478" s="7">
        <v>0</v>
      </c>
      <c r="M478" s="7">
        <v>11000.4972</v>
      </c>
      <c r="N478" s="7">
        <v>9501.0448890000007</v>
      </c>
      <c r="O478" s="7">
        <v>22116.830372</v>
      </c>
      <c r="P478" s="7">
        <v>18126.514995000001</v>
      </c>
      <c r="Q478" s="7">
        <v>19579.703965000001</v>
      </c>
      <c r="R478" s="7">
        <v>20950.961722</v>
      </c>
      <c r="S478" s="7"/>
      <c r="T478" s="7"/>
      <c r="U478" s="7"/>
      <c r="V478" s="7"/>
      <c r="W478" s="11">
        <f t="shared" si="8"/>
        <v>101275.55314300003</v>
      </c>
    </row>
    <row r="479" spans="1:23" x14ac:dyDescent="0.2">
      <c r="A479" s="4" t="s">
        <v>570</v>
      </c>
      <c r="B479" s="4" t="s">
        <v>585</v>
      </c>
      <c r="C479" s="4" t="s">
        <v>10</v>
      </c>
      <c r="D479" s="4" t="s">
        <v>595</v>
      </c>
      <c r="E479" s="4" t="s">
        <v>29</v>
      </c>
      <c r="F479" s="4" t="s">
        <v>901</v>
      </c>
      <c r="G479" s="4" t="s">
        <v>902</v>
      </c>
      <c r="H479" s="4" t="s">
        <v>591</v>
      </c>
      <c r="I479" s="4" t="s">
        <v>903</v>
      </c>
      <c r="J479" s="4" t="s">
        <v>904</v>
      </c>
      <c r="K479" s="7">
        <v>0</v>
      </c>
      <c r="L479" s="7">
        <v>0</v>
      </c>
      <c r="M479" s="7">
        <v>0</v>
      </c>
      <c r="N479" s="7">
        <v>0</v>
      </c>
      <c r="O479" s="7">
        <v>9594.0696520000001</v>
      </c>
      <c r="P479" s="7">
        <v>2350.803676</v>
      </c>
      <c r="Q479" s="7">
        <v>2369.4257579999999</v>
      </c>
      <c r="R479" s="7">
        <v>6223.9869179999996</v>
      </c>
      <c r="S479" s="7"/>
      <c r="T479" s="7"/>
      <c r="U479" s="7"/>
      <c r="V479" s="7"/>
      <c r="W479" s="11">
        <f t="shared" si="8"/>
        <v>20538.286003999998</v>
      </c>
    </row>
    <row r="480" spans="1:23" x14ac:dyDescent="0.2">
      <c r="A480" s="4" t="s">
        <v>570</v>
      </c>
      <c r="B480" s="4" t="s">
        <v>585</v>
      </c>
      <c r="C480" s="4" t="s">
        <v>10</v>
      </c>
      <c r="D480" s="4" t="s">
        <v>595</v>
      </c>
      <c r="E480" s="4" t="s">
        <v>29</v>
      </c>
      <c r="F480" s="4" t="s">
        <v>936</v>
      </c>
      <c r="G480" s="4" t="s">
        <v>937</v>
      </c>
      <c r="H480" s="4" t="s">
        <v>46</v>
      </c>
      <c r="I480" s="4" t="s">
        <v>46</v>
      </c>
      <c r="J480" s="4" t="s">
        <v>938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201749.91800430001</v>
      </c>
      <c r="Q480" s="7">
        <v>0</v>
      </c>
      <c r="R480" s="7">
        <v>0</v>
      </c>
      <c r="S480" s="7"/>
      <c r="T480" s="7"/>
      <c r="U480" s="7"/>
      <c r="V480" s="7"/>
      <c r="W480" s="11">
        <f t="shared" si="8"/>
        <v>201749.91800430001</v>
      </c>
    </row>
    <row r="481" spans="1:23" x14ac:dyDescent="0.2">
      <c r="A481" s="4" t="s">
        <v>570</v>
      </c>
      <c r="B481" s="4" t="s">
        <v>585</v>
      </c>
      <c r="C481" s="4" t="s">
        <v>10</v>
      </c>
      <c r="D481" s="4" t="s">
        <v>595</v>
      </c>
      <c r="E481" s="4" t="s">
        <v>29</v>
      </c>
      <c r="F481" s="4" t="s">
        <v>457</v>
      </c>
      <c r="G481" s="4" t="s">
        <v>458</v>
      </c>
      <c r="H481" s="4" t="s">
        <v>46</v>
      </c>
      <c r="I481" s="4" t="s">
        <v>52</v>
      </c>
      <c r="J481" s="4" t="s">
        <v>82</v>
      </c>
      <c r="K481" s="7">
        <v>33662.254660109997</v>
      </c>
      <c r="L481" s="7">
        <v>34363.023217900001</v>
      </c>
      <c r="M481" s="7">
        <v>36634.719481170003</v>
      </c>
      <c r="N481" s="7">
        <v>37947.865820949999</v>
      </c>
      <c r="O481" s="7">
        <v>39132.663554879997</v>
      </c>
      <c r="P481" s="7">
        <v>43262.31148864</v>
      </c>
      <c r="Q481" s="7">
        <v>43533.485516000001</v>
      </c>
      <c r="R481" s="7">
        <v>48351.563471000001</v>
      </c>
      <c r="S481" s="7"/>
      <c r="T481" s="7"/>
      <c r="U481" s="7"/>
      <c r="V481" s="7"/>
      <c r="W481" s="11">
        <f t="shared" si="8"/>
        <v>316887.88721065002</v>
      </c>
    </row>
    <row r="482" spans="1:23" x14ac:dyDescent="0.2">
      <c r="A482" s="4" t="s">
        <v>570</v>
      </c>
      <c r="B482" s="4" t="s">
        <v>585</v>
      </c>
      <c r="C482" s="4" t="s">
        <v>10</v>
      </c>
      <c r="D482" s="4" t="s">
        <v>595</v>
      </c>
      <c r="E482" s="4" t="s">
        <v>29</v>
      </c>
      <c r="F482" s="4" t="s">
        <v>577</v>
      </c>
      <c r="G482" s="4" t="s">
        <v>583</v>
      </c>
      <c r="H482" s="4" t="s">
        <v>46</v>
      </c>
      <c r="I482" s="4" t="s">
        <v>46</v>
      </c>
      <c r="J482" s="4" t="s">
        <v>584</v>
      </c>
      <c r="K482" s="7">
        <v>409.40440000000001</v>
      </c>
      <c r="L482" s="7">
        <v>156.0737</v>
      </c>
      <c r="M482" s="7">
        <v>120.0562</v>
      </c>
      <c r="N482" s="7">
        <v>154.75200000000001</v>
      </c>
      <c r="O482" s="7">
        <v>171.70249999999999</v>
      </c>
      <c r="P482" s="7">
        <v>338.90499999999997</v>
      </c>
      <c r="Q482" s="7">
        <v>298.26</v>
      </c>
      <c r="R482" s="7">
        <v>293.5548</v>
      </c>
      <c r="S482" s="7"/>
      <c r="T482" s="7"/>
      <c r="U482" s="7"/>
      <c r="V482" s="7"/>
      <c r="W482" s="11">
        <f t="shared" si="8"/>
        <v>1942.7085999999999</v>
      </c>
    </row>
    <row r="483" spans="1:23" x14ac:dyDescent="0.2">
      <c r="A483" s="4" t="s">
        <v>570</v>
      </c>
      <c r="B483" s="4" t="s">
        <v>585</v>
      </c>
      <c r="C483" s="4" t="s">
        <v>10</v>
      </c>
      <c r="D483" s="4" t="s">
        <v>595</v>
      </c>
      <c r="E483" s="4" t="s">
        <v>29</v>
      </c>
      <c r="F483" s="4" t="s">
        <v>459</v>
      </c>
      <c r="G483" s="4" t="s">
        <v>460</v>
      </c>
      <c r="H483" s="4" t="s">
        <v>46</v>
      </c>
      <c r="I483" s="4" t="s">
        <v>52</v>
      </c>
      <c r="J483" s="4" t="s">
        <v>61</v>
      </c>
      <c r="K483" s="7">
        <v>70076.952707100005</v>
      </c>
      <c r="L483" s="7">
        <v>47900.983170730004</v>
      </c>
      <c r="M483" s="7">
        <v>53041.461205389998</v>
      </c>
      <c r="N483" s="7">
        <v>60498.41007726</v>
      </c>
      <c r="O483" s="7">
        <v>52392.021859799999</v>
      </c>
      <c r="P483" s="7">
        <v>55708.426315080003</v>
      </c>
      <c r="Q483" s="7">
        <v>55587.220817000001</v>
      </c>
      <c r="R483" s="7">
        <v>54163.339473</v>
      </c>
      <c r="S483" s="7"/>
      <c r="T483" s="7"/>
      <c r="U483" s="7"/>
      <c r="V483" s="7"/>
      <c r="W483" s="11">
        <f t="shared" si="8"/>
        <v>449368.81562536</v>
      </c>
    </row>
    <row r="484" spans="1:23" x14ac:dyDescent="0.2">
      <c r="A484" s="4" t="s">
        <v>570</v>
      </c>
      <c r="B484" s="4" t="s">
        <v>585</v>
      </c>
      <c r="C484" s="4" t="s">
        <v>10</v>
      </c>
      <c r="D484" s="4" t="s">
        <v>595</v>
      </c>
      <c r="E484" s="4" t="s">
        <v>29</v>
      </c>
      <c r="F484" s="4" t="s">
        <v>461</v>
      </c>
      <c r="G484" s="4" t="s">
        <v>462</v>
      </c>
      <c r="H484" s="4" t="s">
        <v>46</v>
      </c>
      <c r="I484" s="4" t="s">
        <v>52</v>
      </c>
      <c r="J484" s="4" t="s">
        <v>61</v>
      </c>
      <c r="K484" s="7">
        <v>61039.029381120003</v>
      </c>
      <c r="L484" s="7">
        <v>58108.989053919999</v>
      </c>
      <c r="M484" s="7">
        <v>64120.920088400002</v>
      </c>
      <c r="N484" s="7">
        <v>64192.892141140001</v>
      </c>
      <c r="O484" s="7">
        <v>55029.016759600003</v>
      </c>
      <c r="P484" s="7">
        <v>54584.8703274</v>
      </c>
      <c r="Q484" s="7">
        <v>54366.441059999997</v>
      </c>
      <c r="R484" s="7">
        <v>59795.249761999999</v>
      </c>
      <c r="S484" s="7"/>
      <c r="T484" s="7"/>
      <c r="U484" s="7"/>
      <c r="V484" s="7"/>
      <c r="W484" s="11">
        <f t="shared" si="8"/>
        <v>471237.40857357997</v>
      </c>
    </row>
    <row r="485" spans="1:23" x14ac:dyDescent="0.2">
      <c r="A485" s="4" t="s">
        <v>570</v>
      </c>
      <c r="B485" s="4" t="s">
        <v>585</v>
      </c>
      <c r="C485" s="4" t="s">
        <v>10</v>
      </c>
      <c r="D485" s="4" t="s">
        <v>595</v>
      </c>
      <c r="E485" s="4" t="s">
        <v>29</v>
      </c>
      <c r="F485" s="4" t="s">
        <v>463</v>
      </c>
      <c r="G485" s="4" t="s">
        <v>464</v>
      </c>
      <c r="H485" s="4" t="s">
        <v>73</v>
      </c>
      <c r="I485" s="4" t="s">
        <v>465</v>
      </c>
      <c r="J485" s="4" t="s">
        <v>466</v>
      </c>
      <c r="K485" s="7">
        <v>24515.110550000001</v>
      </c>
      <c r="L485" s="7">
        <v>24414.422208</v>
      </c>
      <c r="M485" s="7">
        <v>24623.686384000001</v>
      </c>
      <c r="N485" s="7">
        <v>24638.751644</v>
      </c>
      <c r="O485" s="7">
        <v>28760.766038999998</v>
      </c>
      <c r="P485" s="7">
        <v>25517.7045153</v>
      </c>
      <c r="Q485" s="7">
        <v>26934.383089999999</v>
      </c>
      <c r="R485" s="7">
        <v>26784.730500000001</v>
      </c>
      <c r="S485" s="7"/>
      <c r="T485" s="7"/>
      <c r="U485" s="7"/>
      <c r="V485" s="7"/>
      <c r="W485" s="11">
        <f t="shared" si="8"/>
        <v>206189.55493029999</v>
      </c>
    </row>
    <row r="486" spans="1:23" x14ac:dyDescent="0.2">
      <c r="A486" s="4" t="s">
        <v>570</v>
      </c>
      <c r="B486" s="4" t="s">
        <v>585</v>
      </c>
      <c r="C486" s="4" t="s">
        <v>10</v>
      </c>
      <c r="D486" s="4" t="s">
        <v>595</v>
      </c>
      <c r="E486" s="4" t="s">
        <v>29</v>
      </c>
      <c r="F486" s="4" t="s">
        <v>467</v>
      </c>
      <c r="G486" s="4" t="s">
        <v>468</v>
      </c>
      <c r="H486" s="4" t="s">
        <v>73</v>
      </c>
      <c r="I486" s="4" t="s">
        <v>465</v>
      </c>
      <c r="J486" s="4" t="s">
        <v>466</v>
      </c>
      <c r="K486" s="7">
        <v>203548.149270525</v>
      </c>
      <c r="L486" s="7">
        <v>151191.070169607</v>
      </c>
      <c r="M486" s="7">
        <v>148682.74973887499</v>
      </c>
      <c r="N486" s="7">
        <v>150169.569601553</v>
      </c>
      <c r="O486" s="7">
        <v>180431.10989606401</v>
      </c>
      <c r="P486" s="7">
        <v>174550.109694888</v>
      </c>
      <c r="Q486" s="7">
        <v>212024.490307</v>
      </c>
      <c r="R486" s="7">
        <v>159369.51979200001</v>
      </c>
      <c r="S486" s="7"/>
      <c r="T486" s="7"/>
      <c r="U486" s="7"/>
      <c r="V486" s="7"/>
      <c r="W486" s="11">
        <f t="shared" si="8"/>
        <v>1379966.768470512</v>
      </c>
    </row>
    <row r="487" spans="1:23" x14ac:dyDescent="0.2">
      <c r="A487" s="4" t="s">
        <v>570</v>
      </c>
      <c r="B487" s="4" t="s">
        <v>585</v>
      </c>
      <c r="C487" s="4" t="s">
        <v>10</v>
      </c>
      <c r="D487" s="4" t="s">
        <v>595</v>
      </c>
      <c r="E487" s="4" t="s">
        <v>29</v>
      </c>
      <c r="F487" s="4" t="s">
        <v>59</v>
      </c>
      <c r="G487" s="4" t="s">
        <v>60</v>
      </c>
      <c r="H487" s="4" t="s">
        <v>46</v>
      </c>
      <c r="I487" s="4" t="s">
        <v>52</v>
      </c>
      <c r="J487" s="4" t="s">
        <v>61</v>
      </c>
      <c r="K487" s="7">
        <v>158081.58240000001</v>
      </c>
      <c r="L487" s="7">
        <v>114385.21442</v>
      </c>
      <c r="M487" s="7">
        <v>129112.830711</v>
      </c>
      <c r="N487" s="7">
        <v>160983.9</v>
      </c>
      <c r="O487" s="7">
        <v>151654.68964</v>
      </c>
      <c r="P487" s="7">
        <v>130981.33557900001</v>
      </c>
      <c r="Q487" s="7">
        <v>160383.96</v>
      </c>
      <c r="R487" s="7">
        <v>98058.085446000012</v>
      </c>
      <c r="S487" s="7"/>
      <c r="T487" s="7"/>
      <c r="U487" s="7"/>
      <c r="V487" s="7"/>
      <c r="W487" s="11">
        <f t="shared" si="8"/>
        <v>1103641.5981960001</v>
      </c>
    </row>
    <row r="488" spans="1:23" x14ac:dyDescent="0.2">
      <c r="A488" s="4" t="s">
        <v>570</v>
      </c>
      <c r="B488" s="4" t="s">
        <v>585</v>
      </c>
      <c r="C488" s="4" t="s">
        <v>10</v>
      </c>
      <c r="D488" s="4" t="s">
        <v>595</v>
      </c>
      <c r="E488" s="4" t="s">
        <v>29</v>
      </c>
      <c r="F488" s="4" t="s">
        <v>469</v>
      </c>
      <c r="G488" s="4" t="s">
        <v>470</v>
      </c>
      <c r="H488" s="4" t="s">
        <v>73</v>
      </c>
      <c r="I488" s="4" t="s">
        <v>465</v>
      </c>
      <c r="J488" s="4" t="s">
        <v>466</v>
      </c>
      <c r="K488" s="7">
        <v>79203.828149599998</v>
      </c>
      <c r="L488" s="7">
        <v>79770.062525100002</v>
      </c>
      <c r="M488" s="7">
        <v>155693.0729005</v>
      </c>
      <c r="N488" s="7">
        <v>274830.55763160001</v>
      </c>
      <c r="O488" s="7">
        <v>162742.03933160001</v>
      </c>
      <c r="P488" s="7">
        <v>140939.91516156</v>
      </c>
      <c r="Q488" s="7">
        <v>156798.95246599999</v>
      </c>
      <c r="R488" s="7">
        <v>180440.58024400001</v>
      </c>
      <c r="S488" s="7"/>
      <c r="T488" s="7"/>
      <c r="U488" s="7"/>
      <c r="V488" s="7"/>
      <c r="W488" s="11">
        <f t="shared" si="8"/>
        <v>1230419.0084099602</v>
      </c>
    </row>
    <row r="489" spans="1:23" x14ac:dyDescent="0.2">
      <c r="A489" s="4" t="s">
        <v>570</v>
      </c>
      <c r="B489" s="4" t="s">
        <v>585</v>
      </c>
      <c r="C489" s="4" t="s">
        <v>10</v>
      </c>
      <c r="D489" s="4" t="s">
        <v>595</v>
      </c>
      <c r="E489" s="4" t="s">
        <v>29</v>
      </c>
      <c r="F489" s="4" t="s">
        <v>471</v>
      </c>
      <c r="G489" s="4" t="s">
        <v>472</v>
      </c>
      <c r="H489" s="4" t="s">
        <v>88</v>
      </c>
      <c r="I489" s="4" t="s">
        <v>447</v>
      </c>
      <c r="J489" s="4" t="s">
        <v>473</v>
      </c>
      <c r="K489" s="7">
        <v>17999.530019999998</v>
      </c>
      <c r="L489" s="7">
        <v>17394.95622</v>
      </c>
      <c r="M489" s="7">
        <v>18999.60872</v>
      </c>
      <c r="N489" s="7">
        <v>30907.349460000001</v>
      </c>
      <c r="O489" s="7">
        <v>15412.449049999999</v>
      </c>
      <c r="P489" s="7">
        <v>18700.224740000001</v>
      </c>
      <c r="Q489" s="7">
        <v>27200.832470000001</v>
      </c>
      <c r="R489" s="7">
        <v>26595.676800000001</v>
      </c>
      <c r="S489" s="7"/>
      <c r="T489" s="7"/>
      <c r="U489" s="7"/>
      <c r="V489" s="7"/>
      <c r="W489" s="11">
        <f t="shared" si="8"/>
        <v>173210.62748000002</v>
      </c>
    </row>
    <row r="490" spans="1:23" x14ac:dyDescent="0.2">
      <c r="A490" s="4" t="s">
        <v>570</v>
      </c>
      <c r="B490" s="4" t="s">
        <v>585</v>
      </c>
      <c r="C490" s="4" t="s">
        <v>10</v>
      </c>
      <c r="D490" s="4" t="s">
        <v>595</v>
      </c>
      <c r="E490" s="4" t="s">
        <v>29</v>
      </c>
      <c r="F490" s="4" t="s">
        <v>474</v>
      </c>
      <c r="G490" s="4" t="s">
        <v>475</v>
      </c>
      <c r="H490" s="4" t="s">
        <v>46</v>
      </c>
      <c r="I490" s="4" t="s">
        <v>455</v>
      </c>
      <c r="J490" s="4" t="s">
        <v>456</v>
      </c>
      <c r="K490" s="7">
        <v>153274.13639999999</v>
      </c>
      <c r="L490" s="7">
        <v>134886.73125000001</v>
      </c>
      <c r="M490" s="7">
        <v>161864.14392</v>
      </c>
      <c r="N490" s="7">
        <v>155626.47949999999</v>
      </c>
      <c r="O490" s="7">
        <v>170734.98241999999</v>
      </c>
      <c r="P490" s="7">
        <v>193929.48008000001</v>
      </c>
      <c r="Q490" s="7">
        <v>154190.17219000001</v>
      </c>
      <c r="R490" s="7">
        <v>193329.5324</v>
      </c>
      <c r="S490" s="7"/>
      <c r="T490" s="7"/>
      <c r="U490" s="7"/>
      <c r="V490" s="7"/>
      <c r="W490" s="11">
        <f t="shared" si="8"/>
        <v>1317835.6581599999</v>
      </c>
    </row>
    <row r="491" spans="1:23" x14ac:dyDescent="0.2">
      <c r="A491" s="4" t="s">
        <v>570</v>
      </c>
      <c r="B491" s="4" t="s">
        <v>585</v>
      </c>
      <c r="C491" s="4" t="s">
        <v>10</v>
      </c>
      <c r="D491" s="4" t="s">
        <v>595</v>
      </c>
      <c r="E491" s="4" t="s">
        <v>29</v>
      </c>
      <c r="F491" s="4" t="s">
        <v>939</v>
      </c>
      <c r="G491" s="4" t="s">
        <v>940</v>
      </c>
      <c r="H491" s="4" t="s">
        <v>437</v>
      </c>
      <c r="I491" s="4" t="s">
        <v>437</v>
      </c>
      <c r="J491" s="4" t="s">
        <v>824</v>
      </c>
      <c r="K491" s="7">
        <v>6699.4788230000004</v>
      </c>
      <c r="L491" s="7">
        <v>4879.2654979999998</v>
      </c>
      <c r="M491" s="7">
        <v>6633.7716129999999</v>
      </c>
      <c r="N491" s="7">
        <v>5732.0167719999999</v>
      </c>
      <c r="O491" s="7">
        <v>0</v>
      </c>
      <c r="P491" s="7">
        <v>0</v>
      </c>
      <c r="Q491" s="7">
        <v>0</v>
      </c>
      <c r="R491" s="7">
        <v>0</v>
      </c>
      <c r="S491" s="7"/>
      <c r="T491" s="7"/>
      <c r="U491" s="7"/>
      <c r="V491" s="7"/>
      <c r="W491" s="11">
        <f t="shared" si="8"/>
        <v>23944.532705999998</v>
      </c>
    </row>
    <row r="492" spans="1:23" x14ac:dyDescent="0.2">
      <c r="A492" s="4" t="s">
        <v>570</v>
      </c>
      <c r="B492" s="4" t="s">
        <v>585</v>
      </c>
      <c r="C492" s="4" t="s">
        <v>10</v>
      </c>
      <c r="D492" s="4" t="s">
        <v>595</v>
      </c>
      <c r="E492" s="4" t="s">
        <v>29</v>
      </c>
      <c r="F492" s="4" t="s">
        <v>476</v>
      </c>
      <c r="G492" s="4" t="s">
        <v>477</v>
      </c>
      <c r="H492" s="4" t="s">
        <v>88</v>
      </c>
      <c r="I492" s="4" t="s">
        <v>447</v>
      </c>
      <c r="J492" s="4" t="s">
        <v>448</v>
      </c>
      <c r="K492" s="7">
        <v>367156.89314355003</v>
      </c>
      <c r="L492" s="7">
        <v>275462.41180782003</v>
      </c>
      <c r="M492" s="7">
        <v>428836.94438296801</v>
      </c>
      <c r="N492" s="7">
        <v>284990.72747937002</v>
      </c>
      <c r="O492" s="7">
        <v>282968.05254423199</v>
      </c>
      <c r="P492" s="7">
        <v>267095.09694720001</v>
      </c>
      <c r="Q492" s="7">
        <v>296896.94849099999</v>
      </c>
      <c r="R492" s="7">
        <v>313394.47317800001</v>
      </c>
      <c r="S492" s="7"/>
      <c r="T492" s="7"/>
      <c r="U492" s="7"/>
      <c r="V492" s="7"/>
      <c r="W492" s="11">
        <f t="shared" si="8"/>
        <v>2516801.5479741404</v>
      </c>
    </row>
    <row r="493" spans="1:23" x14ac:dyDescent="0.2">
      <c r="A493" s="4" t="s">
        <v>570</v>
      </c>
      <c r="B493" s="4" t="s">
        <v>585</v>
      </c>
      <c r="C493" s="4" t="s">
        <v>10</v>
      </c>
      <c r="D493" s="4" t="s">
        <v>595</v>
      </c>
      <c r="E493" s="4" t="s">
        <v>29</v>
      </c>
      <c r="F493" s="4" t="s">
        <v>63</v>
      </c>
      <c r="G493" s="4" t="s">
        <v>64</v>
      </c>
      <c r="H493" s="4" t="s">
        <v>46</v>
      </c>
      <c r="I493" s="4" t="s">
        <v>52</v>
      </c>
      <c r="J493" s="4" t="s">
        <v>65</v>
      </c>
      <c r="K493" s="7">
        <v>0</v>
      </c>
      <c r="L493" s="7">
        <v>0</v>
      </c>
      <c r="M493" s="7">
        <v>0</v>
      </c>
      <c r="N493" s="7">
        <v>2168.3362206699999</v>
      </c>
      <c r="O493" s="7">
        <v>0</v>
      </c>
      <c r="P493" s="7">
        <v>3060.1646999999998</v>
      </c>
      <c r="Q493" s="7">
        <v>0</v>
      </c>
      <c r="R493" s="7">
        <v>2059.9999859999998</v>
      </c>
      <c r="S493" s="7"/>
      <c r="T493" s="7"/>
      <c r="U493" s="7"/>
      <c r="V493" s="7"/>
      <c r="W493" s="11">
        <f t="shared" si="8"/>
        <v>7288.5009066699995</v>
      </c>
    </row>
    <row r="494" spans="1:23" x14ac:dyDescent="0.2">
      <c r="A494" s="4" t="s">
        <v>570</v>
      </c>
      <c r="B494" s="4" t="s">
        <v>585</v>
      </c>
      <c r="C494" s="4" t="s">
        <v>10</v>
      </c>
      <c r="D494" s="4" t="s">
        <v>595</v>
      </c>
      <c r="E494" s="4" t="s">
        <v>29</v>
      </c>
      <c r="F494" s="4" t="s">
        <v>905</v>
      </c>
      <c r="G494" s="4" t="s">
        <v>746</v>
      </c>
      <c r="H494" s="4" t="s">
        <v>478</v>
      </c>
      <c r="I494" s="4" t="s">
        <v>479</v>
      </c>
      <c r="J494" s="4" t="s">
        <v>747</v>
      </c>
      <c r="K494" s="7">
        <v>0</v>
      </c>
      <c r="L494" s="7">
        <v>54238.420570100003</v>
      </c>
      <c r="M494" s="7">
        <v>0</v>
      </c>
      <c r="N494" s="7">
        <v>68831.285801039994</v>
      </c>
      <c r="O494" s="7">
        <v>74048.1127576</v>
      </c>
      <c r="P494" s="7">
        <v>0</v>
      </c>
      <c r="Q494" s="7">
        <v>72575.385462999999</v>
      </c>
      <c r="R494" s="7">
        <v>73935.789243000007</v>
      </c>
      <c r="S494" s="7"/>
      <c r="T494" s="7"/>
      <c r="U494" s="7"/>
      <c r="V494" s="7"/>
      <c r="W494" s="11">
        <f t="shared" si="8"/>
        <v>343628.99383474002</v>
      </c>
    </row>
    <row r="495" spans="1:23" x14ac:dyDescent="0.2">
      <c r="A495" s="4" t="s">
        <v>570</v>
      </c>
      <c r="B495" s="4" t="s">
        <v>585</v>
      </c>
      <c r="C495" s="4" t="s">
        <v>10</v>
      </c>
      <c r="D495" s="4" t="s">
        <v>595</v>
      </c>
      <c r="E495" s="4" t="s">
        <v>12</v>
      </c>
      <c r="F495" s="4" t="s">
        <v>13</v>
      </c>
      <c r="G495" s="4" t="s">
        <v>185</v>
      </c>
      <c r="H495" s="4" t="s">
        <v>46</v>
      </c>
      <c r="I495" s="4" t="s">
        <v>186</v>
      </c>
      <c r="J495" s="4" t="s">
        <v>187</v>
      </c>
      <c r="K495" s="7">
        <v>152313.88440000001</v>
      </c>
      <c r="L495" s="7">
        <v>145100.31899999999</v>
      </c>
      <c r="M495" s="7">
        <v>158628.976</v>
      </c>
      <c r="N495" s="7">
        <v>142210.03</v>
      </c>
      <c r="O495" s="7">
        <v>128207.586</v>
      </c>
      <c r="P495" s="7">
        <v>149736.07750000001</v>
      </c>
      <c r="Q495" s="7">
        <v>135405.47020000001</v>
      </c>
      <c r="R495" s="7">
        <v>102764.2962</v>
      </c>
      <c r="S495" s="7"/>
      <c r="T495" s="7"/>
      <c r="U495" s="7"/>
      <c r="V495" s="7"/>
      <c r="W495" s="11">
        <f t="shared" si="8"/>
        <v>1114366.6393000002</v>
      </c>
    </row>
    <row r="496" spans="1:23" x14ac:dyDescent="0.2">
      <c r="A496" s="4" t="s">
        <v>570</v>
      </c>
      <c r="B496" s="4" t="s">
        <v>585</v>
      </c>
      <c r="C496" s="4" t="s">
        <v>10</v>
      </c>
      <c r="D496" s="4" t="s">
        <v>595</v>
      </c>
      <c r="E496" s="4" t="s">
        <v>12</v>
      </c>
      <c r="F496" s="4" t="s">
        <v>13</v>
      </c>
      <c r="G496" s="4" t="s">
        <v>188</v>
      </c>
      <c r="H496" s="4" t="s">
        <v>46</v>
      </c>
      <c r="I496" s="4" t="s">
        <v>47</v>
      </c>
      <c r="J496" s="4" t="s">
        <v>189</v>
      </c>
      <c r="K496" s="7">
        <v>5490.6795499999998</v>
      </c>
      <c r="L496" s="7">
        <v>3390.55</v>
      </c>
      <c r="M496" s="7">
        <v>3097.4991599999998</v>
      </c>
      <c r="N496" s="7">
        <v>3496.6873599999999</v>
      </c>
      <c r="O496" s="7">
        <v>3261.5107200000002</v>
      </c>
      <c r="P496" s="7">
        <v>2527.2139499999998</v>
      </c>
      <c r="Q496" s="7">
        <v>3893.5976099999998</v>
      </c>
      <c r="R496" s="7">
        <v>4531.56808</v>
      </c>
      <c r="S496" s="7"/>
      <c r="T496" s="7"/>
      <c r="U496" s="7"/>
      <c r="V496" s="7"/>
      <c r="W496" s="11">
        <f t="shared" si="8"/>
        <v>29689.306430000001</v>
      </c>
    </row>
    <row r="497" spans="1:23" x14ac:dyDescent="0.2">
      <c r="A497" s="4" t="s">
        <v>570</v>
      </c>
      <c r="B497" s="4" t="s">
        <v>585</v>
      </c>
      <c r="C497" s="4" t="s">
        <v>10</v>
      </c>
      <c r="D497" s="4" t="s">
        <v>595</v>
      </c>
      <c r="E497" s="4" t="s">
        <v>12</v>
      </c>
      <c r="F497" s="4" t="s">
        <v>480</v>
      </c>
      <c r="G497" s="4" t="s">
        <v>481</v>
      </c>
      <c r="H497" s="4" t="s">
        <v>73</v>
      </c>
      <c r="I497" s="4" t="s">
        <v>482</v>
      </c>
      <c r="J497" s="4" t="s">
        <v>483</v>
      </c>
      <c r="K497" s="7">
        <v>307439.55</v>
      </c>
      <c r="L497" s="7">
        <v>321087.35999999999</v>
      </c>
      <c r="M497" s="7">
        <v>384257.25</v>
      </c>
      <c r="N497" s="7">
        <v>294351.84000000003</v>
      </c>
      <c r="O497" s="7">
        <v>295008.84000000003</v>
      </c>
      <c r="P497" s="7">
        <v>378351.27</v>
      </c>
      <c r="Q497" s="7">
        <v>322285.59999999998</v>
      </c>
      <c r="R497" s="7">
        <v>308896.56</v>
      </c>
      <c r="S497" s="7"/>
      <c r="T497" s="7"/>
      <c r="U497" s="7"/>
      <c r="V497" s="7"/>
      <c r="W497" s="11">
        <f t="shared" si="8"/>
        <v>2611678.27</v>
      </c>
    </row>
    <row r="498" spans="1:23" x14ac:dyDescent="0.2">
      <c r="A498" s="4" t="s">
        <v>570</v>
      </c>
      <c r="B498" s="4" t="s">
        <v>585</v>
      </c>
      <c r="C498" s="4" t="s">
        <v>10</v>
      </c>
      <c r="D498" s="4" t="s">
        <v>595</v>
      </c>
      <c r="E498" s="4" t="s">
        <v>12</v>
      </c>
      <c r="F498" s="4" t="s">
        <v>81</v>
      </c>
      <c r="G498" s="4" t="s">
        <v>484</v>
      </c>
      <c r="H498" s="4" t="s">
        <v>46</v>
      </c>
      <c r="I498" s="4" t="s">
        <v>52</v>
      </c>
      <c r="J498" s="4" t="s">
        <v>65</v>
      </c>
      <c r="K498" s="7">
        <v>147688.79999999999</v>
      </c>
      <c r="L498" s="7">
        <v>124111.8</v>
      </c>
      <c r="M498" s="7">
        <v>138632.4</v>
      </c>
      <c r="N498" s="7">
        <v>145406.20000000001</v>
      </c>
      <c r="O498" s="7">
        <v>152903.1</v>
      </c>
      <c r="P498" s="7">
        <v>152395.9</v>
      </c>
      <c r="Q498" s="7">
        <v>147465.29999999999</v>
      </c>
      <c r="R498" s="7">
        <v>159517.4</v>
      </c>
      <c r="S498" s="7"/>
      <c r="T498" s="7"/>
      <c r="U498" s="7"/>
      <c r="V498" s="7"/>
      <c r="W498" s="11">
        <f t="shared" si="8"/>
        <v>1168120.8999999999</v>
      </c>
    </row>
    <row r="499" spans="1:23" x14ac:dyDescent="0.2">
      <c r="A499" s="4" t="s">
        <v>570</v>
      </c>
      <c r="B499" s="4" t="s">
        <v>585</v>
      </c>
      <c r="C499" s="4" t="s">
        <v>10</v>
      </c>
      <c r="D499" s="4" t="s">
        <v>595</v>
      </c>
      <c r="E499" s="4" t="s">
        <v>12</v>
      </c>
      <c r="F499" s="4" t="s">
        <v>81</v>
      </c>
      <c r="G499" s="4" t="s">
        <v>485</v>
      </c>
      <c r="H499" s="4" t="s">
        <v>478</v>
      </c>
      <c r="I499" s="4" t="s">
        <v>479</v>
      </c>
      <c r="J499" s="4" t="s">
        <v>486</v>
      </c>
      <c r="K499" s="7">
        <v>42963.774700000002</v>
      </c>
      <c r="L499" s="7">
        <v>39397.155599999998</v>
      </c>
      <c r="M499" s="7">
        <v>38425.874000000003</v>
      </c>
      <c r="N499" s="7">
        <v>39765.801599999999</v>
      </c>
      <c r="O499" s="7">
        <v>33280.003799999999</v>
      </c>
      <c r="P499" s="7">
        <v>36923.265800000001</v>
      </c>
      <c r="Q499" s="7">
        <v>40638.769500000002</v>
      </c>
      <c r="R499" s="7">
        <v>39736.051599999999</v>
      </c>
      <c r="S499" s="7"/>
      <c r="T499" s="7"/>
      <c r="U499" s="7"/>
      <c r="V499" s="7"/>
      <c r="W499" s="11">
        <f t="shared" si="8"/>
        <v>311130.69660000002</v>
      </c>
    </row>
    <row r="500" spans="1:23" x14ac:dyDescent="0.2">
      <c r="A500" s="4" t="s">
        <v>570</v>
      </c>
      <c r="B500" s="4" t="s">
        <v>585</v>
      </c>
      <c r="C500" s="4" t="s">
        <v>10</v>
      </c>
      <c r="D500" s="4" t="s">
        <v>595</v>
      </c>
      <c r="E500" s="4" t="s">
        <v>12</v>
      </c>
      <c r="F500" s="4" t="s">
        <v>487</v>
      </c>
      <c r="G500" s="4" t="s">
        <v>488</v>
      </c>
      <c r="H500" s="4" t="s">
        <v>115</v>
      </c>
      <c r="I500" s="4" t="s">
        <v>116</v>
      </c>
      <c r="J500" s="4" t="s">
        <v>489</v>
      </c>
      <c r="K500" s="7">
        <v>210968.24419999999</v>
      </c>
      <c r="L500" s="7">
        <v>261051.73120000001</v>
      </c>
      <c r="M500" s="7">
        <v>257991.39799999999</v>
      </c>
      <c r="N500" s="7">
        <v>244816.33679999999</v>
      </c>
      <c r="O500" s="7">
        <v>218711.394</v>
      </c>
      <c r="P500" s="7">
        <v>259792.60200000001</v>
      </c>
      <c r="Q500" s="7">
        <v>244587.74230000001</v>
      </c>
      <c r="R500" s="7">
        <v>276248.38400000002</v>
      </c>
      <c r="S500" s="7"/>
      <c r="T500" s="7"/>
      <c r="U500" s="7"/>
      <c r="V500" s="7"/>
      <c r="W500" s="11">
        <f t="shared" si="8"/>
        <v>1974167.8325</v>
      </c>
    </row>
    <row r="501" spans="1:23" x14ac:dyDescent="0.2">
      <c r="A501" s="4" t="s">
        <v>570</v>
      </c>
      <c r="B501" s="4" t="s">
        <v>585</v>
      </c>
      <c r="C501" s="4" t="s">
        <v>10</v>
      </c>
      <c r="D501" s="4" t="s">
        <v>595</v>
      </c>
      <c r="E501" s="4" t="s">
        <v>12</v>
      </c>
      <c r="F501" s="4" t="s">
        <v>855</v>
      </c>
      <c r="G501" s="4" t="s">
        <v>856</v>
      </c>
      <c r="H501" s="4" t="s">
        <v>32</v>
      </c>
      <c r="I501" s="4" t="s">
        <v>119</v>
      </c>
      <c r="J501" s="4" t="s">
        <v>857</v>
      </c>
      <c r="K501" s="7">
        <v>0</v>
      </c>
      <c r="L501" s="7">
        <v>45332.923354530001</v>
      </c>
      <c r="M501" s="7">
        <v>124491.916741238</v>
      </c>
      <c r="N501" s="7">
        <v>105380.596009534</v>
      </c>
      <c r="O501" s="7">
        <v>130850.90953439299</v>
      </c>
      <c r="P501" s="7">
        <v>162759.295465737</v>
      </c>
      <c r="Q501" s="7">
        <v>172995.31707399999</v>
      </c>
      <c r="R501" s="7">
        <v>174591.313585</v>
      </c>
      <c r="S501" s="7"/>
      <c r="T501" s="7"/>
      <c r="U501" s="7"/>
      <c r="V501" s="7"/>
      <c r="W501" s="11">
        <f t="shared" si="8"/>
        <v>916402.27176443208</v>
      </c>
    </row>
    <row r="502" spans="1:23" x14ac:dyDescent="0.2">
      <c r="A502" s="4" t="s">
        <v>570</v>
      </c>
      <c r="B502" s="4" t="s">
        <v>585</v>
      </c>
      <c r="C502" s="4" t="s">
        <v>10</v>
      </c>
      <c r="D502" s="4" t="s">
        <v>595</v>
      </c>
      <c r="E502" s="4" t="s">
        <v>12</v>
      </c>
      <c r="F502" s="4" t="s">
        <v>986</v>
      </c>
      <c r="G502" s="4" t="s">
        <v>490</v>
      </c>
      <c r="H502" s="4" t="s">
        <v>478</v>
      </c>
      <c r="I502" s="4" t="s">
        <v>479</v>
      </c>
      <c r="J502" s="4" t="s">
        <v>479</v>
      </c>
      <c r="K502" s="7">
        <v>353631.63104000001</v>
      </c>
      <c r="L502" s="7">
        <v>425024.13199999998</v>
      </c>
      <c r="M502" s="7">
        <v>451753.19157999998</v>
      </c>
      <c r="N502" s="7">
        <v>481720.83149999997</v>
      </c>
      <c r="O502" s="7">
        <v>468597.32128999999</v>
      </c>
      <c r="P502" s="7">
        <v>0</v>
      </c>
      <c r="Q502" s="7">
        <v>436773.68320000003</v>
      </c>
      <c r="R502" s="7">
        <v>442608.72768000001</v>
      </c>
      <c r="S502" s="7"/>
      <c r="T502" s="7"/>
      <c r="U502" s="7"/>
      <c r="V502" s="7"/>
      <c r="W502" s="11">
        <f t="shared" si="8"/>
        <v>3060109.5182899996</v>
      </c>
    </row>
    <row r="503" spans="1:23" x14ac:dyDescent="0.2">
      <c r="A503" s="4" t="s">
        <v>570</v>
      </c>
      <c r="B503" s="4" t="s">
        <v>585</v>
      </c>
      <c r="C503" s="4" t="s">
        <v>10</v>
      </c>
      <c r="D503" s="4" t="s">
        <v>595</v>
      </c>
      <c r="E503" s="4" t="s">
        <v>12</v>
      </c>
      <c r="F503" s="4" t="s">
        <v>986</v>
      </c>
      <c r="G503" s="4" t="s">
        <v>491</v>
      </c>
      <c r="H503" s="4" t="s">
        <v>478</v>
      </c>
      <c r="I503" s="4" t="s">
        <v>479</v>
      </c>
      <c r="J503" s="4" t="s">
        <v>479</v>
      </c>
      <c r="K503" s="7">
        <v>233791.46114999999</v>
      </c>
      <c r="L503" s="7">
        <v>260251.66440000001</v>
      </c>
      <c r="M503" s="7">
        <v>222091.81823999999</v>
      </c>
      <c r="N503" s="7">
        <v>180495.6489</v>
      </c>
      <c r="O503" s="7">
        <v>207639.75958000001</v>
      </c>
      <c r="P503" s="7">
        <v>0</v>
      </c>
      <c r="Q503" s="7">
        <v>189826.7758</v>
      </c>
      <c r="R503" s="7">
        <v>185992.23498000001</v>
      </c>
      <c r="S503" s="7"/>
      <c r="T503" s="7"/>
      <c r="U503" s="7"/>
      <c r="V503" s="7"/>
      <c r="W503" s="11">
        <f t="shared" si="8"/>
        <v>1480089.3630499998</v>
      </c>
    </row>
    <row r="504" spans="1:23" x14ac:dyDescent="0.2">
      <c r="A504" s="4" t="s">
        <v>570</v>
      </c>
      <c r="B504" s="4" t="s">
        <v>585</v>
      </c>
      <c r="C504" s="4" t="s">
        <v>10</v>
      </c>
      <c r="D504" s="4" t="s">
        <v>595</v>
      </c>
      <c r="E504" s="4" t="s">
        <v>12</v>
      </c>
      <c r="F504" s="4" t="s">
        <v>492</v>
      </c>
      <c r="G504" s="4" t="s">
        <v>493</v>
      </c>
      <c r="H504" s="4" t="s">
        <v>478</v>
      </c>
      <c r="I504" s="4" t="s">
        <v>479</v>
      </c>
      <c r="J504" s="4" t="s">
        <v>494</v>
      </c>
      <c r="K504" s="7">
        <v>54297.780500000001</v>
      </c>
      <c r="L504" s="7">
        <v>55573.877099999998</v>
      </c>
      <c r="M504" s="7">
        <v>49154.331899999997</v>
      </c>
      <c r="N504" s="7">
        <v>51866.957999999999</v>
      </c>
      <c r="O504" s="7">
        <v>54352.3246</v>
      </c>
      <c r="P504" s="7">
        <v>57702.024600000004</v>
      </c>
      <c r="Q504" s="7">
        <v>53508.007100000003</v>
      </c>
      <c r="R504" s="7">
        <v>56154.977100000004</v>
      </c>
      <c r="S504" s="7"/>
      <c r="T504" s="7"/>
      <c r="U504" s="7"/>
      <c r="V504" s="7"/>
      <c r="W504" s="11">
        <f t="shared" si="8"/>
        <v>432610.28090000001</v>
      </c>
    </row>
    <row r="505" spans="1:23" x14ac:dyDescent="0.2">
      <c r="A505" s="4" t="s">
        <v>570</v>
      </c>
      <c r="B505" s="4" t="s">
        <v>585</v>
      </c>
      <c r="C505" s="4" t="s">
        <v>10</v>
      </c>
      <c r="D505" s="4" t="s">
        <v>595</v>
      </c>
      <c r="E505" s="4" t="s">
        <v>12</v>
      </c>
      <c r="F505" s="4" t="s">
        <v>492</v>
      </c>
      <c r="G505" s="4" t="s">
        <v>495</v>
      </c>
      <c r="H505" s="4" t="s">
        <v>478</v>
      </c>
      <c r="I505" s="4" t="s">
        <v>479</v>
      </c>
      <c r="J505" s="4" t="s">
        <v>494</v>
      </c>
      <c r="K505" s="7">
        <v>151307.81894</v>
      </c>
      <c r="L505" s="7">
        <v>128879.83229999999</v>
      </c>
      <c r="M505" s="7">
        <v>187567.9479</v>
      </c>
      <c r="N505" s="7">
        <v>290211.79999000003</v>
      </c>
      <c r="O505" s="7">
        <v>249625.86288999999</v>
      </c>
      <c r="P505" s="7">
        <v>230731.36800000002</v>
      </c>
      <c r="Q505" s="7">
        <v>273477.92064000003</v>
      </c>
      <c r="R505" s="7">
        <v>188955.56160000002</v>
      </c>
      <c r="S505" s="7"/>
      <c r="T505" s="7"/>
      <c r="U505" s="7"/>
      <c r="V505" s="7"/>
      <c r="W505" s="11">
        <f t="shared" si="8"/>
        <v>1700758.1122600003</v>
      </c>
    </row>
    <row r="506" spans="1:23" x14ac:dyDescent="0.2">
      <c r="A506" s="4" t="s">
        <v>570</v>
      </c>
      <c r="B506" s="4" t="s">
        <v>585</v>
      </c>
      <c r="C506" s="4" t="s">
        <v>10</v>
      </c>
      <c r="D506" s="4" t="s">
        <v>595</v>
      </c>
      <c r="E506" s="4" t="s">
        <v>12</v>
      </c>
      <c r="F506" s="4" t="s">
        <v>748</v>
      </c>
      <c r="G506" s="4" t="s">
        <v>749</v>
      </c>
      <c r="H506" s="4" t="s">
        <v>478</v>
      </c>
      <c r="I506" s="4" t="s">
        <v>504</v>
      </c>
      <c r="J506" s="4" t="s">
        <v>750</v>
      </c>
      <c r="K506" s="7">
        <v>0</v>
      </c>
      <c r="L506" s="7">
        <v>6456.379672</v>
      </c>
      <c r="M506" s="7">
        <v>4.9381E-3</v>
      </c>
      <c r="N506" s="7">
        <v>4979.322932</v>
      </c>
      <c r="O506" s="7">
        <v>0</v>
      </c>
      <c r="P506" s="7">
        <v>0</v>
      </c>
      <c r="Q506" s="7">
        <v>0</v>
      </c>
      <c r="R506" s="7">
        <v>0</v>
      </c>
      <c r="S506" s="7"/>
      <c r="T506" s="7"/>
      <c r="U506" s="7"/>
      <c r="V506" s="7"/>
      <c r="W506" s="11">
        <f t="shared" si="8"/>
        <v>11435.707542100001</v>
      </c>
    </row>
    <row r="507" spans="1:23" x14ac:dyDescent="0.2">
      <c r="A507" s="4" t="s">
        <v>570</v>
      </c>
      <c r="B507" s="4" t="s">
        <v>585</v>
      </c>
      <c r="C507" s="4" t="s">
        <v>10</v>
      </c>
      <c r="D507" s="4" t="s">
        <v>595</v>
      </c>
      <c r="E507" s="4" t="s">
        <v>12</v>
      </c>
      <c r="F507" s="4" t="s">
        <v>107</v>
      </c>
      <c r="G507" s="4" t="s">
        <v>166</v>
      </c>
      <c r="H507" s="4" t="s">
        <v>26</v>
      </c>
      <c r="I507" s="4" t="s">
        <v>26</v>
      </c>
      <c r="J507" s="4" t="s">
        <v>109</v>
      </c>
      <c r="K507" s="7">
        <v>16536.045103600001</v>
      </c>
      <c r="L507" s="7">
        <v>18819.9680004</v>
      </c>
      <c r="M507" s="7">
        <v>19216.7262056</v>
      </c>
      <c r="N507" s="7">
        <v>14433.339848400001</v>
      </c>
      <c r="O507" s="7">
        <v>18849.913169399999</v>
      </c>
      <c r="P507" s="7">
        <v>20886.221056999999</v>
      </c>
      <c r="Q507" s="7">
        <v>21617.703114</v>
      </c>
      <c r="R507" s="7">
        <v>25653.006280000001</v>
      </c>
      <c r="S507" s="7"/>
      <c r="T507" s="7"/>
      <c r="U507" s="7"/>
      <c r="V507" s="7"/>
      <c r="W507" s="11">
        <f t="shared" si="8"/>
        <v>156012.92277840001</v>
      </c>
    </row>
    <row r="508" spans="1:23" x14ac:dyDescent="0.2">
      <c r="A508" s="4" t="s">
        <v>570</v>
      </c>
      <c r="B508" s="4" t="s">
        <v>585</v>
      </c>
      <c r="C508" s="4" t="s">
        <v>10</v>
      </c>
      <c r="D508" s="4" t="s">
        <v>595</v>
      </c>
      <c r="E508" s="4" t="s">
        <v>12</v>
      </c>
      <c r="F508" s="4" t="s">
        <v>496</v>
      </c>
      <c r="G508" s="4" t="s">
        <v>497</v>
      </c>
      <c r="H508" s="4" t="s">
        <v>478</v>
      </c>
      <c r="I508" s="4" t="s">
        <v>498</v>
      </c>
      <c r="J508" s="4" t="s">
        <v>499</v>
      </c>
      <c r="K508" s="7">
        <v>187703.99187599999</v>
      </c>
      <c r="L508" s="7">
        <v>165550.66201599999</v>
      </c>
      <c r="M508" s="7">
        <v>122149.11790500001</v>
      </c>
      <c r="N508" s="7">
        <v>140308.77037499999</v>
      </c>
      <c r="O508" s="7">
        <v>187448.17728</v>
      </c>
      <c r="P508" s="7">
        <v>173174.27254400001</v>
      </c>
      <c r="Q508" s="7">
        <v>107683.07161499999</v>
      </c>
      <c r="R508" s="7">
        <v>142131.506673</v>
      </c>
      <c r="S508" s="7"/>
      <c r="T508" s="7"/>
      <c r="U508" s="7"/>
      <c r="V508" s="7"/>
      <c r="W508" s="11">
        <f t="shared" si="8"/>
        <v>1226149.5702840001</v>
      </c>
    </row>
    <row r="509" spans="1:23" x14ac:dyDescent="0.2">
      <c r="A509" s="4" t="s">
        <v>570</v>
      </c>
      <c r="B509" s="4" t="s">
        <v>585</v>
      </c>
      <c r="C509" s="4" t="s">
        <v>10</v>
      </c>
      <c r="D509" s="4" t="s">
        <v>595</v>
      </c>
      <c r="E509" s="4" t="s">
        <v>12</v>
      </c>
      <c r="F509" s="4" t="s">
        <v>500</v>
      </c>
      <c r="G509" s="4" t="s">
        <v>501</v>
      </c>
      <c r="H509" s="4" t="s">
        <v>478</v>
      </c>
      <c r="I509" s="4" t="s">
        <v>479</v>
      </c>
      <c r="J509" s="4" t="s">
        <v>494</v>
      </c>
      <c r="K509" s="7">
        <v>375954.66899999999</v>
      </c>
      <c r="L509" s="7">
        <v>362077.56</v>
      </c>
      <c r="M509" s="7">
        <v>430642.92599999998</v>
      </c>
      <c r="N509" s="7">
        <v>447945.60600000003</v>
      </c>
      <c r="O509" s="7">
        <v>449160.39</v>
      </c>
      <c r="P509" s="7">
        <v>423268.30800000002</v>
      </c>
      <c r="Q509" s="7">
        <v>456241.30200000003</v>
      </c>
      <c r="R509" s="7">
        <v>452731.815</v>
      </c>
      <c r="S509" s="7"/>
      <c r="T509" s="7"/>
      <c r="U509" s="7"/>
      <c r="V509" s="7"/>
      <c r="W509" s="11">
        <f t="shared" si="8"/>
        <v>3398022.5760000004</v>
      </c>
    </row>
    <row r="510" spans="1:23" x14ac:dyDescent="0.2">
      <c r="A510" s="4" t="s">
        <v>570</v>
      </c>
      <c r="B510" s="4" t="s">
        <v>585</v>
      </c>
      <c r="C510" s="4" t="s">
        <v>10</v>
      </c>
      <c r="D510" s="4" t="s">
        <v>595</v>
      </c>
      <c r="E510" s="4" t="s">
        <v>12</v>
      </c>
      <c r="F510" s="4" t="s">
        <v>502</v>
      </c>
      <c r="G510" s="4" t="s">
        <v>503</v>
      </c>
      <c r="H510" s="4" t="s">
        <v>478</v>
      </c>
      <c r="I510" s="4" t="s">
        <v>504</v>
      </c>
      <c r="J510" s="4" t="s">
        <v>505</v>
      </c>
      <c r="K510" s="7">
        <v>371059.42499999999</v>
      </c>
      <c r="L510" s="7">
        <v>275606.43</v>
      </c>
      <c r="M510" s="7">
        <v>414320.55</v>
      </c>
      <c r="N510" s="7">
        <v>408485.86</v>
      </c>
      <c r="O510" s="7">
        <v>436935.89199999999</v>
      </c>
      <c r="P510" s="7">
        <v>355825.86599999998</v>
      </c>
      <c r="Q510" s="7">
        <v>411298.03</v>
      </c>
      <c r="R510" s="7">
        <v>347031.04800000001</v>
      </c>
      <c r="S510" s="7"/>
      <c r="T510" s="7"/>
      <c r="U510" s="7"/>
      <c r="V510" s="7"/>
      <c r="W510" s="11">
        <f t="shared" si="8"/>
        <v>3020563.1010000003</v>
      </c>
    </row>
    <row r="511" spans="1:23" x14ac:dyDescent="0.2">
      <c r="A511" s="4" t="s">
        <v>570</v>
      </c>
      <c r="B511" s="4" t="s">
        <v>585</v>
      </c>
      <c r="C511" s="4" t="s">
        <v>10</v>
      </c>
      <c r="D511" s="4" t="s">
        <v>595</v>
      </c>
      <c r="E511" s="4" t="s">
        <v>12</v>
      </c>
      <c r="F511" s="4" t="s">
        <v>506</v>
      </c>
      <c r="G511" s="4" t="s">
        <v>507</v>
      </c>
      <c r="H511" s="4" t="s">
        <v>46</v>
      </c>
      <c r="I511" s="4" t="s">
        <v>52</v>
      </c>
      <c r="J511" s="4" t="s">
        <v>82</v>
      </c>
      <c r="K511" s="7">
        <v>100177.583352</v>
      </c>
      <c r="L511" s="7">
        <v>91609.096896000003</v>
      </c>
      <c r="M511" s="7">
        <v>93490.223150000005</v>
      </c>
      <c r="N511" s="7">
        <v>94904.665779000003</v>
      </c>
      <c r="O511" s="7">
        <v>108247.299426</v>
      </c>
      <c r="P511" s="7">
        <v>99197.969500000007</v>
      </c>
      <c r="Q511" s="7">
        <v>99943.877171999993</v>
      </c>
      <c r="R511" s="7">
        <v>93802.910873999994</v>
      </c>
      <c r="S511" s="7"/>
      <c r="T511" s="7"/>
      <c r="U511" s="7"/>
      <c r="V511" s="7"/>
      <c r="W511" s="11">
        <f t="shared" si="8"/>
        <v>781373.62614900013</v>
      </c>
    </row>
    <row r="512" spans="1:23" x14ac:dyDescent="0.2">
      <c r="A512" s="4" t="s">
        <v>570</v>
      </c>
      <c r="B512" s="4" t="s">
        <v>585</v>
      </c>
      <c r="C512" s="4" t="s">
        <v>10</v>
      </c>
      <c r="D512" s="4" t="s">
        <v>595</v>
      </c>
      <c r="E512" s="4" t="s">
        <v>12</v>
      </c>
      <c r="F512" s="4" t="s">
        <v>508</v>
      </c>
      <c r="G512" s="4" t="s">
        <v>509</v>
      </c>
      <c r="H512" s="4" t="s">
        <v>88</v>
      </c>
      <c r="I512" s="4" t="s">
        <v>154</v>
      </c>
      <c r="J512" s="4" t="s">
        <v>510</v>
      </c>
      <c r="K512" s="7">
        <v>11355.3104</v>
      </c>
      <c r="L512" s="7">
        <v>18232.139090000001</v>
      </c>
      <c r="M512" s="7">
        <v>14926.15158</v>
      </c>
      <c r="N512" s="7">
        <v>5903.1440000000002</v>
      </c>
      <c r="O512" s="7">
        <v>7476.2776000000003</v>
      </c>
      <c r="P512" s="7">
        <v>9735.3855000000003</v>
      </c>
      <c r="Q512" s="7">
        <v>8025.3221999999996</v>
      </c>
      <c r="R512" s="7">
        <v>5401.26</v>
      </c>
      <c r="S512" s="7"/>
      <c r="T512" s="7"/>
      <c r="U512" s="7"/>
      <c r="V512" s="7"/>
      <c r="W512" s="11">
        <f t="shared" si="8"/>
        <v>81054.990369999985</v>
      </c>
    </row>
    <row r="513" spans="1:23" x14ac:dyDescent="0.2">
      <c r="A513" s="4" t="s">
        <v>570</v>
      </c>
      <c r="B513" s="4" t="s">
        <v>585</v>
      </c>
      <c r="C513" s="4" t="s">
        <v>10</v>
      </c>
      <c r="D513" s="4" t="s">
        <v>595</v>
      </c>
      <c r="E513" s="4" t="s">
        <v>12</v>
      </c>
      <c r="F513" s="4" t="s">
        <v>511</v>
      </c>
      <c r="G513" s="4" t="s">
        <v>512</v>
      </c>
      <c r="H513" s="4" t="s">
        <v>115</v>
      </c>
      <c r="I513" s="4" t="s">
        <v>513</v>
      </c>
      <c r="J513" s="4" t="s">
        <v>514</v>
      </c>
      <c r="K513" s="7">
        <v>41098.490660000003</v>
      </c>
      <c r="L513" s="7">
        <v>38328.943500000001</v>
      </c>
      <c r="M513" s="7">
        <v>35712.378239999998</v>
      </c>
      <c r="N513" s="7">
        <v>33548.652000000002</v>
      </c>
      <c r="O513" s="7">
        <v>35303.214240000001</v>
      </c>
      <c r="P513" s="7">
        <v>36270.850330000001</v>
      </c>
      <c r="Q513" s="7">
        <v>33742.29264</v>
      </c>
      <c r="R513" s="7">
        <v>38457.533519999997</v>
      </c>
      <c r="S513" s="7"/>
      <c r="T513" s="7"/>
      <c r="U513" s="7"/>
      <c r="V513" s="7"/>
      <c r="W513" s="11">
        <f t="shared" si="8"/>
        <v>292462.35512999998</v>
      </c>
    </row>
    <row r="514" spans="1:23" x14ac:dyDescent="0.2">
      <c r="A514" s="4" t="s">
        <v>570</v>
      </c>
      <c r="B514" s="4" t="s">
        <v>585</v>
      </c>
      <c r="C514" s="4" t="s">
        <v>10</v>
      </c>
      <c r="D514" s="4" t="s">
        <v>595</v>
      </c>
      <c r="E514" s="4" t="s">
        <v>12</v>
      </c>
      <c r="F514" s="4" t="s">
        <v>515</v>
      </c>
      <c r="G514" s="4" t="s">
        <v>516</v>
      </c>
      <c r="H514" s="4" t="s">
        <v>46</v>
      </c>
      <c r="I514" s="4" t="s">
        <v>455</v>
      </c>
      <c r="J514" s="4" t="s">
        <v>517</v>
      </c>
      <c r="K514" s="7">
        <v>140575.16663600001</v>
      </c>
      <c r="L514" s="7">
        <v>145333.68161016001</v>
      </c>
      <c r="M514" s="7">
        <v>115310.1603206</v>
      </c>
      <c r="N514" s="7">
        <v>155106.18387792</v>
      </c>
      <c r="O514" s="7">
        <v>112371.46077524</v>
      </c>
      <c r="P514" s="7">
        <v>180881.29839243001</v>
      </c>
      <c r="Q514" s="7">
        <v>129310.89000699999</v>
      </c>
      <c r="R514" s="7">
        <v>133933.76651399999</v>
      </c>
      <c r="S514" s="7"/>
      <c r="T514" s="7"/>
      <c r="U514" s="7"/>
      <c r="V514" s="7"/>
      <c r="W514" s="11">
        <f t="shared" ref="W514:W567" si="9">SUM(K514:V514)</f>
        <v>1112822.60813335</v>
      </c>
    </row>
    <row r="515" spans="1:23" x14ac:dyDescent="0.2">
      <c r="A515" s="4" t="s">
        <v>570</v>
      </c>
      <c r="B515" s="4" t="s">
        <v>585</v>
      </c>
      <c r="C515" s="4" t="s">
        <v>10</v>
      </c>
      <c r="D515" s="4" t="s">
        <v>595</v>
      </c>
      <c r="E515" s="4" t="s">
        <v>12</v>
      </c>
      <c r="F515" s="4" t="s">
        <v>134</v>
      </c>
      <c r="G515" s="4" t="s">
        <v>135</v>
      </c>
      <c r="H515" s="4" t="s">
        <v>46</v>
      </c>
      <c r="I515" s="4" t="s">
        <v>52</v>
      </c>
      <c r="J515" s="4" t="s">
        <v>61</v>
      </c>
      <c r="K515" s="7">
        <v>105413.99894586</v>
      </c>
      <c r="L515" s="7">
        <v>92696.999073029991</v>
      </c>
      <c r="M515" s="7">
        <v>111766.99888233001</v>
      </c>
      <c r="N515" s="7">
        <v>116621.99883378</v>
      </c>
      <c r="O515" s="7">
        <v>98053.999019459996</v>
      </c>
      <c r="P515" s="7">
        <v>99027.999009720006</v>
      </c>
      <c r="Q515" s="7">
        <v>110067.99889800001</v>
      </c>
      <c r="R515" s="7">
        <v>101955.998979</v>
      </c>
      <c r="S515" s="7"/>
      <c r="T515" s="7"/>
      <c r="U515" s="7"/>
      <c r="V515" s="7"/>
      <c r="W515" s="11">
        <f t="shared" si="9"/>
        <v>835605.99164118001</v>
      </c>
    </row>
    <row r="516" spans="1:23" x14ac:dyDescent="0.2">
      <c r="A516" s="4" t="s">
        <v>570</v>
      </c>
      <c r="B516" s="4" t="s">
        <v>585</v>
      </c>
      <c r="C516" s="4" t="s">
        <v>10</v>
      </c>
      <c r="D516" s="4" t="s">
        <v>595</v>
      </c>
      <c r="E516" s="4" t="s">
        <v>12</v>
      </c>
      <c r="F516" s="4" t="s">
        <v>518</v>
      </c>
      <c r="G516" s="4" t="s">
        <v>519</v>
      </c>
      <c r="H516" s="4" t="s">
        <v>46</v>
      </c>
      <c r="I516" s="4" t="s">
        <v>52</v>
      </c>
      <c r="J516" s="4" t="s">
        <v>61</v>
      </c>
      <c r="K516" s="7">
        <v>335887.1734956</v>
      </c>
      <c r="L516" s="7">
        <v>321645.97661791998</v>
      </c>
      <c r="M516" s="7">
        <v>331712.15578095999</v>
      </c>
      <c r="N516" s="7">
        <v>340501.72692491999</v>
      </c>
      <c r="O516" s="7">
        <v>330986.65870556998</v>
      </c>
      <c r="P516" s="7">
        <v>335451.87387305999</v>
      </c>
      <c r="Q516" s="7">
        <v>341572.480751</v>
      </c>
      <c r="R516" s="7">
        <v>362971.12941200001</v>
      </c>
      <c r="S516" s="7"/>
      <c r="T516" s="7"/>
      <c r="U516" s="7"/>
      <c r="V516" s="7"/>
      <c r="W516" s="11">
        <f t="shared" si="9"/>
        <v>2700729.1755610299</v>
      </c>
    </row>
    <row r="517" spans="1:23" x14ac:dyDescent="0.2">
      <c r="A517" s="4" t="s">
        <v>570</v>
      </c>
      <c r="B517" s="4" t="s">
        <v>585</v>
      </c>
      <c r="C517" s="4" t="s">
        <v>10</v>
      </c>
      <c r="D517" s="4" t="s">
        <v>595</v>
      </c>
      <c r="E517" s="4" t="s">
        <v>12</v>
      </c>
      <c r="F517" s="4" t="s">
        <v>520</v>
      </c>
      <c r="G517" s="4" t="s">
        <v>521</v>
      </c>
      <c r="H517" s="4" t="s">
        <v>115</v>
      </c>
      <c r="I517" s="4" t="s">
        <v>115</v>
      </c>
      <c r="J517" s="4" t="s">
        <v>115</v>
      </c>
      <c r="K517" s="7">
        <v>337942.93400000001</v>
      </c>
      <c r="L517" s="7">
        <v>311324.27899999998</v>
      </c>
      <c r="M517" s="7">
        <v>372260.66350000002</v>
      </c>
      <c r="N517" s="7">
        <v>442984.19059999997</v>
      </c>
      <c r="O517" s="7">
        <v>473270.75550000003</v>
      </c>
      <c r="P517" s="7">
        <v>490508.33679999999</v>
      </c>
      <c r="Q517" s="7">
        <v>478040.97240000003</v>
      </c>
      <c r="R517" s="7">
        <v>501458.60159999999</v>
      </c>
      <c r="S517" s="7"/>
      <c r="T517" s="7"/>
      <c r="U517" s="7"/>
      <c r="V517" s="7"/>
      <c r="W517" s="11">
        <f t="shared" si="9"/>
        <v>3407790.7334000003</v>
      </c>
    </row>
    <row r="518" spans="1:23" x14ac:dyDescent="0.2">
      <c r="A518" s="4" t="s">
        <v>570</v>
      </c>
      <c r="B518" s="4" t="s">
        <v>585</v>
      </c>
      <c r="C518" s="4" t="s">
        <v>10</v>
      </c>
      <c r="D518" s="4" t="s">
        <v>595</v>
      </c>
      <c r="E518" s="4" t="s">
        <v>12</v>
      </c>
      <c r="F518" s="4" t="s">
        <v>520</v>
      </c>
      <c r="G518" s="4" t="s">
        <v>522</v>
      </c>
      <c r="H518" s="4" t="s">
        <v>115</v>
      </c>
      <c r="I518" s="4" t="s">
        <v>115</v>
      </c>
      <c r="J518" s="4" t="s">
        <v>523</v>
      </c>
      <c r="K518" s="7">
        <v>1571322.3696999999</v>
      </c>
      <c r="L518" s="7">
        <v>881771.43599999999</v>
      </c>
      <c r="M518" s="7">
        <v>997559.75300000003</v>
      </c>
      <c r="N518" s="7">
        <v>884088.14269999997</v>
      </c>
      <c r="O518" s="7">
        <v>838051.44299999997</v>
      </c>
      <c r="P518" s="7">
        <v>844727.94</v>
      </c>
      <c r="Q518" s="7">
        <v>785301.17220000003</v>
      </c>
      <c r="R518" s="7">
        <v>811003.16879999998</v>
      </c>
      <c r="S518" s="7"/>
      <c r="T518" s="7"/>
      <c r="U518" s="7"/>
      <c r="V518" s="7"/>
      <c r="W518" s="11">
        <f t="shared" si="9"/>
        <v>7613825.4254000001</v>
      </c>
    </row>
    <row r="519" spans="1:23" x14ac:dyDescent="0.2">
      <c r="A519" s="4" t="s">
        <v>570</v>
      </c>
      <c r="B519" s="4" t="s">
        <v>585</v>
      </c>
      <c r="C519" s="4" t="s">
        <v>10</v>
      </c>
      <c r="D519" s="4" t="s">
        <v>595</v>
      </c>
      <c r="E519" s="4" t="s">
        <v>12</v>
      </c>
      <c r="F519" s="4" t="s">
        <v>172</v>
      </c>
      <c r="G519" s="4" t="s">
        <v>524</v>
      </c>
      <c r="H519" s="4" t="s">
        <v>159</v>
      </c>
      <c r="I519" s="4" t="s">
        <v>159</v>
      </c>
      <c r="J519" s="4" t="s">
        <v>525</v>
      </c>
      <c r="K519" s="7">
        <v>97104.839471118205</v>
      </c>
      <c r="L519" s="7">
        <v>0</v>
      </c>
      <c r="M519" s="7">
        <v>219264.653003869</v>
      </c>
      <c r="N519" s="7">
        <v>98595.821982357695</v>
      </c>
      <c r="O519" s="7">
        <v>111962.542215112</v>
      </c>
      <c r="P519" s="7">
        <v>101900.800398964</v>
      </c>
      <c r="Q519" s="7">
        <v>94687.590215999997</v>
      </c>
      <c r="R519" s="7">
        <v>96710.922395999994</v>
      </c>
      <c r="S519" s="7"/>
      <c r="T519" s="7"/>
      <c r="U519" s="7"/>
      <c r="V519" s="7"/>
      <c r="W519" s="11">
        <f t="shared" si="9"/>
        <v>820227.1696834208</v>
      </c>
    </row>
    <row r="520" spans="1:23" x14ac:dyDescent="0.2">
      <c r="A520" s="4" t="s">
        <v>570</v>
      </c>
      <c r="B520" s="4" t="s">
        <v>585</v>
      </c>
      <c r="C520" s="4" t="s">
        <v>10</v>
      </c>
      <c r="D520" s="4" t="s">
        <v>595</v>
      </c>
      <c r="E520" s="4" t="s">
        <v>12</v>
      </c>
      <c r="F520" s="4" t="s">
        <v>941</v>
      </c>
      <c r="G520" s="4" t="s">
        <v>942</v>
      </c>
      <c r="H520" s="4" t="s">
        <v>437</v>
      </c>
      <c r="I520" s="4" t="s">
        <v>943</v>
      </c>
      <c r="J520" s="4" t="s">
        <v>944</v>
      </c>
      <c r="K520" s="7">
        <v>0</v>
      </c>
      <c r="L520" s="7">
        <v>3116.7090499999999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2623.1874899999998</v>
      </c>
      <c r="S520" s="7"/>
      <c r="T520" s="7"/>
      <c r="U520" s="7"/>
      <c r="V520" s="7"/>
      <c r="W520" s="11">
        <f t="shared" si="9"/>
        <v>5739.8965399999997</v>
      </c>
    </row>
    <row r="521" spans="1:23" x14ac:dyDescent="0.2">
      <c r="A521" s="4" t="s">
        <v>570</v>
      </c>
      <c r="B521" s="4" t="s">
        <v>585</v>
      </c>
      <c r="C521" s="4" t="s">
        <v>10</v>
      </c>
      <c r="D521" s="4" t="s">
        <v>595</v>
      </c>
      <c r="E521" s="4" t="s">
        <v>12</v>
      </c>
      <c r="F521" s="4" t="s">
        <v>773</v>
      </c>
      <c r="G521" s="4" t="s">
        <v>774</v>
      </c>
      <c r="H521" s="4" t="s">
        <v>104</v>
      </c>
      <c r="I521" s="4" t="s">
        <v>221</v>
      </c>
      <c r="J521" s="4" t="s">
        <v>222</v>
      </c>
      <c r="K521" s="7">
        <v>0</v>
      </c>
      <c r="L521" s="7">
        <v>280.05694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/>
      <c r="T521" s="7"/>
      <c r="U521" s="7"/>
      <c r="V521" s="7"/>
      <c r="W521" s="11">
        <f t="shared" si="9"/>
        <v>280.05694</v>
      </c>
    </row>
    <row r="522" spans="1:23" x14ac:dyDescent="0.2">
      <c r="A522" s="4" t="s">
        <v>570</v>
      </c>
      <c r="B522" s="4" t="s">
        <v>585</v>
      </c>
      <c r="C522" s="4" t="s">
        <v>10</v>
      </c>
      <c r="D522" s="4" t="s">
        <v>595</v>
      </c>
      <c r="E522" s="4" t="s">
        <v>12</v>
      </c>
      <c r="F522" s="4" t="s">
        <v>526</v>
      </c>
      <c r="G522" s="4" t="s">
        <v>527</v>
      </c>
      <c r="H522" s="4" t="s">
        <v>115</v>
      </c>
      <c r="I522" s="4" t="s">
        <v>528</v>
      </c>
      <c r="J522" s="4" t="s">
        <v>529</v>
      </c>
      <c r="K522" s="7">
        <v>292576.12585200003</v>
      </c>
      <c r="L522" s="7">
        <v>287416.80686800001</v>
      </c>
      <c r="M522" s="7">
        <v>259431.317388</v>
      </c>
      <c r="N522" s="7">
        <v>228458.94929700001</v>
      </c>
      <c r="O522" s="7">
        <v>223529.1189</v>
      </c>
      <c r="P522" s="7">
        <v>283990.87079999998</v>
      </c>
      <c r="Q522" s="7">
        <v>328475.65163600002</v>
      </c>
      <c r="R522" s="7">
        <v>357036.84262399998</v>
      </c>
      <c r="S522" s="7"/>
      <c r="T522" s="7"/>
      <c r="U522" s="7"/>
      <c r="V522" s="7"/>
      <c r="W522" s="11">
        <f t="shared" si="9"/>
        <v>2260915.6833649999</v>
      </c>
    </row>
    <row r="523" spans="1:23" x14ac:dyDescent="0.2">
      <c r="A523" s="4" t="s">
        <v>570</v>
      </c>
      <c r="B523" s="4" t="s">
        <v>585</v>
      </c>
      <c r="C523" s="4" t="s">
        <v>10</v>
      </c>
      <c r="D523" s="4" t="s">
        <v>595</v>
      </c>
      <c r="E523" s="4" t="s">
        <v>12</v>
      </c>
      <c r="F523" s="4" t="s">
        <v>530</v>
      </c>
      <c r="G523" s="4" t="s">
        <v>531</v>
      </c>
      <c r="H523" s="4" t="s">
        <v>478</v>
      </c>
      <c r="I523" s="4" t="s">
        <v>498</v>
      </c>
      <c r="J523" s="4" t="s">
        <v>499</v>
      </c>
      <c r="K523" s="7">
        <v>242952.90599999999</v>
      </c>
      <c r="L523" s="7">
        <v>212295.28331699999</v>
      </c>
      <c r="M523" s="7">
        <v>249436.21632000001</v>
      </c>
      <c r="N523" s="7">
        <v>273725.686239</v>
      </c>
      <c r="O523" s="7">
        <v>274843.10704199999</v>
      </c>
      <c r="P523" s="7">
        <v>257945.80600800001</v>
      </c>
      <c r="Q523" s="7">
        <v>255224.207112</v>
      </c>
      <c r="R523" s="7">
        <v>270562.22236499999</v>
      </c>
      <c r="S523" s="7"/>
      <c r="T523" s="7"/>
      <c r="U523" s="7"/>
      <c r="V523" s="7"/>
      <c r="W523" s="11">
        <f t="shared" si="9"/>
        <v>2036985.4344029999</v>
      </c>
    </row>
    <row r="524" spans="1:23" x14ac:dyDescent="0.2">
      <c r="A524" s="4" t="s">
        <v>570</v>
      </c>
      <c r="B524" s="4" t="s">
        <v>585</v>
      </c>
      <c r="C524" s="4" t="s">
        <v>10</v>
      </c>
      <c r="D524" s="4" t="s">
        <v>595</v>
      </c>
      <c r="E524" s="4" t="s">
        <v>12</v>
      </c>
      <c r="F524" s="4" t="s">
        <v>532</v>
      </c>
      <c r="G524" s="4" t="s">
        <v>533</v>
      </c>
      <c r="H524" s="4" t="s">
        <v>54</v>
      </c>
      <c r="I524" s="4" t="s">
        <v>123</v>
      </c>
      <c r="J524" s="4" t="s">
        <v>534</v>
      </c>
      <c r="K524" s="7">
        <v>43799.303290000003</v>
      </c>
      <c r="L524" s="7">
        <v>45799.735500000003</v>
      </c>
      <c r="M524" s="7">
        <v>39499.560160000001</v>
      </c>
      <c r="N524" s="7">
        <v>47200.986400000002</v>
      </c>
      <c r="O524" s="7">
        <v>45198.919679999999</v>
      </c>
      <c r="P524" s="7">
        <v>48099.998659999997</v>
      </c>
      <c r="Q524" s="7">
        <v>42200.392820000001</v>
      </c>
      <c r="R524" s="7">
        <v>46300.42944</v>
      </c>
      <c r="S524" s="7"/>
      <c r="T524" s="7"/>
      <c r="U524" s="7"/>
      <c r="V524" s="7"/>
      <c r="W524" s="11">
        <f t="shared" si="9"/>
        <v>358099.32594999997</v>
      </c>
    </row>
    <row r="525" spans="1:23" x14ac:dyDescent="0.2">
      <c r="A525" s="4" t="s">
        <v>571</v>
      </c>
      <c r="B525" s="4" t="s">
        <v>586</v>
      </c>
      <c r="C525" s="4" t="s">
        <v>10</v>
      </c>
      <c r="D525" s="4" t="s">
        <v>11</v>
      </c>
      <c r="E525" s="4" t="s">
        <v>29</v>
      </c>
      <c r="F525" s="4" t="s">
        <v>48</v>
      </c>
      <c r="G525" s="4" t="s">
        <v>49</v>
      </c>
      <c r="H525" s="4" t="s">
        <v>591</v>
      </c>
      <c r="I525" s="4" t="s">
        <v>50</v>
      </c>
      <c r="J525" s="4" t="s">
        <v>51</v>
      </c>
      <c r="K525" s="7">
        <v>329.18920190599999</v>
      </c>
      <c r="L525" s="7">
        <v>545.20499501080008</v>
      </c>
      <c r="M525" s="7">
        <v>419.33836555120001</v>
      </c>
      <c r="N525" s="7">
        <v>0</v>
      </c>
      <c r="O525" s="7">
        <v>1316.0370703709</v>
      </c>
      <c r="P525" s="7">
        <v>0</v>
      </c>
      <c r="Q525" s="7">
        <v>1212.021301</v>
      </c>
      <c r="R525" s="7">
        <v>0</v>
      </c>
      <c r="S525" s="7"/>
      <c r="T525" s="7"/>
      <c r="U525" s="7"/>
      <c r="V525" s="7"/>
      <c r="W525" s="11">
        <f t="shared" si="9"/>
        <v>3821.7909338388999</v>
      </c>
    </row>
    <row r="526" spans="1:23" x14ac:dyDescent="0.2">
      <c r="A526" s="4" t="s">
        <v>571</v>
      </c>
      <c r="B526" s="4" t="s">
        <v>586</v>
      </c>
      <c r="C526" s="4" t="s">
        <v>10</v>
      </c>
      <c r="D526" s="4" t="s">
        <v>11</v>
      </c>
      <c r="E526" s="4" t="s">
        <v>29</v>
      </c>
      <c r="F526" s="4" t="s">
        <v>679</v>
      </c>
      <c r="G526" s="4" t="s">
        <v>680</v>
      </c>
      <c r="H526" s="4" t="s">
        <v>15</v>
      </c>
      <c r="I526" s="4" t="s">
        <v>681</v>
      </c>
      <c r="J526" s="4" t="s">
        <v>681</v>
      </c>
      <c r="K526" s="7">
        <v>0</v>
      </c>
      <c r="L526" s="7">
        <v>7.1279487960000001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9.4430119999999995</v>
      </c>
      <c r="S526" s="7"/>
      <c r="T526" s="7"/>
      <c r="U526" s="7"/>
      <c r="V526" s="7"/>
      <c r="W526" s="11">
        <f t="shared" si="9"/>
        <v>16.570960796000001</v>
      </c>
    </row>
    <row r="527" spans="1:23" x14ac:dyDescent="0.2">
      <c r="A527" s="4" t="s">
        <v>571</v>
      </c>
      <c r="B527" s="4" t="s">
        <v>586</v>
      </c>
      <c r="C527" s="4" t="s">
        <v>10</v>
      </c>
      <c r="D527" s="4" t="s">
        <v>11</v>
      </c>
      <c r="E527" s="4" t="s">
        <v>29</v>
      </c>
      <c r="F527" s="4" t="s">
        <v>764</v>
      </c>
      <c r="G527" s="4" t="s">
        <v>765</v>
      </c>
      <c r="H527" s="4" t="s">
        <v>54</v>
      </c>
      <c r="I527" s="4" t="s">
        <v>54</v>
      </c>
      <c r="J527" s="4" t="s">
        <v>766</v>
      </c>
      <c r="K527" s="7">
        <v>0</v>
      </c>
      <c r="L527" s="7">
        <v>1.6893451278</v>
      </c>
      <c r="M527" s="7">
        <v>4.7440295630999998</v>
      </c>
      <c r="N527" s="7">
        <v>3.4934004069000002</v>
      </c>
      <c r="O527" s="7">
        <v>0</v>
      </c>
      <c r="P527" s="7">
        <v>0</v>
      </c>
      <c r="Q527" s="7">
        <v>7.2216189999999996</v>
      </c>
      <c r="R527" s="7">
        <v>0</v>
      </c>
      <c r="S527" s="7"/>
      <c r="T527" s="7"/>
      <c r="U527" s="7"/>
      <c r="V527" s="7"/>
      <c r="W527" s="11">
        <f t="shared" si="9"/>
        <v>17.148394097800001</v>
      </c>
    </row>
    <row r="528" spans="1:23" x14ac:dyDescent="0.2">
      <c r="A528" s="4" t="s">
        <v>571</v>
      </c>
      <c r="B528" s="4" t="s">
        <v>586</v>
      </c>
      <c r="C528" s="4" t="s">
        <v>10</v>
      </c>
      <c r="D528" s="4" t="s">
        <v>11</v>
      </c>
      <c r="E528" s="4" t="s">
        <v>29</v>
      </c>
      <c r="F528" s="4" t="s">
        <v>180</v>
      </c>
      <c r="G528" s="4" t="s">
        <v>181</v>
      </c>
      <c r="H528" s="4" t="s">
        <v>46</v>
      </c>
      <c r="I528" s="4" t="s">
        <v>47</v>
      </c>
      <c r="J528" s="4" t="s">
        <v>47</v>
      </c>
      <c r="K528" s="7">
        <v>69.9396823676</v>
      </c>
      <c r="L528" s="7">
        <v>37.393206374800002</v>
      </c>
      <c r="M528" s="7">
        <v>165.08492564849999</v>
      </c>
      <c r="N528" s="7">
        <v>93.251990197400005</v>
      </c>
      <c r="O528" s="7">
        <v>138.83360985760001</v>
      </c>
      <c r="P528" s="7">
        <v>107.9673841183</v>
      </c>
      <c r="Q528" s="7">
        <v>0</v>
      </c>
      <c r="R528" s="7">
        <v>194.831671</v>
      </c>
      <c r="S528" s="7"/>
      <c r="T528" s="7"/>
      <c r="U528" s="7"/>
      <c r="V528" s="7"/>
      <c r="W528" s="11">
        <f t="shared" si="9"/>
        <v>807.30246956420012</v>
      </c>
    </row>
    <row r="529" spans="1:23" x14ac:dyDescent="0.2">
      <c r="A529" s="4" t="s">
        <v>571</v>
      </c>
      <c r="B529" s="4" t="s">
        <v>586</v>
      </c>
      <c r="C529" s="4" t="s">
        <v>10</v>
      </c>
      <c r="D529" s="4" t="s">
        <v>11</v>
      </c>
      <c r="E529" s="4" t="s">
        <v>29</v>
      </c>
      <c r="F529" s="4" t="s">
        <v>858</v>
      </c>
      <c r="G529" s="4" t="s">
        <v>859</v>
      </c>
      <c r="H529" s="4" t="s">
        <v>591</v>
      </c>
      <c r="I529" s="4" t="s">
        <v>860</v>
      </c>
      <c r="J529" s="4" t="s">
        <v>861</v>
      </c>
      <c r="K529" s="7">
        <v>0</v>
      </c>
      <c r="L529" s="7">
        <v>0</v>
      </c>
      <c r="M529" s="7">
        <v>0</v>
      </c>
      <c r="N529" s="7">
        <v>476.72570486019998</v>
      </c>
      <c r="O529" s="7">
        <v>0</v>
      </c>
      <c r="P529" s="7">
        <v>0</v>
      </c>
      <c r="Q529" s="7">
        <v>0</v>
      </c>
      <c r="R529" s="7">
        <v>667.52526899999998</v>
      </c>
      <c r="S529" s="7"/>
      <c r="T529" s="7"/>
      <c r="U529" s="7"/>
      <c r="V529" s="7"/>
      <c r="W529" s="11">
        <f t="shared" si="9"/>
        <v>1144.2509738602</v>
      </c>
    </row>
    <row r="530" spans="1:23" x14ac:dyDescent="0.2">
      <c r="A530" s="4" t="s">
        <v>571</v>
      </c>
      <c r="B530" s="4" t="s">
        <v>586</v>
      </c>
      <c r="C530" s="4" t="s">
        <v>10</v>
      </c>
      <c r="D530" s="4" t="s">
        <v>11</v>
      </c>
      <c r="E530" s="4" t="s">
        <v>29</v>
      </c>
      <c r="F530" s="4" t="s">
        <v>596</v>
      </c>
      <c r="G530" s="4" t="s">
        <v>182</v>
      </c>
      <c r="H530" s="4" t="s">
        <v>593</v>
      </c>
      <c r="I530" s="4" t="s">
        <v>183</v>
      </c>
      <c r="J530" s="4" t="s">
        <v>184</v>
      </c>
      <c r="K530" s="7">
        <v>80.831204012100002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/>
      <c r="T530" s="7"/>
      <c r="U530" s="7"/>
      <c r="V530" s="7"/>
      <c r="W530" s="11">
        <f t="shared" si="9"/>
        <v>80.831204012100002</v>
      </c>
    </row>
    <row r="531" spans="1:23" x14ac:dyDescent="0.2">
      <c r="A531" s="4" t="s">
        <v>571</v>
      </c>
      <c r="B531" s="4" t="s">
        <v>586</v>
      </c>
      <c r="C531" s="4" t="s">
        <v>10</v>
      </c>
      <c r="D531" s="4" t="s">
        <v>11</v>
      </c>
      <c r="E531" s="4" t="s">
        <v>29</v>
      </c>
      <c r="F531" s="4" t="s">
        <v>56</v>
      </c>
      <c r="G531" s="4" t="s">
        <v>57</v>
      </c>
      <c r="H531" s="4" t="s">
        <v>591</v>
      </c>
      <c r="I531" s="4" t="s">
        <v>20</v>
      </c>
      <c r="J531" s="4" t="s">
        <v>58</v>
      </c>
      <c r="K531" s="7">
        <v>406.77022192640004</v>
      </c>
      <c r="L531" s="7">
        <v>724.36645663080003</v>
      </c>
      <c r="M531" s="7">
        <v>848.88831482780006</v>
      </c>
      <c r="N531" s="7">
        <v>710.89303324900004</v>
      </c>
      <c r="O531" s="7">
        <v>582.53470861419999</v>
      </c>
      <c r="P531" s="7">
        <v>606.69383846029996</v>
      </c>
      <c r="Q531" s="7">
        <v>394.47703100000001</v>
      </c>
      <c r="R531" s="7">
        <v>943.54799400000002</v>
      </c>
      <c r="S531" s="7"/>
      <c r="T531" s="7"/>
      <c r="U531" s="7"/>
      <c r="V531" s="7"/>
      <c r="W531" s="11">
        <f t="shared" si="9"/>
        <v>5218.1715987085008</v>
      </c>
    </row>
    <row r="532" spans="1:23" x14ac:dyDescent="0.2">
      <c r="A532" s="4" t="s">
        <v>571</v>
      </c>
      <c r="B532" s="4" t="s">
        <v>586</v>
      </c>
      <c r="C532" s="4" t="s">
        <v>10</v>
      </c>
      <c r="D532" s="4" t="s">
        <v>11</v>
      </c>
      <c r="E532" s="4" t="s">
        <v>29</v>
      </c>
      <c r="F532" s="4" t="s">
        <v>59</v>
      </c>
      <c r="G532" s="4" t="s">
        <v>60</v>
      </c>
      <c r="H532" s="4" t="s">
        <v>46</v>
      </c>
      <c r="I532" s="4" t="s">
        <v>52</v>
      </c>
      <c r="J532" s="4" t="s">
        <v>61</v>
      </c>
      <c r="K532" s="7">
        <v>0</v>
      </c>
      <c r="L532" s="7">
        <v>0</v>
      </c>
      <c r="M532" s="7">
        <v>1025.3343071218001</v>
      </c>
      <c r="N532" s="7">
        <v>0</v>
      </c>
      <c r="O532" s="7">
        <v>0</v>
      </c>
      <c r="P532" s="7">
        <v>0</v>
      </c>
      <c r="Q532" s="7">
        <v>0</v>
      </c>
      <c r="R532" s="7">
        <v>1200.3832460000001</v>
      </c>
      <c r="S532" s="7"/>
      <c r="T532" s="7"/>
      <c r="U532" s="7"/>
      <c r="V532" s="7"/>
      <c r="W532" s="11">
        <f t="shared" si="9"/>
        <v>2225.7175531217999</v>
      </c>
    </row>
    <row r="533" spans="1:23" x14ac:dyDescent="0.2">
      <c r="A533" s="4" t="s">
        <v>571</v>
      </c>
      <c r="B533" s="4" t="s">
        <v>586</v>
      </c>
      <c r="C533" s="4" t="s">
        <v>10</v>
      </c>
      <c r="D533" s="4" t="s">
        <v>11</v>
      </c>
      <c r="E533" s="4" t="s">
        <v>29</v>
      </c>
      <c r="F533" s="4" t="s">
        <v>537</v>
      </c>
      <c r="G533" s="4" t="s">
        <v>548</v>
      </c>
      <c r="H533" s="4" t="s">
        <v>591</v>
      </c>
      <c r="I533" s="4" t="s">
        <v>62</v>
      </c>
      <c r="J533" s="4" t="s">
        <v>560</v>
      </c>
      <c r="K533" s="7">
        <v>449.42995919980001</v>
      </c>
      <c r="L533" s="7">
        <v>359.69460507510001</v>
      </c>
      <c r="M533" s="7">
        <v>392.97938016090001</v>
      </c>
      <c r="N533" s="7">
        <v>415.35270444399998</v>
      </c>
      <c r="O533" s="7">
        <v>403.42377008239998</v>
      </c>
      <c r="P533" s="7">
        <v>405.81515778890002</v>
      </c>
      <c r="Q533" s="7">
        <v>387.795998</v>
      </c>
      <c r="R533" s="7">
        <v>370.48480000000001</v>
      </c>
      <c r="S533" s="7"/>
      <c r="T533" s="7"/>
      <c r="U533" s="7"/>
      <c r="V533" s="7"/>
      <c r="W533" s="11">
        <f t="shared" si="9"/>
        <v>3184.9763747511001</v>
      </c>
    </row>
    <row r="534" spans="1:23" x14ac:dyDescent="0.2">
      <c r="A534" s="4" t="s">
        <v>571</v>
      </c>
      <c r="B534" s="4" t="s">
        <v>586</v>
      </c>
      <c r="C534" s="4" t="s">
        <v>10</v>
      </c>
      <c r="D534" s="4" t="s">
        <v>11</v>
      </c>
      <c r="E534" s="4" t="s">
        <v>29</v>
      </c>
      <c r="F534" s="4" t="s">
        <v>761</v>
      </c>
      <c r="G534" s="4" t="s">
        <v>762</v>
      </c>
      <c r="H534" s="4" t="s">
        <v>591</v>
      </c>
      <c r="I534" s="4" t="s">
        <v>62</v>
      </c>
      <c r="J534" s="4" t="s">
        <v>763</v>
      </c>
      <c r="K534" s="7">
        <v>0</v>
      </c>
      <c r="L534" s="7">
        <v>0</v>
      </c>
      <c r="M534" s="7">
        <v>261.15685783150002</v>
      </c>
      <c r="N534" s="7">
        <v>125.358406735</v>
      </c>
      <c r="O534" s="7">
        <v>0</v>
      </c>
      <c r="P534" s="7">
        <v>281.0068790263</v>
      </c>
      <c r="Q534" s="7">
        <v>0</v>
      </c>
      <c r="R534" s="7">
        <v>252.38483599999998</v>
      </c>
      <c r="S534" s="7"/>
      <c r="T534" s="7"/>
      <c r="U534" s="7"/>
      <c r="V534" s="7"/>
      <c r="W534" s="11">
        <f t="shared" si="9"/>
        <v>919.90697959279998</v>
      </c>
    </row>
    <row r="535" spans="1:23" x14ac:dyDescent="0.2">
      <c r="A535" s="4" t="s">
        <v>571</v>
      </c>
      <c r="B535" s="4" t="s">
        <v>586</v>
      </c>
      <c r="C535" s="4" t="s">
        <v>10</v>
      </c>
      <c r="D535" s="4" t="s">
        <v>11</v>
      </c>
      <c r="E535" s="4" t="s">
        <v>29</v>
      </c>
      <c r="F535" s="4" t="s">
        <v>677</v>
      </c>
      <c r="G535" s="4" t="s">
        <v>50</v>
      </c>
      <c r="H535" s="4" t="s">
        <v>591</v>
      </c>
      <c r="I535" s="4" t="s">
        <v>50</v>
      </c>
      <c r="J535" s="4" t="s">
        <v>678</v>
      </c>
      <c r="K535" s="7">
        <v>129.39046365440001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/>
      <c r="T535" s="7"/>
      <c r="U535" s="7"/>
      <c r="V535" s="7"/>
      <c r="W535" s="11">
        <f t="shared" si="9"/>
        <v>129.39046365440001</v>
      </c>
    </row>
    <row r="536" spans="1:23" x14ac:dyDescent="0.2">
      <c r="A536" s="4" t="s">
        <v>571</v>
      </c>
      <c r="B536" s="4" t="s">
        <v>586</v>
      </c>
      <c r="C536" s="4" t="s">
        <v>10</v>
      </c>
      <c r="D536" s="4" t="s">
        <v>11</v>
      </c>
      <c r="E536" s="4" t="s">
        <v>29</v>
      </c>
      <c r="F536" s="4" t="s">
        <v>63</v>
      </c>
      <c r="G536" s="4" t="s">
        <v>64</v>
      </c>
      <c r="H536" s="4" t="s">
        <v>46</v>
      </c>
      <c r="I536" s="4" t="s">
        <v>52</v>
      </c>
      <c r="J536" s="4" t="s">
        <v>65</v>
      </c>
      <c r="K536" s="7">
        <v>6.8646171501</v>
      </c>
      <c r="L536" s="7">
        <v>4.4130236814000003</v>
      </c>
      <c r="M536" s="7">
        <v>2.5978308132999999</v>
      </c>
      <c r="N536" s="7">
        <v>0.33701736879999999</v>
      </c>
      <c r="O536" s="7">
        <v>3.1763900074000002</v>
      </c>
      <c r="P536" s="7">
        <v>3.8352272751999998</v>
      </c>
      <c r="Q536" s="7">
        <v>6.2107619999999999</v>
      </c>
      <c r="R536" s="7">
        <v>3.65008</v>
      </c>
      <c r="S536" s="7"/>
      <c r="T536" s="7"/>
      <c r="U536" s="7"/>
      <c r="V536" s="7"/>
      <c r="W536" s="11">
        <f t="shared" si="9"/>
        <v>31.0849482962</v>
      </c>
    </row>
    <row r="537" spans="1:23" x14ac:dyDescent="0.2">
      <c r="A537" s="4" t="s">
        <v>571</v>
      </c>
      <c r="B537" s="4" t="s">
        <v>586</v>
      </c>
      <c r="C537" s="4" t="s">
        <v>10</v>
      </c>
      <c r="D537" s="4" t="s">
        <v>11</v>
      </c>
      <c r="E537" s="4" t="s">
        <v>29</v>
      </c>
      <c r="F537" s="4" t="s">
        <v>632</v>
      </c>
      <c r="G537" s="4" t="s">
        <v>633</v>
      </c>
      <c r="H537" s="4" t="s">
        <v>32</v>
      </c>
      <c r="I537" s="4" t="s">
        <v>80</v>
      </c>
      <c r="J537" s="4" t="s">
        <v>634</v>
      </c>
      <c r="K537" s="7">
        <v>21.699925362799998</v>
      </c>
      <c r="L537" s="7">
        <v>50.1190850618</v>
      </c>
      <c r="M537" s="7">
        <v>0.69073046189999998</v>
      </c>
      <c r="N537" s="7">
        <v>55.8276710146</v>
      </c>
      <c r="O537" s="7">
        <v>0</v>
      </c>
      <c r="P537" s="7">
        <v>104.72503327859999</v>
      </c>
      <c r="Q537" s="7">
        <v>1.8365910000000001</v>
      </c>
      <c r="R537" s="7">
        <v>0</v>
      </c>
      <c r="S537" s="7"/>
      <c r="T537" s="7"/>
      <c r="U537" s="7"/>
      <c r="V537" s="7"/>
      <c r="W537" s="11">
        <f t="shared" si="9"/>
        <v>234.89903617969998</v>
      </c>
    </row>
    <row r="538" spans="1:23" x14ac:dyDescent="0.2">
      <c r="A538" s="4" t="s">
        <v>571</v>
      </c>
      <c r="B538" s="4" t="s">
        <v>586</v>
      </c>
      <c r="C538" s="4" t="s">
        <v>10</v>
      </c>
      <c r="D538" s="4" t="s">
        <v>11</v>
      </c>
      <c r="E538" s="4" t="s">
        <v>29</v>
      </c>
      <c r="F538" s="4" t="s">
        <v>751</v>
      </c>
      <c r="G538" s="4" t="s">
        <v>752</v>
      </c>
      <c r="H538" s="4" t="s">
        <v>591</v>
      </c>
      <c r="I538" s="4" t="s">
        <v>100</v>
      </c>
      <c r="J538" s="4" t="s">
        <v>752</v>
      </c>
      <c r="K538" s="7">
        <v>0</v>
      </c>
      <c r="L538" s="7">
        <v>368.32737273929996</v>
      </c>
      <c r="M538" s="7">
        <v>223.94503324799999</v>
      </c>
      <c r="N538" s="7">
        <v>388.4046670395</v>
      </c>
      <c r="O538" s="7">
        <v>261.26920545600001</v>
      </c>
      <c r="P538" s="7">
        <v>420.05245472420006</v>
      </c>
      <c r="Q538" s="7">
        <v>60.166564999999999</v>
      </c>
      <c r="R538" s="7">
        <v>576.42518299999995</v>
      </c>
      <c r="S538" s="7"/>
      <c r="T538" s="7"/>
      <c r="U538" s="7"/>
      <c r="V538" s="7"/>
      <c r="W538" s="11">
        <f t="shared" si="9"/>
        <v>2298.5904812069998</v>
      </c>
    </row>
    <row r="539" spans="1:23" x14ac:dyDescent="0.2">
      <c r="A539" s="4" t="s">
        <v>571</v>
      </c>
      <c r="B539" s="4" t="s">
        <v>586</v>
      </c>
      <c r="C539" s="4" t="s">
        <v>10</v>
      </c>
      <c r="D539" s="4" t="s">
        <v>11</v>
      </c>
      <c r="E539" s="4" t="s">
        <v>12</v>
      </c>
      <c r="F539" s="4" t="s">
        <v>71</v>
      </c>
      <c r="G539" s="4" t="s">
        <v>72</v>
      </c>
      <c r="H539" s="4" t="s">
        <v>73</v>
      </c>
      <c r="I539" s="4" t="s">
        <v>74</v>
      </c>
      <c r="J539" s="4" t="s">
        <v>75</v>
      </c>
      <c r="K539" s="7">
        <v>1410.9152812830998</v>
      </c>
      <c r="L539" s="7">
        <v>1300.5873788814999</v>
      </c>
      <c r="M539" s="7">
        <v>1625.0819810876001</v>
      </c>
      <c r="N539" s="7">
        <v>1652.4752137533001</v>
      </c>
      <c r="O539" s="7">
        <v>1768.5226789914</v>
      </c>
      <c r="P539" s="7">
        <v>1287.2349348057</v>
      </c>
      <c r="Q539" s="7">
        <v>1597.944643</v>
      </c>
      <c r="R539" s="7">
        <v>1137.8131699999999</v>
      </c>
      <c r="S539" s="7"/>
      <c r="T539" s="7"/>
      <c r="U539" s="7"/>
      <c r="V539" s="7"/>
      <c r="W539" s="11">
        <f t="shared" si="9"/>
        <v>11780.575281802599</v>
      </c>
    </row>
    <row r="540" spans="1:23" x14ac:dyDescent="0.2">
      <c r="A540" s="4" t="s">
        <v>571</v>
      </c>
      <c r="B540" s="4" t="s">
        <v>586</v>
      </c>
      <c r="C540" s="4" t="s">
        <v>10</v>
      </c>
      <c r="D540" s="4" t="s">
        <v>11</v>
      </c>
      <c r="E540" s="4" t="s">
        <v>12</v>
      </c>
      <c r="F540" s="4" t="s">
        <v>536</v>
      </c>
      <c r="G540" s="4" t="s">
        <v>547</v>
      </c>
      <c r="H540" s="4" t="s">
        <v>88</v>
      </c>
      <c r="I540" s="4" t="s">
        <v>111</v>
      </c>
      <c r="J540" s="4" t="s">
        <v>112</v>
      </c>
      <c r="K540" s="7">
        <v>610.84674918309997</v>
      </c>
      <c r="L540" s="7">
        <v>712.26861810399998</v>
      </c>
      <c r="M540" s="7">
        <v>645.94376315269994</v>
      </c>
      <c r="N540" s="7">
        <v>645.91753670100002</v>
      </c>
      <c r="O540" s="7">
        <v>742.40324030260001</v>
      </c>
      <c r="P540" s="7">
        <v>0</v>
      </c>
      <c r="Q540" s="7">
        <v>977.76536999999996</v>
      </c>
      <c r="R540" s="7">
        <v>1165.080629</v>
      </c>
      <c r="S540" s="7"/>
      <c r="T540" s="7"/>
      <c r="U540" s="7"/>
      <c r="V540" s="7"/>
      <c r="W540" s="11">
        <f t="shared" si="9"/>
        <v>5500.2259064433993</v>
      </c>
    </row>
    <row r="541" spans="1:23" x14ac:dyDescent="0.2">
      <c r="A541" s="4" t="s">
        <v>571</v>
      </c>
      <c r="B541" s="4" t="s">
        <v>586</v>
      </c>
      <c r="C541" s="4" t="s">
        <v>10</v>
      </c>
      <c r="D541" s="4" t="s">
        <v>11</v>
      </c>
      <c r="E541" s="4" t="s">
        <v>12</v>
      </c>
      <c r="F541" s="4" t="s">
        <v>13</v>
      </c>
      <c r="G541" s="4" t="s">
        <v>185</v>
      </c>
      <c r="H541" s="4" t="s">
        <v>46</v>
      </c>
      <c r="I541" s="4" t="s">
        <v>186</v>
      </c>
      <c r="J541" s="4" t="s">
        <v>187</v>
      </c>
      <c r="K541" s="7">
        <v>7.1378249274999996</v>
      </c>
      <c r="L541" s="7">
        <v>3.4766222273</v>
      </c>
      <c r="M541" s="7">
        <v>22.134951031300002</v>
      </c>
      <c r="N541" s="7">
        <v>7.9946386247000003</v>
      </c>
      <c r="O541" s="7">
        <v>10.799500400599999</v>
      </c>
      <c r="P541" s="7">
        <v>11.8142451118</v>
      </c>
      <c r="Q541" s="7">
        <v>7.1536999999999997</v>
      </c>
      <c r="R541" s="7">
        <v>13.604679000000001</v>
      </c>
      <c r="S541" s="7"/>
      <c r="T541" s="7"/>
      <c r="U541" s="7"/>
      <c r="V541" s="7"/>
      <c r="W541" s="11">
        <f t="shared" si="9"/>
        <v>84.116161323200004</v>
      </c>
    </row>
    <row r="542" spans="1:23" x14ac:dyDescent="0.2">
      <c r="A542" s="4" t="s">
        <v>571</v>
      </c>
      <c r="B542" s="4" t="s">
        <v>586</v>
      </c>
      <c r="C542" s="4" t="s">
        <v>10</v>
      </c>
      <c r="D542" s="4" t="s">
        <v>11</v>
      </c>
      <c r="E542" s="4" t="s">
        <v>12</v>
      </c>
      <c r="F542" s="4" t="s">
        <v>13</v>
      </c>
      <c r="G542" s="4" t="s">
        <v>178</v>
      </c>
      <c r="H542" s="4" t="s">
        <v>88</v>
      </c>
      <c r="I542" s="4" t="s">
        <v>179</v>
      </c>
      <c r="J542" s="4" t="s">
        <v>179</v>
      </c>
      <c r="K542" s="7">
        <v>29372.320805014202</v>
      </c>
      <c r="L542" s="7">
        <v>25081.1896783099</v>
      </c>
      <c r="M542" s="7">
        <v>28830.1574986286</v>
      </c>
      <c r="N542" s="7">
        <v>32724.624719592</v>
      </c>
      <c r="O542" s="7">
        <v>26386.134025850901</v>
      </c>
      <c r="P542" s="7">
        <v>29607.661156243001</v>
      </c>
      <c r="Q542" s="7">
        <v>30502.612533000003</v>
      </c>
      <c r="R542" s="7">
        <v>22363.430399000004</v>
      </c>
      <c r="S542" s="7"/>
      <c r="T542" s="7"/>
      <c r="U542" s="7"/>
      <c r="V542" s="7"/>
      <c r="W542" s="11">
        <f t="shared" si="9"/>
        <v>224868.13081563864</v>
      </c>
    </row>
    <row r="543" spans="1:23" x14ac:dyDescent="0.2">
      <c r="A543" s="4" t="s">
        <v>571</v>
      </c>
      <c r="B543" s="4" t="s">
        <v>586</v>
      </c>
      <c r="C543" s="4" t="s">
        <v>10</v>
      </c>
      <c r="D543" s="4" t="s">
        <v>11</v>
      </c>
      <c r="E543" s="4" t="s">
        <v>12</v>
      </c>
      <c r="F543" s="4" t="s">
        <v>13</v>
      </c>
      <c r="G543" s="4" t="s">
        <v>14</v>
      </c>
      <c r="H543" s="4" t="s">
        <v>15</v>
      </c>
      <c r="I543" s="4" t="s">
        <v>16</v>
      </c>
      <c r="J543" s="4" t="s">
        <v>17</v>
      </c>
      <c r="K543" s="7">
        <v>2957.5762665204002</v>
      </c>
      <c r="L543" s="7">
        <v>3405.5704375976002</v>
      </c>
      <c r="M543" s="7">
        <v>2946.2228803807998</v>
      </c>
      <c r="N543" s="7">
        <v>1379.8432740078001</v>
      </c>
      <c r="O543" s="7">
        <v>1887.9072350154001</v>
      </c>
      <c r="P543" s="7">
        <v>1839.1869659954998</v>
      </c>
      <c r="Q543" s="7">
        <v>3424.1862060000003</v>
      </c>
      <c r="R543" s="7">
        <v>3241.482129</v>
      </c>
      <c r="S543" s="7"/>
      <c r="T543" s="7"/>
      <c r="U543" s="7"/>
      <c r="V543" s="7"/>
      <c r="W543" s="11">
        <f t="shared" si="9"/>
        <v>21081.9753945175</v>
      </c>
    </row>
    <row r="544" spans="1:23" x14ac:dyDescent="0.2">
      <c r="A544" s="4" t="s">
        <v>571</v>
      </c>
      <c r="B544" s="4" t="s">
        <v>586</v>
      </c>
      <c r="C544" s="4" t="s">
        <v>10</v>
      </c>
      <c r="D544" s="4" t="s">
        <v>11</v>
      </c>
      <c r="E544" s="4" t="s">
        <v>12</v>
      </c>
      <c r="F544" s="4" t="s">
        <v>13</v>
      </c>
      <c r="G544" s="4" t="s">
        <v>188</v>
      </c>
      <c r="H544" s="4" t="s">
        <v>46</v>
      </c>
      <c r="I544" s="4" t="s">
        <v>47</v>
      </c>
      <c r="J544" s="4" t="s">
        <v>189</v>
      </c>
      <c r="K544" s="7">
        <v>3027.3502846165002</v>
      </c>
      <c r="L544" s="7">
        <v>3170.3796735640003</v>
      </c>
      <c r="M544" s="7">
        <v>2730.5318035308001</v>
      </c>
      <c r="N544" s="7">
        <v>2814.3461652818</v>
      </c>
      <c r="O544" s="7">
        <v>2014.6798151339001</v>
      </c>
      <c r="P544" s="7">
        <v>2057.2743193964998</v>
      </c>
      <c r="Q544" s="7">
        <v>2101.9584110000001</v>
      </c>
      <c r="R544" s="7">
        <v>2113.2094520000001</v>
      </c>
      <c r="S544" s="7"/>
      <c r="T544" s="7"/>
      <c r="U544" s="7"/>
      <c r="V544" s="7"/>
      <c r="W544" s="11">
        <f t="shared" si="9"/>
        <v>20029.729924523501</v>
      </c>
    </row>
    <row r="545" spans="1:23" x14ac:dyDescent="0.2">
      <c r="A545" s="4" t="s">
        <v>571</v>
      </c>
      <c r="B545" s="4" t="s">
        <v>586</v>
      </c>
      <c r="C545" s="4" t="s">
        <v>10</v>
      </c>
      <c r="D545" s="4" t="s">
        <v>11</v>
      </c>
      <c r="E545" s="4" t="s">
        <v>12</v>
      </c>
      <c r="F545" s="4" t="s">
        <v>76</v>
      </c>
      <c r="G545" s="4" t="s">
        <v>77</v>
      </c>
      <c r="H545" s="4" t="s">
        <v>591</v>
      </c>
      <c r="I545" s="4" t="s">
        <v>42</v>
      </c>
      <c r="J545" s="4" t="s">
        <v>43</v>
      </c>
      <c r="K545" s="7">
        <v>44470.843882607405</v>
      </c>
      <c r="L545" s="7">
        <v>49061.816048829198</v>
      </c>
      <c r="M545" s="7">
        <v>55024.393190088798</v>
      </c>
      <c r="N545" s="7">
        <v>44633.963121488705</v>
      </c>
      <c r="O545" s="7">
        <v>40825.520422153502</v>
      </c>
      <c r="P545" s="7">
        <v>27554.139118769501</v>
      </c>
      <c r="Q545" s="7">
        <v>41046.510733999996</v>
      </c>
      <c r="R545" s="7">
        <v>44974.206860999991</v>
      </c>
      <c r="S545" s="7"/>
      <c r="T545" s="7"/>
      <c r="U545" s="7"/>
      <c r="V545" s="7"/>
      <c r="W545" s="11">
        <f t="shared" si="9"/>
        <v>347591.39337893703</v>
      </c>
    </row>
    <row r="546" spans="1:23" x14ac:dyDescent="0.2">
      <c r="A546" s="4" t="s">
        <v>571</v>
      </c>
      <c r="B546" s="4" t="s">
        <v>586</v>
      </c>
      <c r="C546" s="4" t="s">
        <v>10</v>
      </c>
      <c r="D546" s="4" t="s">
        <v>11</v>
      </c>
      <c r="E546" s="4" t="s">
        <v>12</v>
      </c>
      <c r="F546" s="4" t="s">
        <v>78</v>
      </c>
      <c r="G546" s="4" t="s">
        <v>79</v>
      </c>
      <c r="H546" s="4" t="s">
        <v>32</v>
      </c>
      <c r="I546" s="4" t="s">
        <v>80</v>
      </c>
      <c r="J546" s="4" t="s">
        <v>80</v>
      </c>
      <c r="K546" s="7">
        <v>2174.3719058181</v>
      </c>
      <c r="L546" s="7">
        <v>1428.0032334877001</v>
      </c>
      <c r="M546" s="7">
        <v>1707.0681377003</v>
      </c>
      <c r="N546" s="7">
        <v>1150.6228624772</v>
      </c>
      <c r="O546" s="7">
        <v>1468.3611808497999</v>
      </c>
      <c r="P546" s="7">
        <v>1421.9942267035001</v>
      </c>
      <c r="Q546" s="7">
        <v>1454.6350870000001</v>
      </c>
      <c r="R546" s="7">
        <v>1501.7465400000001</v>
      </c>
      <c r="S546" s="7"/>
      <c r="T546" s="7"/>
      <c r="U546" s="7"/>
      <c r="V546" s="7"/>
      <c r="W546" s="11">
        <f t="shared" si="9"/>
        <v>12306.8031740366</v>
      </c>
    </row>
    <row r="547" spans="1:23" x14ac:dyDescent="0.2">
      <c r="A547" s="4" t="s">
        <v>571</v>
      </c>
      <c r="B547" s="4" t="s">
        <v>586</v>
      </c>
      <c r="C547" s="4" t="s">
        <v>10</v>
      </c>
      <c r="D547" s="4" t="s">
        <v>11</v>
      </c>
      <c r="E547" s="4" t="s">
        <v>12</v>
      </c>
      <c r="F547" s="4" t="s">
        <v>867</v>
      </c>
      <c r="G547" s="4" t="s">
        <v>628</v>
      </c>
      <c r="H547" s="4" t="s">
        <v>592</v>
      </c>
      <c r="I547" s="4" t="s">
        <v>23</v>
      </c>
      <c r="J547" s="4" t="s">
        <v>23</v>
      </c>
      <c r="K547" s="7">
        <v>26.667624009000001</v>
      </c>
      <c r="L547" s="7">
        <v>1912.6070767228</v>
      </c>
      <c r="M547" s="7">
        <v>1714.6618397561001</v>
      </c>
      <c r="N547" s="7">
        <v>1529.3592426626001</v>
      </c>
      <c r="O547" s="7">
        <v>347.6696527254</v>
      </c>
      <c r="P547" s="7">
        <v>1191.9071113165</v>
      </c>
      <c r="Q547" s="7">
        <v>1433.4142160000001</v>
      </c>
      <c r="R547" s="7">
        <v>1720.9913149999998</v>
      </c>
      <c r="S547" s="7"/>
      <c r="T547" s="7"/>
      <c r="U547" s="7"/>
      <c r="V547" s="7"/>
      <c r="W547" s="11">
        <f t="shared" si="9"/>
        <v>9877.2780781923993</v>
      </c>
    </row>
    <row r="548" spans="1:23" x14ac:dyDescent="0.2">
      <c r="A548" s="4" t="s">
        <v>571</v>
      </c>
      <c r="B548" s="4" t="s">
        <v>586</v>
      </c>
      <c r="C548" s="4" t="s">
        <v>10</v>
      </c>
      <c r="D548" s="4" t="s">
        <v>11</v>
      </c>
      <c r="E548" s="4" t="s">
        <v>12</v>
      </c>
      <c r="F548" s="4" t="s">
        <v>867</v>
      </c>
      <c r="G548" s="4" t="s">
        <v>682</v>
      </c>
      <c r="H548" s="4" t="s">
        <v>592</v>
      </c>
      <c r="I548" s="4" t="s">
        <v>23</v>
      </c>
      <c r="J548" s="4" t="s">
        <v>23</v>
      </c>
      <c r="K548" s="7">
        <v>0</v>
      </c>
      <c r="L548" s="7">
        <v>1824.5972518934</v>
      </c>
      <c r="M548" s="7">
        <v>0</v>
      </c>
      <c r="N548" s="7">
        <v>0</v>
      </c>
      <c r="O548" s="7">
        <v>4012.6919292692</v>
      </c>
      <c r="P548" s="7">
        <v>0</v>
      </c>
      <c r="Q548" s="7">
        <v>0</v>
      </c>
      <c r="R548" s="7">
        <v>0</v>
      </c>
      <c r="S548" s="7"/>
      <c r="T548" s="7"/>
      <c r="U548" s="7"/>
      <c r="V548" s="7"/>
      <c r="W548" s="11">
        <f t="shared" si="9"/>
        <v>5837.2891811625996</v>
      </c>
    </row>
    <row r="549" spans="1:23" x14ac:dyDescent="0.2">
      <c r="A549" s="4" t="s">
        <v>571</v>
      </c>
      <c r="B549" s="4" t="s">
        <v>586</v>
      </c>
      <c r="C549" s="4" t="s">
        <v>10</v>
      </c>
      <c r="D549" s="4" t="s">
        <v>11</v>
      </c>
      <c r="E549" s="4" t="s">
        <v>12</v>
      </c>
      <c r="F549" s="4" t="s">
        <v>867</v>
      </c>
      <c r="G549" s="4" t="s">
        <v>683</v>
      </c>
      <c r="H549" s="4" t="s">
        <v>592</v>
      </c>
      <c r="I549" s="4" t="s">
        <v>23</v>
      </c>
      <c r="J549" s="4" t="s">
        <v>683</v>
      </c>
      <c r="K549" s="7">
        <v>0</v>
      </c>
      <c r="L549" s="7">
        <v>3825.2134190925999</v>
      </c>
      <c r="M549" s="7">
        <v>3429.3274819123003</v>
      </c>
      <c r="N549" s="7">
        <v>3058.7184853252002</v>
      </c>
      <c r="O549" s="7">
        <v>361.8379358665</v>
      </c>
      <c r="P549" s="7">
        <v>5491.7417606518002</v>
      </c>
      <c r="Q549" s="7">
        <v>6076.7271559999999</v>
      </c>
      <c r="R549" s="7">
        <v>2814.6844820000006</v>
      </c>
      <c r="S549" s="7"/>
      <c r="T549" s="7"/>
      <c r="U549" s="7"/>
      <c r="V549" s="7"/>
      <c r="W549" s="11">
        <f t="shared" si="9"/>
        <v>25058.250720848402</v>
      </c>
    </row>
    <row r="550" spans="1:23" x14ac:dyDescent="0.2">
      <c r="A550" s="4" t="s">
        <v>571</v>
      </c>
      <c r="B550" s="4" t="s">
        <v>586</v>
      </c>
      <c r="C550" s="4" t="s">
        <v>10</v>
      </c>
      <c r="D550" s="4" t="s">
        <v>11</v>
      </c>
      <c r="E550" s="4" t="s">
        <v>12</v>
      </c>
      <c r="F550" s="4" t="s">
        <v>83</v>
      </c>
      <c r="G550" s="4" t="s">
        <v>84</v>
      </c>
      <c r="H550" s="4" t="s">
        <v>26</v>
      </c>
      <c r="I550" s="4" t="s">
        <v>26</v>
      </c>
      <c r="J550" s="4" t="s">
        <v>85</v>
      </c>
      <c r="K550" s="7">
        <v>4547.0383373229997</v>
      </c>
      <c r="L550" s="7">
        <v>4687.6258477207002</v>
      </c>
      <c r="M550" s="7">
        <v>5436.4869565249001</v>
      </c>
      <c r="N550" s="7">
        <v>5593.5996436599999</v>
      </c>
      <c r="O550" s="7">
        <v>5041.2293144102005</v>
      </c>
      <c r="P550" s="7">
        <v>5619.3427774406</v>
      </c>
      <c r="Q550" s="7">
        <v>7677.7664829999994</v>
      </c>
      <c r="R550" s="7">
        <v>6093.7542979999998</v>
      </c>
      <c r="S550" s="7"/>
      <c r="T550" s="7"/>
      <c r="U550" s="7"/>
      <c r="V550" s="7"/>
      <c r="W550" s="11">
        <f t="shared" si="9"/>
        <v>44696.8436580794</v>
      </c>
    </row>
    <row r="551" spans="1:23" x14ac:dyDescent="0.2">
      <c r="A551" s="4" t="s">
        <v>571</v>
      </c>
      <c r="B551" s="4" t="s">
        <v>586</v>
      </c>
      <c r="C551" s="4" t="s">
        <v>10</v>
      </c>
      <c r="D551" s="4" t="s">
        <v>11</v>
      </c>
      <c r="E551" s="4" t="s">
        <v>12</v>
      </c>
      <c r="F551" s="4" t="s">
        <v>83</v>
      </c>
      <c r="G551" s="4" t="s">
        <v>684</v>
      </c>
      <c r="H551" s="4" t="s">
        <v>592</v>
      </c>
      <c r="I551" s="4" t="s">
        <v>23</v>
      </c>
      <c r="J551" s="4" t="s">
        <v>685</v>
      </c>
      <c r="K551" s="7">
        <v>0</v>
      </c>
      <c r="L551" s="7">
        <v>207.65568094769998</v>
      </c>
      <c r="M551" s="7">
        <v>737.65050164780007</v>
      </c>
      <c r="N551" s="7">
        <v>403.92267813059999</v>
      </c>
      <c r="O551" s="7">
        <v>19.934689272499998</v>
      </c>
      <c r="P551" s="7">
        <v>597.72959624730004</v>
      </c>
      <c r="Q551" s="7">
        <v>650.53957400000002</v>
      </c>
      <c r="R551" s="7">
        <v>1200.8128119999999</v>
      </c>
      <c r="S551" s="7"/>
      <c r="T551" s="7"/>
      <c r="U551" s="7"/>
      <c r="V551" s="7"/>
      <c r="W551" s="11">
        <f t="shared" si="9"/>
        <v>3818.2455322459</v>
      </c>
    </row>
    <row r="552" spans="1:23" x14ac:dyDescent="0.2">
      <c r="A552" s="4" t="s">
        <v>571</v>
      </c>
      <c r="B552" s="4" t="s">
        <v>586</v>
      </c>
      <c r="C552" s="4" t="s">
        <v>10</v>
      </c>
      <c r="D552" s="4" t="s">
        <v>11</v>
      </c>
      <c r="E552" s="4" t="s">
        <v>12</v>
      </c>
      <c r="F552" s="4" t="s">
        <v>86</v>
      </c>
      <c r="G552" s="4" t="s">
        <v>87</v>
      </c>
      <c r="H552" s="4" t="s">
        <v>88</v>
      </c>
      <c r="I552" s="4" t="s">
        <v>89</v>
      </c>
      <c r="J552" s="4" t="s">
        <v>90</v>
      </c>
      <c r="K552" s="7">
        <v>913.86960408740003</v>
      </c>
      <c r="L552" s="7">
        <v>760.25855198290003</v>
      </c>
      <c r="M552" s="7">
        <v>707.19975291109995</v>
      </c>
      <c r="N552" s="7">
        <v>680.61001263009996</v>
      </c>
      <c r="O552" s="7">
        <v>897.37076479760003</v>
      </c>
      <c r="P552" s="7">
        <v>736.34371071019996</v>
      </c>
      <c r="Q552" s="7">
        <v>882.847307</v>
      </c>
      <c r="R552" s="7">
        <v>1125.7530200000001</v>
      </c>
      <c r="S552" s="7"/>
      <c r="T552" s="7"/>
      <c r="U552" s="7"/>
      <c r="V552" s="7"/>
      <c r="W552" s="11">
        <f t="shared" si="9"/>
        <v>6704.2527241193002</v>
      </c>
    </row>
    <row r="553" spans="1:23" x14ac:dyDescent="0.2">
      <c r="A553" s="4" t="s">
        <v>571</v>
      </c>
      <c r="B553" s="4" t="s">
        <v>586</v>
      </c>
      <c r="C553" s="4" t="s">
        <v>10</v>
      </c>
      <c r="D553" s="4" t="s">
        <v>11</v>
      </c>
      <c r="E553" s="4" t="s">
        <v>12</v>
      </c>
      <c r="F553" s="4" t="s">
        <v>91</v>
      </c>
      <c r="G553" s="4" t="s">
        <v>92</v>
      </c>
      <c r="H553" s="4" t="s">
        <v>15</v>
      </c>
      <c r="I553" s="4" t="s">
        <v>15</v>
      </c>
      <c r="J553" s="4" t="s">
        <v>93</v>
      </c>
      <c r="K553" s="7">
        <v>6045.8357623224001</v>
      </c>
      <c r="L553" s="7">
        <v>5537.2160285280006</v>
      </c>
      <c r="M553" s="7">
        <v>5501.2659942411992</v>
      </c>
      <c r="N553" s="7">
        <v>6978.6398536535999</v>
      </c>
      <c r="O553" s="7">
        <v>6603.9312126029999</v>
      </c>
      <c r="P553" s="7">
        <v>6717.2222696833996</v>
      </c>
      <c r="Q553" s="7">
        <v>7240.7835449999993</v>
      </c>
      <c r="R553" s="7">
        <v>7574.7465759999995</v>
      </c>
      <c r="S553" s="7"/>
      <c r="T553" s="7"/>
      <c r="U553" s="7"/>
      <c r="V553" s="7"/>
      <c r="W553" s="11">
        <f t="shared" si="9"/>
        <v>52199.641242031597</v>
      </c>
    </row>
    <row r="554" spans="1:23" x14ac:dyDescent="0.2">
      <c r="A554" s="4" t="s">
        <v>571</v>
      </c>
      <c r="B554" s="4" t="s">
        <v>586</v>
      </c>
      <c r="C554" s="4" t="s">
        <v>10</v>
      </c>
      <c r="D554" s="4" t="s">
        <v>11</v>
      </c>
      <c r="E554" s="4" t="s">
        <v>12</v>
      </c>
      <c r="F554" s="4" t="s">
        <v>18</v>
      </c>
      <c r="G554" s="4" t="s">
        <v>19</v>
      </c>
      <c r="H554" s="4" t="s">
        <v>591</v>
      </c>
      <c r="I554" s="4" t="s">
        <v>20</v>
      </c>
      <c r="J554" s="4" t="s">
        <v>20</v>
      </c>
      <c r="K554" s="7">
        <v>6563.6821969572002</v>
      </c>
      <c r="L554" s="7">
        <v>6418.4081270055995</v>
      </c>
      <c r="M554" s="7">
        <v>5658.0223646017994</v>
      </c>
      <c r="N554" s="7">
        <v>4475.3302449106995</v>
      </c>
      <c r="O554" s="7">
        <v>5841.4769943409001</v>
      </c>
      <c r="P554" s="7">
        <v>5405.1083579830001</v>
      </c>
      <c r="Q554" s="7">
        <v>5735.5593939999999</v>
      </c>
      <c r="R554" s="7">
        <v>6162.2804450000003</v>
      </c>
      <c r="S554" s="7"/>
      <c r="T554" s="7"/>
      <c r="U554" s="7"/>
      <c r="V554" s="7"/>
      <c r="W554" s="11">
        <f t="shared" si="9"/>
        <v>46259.868124799192</v>
      </c>
    </row>
    <row r="555" spans="1:23" x14ac:dyDescent="0.2">
      <c r="A555" s="4" t="s">
        <v>571</v>
      </c>
      <c r="B555" s="4" t="s">
        <v>586</v>
      </c>
      <c r="C555" s="4" t="s">
        <v>10</v>
      </c>
      <c r="D555" s="4" t="s">
        <v>11</v>
      </c>
      <c r="E555" s="4" t="s">
        <v>12</v>
      </c>
      <c r="F555" s="4" t="s">
        <v>94</v>
      </c>
      <c r="G555" s="4" t="s">
        <v>95</v>
      </c>
      <c r="H555" s="4" t="s">
        <v>594</v>
      </c>
      <c r="I555" s="4" t="s">
        <v>96</v>
      </c>
      <c r="J555" s="4" t="s">
        <v>97</v>
      </c>
      <c r="K555" s="7">
        <v>4862.4142844504995</v>
      </c>
      <c r="L555" s="7">
        <v>4744.5166643507</v>
      </c>
      <c r="M555" s="7">
        <v>4086.6117282382002</v>
      </c>
      <c r="N555" s="7">
        <v>3836.6576765280001</v>
      </c>
      <c r="O555" s="7">
        <v>3263.4142653877998</v>
      </c>
      <c r="P555" s="7">
        <v>2668.7405297787004</v>
      </c>
      <c r="Q555" s="7">
        <v>4347.6208189999998</v>
      </c>
      <c r="R555" s="7">
        <v>4076.333361</v>
      </c>
      <c r="S555" s="7"/>
      <c r="T555" s="7"/>
      <c r="U555" s="7"/>
      <c r="V555" s="7"/>
      <c r="W555" s="11">
        <f t="shared" si="9"/>
        <v>31886.309328733903</v>
      </c>
    </row>
    <row r="556" spans="1:23" x14ac:dyDescent="0.2">
      <c r="A556" s="4" t="s">
        <v>571</v>
      </c>
      <c r="B556" s="4" t="s">
        <v>586</v>
      </c>
      <c r="C556" s="4" t="s">
        <v>10</v>
      </c>
      <c r="D556" s="4" t="s">
        <v>11</v>
      </c>
      <c r="E556" s="4" t="s">
        <v>12</v>
      </c>
      <c r="F556" s="4" t="s">
        <v>98</v>
      </c>
      <c r="G556" s="4" t="s">
        <v>99</v>
      </c>
      <c r="H556" s="4" t="s">
        <v>591</v>
      </c>
      <c r="I556" s="4" t="s">
        <v>100</v>
      </c>
      <c r="J556" s="4" t="s">
        <v>101</v>
      </c>
      <c r="K556" s="7">
        <v>2873.7516225821</v>
      </c>
      <c r="L556" s="7">
        <v>2807.6100790818</v>
      </c>
      <c r="M556" s="7">
        <v>3679.0797345757001</v>
      </c>
      <c r="N556" s="7">
        <v>3338.7162537242002</v>
      </c>
      <c r="O556" s="7">
        <v>2726.2931492314001</v>
      </c>
      <c r="P556" s="7">
        <v>2630.4384543058</v>
      </c>
      <c r="Q556" s="7">
        <v>2596.3882320000002</v>
      </c>
      <c r="R556" s="7">
        <v>2539.5945280000001</v>
      </c>
      <c r="S556" s="7"/>
      <c r="T556" s="7"/>
      <c r="U556" s="7"/>
      <c r="V556" s="7"/>
      <c r="W556" s="11">
        <f t="shared" si="9"/>
        <v>23191.872053501003</v>
      </c>
    </row>
    <row r="557" spans="1:23" x14ac:dyDescent="0.2">
      <c r="A557" s="4" t="s">
        <v>571</v>
      </c>
      <c r="B557" s="4" t="s">
        <v>586</v>
      </c>
      <c r="C557" s="4" t="s">
        <v>10</v>
      </c>
      <c r="D557" s="4" t="s">
        <v>11</v>
      </c>
      <c r="E557" s="4" t="s">
        <v>12</v>
      </c>
      <c r="F557" s="4" t="s">
        <v>605</v>
      </c>
      <c r="G557" s="4" t="s">
        <v>146</v>
      </c>
      <c r="H557" s="4" t="s">
        <v>88</v>
      </c>
      <c r="I557" s="4" t="s">
        <v>127</v>
      </c>
      <c r="J557" s="4" t="s">
        <v>147</v>
      </c>
      <c r="K557" s="7">
        <v>1351.1849270168</v>
      </c>
      <c r="L557" s="7">
        <v>1237.3650598203999</v>
      </c>
      <c r="M557" s="7">
        <v>1122.0107990148999</v>
      </c>
      <c r="N557" s="7">
        <v>1311.9954202060999</v>
      </c>
      <c r="O557" s="7">
        <v>1035.6755844454999</v>
      </c>
      <c r="P557" s="7">
        <v>777.71918542499998</v>
      </c>
      <c r="Q557" s="7">
        <v>1144.521115</v>
      </c>
      <c r="R557" s="7">
        <v>1240.1661260000001</v>
      </c>
      <c r="S557" s="7"/>
      <c r="T557" s="7"/>
      <c r="U557" s="7"/>
      <c r="V557" s="7"/>
      <c r="W557" s="11">
        <f t="shared" si="9"/>
        <v>9220.638216928699</v>
      </c>
    </row>
    <row r="558" spans="1:23" x14ac:dyDescent="0.2">
      <c r="A558" s="4" t="s">
        <v>571</v>
      </c>
      <c r="B558" s="4" t="s">
        <v>586</v>
      </c>
      <c r="C558" s="4" t="s">
        <v>10</v>
      </c>
      <c r="D558" s="4" t="s">
        <v>11</v>
      </c>
      <c r="E558" s="4" t="s">
        <v>12</v>
      </c>
      <c r="F558" s="4" t="s">
        <v>589</v>
      </c>
      <c r="G558" s="4" t="s">
        <v>535</v>
      </c>
      <c r="H558" s="4" t="s">
        <v>73</v>
      </c>
      <c r="I558" s="4" t="s">
        <v>230</v>
      </c>
      <c r="J558" s="4" t="s">
        <v>231</v>
      </c>
      <c r="K558" s="7">
        <v>112.047787038</v>
      </c>
      <c r="L558" s="7">
        <v>144.39711364279998</v>
      </c>
      <c r="M558" s="7">
        <v>149.39248754069999</v>
      </c>
      <c r="N558" s="7">
        <v>168.04773087979999</v>
      </c>
      <c r="O558" s="7">
        <v>179.24187219449999</v>
      </c>
      <c r="P558" s="7">
        <v>168.027202585</v>
      </c>
      <c r="Q558" s="7">
        <v>159.31947199999999</v>
      </c>
      <c r="R558" s="7">
        <v>123.24503800000001</v>
      </c>
      <c r="S558" s="7"/>
      <c r="T558" s="7"/>
      <c r="U558" s="7"/>
      <c r="V558" s="7"/>
      <c r="W558" s="11">
        <f t="shared" si="9"/>
        <v>1203.7187038807999</v>
      </c>
    </row>
    <row r="559" spans="1:23" x14ac:dyDescent="0.2">
      <c r="A559" s="4" t="s">
        <v>571</v>
      </c>
      <c r="B559" s="4" t="s">
        <v>586</v>
      </c>
      <c r="C559" s="4" t="s">
        <v>10</v>
      </c>
      <c r="D559" s="4" t="s">
        <v>11</v>
      </c>
      <c r="E559" s="4" t="s">
        <v>12</v>
      </c>
      <c r="F559" s="4" t="s">
        <v>102</v>
      </c>
      <c r="G559" s="4" t="s">
        <v>103</v>
      </c>
      <c r="H559" s="4" t="s">
        <v>104</v>
      </c>
      <c r="I559" s="4" t="s">
        <v>105</v>
      </c>
      <c r="J559" s="4" t="s">
        <v>106</v>
      </c>
      <c r="K559" s="7">
        <v>1247.1569263865999</v>
      </c>
      <c r="L559" s="7">
        <v>8576.2701144755993</v>
      </c>
      <c r="M559" s="7">
        <v>1103.4058428440001</v>
      </c>
      <c r="N559" s="7">
        <v>8586.7982009607003</v>
      </c>
      <c r="O559" s="7">
        <v>0</v>
      </c>
      <c r="P559" s="7">
        <v>0</v>
      </c>
      <c r="Q559" s="7">
        <v>1269.6375559999999</v>
      </c>
      <c r="R559" s="7">
        <v>5942.8321809999998</v>
      </c>
      <c r="S559" s="7"/>
      <c r="T559" s="7"/>
      <c r="U559" s="7"/>
      <c r="V559" s="7"/>
      <c r="W559" s="11">
        <f t="shared" si="9"/>
        <v>26726.1008216669</v>
      </c>
    </row>
    <row r="560" spans="1:23" x14ac:dyDescent="0.2">
      <c r="A560" s="4" t="s">
        <v>571</v>
      </c>
      <c r="B560" s="4" t="s">
        <v>586</v>
      </c>
      <c r="C560" s="4" t="s">
        <v>10</v>
      </c>
      <c r="D560" s="4" t="s">
        <v>11</v>
      </c>
      <c r="E560" s="4" t="s">
        <v>12</v>
      </c>
      <c r="F560" s="4" t="s">
        <v>107</v>
      </c>
      <c r="G560" s="4" t="s">
        <v>108</v>
      </c>
      <c r="H560" s="4" t="s">
        <v>26</v>
      </c>
      <c r="I560" s="4" t="s">
        <v>26</v>
      </c>
      <c r="J560" s="4" t="s">
        <v>109</v>
      </c>
      <c r="K560" s="7">
        <v>4947.3599231524004</v>
      </c>
      <c r="L560" s="7">
        <v>4569.2745189585003</v>
      </c>
      <c r="M560" s="7">
        <v>4709.1555775331999</v>
      </c>
      <c r="N560" s="7">
        <v>4836.8479104566004</v>
      </c>
      <c r="O560" s="7">
        <v>5054.9706402025995</v>
      </c>
      <c r="P560" s="7">
        <v>4667.6783802535001</v>
      </c>
      <c r="Q560" s="7">
        <v>5219.6357619999999</v>
      </c>
      <c r="R560" s="7">
        <v>4365.3771839999999</v>
      </c>
      <c r="S560" s="7"/>
      <c r="T560" s="7"/>
      <c r="U560" s="7"/>
      <c r="V560" s="7"/>
      <c r="W560" s="11">
        <f t="shared" si="9"/>
        <v>38370.299896556797</v>
      </c>
    </row>
    <row r="561" spans="1:23" x14ac:dyDescent="0.2">
      <c r="A561" s="4" t="s">
        <v>571</v>
      </c>
      <c r="B561" s="4" t="s">
        <v>586</v>
      </c>
      <c r="C561" s="4" t="s">
        <v>10</v>
      </c>
      <c r="D561" s="4" t="s">
        <v>11</v>
      </c>
      <c r="E561" s="4" t="s">
        <v>12</v>
      </c>
      <c r="F561" s="4" t="s">
        <v>617</v>
      </c>
      <c r="G561" s="4" t="s">
        <v>110</v>
      </c>
      <c r="H561" s="4" t="s">
        <v>88</v>
      </c>
      <c r="I561" s="4" t="s">
        <v>111</v>
      </c>
      <c r="J561" s="4" t="s">
        <v>112</v>
      </c>
      <c r="K561" s="7">
        <v>8416.3545820122999</v>
      </c>
      <c r="L561" s="7">
        <v>9212.8377827452005</v>
      </c>
      <c r="M561" s="7">
        <v>8484.3867348005988</v>
      </c>
      <c r="N561" s="7">
        <v>8535.0197478978007</v>
      </c>
      <c r="O561" s="7">
        <v>10035.168354060801</v>
      </c>
      <c r="P561" s="7">
        <v>8912.3170311726008</v>
      </c>
      <c r="Q561" s="7">
        <v>8427.8150029999997</v>
      </c>
      <c r="R561" s="7">
        <v>9942.7055180000025</v>
      </c>
      <c r="S561" s="7"/>
      <c r="T561" s="7"/>
      <c r="U561" s="7"/>
      <c r="V561" s="7"/>
      <c r="W561" s="11">
        <f t="shared" si="9"/>
        <v>71966.604753689302</v>
      </c>
    </row>
    <row r="562" spans="1:23" x14ac:dyDescent="0.2">
      <c r="A562" s="4" t="s">
        <v>571</v>
      </c>
      <c r="B562" s="4" t="s">
        <v>586</v>
      </c>
      <c r="C562" s="4" t="s">
        <v>10</v>
      </c>
      <c r="D562" s="4" t="s">
        <v>11</v>
      </c>
      <c r="E562" s="4" t="s">
        <v>12</v>
      </c>
      <c r="F562" s="4" t="s">
        <v>617</v>
      </c>
      <c r="G562" s="4" t="s">
        <v>629</v>
      </c>
      <c r="H562" s="4" t="s">
        <v>88</v>
      </c>
      <c r="I562" s="4" t="s">
        <v>179</v>
      </c>
      <c r="J562" s="4" t="s">
        <v>179</v>
      </c>
      <c r="K562" s="7">
        <v>1664.5233971345001</v>
      </c>
      <c r="L562" s="7">
        <v>1470.3634489446999</v>
      </c>
      <c r="M562" s="7">
        <v>1576.6695867229</v>
      </c>
      <c r="N562" s="7">
        <v>1049.5211323123999</v>
      </c>
      <c r="O562" s="7">
        <v>888.11941569600003</v>
      </c>
      <c r="P562" s="7">
        <v>354.60747203260001</v>
      </c>
      <c r="Q562" s="7">
        <v>442.24247100000002</v>
      </c>
      <c r="R562" s="7">
        <v>320.09060699999998</v>
      </c>
      <c r="S562" s="7"/>
      <c r="T562" s="7"/>
      <c r="U562" s="7"/>
      <c r="V562" s="7"/>
      <c r="W562" s="11">
        <f t="shared" si="9"/>
        <v>7766.1375308430997</v>
      </c>
    </row>
    <row r="563" spans="1:23" x14ac:dyDescent="0.2">
      <c r="A563" s="4" t="s">
        <v>571</v>
      </c>
      <c r="B563" s="4" t="s">
        <v>586</v>
      </c>
      <c r="C563" s="4" t="s">
        <v>10</v>
      </c>
      <c r="D563" s="4" t="s">
        <v>11</v>
      </c>
      <c r="E563" s="4" t="s">
        <v>12</v>
      </c>
      <c r="F563" s="4" t="s">
        <v>117</v>
      </c>
      <c r="G563" s="4" t="s">
        <v>118</v>
      </c>
      <c r="H563" s="4" t="s">
        <v>32</v>
      </c>
      <c r="I563" s="4" t="s">
        <v>119</v>
      </c>
      <c r="J563" s="4" t="s">
        <v>120</v>
      </c>
      <c r="K563" s="7">
        <v>5517.0022984532998</v>
      </c>
      <c r="L563" s="7">
        <v>4972.6634983215999</v>
      </c>
      <c r="M563" s="7">
        <v>6032.4847432524002</v>
      </c>
      <c r="N563" s="7">
        <v>6184.7335807979998</v>
      </c>
      <c r="O563" s="7">
        <v>5001.5678257907002</v>
      </c>
      <c r="P563" s="7">
        <v>6371.7238865097997</v>
      </c>
      <c r="Q563" s="7">
        <v>5722.029243</v>
      </c>
      <c r="R563" s="7">
        <v>6697.2710440000001</v>
      </c>
      <c r="S563" s="7"/>
      <c r="T563" s="7"/>
      <c r="U563" s="7"/>
      <c r="V563" s="7"/>
      <c r="W563" s="11">
        <f t="shared" si="9"/>
        <v>46499.476120125793</v>
      </c>
    </row>
    <row r="564" spans="1:23" x14ac:dyDescent="0.2">
      <c r="A564" s="4" t="s">
        <v>571</v>
      </c>
      <c r="B564" s="4" t="s">
        <v>586</v>
      </c>
      <c r="C564" s="4" t="s">
        <v>10</v>
      </c>
      <c r="D564" s="4" t="s">
        <v>11</v>
      </c>
      <c r="E564" s="4" t="s">
        <v>12</v>
      </c>
      <c r="F564" s="4" t="s">
        <v>121</v>
      </c>
      <c r="G564" s="4" t="s">
        <v>122</v>
      </c>
      <c r="H564" s="4" t="s">
        <v>54</v>
      </c>
      <c r="I564" s="4" t="s">
        <v>123</v>
      </c>
      <c r="J564" s="4" t="s">
        <v>124</v>
      </c>
      <c r="K564" s="7">
        <v>4201.8698008573001</v>
      </c>
      <c r="L564" s="7">
        <v>4375.8825326380002</v>
      </c>
      <c r="M564" s="7">
        <v>5720.8098569010999</v>
      </c>
      <c r="N564" s="7">
        <v>5235.0990910017999</v>
      </c>
      <c r="O564" s="7">
        <v>5648.2855762589998</v>
      </c>
      <c r="P564" s="7">
        <v>5498.1651554499003</v>
      </c>
      <c r="Q564" s="7">
        <v>5045.9434590000001</v>
      </c>
      <c r="R564" s="7">
        <v>4926.5461850000002</v>
      </c>
      <c r="S564" s="7"/>
      <c r="T564" s="7"/>
      <c r="U564" s="7"/>
      <c r="V564" s="7"/>
      <c r="W564" s="11">
        <f t="shared" si="9"/>
        <v>40652.601657107101</v>
      </c>
    </row>
    <row r="565" spans="1:23" x14ac:dyDescent="0.2">
      <c r="A565" s="4" t="s">
        <v>571</v>
      </c>
      <c r="B565" s="4" t="s">
        <v>586</v>
      </c>
      <c r="C565" s="4" t="s">
        <v>10</v>
      </c>
      <c r="D565" s="4" t="s">
        <v>11</v>
      </c>
      <c r="E565" s="4" t="s">
        <v>12</v>
      </c>
      <c r="F565" s="4" t="s">
        <v>44</v>
      </c>
      <c r="G565" s="4" t="s">
        <v>45</v>
      </c>
      <c r="H565" s="4" t="s">
        <v>46</v>
      </c>
      <c r="I565" s="4" t="s">
        <v>47</v>
      </c>
      <c r="J565" s="4" t="s">
        <v>47</v>
      </c>
      <c r="K565" s="7">
        <v>2543.3814773356003</v>
      </c>
      <c r="L565" s="7">
        <v>2013.7485126531999</v>
      </c>
      <c r="M565" s="7">
        <v>3229.4776456247</v>
      </c>
      <c r="N565" s="7">
        <v>2509.9347080954003</v>
      </c>
      <c r="O565" s="7">
        <v>2459.2310642899001</v>
      </c>
      <c r="P565" s="7">
        <v>2140.7016456554002</v>
      </c>
      <c r="Q565" s="7">
        <v>2362.4245329999999</v>
      </c>
      <c r="R565" s="7">
        <v>2758.2625740000003</v>
      </c>
      <c r="S565" s="7"/>
      <c r="T565" s="7"/>
      <c r="U565" s="7"/>
      <c r="V565" s="7"/>
      <c r="W565" s="11">
        <f t="shared" si="9"/>
        <v>20017.162160654203</v>
      </c>
    </row>
    <row r="566" spans="1:23" x14ac:dyDescent="0.2">
      <c r="A566" s="4" t="s">
        <v>571</v>
      </c>
      <c r="B566" s="4" t="s">
        <v>586</v>
      </c>
      <c r="C566" s="4" t="s">
        <v>10</v>
      </c>
      <c r="D566" s="4" t="s">
        <v>11</v>
      </c>
      <c r="E566" s="4" t="s">
        <v>12</v>
      </c>
      <c r="F566" s="4" t="s">
        <v>21</v>
      </c>
      <c r="G566" s="4" t="s">
        <v>22</v>
      </c>
      <c r="H566" s="4" t="s">
        <v>592</v>
      </c>
      <c r="I566" s="4" t="s">
        <v>23</v>
      </c>
      <c r="J566" s="4" t="s">
        <v>23</v>
      </c>
      <c r="K566" s="7">
        <v>19461.145748795501</v>
      </c>
      <c r="L566" s="7">
        <v>18389.1502705333</v>
      </c>
      <c r="M566" s="7">
        <v>14070.5576654694</v>
      </c>
      <c r="N566" s="7">
        <v>18587.9058233656</v>
      </c>
      <c r="O566" s="7">
        <v>16853.937921478901</v>
      </c>
      <c r="P566" s="7">
        <v>24028.3283669472</v>
      </c>
      <c r="Q566" s="7">
        <v>19562.626187999998</v>
      </c>
      <c r="R566" s="7">
        <v>17538.871322999999</v>
      </c>
      <c r="S566" s="7"/>
      <c r="T566" s="7"/>
      <c r="U566" s="7"/>
      <c r="V566" s="7"/>
      <c r="W566" s="11">
        <f t="shared" si="9"/>
        <v>148492.52330758987</v>
      </c>
    </row>
    <row r="567" spans="1:23" x14ac:dyDescent="0.2">
      <c r="A567" s="4" t="s">
        <v>571</v>
      </c>
      <c r="B567" s="4" t="s">
        <v>586</v>
      </c>
      <c r="C567" s="4" t="s">
        <v>10</v>
      </c>
      <c r="D567" s="4" t="s">
        <v>11</v>
      </c>
      <c r="E567" s="4" t="s">
        <v>12</v>
      </c>
      <c r="F567" s="4" t="s">
        <v>125</v>
      </c>
      <c r="G567" s="4" t="s">
        <v>126</v>
      </c>
      <c r="H567" s="4" t="s">
        <v>88</v>
      </c>
      <c r="I567" s="4" t="s">
        <v>127</v>
      </c>
      <c r="J567" s="4" t="s">
        <v>127</v>
      </c>
      <c r="K567" s="7">
        <v>1796.8245183663</v>
      </c>
      <c r="L567" s="7">
        <v>2163.3613477989002</v>
      </c>
      <c r="M567" s="7">
        <v>2147.9603681178</v>
      </c>
      <c r="N567" s="7">
        <v>2908.7053373596</v>
      </c>
      <c r="O567" s="7">
        <v>2833.1416322699997</v>
      </c>
      <c r="P567" s="7">
        <v>3086.3552007665999</v>
      </c>
      <c r="Q567" s="7">
        <v>3100.9306390000002</v>
      </c>
      <c r="R567" s="7">
        <v>3333.1780119999999</v>
      </c>
      <c r="S567" s="7"/>
      <c r="T567" s="7"/>
      <c r="U567" s="7"/>
      <c r="V567" s="7"/>
      <c r="W567" s="11">
        <f t="shared" si="9"/>
        <v>21370.457055679199</v>
      </c>
    </row>
    <row r="568" spans="1:23" x14ac:dyDescent="0.2">
      <c r="A568" s="4" t="s">
        <v>571</v>
      </c>
      <c r="B568" s="4" t="s">
        <v>586</v>
      </c>
      <c r="C568" s="4" t="s">
        <v>10</v>
      </c>
      <c r="D568" s="4" t="s">
        <v>11</v>
      </c>
      <c r="E568" s="4" t="s">
        <v>12</v>
      </c>
      <c r="F568" s="4" t="s">
        <v>128</v>
      </c>
      <c r="G568" s="4" t="s">
        <v>129</v>
      </c>
      <c r="H568" s="4" t="s">
        <v>593</v>
      </c>
      <c r="I568" s="4" t="s">
        <v>130</v>
      </c>
      <c r="J568" s="4" t="s">
        <v>131</v>
      </c>
      <c r="K568" s="7">
        <v>18491.236136477801</v>
      </c>
      <c r="L568" s="7">
        <v>13347.207401105699</v>
      </c>
      <c r="M568" s="7">
        <v>14004.3567765353</v>
      </c>
      <c r="N568" s="7">
        <v>13799.022729489199</v>
      </c>
      <c r="O568" s="7">
        <v>13438.8727687356</v>
      </c>
      <c r="P568" s="7">
        <v>14581.2518164145</v>
      </c>
      <c r="Q568" s="7">
        <v>16146.660593000001</v>
      </c>
      <c r="R568" s="7">
        <v>15911.481471999999</v>
      </c>
      <c r="S568" s="7"/>
      <c r="T568" s="7"/>
      <c r="U568" s="7"/>
      <c r="V568" s="7"/>
      <c r="W568" s="11">
        <f t="shared" ref="W568:W623" si="10">SUM(K568:V568)</f>
        <v>119720.0896937581</v>
      </c>
    </row>
    <row r="569" spans="1:23" x14ac:dyDescent="0.2">
      <c r="A569" s="4" t="s">
        <v>571</v>
      </c>
      <c r="B569" s="4" t="s">
        <v>586</v>
      </c>
      <c r="C569" s="4" t="s">
        <v>10</v>
      </c>
      <c r="D569" s="4" t="s">
        <v>11</v>
      </c>
      <c r="E569" s="4" t="s">
        <v>12</v>
      </c>
      <c r="F569" s="4" t="s">
        <v>134</v>
      </c>
      <c r="G569" s="4" t="s">
        <v>135</v>
      </c>
      <c r="H569" s="4" t="s">
        <v>46</v>
      </c>
      <c r="I569" s="4" t="s">
        <v>52</v>
      </c>
      <c r="J569" s="4" t="s">
        <v>61</v>
      </c>
      <c r="K569" s="7">
        <v>198.8166556125</v>
      </c>
      <c r="L569" s="7">
        <v>145.31235273300001</v>
      </c>
      <c r="M569" s="7">
        <v>155.1796502071</v>
      </c>
      <c r="N569" s="7">
        <v>176.7547041304</v>
      </c>
      <c r="O569" s="7">
        <v>199.87674266120001</v>
      </c>
      <c r="P569" s="7">
        <v>175.60612457970001</v>
      </c>
      <c r="Q569" s="7">
        <v>231.700221</v>
      </c>
      <c r="R569" s="7">
        <v>249.785574</v>
      </c>
      <c r="S569" s="7"/>
      <c r="T569" s="7"/>
      <c r="U569" s="7"/>
      <c r="V569" s="7"/>
      <c r="W569" s="11">
        <f t="shared" si="10"/>
        <v>1533.0320249239001</v>
      </c>
    </row>
    <row r="570" spans="1:23" x14ac:dyDescent="0.2">
      <c r="A570" s="4" t="s">
        <v>571</v>
      </c>
      <c r="B570" s="4" t="s">
        <v>586</v>
      </c>
      <c r="C570" s="4" t="s">
        <v>10</v>
      </c>
      <c r="D570" s="4" t="s">
        <v>11</v>
      </c>
      <c r="E570" s="4" t="s">
        <v>12</v>
      </c>
      <c r="F570" s="4" t="s">
        <v>753</v>
      </c>
      <c r="G570" s="4" t="s">
        <v>754</v>
      </c>
      <c r="H570" s="4" t="s">
        <v>15</v>
      </c>
      <c r="I570" s="4" t="s">
        <v>15</v>
      </c>
      <c r="J570" s="4" t="s">
        <v>755</v>
      </c>
      <c r="K570" s="7">
        <v>8.1696361163999995</v>
      </c>
      <c r="L570" s="7">
        <v>22.9982936593</v>
      </c>
      <c r="M570" s="7">
        <v>23.551179421499999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/>
      <c r="T570" s="7"/>
      <c r="U570" s="7"/>
      <c r="V570" s="7"/>
      <c r="W570" s="11">
        <f t="shared" si="10"/>
        <v>54.719109197199998</v>
      </c>
    </row>
    <row r="571" spans="1:23" x14ac:dyDescent="0.2">
      <c r="A571" s="4" t="s">
        <v>571</v>
      </c>
      <c r="B571" s="4" t="s">
        <v>586</v>
      </c>
      <c r="C571" s="4" t="s">
        <v>10</v>
      </c>
      <c r="D571" s="4" t="s">
        <v>11</v>
      </c>
      <c r="E571" s="4" t="s">
        <v>12</v>
      </c>
      <c r="F571" s="4" t="s">
        <v>518</v>
      </c>
      <c r="G571" s="4" t="s">
        <v>519</v>
      </c>
      <c r="H571" s="4" t="s">
        <v>46</v>
      </c>
      <c r="I571" s="4" t="s">
        <v>52</v>
      </c>
      <c r="J571" s="4" t="s">
        <v>61</v>
      </c>
      <c r="K571" s="7">
        <v>0</v>
      </c>
      <c r="L571" s="7">
        <v>0</v>
      </c>
      <c r="M571" s="7">
        <v>15.542259735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/>
      <c r="T571" s="7"/>
      <c r="U571" s="7"/>
      <c r="V571" s="7"/>
      <c r="W571" s="11">
        <f t="shared" si="10"/>
        <v>15.542259735</v>
      </c>
    </row>
    <row r="572" spans="1:23" x14ac:dyDescent="0.2">
      <c r="A572" s="4" t="s">
        <v>571</v>
      </c>
      <c r="B572" s="4" t="s">
        <v>586</v>
      </c>
      <c r="C572" s="4" t="s">
        <v>10</v>
      </c>
      <c r="D572" s="4" t="s">
        <v>11</v>
      </c>
      <c r="E572" s="4" t="s">
        <v>12</v>
      </c>
      <c r="F572" s="4" t="s">
        <v>35</v>
      </c>
      <c r="G572" s="4" t="s">
        <v>36</v>
      </c>
      <c r="H572" s="4" t="s">
        <v>26</v>
      </c>
      <c r="I572" s="4" t="s">
        <v>26</v>
      </c>
      <c r="J572" s="4" t="s">
        <v>37</v>
      </c>
      <c r="K572" s="7">
        <v>2876.9995596063</v>
      </c>
      <c r="L572" s="7">
        <v>1871.1007798514001</v>
      </c>
      <c r="M572" s="7">
        <v>2752.5370655051001</v>
      </c>
      <c r="N572" s="7">
        <v>2896.8094853092002</v>
      </c>
      <c r="O572" s="7">
        <v>3600.8207648231</v>
      </c>
      <c r="P572" s="7">
        <v>3514.9829912692003</v>
      </c>
      <c r="Q572" s="7">
        <v>3390.2939260000003</v>
      </c>
      <c r="R572" s="7">
        <v>3769.5252289999999</v>
      </c>
      <c r="S572" s="7"/>
      <c r="T572" s="7"/>
      <c r="U572" s="7"/>
      <c r="V572" s="7"/>
      <c r="W572" s="11">
        <f t="shared" si="10"/>
        <v>24673.069801364298</v>
      </c>
    </row>
    <row r="573" spans="1:23" x14ac:dyDescent="0.2">
      <c r="A573" s="4" t="s">
        <v>571</v>
      </c>
      <c r="B573" s="4" t="s">
        <v>586</v>
      </c>
      <c r="C573" s="4" t="s">
        <v>10</v>
      </c>
      <c r="D573" s="4" t="s">
        <v>11</v>
      </c>
      <c r="E573" s="4" t="s">
        <v>12</v>
      </c>
      <c r="F573" s="4" t="s">
        <v>167</v>
      </c>
      <c r="G573" s="4" t="s">
        <v>168</v>
      </c>
      <c r="H573" s="4" t="s">
        <v>88</v>
      </c>
      <c r="I573" s="4" t="s">
        <v>88</v>
      </c>
      <c r="J573" s="4" t="s">
        <v>169</v>
      </c>
      <c r="K573" s="7">
        <v>4403.0038269836004</v>
      </c>
      <c r="L573" s="7">
        <v>4140.7337116428998</v>
      </c>
      <c r="M573" s="7">
        <v>4902.9094819381999</v>
      </c>
      <c r="N573" s="7">
        <v>5197.2024928943001</v>
      </c>
      <c r="O573" s="7">
        <v>3634.230387181</v>
      </c>
      <c r="P573" s="7">
        <v>4962.3444937622999</v>
      </c>
      <c r="Q573" s="7">
        <v>5176.0409309999995</v>
      </c>
      <c r="R573" s="7">
        <v>5071.011332</v>
      </c>
      <c r="S573" s="7"/>
      <c r="T573" s="7"/>
      <c r="U573" s="7"/>
      <c r="V573" s="7"/>
      <c r="W573" s="11">
        <f t="shared" si="10"/>
        <v>37487.476657402301</v>
      </c>
    </row>
    <row r="574" spans="1:23" x14ac:dyDescent="0.2">
      <c r="A574" s="4" t="s">
        <v>571</v>
      </c>
      <c r="B574" s="4" t="s">
        <v>586</v>
      </c>
      <c r="C574" s="4" t="s">
        <v>10</v>
      </c>
      <c r="D574" s="4" t="s">
        <v>11</v>
      </c>
      <c r="E574" s="4" t="s">
        <v>12</v>
      </c>
      <c r="F574" s="4" t="s">
        <v>38</v>
      </c>
      <c r="G574" s="4" t="s">
        <v>39</v>
      </c>
      <c r="H574" s="4" t="s">
        <v>26</v>
      </c>
      <c r="I574" s="4" t="s">
        <v>26</v>
      </c>
      <c r="J574" s="4" t="s">
        <v>37</v>
      </c>
      <c r="K574" s="7">
        <v>8389.8665765385995</v>
      </c>
      <c r="L574" s="7">
        <v>7870.4557664091999</v>
      </c>
      <c r="M574" s="7">
        <v>11222.3786217169</v>
      </c>
      <c r="N574" s="7">
        <v>11846.307353293299</v>
      </c>
      <c r="O574" s="7">
        <v>11624.3908421496</v>
      </c>
      <c r="P574" s="7">
        <v>12170.377517298999</v>
      </c>
      <c r="Q574" s="7">
        <v>11189.458528000001</v>
      </c>
      <c r="R574" s="7">
        <v>12471.289147</v>
      </c>
      <c r="S574" s="7"/>
      <c r="T574" s="7"/>
      <c r="U574" s="7"/>
      <c r="V574" s="7"/>
      <c r="W574" s="11">
        <f t="shared" si="10"/>
        <v>86784.524352406603</v>
      </c>
    </row>
    <row r="575" spans="1:23" x14ac:dyDescent="0.2">
      <c r="A575" s="4" t="s">
        <v>571</v>
      </c>
      <c r="B575" s="4" t="s">
        <v>586</v>
      </c>
      <c r="C575" s="4" t="s">
        <v>10</v>
      </c>
      <c r="D575" s="4" t="s">
        <v>11</v>
      </c>
      <c r="E575" s="4" t="s">
        <v>12</v>
      </c>
      <c r="F575" s="4" t="s">
        <v>136</v>
      </c>
      <c r="G575" s="4" t="s">
        <v>137</v>
      </c>
      <c r="H575" s="4" t="s">
        <v>54</v>
      </c>
      <c r="I575" s="4" t="s">
        <v>138</v>
      </c>
      <c r="J575" s="4" t="s">
        <v>139</v>
      </c>
      <c r="K575" s="7">
        <v>7865.9044444087003</v>
      </c>
      <c r="L575" s="7">
        <v>7964.7351199983004</v>
      </c>
      <c r="M575" s="7">
        <v>7861.0902482635001</v>
      </c>
      <c r="N575" s="7">
        <v>10657.1659139939</v>
      </c>
      <c r="O575" s="7">
        <v>9609.4826208107988</v>
      </c>
      <c r="P575" s="7">
        <v>8444.9880431114998</v>
      </c>
      <c r="Q575" s="7">
        <v>9900.6951420000005</v>
      </c>
      <c r="R575" s="7">
        <v>9522.5832379999993</v>
      </c>
      <c r="S575" s="7"/>
      <c r="T575" s="7"/>
      <c r="U575" s="7"/>
      <c r="V575" s="7"/>
      <c r="W575" s="11">
        <f t="shared" si="10"/>
        <v>71826.644770586689</v>
      </c>
    </row>
    <row r="576" spans="1:23" x14ac:dyDescent="0.2">
      <c r="A576" s="4" t="s">
        <v>571</v>
      </c>
      <c r="B576" s="4" t="s">
        <v>586</v>
      </c>
      <c r="C576" s="4" t="s">
        <v>10</v>
      </c>
      <c r="D576" s="4" t="s">
        <v>11</v>
      </c>
      <c r="E576" s="4" t="s">
        <v>12</v>
      </c>
      <c r="F576" s="4" t="s">
        <v>40</v>
      </c>
      <c r="G576" s="4" t="s">
        <v>41</v>
      </c>
      <c r="H576" s="4" t="s">
        <v>591</v>
      </c>
      <c r="I576" s="4" t="s">
        <v>42</v>
      </c>
      <c r="J576" s="4" t="s">
        <v>43</v>
      </c>
      <c r="K576" s="7">
        <v>1274.8128863889001</v>
      </c>
      <c r="L576" s="7">
        <v>1294.9893662553</v>
      </c>
      <c r="M576" s="7">
        <v>1356.9577708866</v>
      </c>
      <c r="N576" s="7">
        <v>1032.3749189411001</v>
      </c>
      <c r="O576" s="7">
        <v>1367.731416522</v>
      </c>
      <c r="P576" s="7">
        <v>1537.3445841469998</v>
      </c>
      <c r="Q576" s="7">
        <v>1160.8365840000001</v>
      </c>
      <c r="R576" s="7">
        <v>1473.2350429999999</v>
      </c>
      <c r="S576" s="7"/>
      <c r="T576" s="7"/>
      <c r="U576" s="7"/>
      <c r="V576" s="7"/>
      <c r="W576" s="11">
        <f t="shared" si="10"/>
        <v>10498.282570140902</v>
      </c>
    </row>
    <row r="577" spans="1:23" x14ac:dyDescent="0.2">
      <c r="A577" s="4" t="s">
        <v>571</v>
      </c>
      <c r="B577" s="4" t="s">
        <v>586</v>
      </c>
      <c r="C577" s="4" t="s">
        <v>10</v>
      </c>
      <c r="D577" s="4" t="s">
        <v>11</v>
      </c>
      <c r="E577" s="4" t="s">
        <v>12</v>
      </c>
      <c r="F577" s="4" t="s">
        <v>140</v>
      </c>
      <c r="G577" s="4" t="s">
        <v>141</v>
      </c>
      <c r="H577" s="4" t="s">
        <v>15</v>
      </c>
      <c r="I577" s="4" t="s">
        <v>142</v>
      </c>
      <c r="J577" s="4" t="s">
        <v>143</v>
      </c>
      <c r="K577" s="7">
        <v>2104.8247913178998</v>
      </c>
      <c r="L577" s="7">
        <v>1315.9558769217999</v>
      </c>
      <c r="M577" s="7">
        <v>2093.0983130640002</v>
      </c>
      <c r="N577" s="7">
        <v>2115.7600319569001</v>
      </c>
      <c r="O577" s="7">
        <v>2422.9926276797</v>
      </c>
      <c r="P577" s="7">
        <v>2288.8727506701998</v>
      </c>
      <c r="Q577" s="7">
        <v>1954.398475</v>
      </c>
      <c r="R577" s="7">
        <v>1238.5298680000001</v>
      </c>
      <c r="S577" s="7"/>
      <c r="T577" s="7"/>
      <c r="U577" s="7"/>
      <c r="V577" s="7"/>
      <c r="W577" s="11">
        <f t="shared" si="10"/>
        <v>15534.4327346105</v>
      </c>
    </row>
    <row r="578" spans="1:23" x14ac:dyDescent="0.2">
      <c r="A578" s="4" t="s">
        <v>571</v>
      </c>
      <c r="B578" s="4" t="s">
        <v>586</v>
      </c>
      <c r="C578" s="4" t="s">
        <v>10</v>
      </c>
      <c r="D578" s="4" t="s">
        <v>11</v>
      </c>
      <c r="E578" s="4" t="s">
        <v>12</v>
      </c>
      <c r="F578" s="4" t="s">
        <v>144</v>
      </c>
      <c r="G578" s="4" t="s">
        <v>145</v>
      </c>
      <c r="H578" s="4" t="s">
        <v>26</v>
      </c>
      <c r="I578" s="4" t="s">
        <v>26</v>
      </c>
      <c r="J578" s="4" t="s">
        <v>85</v>
      </c>
      <c r="K578" s="7">
        <v>6251.2535355737</v>
      </c>
      <c r="L578" s="7">
        <v>6313.8337564806998</v>
      </c>
      <c r="M578" s="7">
        <v>6964.7066518345</v>
      </c>
      <c r="N578" s="7">
        <v>7077.3694494751999</v>
      </c>
      <c r="O578" s="7">
        <v>6966.3558063869996</v>
      </c>
      <c r="P578" s="7">
        <v>6558.1148291871004</v>
      </c>
      <c r="Q578" s="7">
        <v>7597.4952150000008</v>
      </c>
      <c r="R578" s="7">
        <v>7972.9253049999998</v>
      </c>
      <c r="S578" s="7"/>
      <c r="T578" s="7"/>
      <c r="U578" s="7"/>
      <c r="V578" s="7"/>
      <c r="W578" s="11">
        <f t="shared" si="10"/>
        <v>55702.054548938198</v>
      </c>
    </row>
    <row r="579" spans="1:23" x14ac:dyDescent="0.2">
      <c r="A579" s="4" t="s">
        <v>571</v>
      </c>
      <c r="B579" s="4" t="s">
        <v>586</v>
      </c>
      <c r="C579" s="4" t="s">
        <v>10</v>
      </c>
      <c r="D579" s="4" t="s">
        <v>11</v>
      </c>
      <c r="E579" s="4" t="s">
        <v>12</v>
      </c>
      <c r="F579" s="4" t="s">
        <v>862</v>
      </c>
      <c r="G579" s="4" t="s">
        <v>863</v>
      </c>
      <c r="H579" s="4" t="s">
        <v>592</v>
      </c>
      <c r="I579" s="4" t="s">
        <v>864</v>
      </c>
      <c r="J579" s="4" t="s">
        <v>865</v>
      </c>
      <c r="K579" s="7">
        <v>0</v>
      </c>
      <c r="L579" s="7">
        <v>0</v>
      </c>
      <c r="M579" s="7">
        <v>0</v>
      </c>
      <c r="N579" s="7">
        <v>96.4150551643</v>
      </c>
      <c r="O579" s="7">
        <v>0</v>
      </c>
      <c r="P579" s="7">
        <v>0</v>
      </c>
      <c r="Q579" s="7">
        <v>12.807620999999999</v>
      </c>
      <c r="R579" s="7">
        <v>24.140309999999999</v>
      </c>
      <c r="S579" s="7"/>
      <c r="T579" s="7"/>
      <c r="U579" s="7"/>
      <c r="V579" s="7"/>
      <c r="W579" s="11">
        <f t="shared" si="10"/>
        <v>133.3629861643</v>
      </c>
    </row>
    <row r="580" spans="1:23" x14ac:dyDescent="0.2">
      <c r="A580" s="4" t="s">
        <v>571</v>
      </c>
      <c r="B580" s="4" t="s">
        <v>586</v>
      </c>
      <c r="C580" s="4" t="s">
        <v>10</v>
      </c>
      <c r="D580" s="4" t="s">
        <v>11</v>
      </c>
      <c r="E580" s="4" t="s">
        <v>12</v>
      </c>
      <c r="F580" s="4" t="s">
        <v>638</v>
      </c>
      <c r="G580" s="4" t="s">
        <v>639</v>
      </c>
      <c r="H580" s="4" t="s">
        <v>46</v>
      </c>
      <c r="I580" s="4" t="s">
        <v>455</v>
      </c>
      <c r="J580" s="4" t="s">
        <v>640</v>
      </c>
      <c r="K580" s="7">
        <v>1687.6767372713</v>
      </c>
      <c r="L580" s="7">
        <v>1693.2718638680999</v>
      </c>
      <c r="M580" s="7">
        <v>2874.4988649511001</v>
      </c>
      <c r="N580" s="7">
        <v>3102.2622613246999</v>
      </c>
      <c r="O580" s="7">
        <v>1960.4070765361</v>
      </c>
      <c r="P580" s="7">
        <v>3386.1771201991</v>
      </c>
      <c r="Q580" s="7">
        <v>2876.8522899183499</v>
      </c>
      <c r="R580" s="7">
        <v>3647.0698609999999</v>
      </c>
      <c r="S580" s="7"/>
      <c r="T580" s="7"/>
      <c r="U580" s="7"/>
      <c r="V580" s="7"/>
      <c r="W580" s="11">
        <f t="shared" si="10"/>
        <v>21228.216075068751</v>
      </c>
    </row>
    <row r="581" spans="1:23" x14ac:dyDescent="0.2">
      <c r="A581" s="4" t="s">
        <v>571</v>
      </c>
      <c r="B581" s="4" t="s">
        <v>586</v>
      </c>
      <c r="C581" s="4" t="s">
        <v>10</v>
      </c>
      <c r="D581" s="4" t="s">
        <v>11</v>
      </c>
      <c r="E581" s="4" t="s">
        <v>12</v>
      </c>
      <c r="F581" s="4" t="s">
        <v>148</v>
      </c>
      <c r="G581" s="4" t="s">
        <v>686</v>
      </c>
      <c r="H581" s="4" t="s">
        <v>592</v>
      </c>
      <c r="I581" s="4" t="s">
        <v>23</v>
      </c>
      <c r="J581" s="4" t="s">
        <v>23</v>
      </c>
      <c r="K581" s="7">
        <v>5432.964999795</v>
      </c>
      <c r="L581" s="7">
        <v>5432.964999795</v>
      </c>
      <c r="M581" s="7">
        <v>8491.4622516880008</v>
      </c>
      <c r="N581" s="7">
        <v>7719.0574607472008</v>
      </c>
      <c r="O581" s="7">
        <v>6227.9681817059991</v>
      </c>
      <c r="P581" s="7">
        <v>8754.2087205090993</v>
      </c>
      <c r="Q581" s="7">
        <v>3961.9174809999995</v>
      </c>
      <c r="R581" s="7">
        <v>10862.140828</v>
      </c>
      <c r="S581" s="7"/>
      <c r="T581" s="7"/>
      <c r="U581" s="7"/>
      <c r="V581" s="7"/>
      <c r="W581" s="11">
        <f t="shared" si="10"/>
        <v>56882.684923240304</v>
      </c>
    </row>
    <row r="582" spans="1:23" x14ac:dyDescent="0.2">
      <c r="A582" s="4" t="s">
        <v>571</v>
      </c>
      <c r="B582" s="4" t="s">
        <v>586</v>
      </c>
      <c r="C582" s="4" t="s">
        <v>10</v>
      </c>
      <c r="D582" s="4" t="s">
        <v>11</v>
      </c>
      <c r="E582" s="4" t="s">
        <v>12</v>
      </c>
      <c r="F582" s="4" t="s">
        <v>152</v>
      </c>
      <c r="G582" s="4" t="s">
        <v>153</v>
      </c>
      <c r="H582" s="4" t="s">
        <v>88</v>
      </c>
      <c r="I582" s="4" t="s">
        <v>154</v>
      </c>
      <c r="J582" s="4" t="s">
        <v>155</v>
      </c>
      <c r="K582" s="7">
        <v>5150.4101029035</v>
      </c>
      <c r="L582" s="7">
        <v>4855.1748174042004</v>
      </c>
      <c r="M582" s="7">
        <v>2965.1259014812003</v>
      </c>
      <c r="N582" s="7">
        <v>3184.3215019322997</v>
      </c>
      <c r="O582" s="7">
        <v>3175.3363366966</v>
      </c>
      <c r="P582" s="7">
        <v>4009.8534763603002</v>
      </c>
      <c r="Q582" s="7">
        <v>3362.1986150000002</v>
      </c>
      <c r="R582" s="7">
        <v>3346.7327529999998</v>
      </c>
      <c r="S582" s="7"/>
      <c r="T582" s="7"/>
      <c r="U582" s="7"/>
      <c r="V582" s="7"/>
      <c r="W582" s="11">
        <f t="shared" si="10"/>
        <v>30049.153504778104</v>
      </c>
    </row>
    <row r="583" spans="1:23" x14ac:dyDescent="0.2">
      <c r="A583" s="4" t="s">
        <v>571</v>
      </c>
      <c r="B583" s="4" t="s">
        <v>586</v>
      </c>
      <c r="C583" s="4" t="s">
        <v>10</v>
      </c>
      <c r="D583" s="4" t="s">
        <v>11</v>
      </c>
      <c r="E583" s="4" t="s">
        <v>12</v>
      </c>
      <c r="F583" s="4" t="s">
        <v>24</v>
      </c>
      <c r="G583" s="4" t="s">
        <v>25</v>
      </c>
      <c r="H583" s="4" t="s">
        <v>26</v>
      </c>
      <c r="I583" s="4" t="s">
        <v>26</v>
      </c>
      <c r="J583" s="4" t="s">
        <v>27</v>
      </c>
      <c r="K583" s="7">
        <v>9058.0383772081004</v>
      </c>
      <c r="L583" s="7">
        <v>5858.5835330501995</v>
      </c>
      <c r="M583" s="7">
        <v>3985.4403035797</v>
      </c>
      <c r="N583" s="7">
        <v>3421.2730241477998</v>
      </c>
      <c r="O583" s="7">
        <v>3900.0289509172999</v>
      </c>
      <c r="P583" s="7">
        <v>5750.8708584141004</v>
      </c>
      <c r="Q583" s="7">
        <v>3934.3451380000001</v>
      </c>
      <c r="R583" s="7">
        <v>4244.0307270000003</v>
      </c>
      <c r="S583" s="7"/>
      <c r="T583" s="7"/>
      <c r="U583" s="7"/>
      <c r="V583" s="7"/>
      <c r="W583" s="11">
        <f t="shared" si="10"/>
        <v>40152.610912317192</v>
      </c>
    </row>
    <row r="584" spans="1:23" x14ac:dyDescent="0.2">
      <c r="A584" s="4" t="s">
        <v>571</v>
      </c>
      <c r="B584" s="4" t="s">
        <v>586</v>
      </c>
      <c r="C584" s="4" t="s">
        <v>10</v>
      </c>
      <c r="D584" s="4" t="s">
        <v>11</v>
      </c>
      <c r="E584" s="4" t="s">
        <v>12</v>
      </c>
      <c r="F584" s="4" t="s">
        <v>156</v>
      </c>
      <c r="G584" s="4" t="s">
        <v>157</v>
      </c>
      <c r="H584" s="4" t="s">
        <v>68</v>
      </c>
      <c r="I584" s="4" t="s">
        <v>69</v>
      </c>
      <c r="J584" s="4" t="s">
        <v>70</v>
      </c>
      <c r="K584" s="7">
        <v>6562.6054592843002</v>
      </c>
      <c r="L584" s="7">
        <v>6096.8467601108996</v>
      </c>
      <c r="M584" s="7">
        <v>6491.1606470137003</v>
      </c>
      <c r="N584" s="7">
        <v>7300.5300054489999</v>
      </c>
      <c r="O584" s="7">
        <v>6509.1862548953004</v>
      </c>
      <c r="P584" s="7">
        <v>6611.0345568381999</v>
      </c>
      <c r="Q584" s="7">
        <v>6548.3075509999999</v>
      </c>
      <c r="R584" s="7">
        <v>6714.165704</v>
      </c>
      <c r="S584" s="7"/>
      <c r="T584" s="7"/>
      <c r="U584" s="7"/>
      <c r="V584" s="7"/>
      <c r="W584" s="11">
        <f t="shared" si="10"/>
        <v>52833.836938591405</v>
      </c>
    </row>
    <row r="585" spans="1:23" x14ac:dyDescent="0.2">
      <c r="A585" s="4" t="s">
        <v>571</v>
      </c>
      <c r="B585" s="4" t="s">
        <v>586</v>
      </c>
      <c r="C585" s="4" t="s">
        <v>10</v>
      </c>
      <c r="D585" s="4" t="s">
        <v>11</v>
      </c>
      <c r="E585" s="4" t="s">
        <v>12</v>
      </c>
      <c r="F585" s="4" t="s">
        <v>156</v>
      </c>
      <c r="G585" s="4" t="s">
        <v>158</v>
      </c>
      <c r="H585" s="4" t="s">
        <v>159</v>
      </c>
      <c r="I585" s="4" t="s">
        <v>160</v>
      </c>
      <c r="J585" s="4" t="s">
        <v>161</v>
      </c>
      <c r="K585" s="7">
        <v>7912.7638403087003</v>
      </c>
      <c r="L585" s="7">
        <v>7160.3122236884001</v>
      </c>
      <c r="M585" s="7">
        <v>7549.0793582056003</v>
      </c>
      <c r="N585" s="7">
        <v>7571.4531217321</v>
      </c>
      <c r="O585" s="7">
        <v>7729.1425233047003</v>
      </c>
      <c r="P585" s="7">
        <v>6048.0923671555001</v>
      </c>
      <c r="Q585" s="7">
        <v>7329.8705980000004</v>
      </c>
      <c r="R585" s="7">
        <v>6757.2763949999999</v>
      </c>
      <c r="S585" s="7"/>
      <c r="T585" s="7"/>
      <c r="U585" s="7"/>
      <c r="V585" s="7"/>
      <c r="W585" s="11">
        <f t="shared" si="10"/>
        <v>58057.990427395001</v>
      </c>
    </row>
    <row r="586" spans="1:23" x14ac:dyDescent="0.2">
      <c r="A586" s="4" t="s">
        <v>571</v>
      </c>
      <c r="B586" s="4" t="s">
        <v>586</v>
      </c>
      <c r="C586" s="4" t="s">
        <v>10</v>
      </c>
      <c r="D586" s="4" t="s">
        <v>11</v>
      </c>
      <c r="E586" s="4" t="s">
        <v>12</v>
      </c>
      <c r="F586" s="4" t="s">
        <v>162</v>
      </c>
      <c r="G586" s="4" t="s">
        <v>163</v>
      </c>
      <c r="H586" s="4" t="s">
        <v>592</v>
      </c>
      <c r="I586" s="4" t="s">
        <v>23</v>
      </c>
      <c r="J586" s="4" t="s">
        <v>164</v>
      </c>
      <c r="K586" s="7">
        <v>3912.3483701557998</v>
      </c>
      <c r="L586" s="7">
        <v>4081.2100899510997</v>
      </c>
      <c r="M586" s="7">
        <v>5591.0052524619005</v>
      </c>
      <c r="N586" s="7">
        <v>4638.3858216000999</v>
      </c>
      <c r="O586" s="7">
        <v>4515.0710629946007</v>
      </c>
      <c r="P586" s="7">
        <v>4323.1607453829001</v>
      </c>
      <c r="Q586" s="7">
        <v>4927.2378189999999</v>
      </c>
      <c r="R586" s="7">
        <v>5362.6761019999994</v>
      </c>
      <c r="S586" s="7"/>
      <c r="T586" s="7"/>
      <c r="U586" s="7"/>
      <c r="V586" s="7"/>
      <c r="W586" s="11">
        <f t="shared" si="10"/>
        <v>37351.095263546398</v>
      </c>
    </row>
    <row r="587" spans="1:23" x14ac:dyDescent="0.2">
      <c r="A587" s="4" t="s">
        <v>571</v>
      </c>
      <c r="B587" s="4" t="s">
        <v>586</v>
      </c>
      <c r="C587" s="4" t="s">
        <v>10</v>
      </c>
      <c r="D587" s="4" t="s">
        <v>11</v>
      </c>
      <c r="E587" s="4" t="s">
        <v>12</v>
      </c>
      <c r="F587" s="4" t="s">
        <v>162</v>
      </c>
      <c r="G587" s="4" t="s">
        <v>165</v>
      </c>
      <c r="H587" s="4" t="s">
        <v>592</v>
      </c>
      <c r="I587" s="4" t="s">
        <v>23</v>
      </c>
      <c r="J587" s="4" t="s">
        <v>23</v>
      </c>
      <c r="K587" s="7">
        <v>7262.8336234202998</v>
      </c>
      <c r="L587" s="7">
        <v>8315.4413896905007</v>
      </c>
      <c r="M587" s="7">
        <v>10359.5981434203</v>
      </c>
      <c r="N587" s="7">
        <v>9541.2752857448995</v>
      </c>
      <c r="O587" s="7">
        <v>10149.2377924761</v>
      </c>
      <c r="P587" s="7">
        <v>9525.8645485610996</v>
      </c>
      <c r="Q587" s="7">
        <v>9798.0161829999997</v>
      </c>
      <c r="R587" s="7">
        <v>8947.6526109999995</v>
      </c>
      <c r="S587" s="7"/>
      <c r="T587" s="7"/>
      <c r="U587" s="7"/>
      <c r="V587" s="7"/>
      <c r="W587" s="11">
        <f t="shared" si="10"/>
        <v>73899.919577313209</v>
      </c>
    </row>
    <row r="588" spans="1:23" x14ac:dyDescent="0.2">
      <c r="A588" s="4" t="s">
        <v>571</v>
      </c>
      <c r="B588" s="4" t="s">
        <v>586</v>
      </c>
      <c r="C588" s="4" t="s">
        <v>10</v>
      </c>
      <c r="D588" s="4" t="s">
        <v>28</v>
      </c>
      <c r="E588" s="4" t="s">
        <v>29</v>
      </c>
      <c r="F588" s="4" t="s">
        <v>597</v>
      </c>
      <c r="G588" s="4" t="s">
        <v>227</v>
      </c>
      <c r="H588" s="4" t="s">
        <v>46</v>
      </c>
      <c r="I588" s="4" t="s">
        <v>52</v>
      </c>
      <c r="J588" s="4" t="s">
        <v>53</v>
      </c>
      <c r="K588" s="7">
        <v>101.2175564023</v>
      </c>
      <c r="L588" s="7">
        <v>100.3929254725</v>
      </c>
      <c r="M588" s="7">
        <v>80.862819088600006</v>
      </c>
      <c r="N588" s="7">
        <v>96.466111521499997</v>
      </c>
      <c r="O588" s="7">
        <v>140.12520661619999</v>
      </c>
      <c r="P588" s="7">
        <v>179.39785613079999</v>
      </c>
      <c r="Q588" s="7">
        <v>185.25075200000001</v>
      </c>
      <c r="R588" s="7">
        <v>152.512632</v>
      </c>
      <c r="S588" s="7"/>
      <c r="T588" s="7"/>
      <c r="U588" s="7"/>
      <c r="V588" s="7"/>
      <c r="W588" s="11">
        <f t="shared" si="10"/>
        <v>1036.2258592319001</v>
      </c>
    </row>
    <row r="589" spans="1:23" x14ac:dyDescent="0.2">
      <c r="A589" s="4" t="s">
        <v>571</v>
      </c>
      <c r="B589" s="4" t="s">
        <v>586</v>
      </c>
      <c r="C589" s="4" t="s">
        <v>10</v>
      </c>
      <c r="D589" s="4" t="s">
        <v>28</v>
      </c>
      <c r="E589" s="4" t="s">
        <v>29</v>
      </c>
      <c r="F589" s="4" t="s">
        <v>596</v>
      </c>
      <c r="G589" s="4" t="s">
        <v>182</v>
      </c>
      <c r="H589" s="4" t="s">
        <v>593</v>
      </c>
      <c r="I589" s="4" t="s">
        <v>183</v>
      </c>
      <c r="J589" s="4" t="s">
        <v>184</v>
      </c>
      <c r="K589" s="7">
        <v>35.999947902199999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12.999981</v>
      </c>
      <c r="R589" s="7">
        <v>12.599981</v>
      </c>
      <c r="S589" s="7"/>
      <c r="T589" s="7"/>
      <c r="U589" s="7"/>
      <c r="V589" s="7"/>
      <c r="W589" s="11">
        <f t="shared" si="10"/>
        <v>61.599909902199997</v>
      </c>
    </row>
    <row r="590" spans="1:23" x14ac:dyDescent="0.2">
      <c r="A590" s="4" t="s">
        <v>571</v>
      </c>
      <c r="B590" s="4" t="s">
        <v>586</v>
      </c>
      <c r="C590" s="4" t="s">
        <v>10</v>
      </c>
      <c r="D590" s="4" t="s">
        <v>28</v>
      </c>
      <c r="E590" s="4" t="s">
        <v>29</v>
      </c>
      <c r="F590" s="4" t="s">
        <v>906</v>
      </c>
      <c r="G590" s="4" t="s">
        <v>907</v>
      </c>
      <c r="H590" s="4" t="s">
        <v>15</v>
      </c>
      <c r="I590" s="4" t="s">
        <v>908</v>
      </c>
      <c r="J590" s="4" t="s">
        <v>909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135.11610438389999</v>
      </c>
      <c r="Q590" s="7">
        <v>0</v>
      </c>
      <c r="R590" s="7">
        <v>54.182206000000001</v>
      </c>
      <c r="S590" s="7"/>
      <c r="T590" s="7"/>
      <c r="U590" s="7"/>
      <c r="V590" s="7"/>
      <c r="W590" s="11">
        <f t="shared" si="10"/>
        <v>189.2983103839</v>
      </c>
    </row>
    <row r="591" spans="1:23" x14ac:dyDescent="0.2">
      <c r="A591" s="4" t="s">
        <v>571</v>
      </c>
      <c r="B591" s="4" t="s">
        <v>586</v>
      </c>
      <c r="C591" s="4" t="s">
        <v>10</v>
      </c>
      <c r="D591" s="4" t="s">
        <v>28</v>
      </c>
      <c r="E591" s="4" t="s">
        <v>29</v>
      </c>
      <c r="F591" s="4" t="s">
        <v>30</v>
      </c>
      <c r="G591" s="4" t="s">
        <v>31</v>
      </c>
      <c r="H591" s="4" t="s">
        <v>32</v>
      </c>
      <c r="I591" s="4" t="s">
        <v>33</v>
      </c>
      <c r="J591" s="4" t="s">
        <v>34</v>
      </c>
      <c r="K591" s="7">
        <v>206.78586714490001</v>
      </c>
      <c r="L591" s="7">
        <v>122.46060901440001</v>
      </c>
      <c r="M591" s="7">
        <v>148.31972862449999</v>
      </c>
      <c r="N591" s="7">
        <v>91.601916537199997</v>
      </c>
      <c r="O591" s="7">
        <v>111.2191904149</v>
      </c>
      <c r="P591" s="7">
        <v>84.063366855500007</v>
      </c>
      <c r="Q591" s="7">
        <v>215.86901499999999</v>
      </c>
      <c r="R591" s="7">
        <v>145.145929</v>
      </c>
      <c r="S591" s="7"/>
      <c r="T591" s="7"/>
      <c r="U591" s="7"/>
      <c r="V591" s="7"/>
      <c r="W591" s="11">
        <f t="shared" si="10"/>
        <v>1125.4656225914</v>
      </c>
    </row>
    <row r="592" spans="1:23" x14ac:dyDescent="0.2">
      <c r="A592" s="4" t="s">
        <v>571</v>
      </c>
      <c r="B592" s="4" t="s">
        <v>586</v>
      </c>
      <c r="C592" s="4" t="s">
        <v>10</v>
      </c>
      <c r="D592" s="4" t="s">
        <v>28</v>
      </c>
      <c r="E592" s="4" t="s">
        <v>29</v>
      </c>
      <c r="F592" s="4" t="s">
        <v>756</v>
      </c>
      <c r="G592" s="4" t="s">
        <v>757</v>
      </c>
      <c r="H592" s="4" t="s">
        <v>88</v>
      </c>
      <c r="I592" s="4" t="s">
        <v>111</v>
      </c>
      <c r="J592" s="4" t="s">
        <v>758</v>
      </c>
      <c r="K592" s="7">
        <v>0</v>
      </c>
      <c r="L592" s="7">
        <v>648.88073383610003</v>
      </c>
      <c r="M592" s="7">
        <v>1.3684161257</v>
      </c>
      <c r="N592" s="7">
        <v>139.84123187259999</v>
      </c>
      <c r="O592" s="7">
        <v>24.828350387499999</v>
      </c>
      <c r="P592" s="7">
        <v>0</v>
      </c>
      <c r="Q592" s="7">
        <v>126.47544499999999</v>
      </c>
      <c r="R592" s="7">
        <v>194.44960599999999</v>
      </c>
      <c r="S592" s="7"/>
      <c r="T592" s="7"/>
      <c r="U592" s="7"/>
      <c r="V592" s="7"/>
      <c r="W592" s="11">
        <f t="shared" si="10"/>
        <v>1135.8437832219001</v>
      </c>
    </row>
    <row r="593" spans="1:23" x14ac:dyDescent="0.2">
      <c r="A593" s="4" t="s">
        <v>571</v>
      </c>
      <c r="B593" s="4" t="s">
        <v>586</v>
      </c>
      <c r="C593" s="4" t="s">
        <v>10</v>
      </c>
      <c r="D593" s="4" t="s">
        <v>28</v>
      </c>
      <c r="E593" s="4" t="s">
        <v>29</v>
      </c>
      <c r="F593" s="4" t="s">
        <v>756</v>
      </c>
      <c r="G593" s="4" t="s">
        <v>759</v>
      </c>
      <c r="H593" s="4" t="s">
        <v>88</v>
      </c>
      <c r="I593" s="4" t="s">
        <v>111</v>
      </c>
      <c r="J593" s="4" t="s">
        <v>111</v>
      </c>
      <c r="K593" s="7">
        <v>0</v>
      </c>
      <c r="L593" s="7">
        <v>0.97975952050000004</v>
      </c>
      <c r="M593" s="7">
        <v>2.4880293193999998</v>
      </c>
      <c r="N593" s="7">
        <v>0.84601457000000002</v>
      </c>
      <c r="O593" s="7">
        <v>1.0606285602000001</v>
      </c>
      <c r="P593" s="7">
        <v>0</v>
      </c>
      <c r="Q593" s="7">
        <v>1.06436</v>
      </c>
      <c r="R593" s="7">
        <v>1.2939039999999999</v>
      </c>
      <c r="S593" s="7"/>
      <c r="T593" s="7"/>
      <c r="U593" s="7"/>
      <c r="V593" s="7"/>
      <c r="W593" s="11">
        <f t="shared" si="10"/>
        <v>7.7326959701</v>
      </c>
    </row>
    <row r="594" spans="1:23" x14ac:dyDescent="0.2">
      <c r="A594" s="4" t="s">
        <v>571</v>
      </c>
      <c r="B594" s="4" t="s">
        <v>586</v>
      </c>
      <c r="C594" s="4" t="s">
        <v>10</v>
      </c>
      <c r="D594" s="4" t="s">
        <v>28</v>
      </c>
      <c r="E594" s="4" t="s">
        <v>29</v>
      </c>
      <c r="F594" s="4" t="s">
        <v>756</v>
      </c>
      <c r="G594" s="4" t="s">
        <v>760</v>
      </c>
      <c r="H594" s="4" t="s">
        <v>88</v>
      </c>
      <c r="I594" s="4" t="s">
        <v>111</v>
      </c>
      <c r="J594" s="4" t="s">
        <v>758</v>
      </c>
      <c r="K594" s="7">
        <v>0</v>
      </c>
      <c r="L594" s="7">
        <v>0.97975952050000004</v>
      </c>
      <c r="M594" s="7">
        <v>595.32321539589998</v>
      </c>
      <c r="N594" s="7">
        <v>366.87173002319997</v>
      </c>
      <c r="O594" s="7">
        <v>566.9059654504</v>
      </c>
      <c r="P594" s="7">
        <v>0</v>
      </c>
      <c r="Q594" s="7">
        <v>366.61730299999999</v>
      </c>
      <c r="R594" s="7">
        <v>395.32830000000001</v>
      </c>
      <c r="S594" s="7"/>
      <c r="T594" s="7"/>
      <c r="U594" s="7"/>
      <c r="V594" s="7"/>
      <c r="W594" s="11">
        <f t="shared" si="10"/>
        <v>2292.0262733899999</v>
      </c>
    </row>
    <row r="595" spans="1:23" x14ac:dyDescent="0.2">
      <c r="A595" s="4" t="s">
        <v>571</v>
      </c>
      <c r="B595" s="4" t="s">
        <v>586</v>
      </c>
      <c r="C595" s="4" t="s">
        <v>10</v>
      </c>
      <c r="D595" s="4" t="s">
        <v>28</v>
      </c>
      <c r="E595" s="4" t="s">
        <v>12</v>
      </c>
      <c r="F595" s="4" t="s">
        <v>78</v>
      </c>
      <c r="G595" s="4" t="s">
        <v>79</v>
      </c>
      <c r="H595" s="4" t="s">
        <v>32</v>
      </c>
      <c r="I595" s="4" t="s">
        <v>80</v>
      </c>
      <c r="J595" s="4" t="s">
        <v>80</v>
      </c>
      <c r="K595" s="7">
        <v>0</v>
      </c>
      <c r="L595" s="7">
        <v>2.208065929</v>
      </c>
      <c r="M595" s="7">
        <v>0</v>
      </c>
      <c r="N595" s="7">
        <v>0</v>
      </c>
      <c r="O595" s="7">
        <v>0</v>
      </c>
      <c r="P595" s="7">
        <v>0</v>
      </c>
      <c r="Q595" s="7">
        <v>3.0567839999999999</v>
      </c>
      <c r="R595" s="7">
        <v>0</v>
      </c>
      <c r="S595" s="7"/>
      <c r="T595" s="7"/>
      <c r="U595" s="7"/>
      <c r="V595" s="7"/>
      <c r="W595" s="11">
        <f t="shared" si="10"/>
        <v>5.2648499290000004</v>
      </c>
    </row>
    <row r="596" spans="1:23" x14ac:dyDescent="0.2">
      <c r="A596" s="4" t="s">
        <v>571</v>
      </c>
      <c r="B596" s="4" t="s">
        <v>586</v>
      </c>
      <c r="C596" s="4" t="s">
        <v>10</v>
      </c>
      <c r="D596" s="4" t="s">
        <v>28</v>
      </c>
      <c r="E596" s="4" t="s">
        <v>12</v>
      </c>
      <c r="F596" s="4" t="s">
        <v>867</v>
      </c>
      <c r="G596" s="4" t="s">
        <v>683</v>
      </c>
      <c r="H596" s="4" t="s">
        <v>592</v>
      </c>
      <c r="I596" s="4" t="s">
        <v>23</v>
      </c>
      <c r="J596" s="4" t="s">
        <v>683</v>
      </c>
      <c r="K596" s="7">
        <v>0</v>
      </c>
      <c r="L596" s="7">
        <v>0</v>
      </c>
      <c r="M596" s="7">
        <v>0</v>
      </c>
      <c r="N596" s="7">
        <v>0</v>
      </c>
      <c r="O596" s="7">
        <v>3.1103499999999998E-5</v>
      </c>
      <c r="P596" s="7">
        <v>0</v>
      </c>
      <c r="Q596" s="7">
        <v>0</v>
      </c>
      <c r="R596" s="7">
        <v>0</v>
      </c>
      <c r="S596" s="7"/>
      <c r="T596" s="7"/>
      <c r="U596" s="7"/>
      <c r="V596" s="7"/>
      <c r="W596" s="11">
        <f t="shared" si="10"/>
        <v>3.1103499999999998E-5</v>
      </c>
    </row>
    <row r="597" spans="1:23" x14ac:dyDescent="0.2">
      <c r="A597" s="4" t="s">
        <v>571</v>
      </c>
      <c r="B597" s="4" t="s">
        <v>586</v>
      </c>
      <c r="C597" s="4" t="s">
        <v>10</v>
      </c>
      <c r="D597" s="4" t="s">
        <v>28</v>
      </c>
      <c r="E597" s="4" t="s">
        <v>12</v>
      </c>
      <c r="F597" s="4" t="s">
        <v>589</v>
      </c>
      <c r="G597" s="4" t="s">
        <v>535</v>
      </c>
      <c r="H597" s="4" t="s">
        <v>73</v>
      </c>
      <c r="I597" s="4" t="s">
        <v>230</v>
      </c>
      <c r="J597" s="4" t="s">
        <v>231</v>
      </c>
      <c r="K597" s="7">
        <v>3.1103476800000002E-2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/>
      <c r="T597" s="7"/>
      <c r="U597" s="7"/>
      <c r="V597" s="7"/>
      <c r="W597" s="11">
        <f t="shared" si="10"/>
        <v>3.1103476800000002E-2</v>
      </c>
    </row>
    <row r="598" spans="1:23" x14ac:dyDescent="0.2">
      <c r="A598" s="4" t="s">
        <v>571</v>
      </c>
      <c r="B598" s="4" t="s">
        <v>586</v>
      </c>
      <c r="C598" s="4" t="s">
        <v>10</v>
      </c>
      <c r="D598" s="4" t="s">
        <v>28</v>
      </c>
      <c r="E598" s="4" t="s">
        <v>12</v>
      </c>
      <c r="F598" s="4" t="s">
        <v>107</v>
      </c>
      <c r="G598" s="4" t="s">
        <v>166</v>
      </c>
      <c r="H598" s="4" t="s">
        <v>26</v>
      </c>
      <c r="I598" s="4" t="s">
        <v>26</v>
      </c>
      <c r="J598" s="4" t="s">
        <v>109</v>
      </c>
      <c r="K598" s="7">
        <v>84.893793638199995</v>
      </c>
      <c r="L598" s="7">
        <v>200.91748284970001</v>
      </c>
      <c r="M598" s="7">
        <v>81.320287592100001</v>
      </c>
      <c r="N598" s="7">
        <v>68.9673379969</v>
      </c>
      <c r="O598" s="7">
        <v>176.941962961</v>
      </c>
      <c r="P598" s="7">
        <v>367.76046966019999</v>
      </c>
      <c r="Q598" s="7">
        <v>301.38363399999997</v>
      </c>
      <c r="R598" s="7">
        <v>406.24428</v>
      </c>
      <c r="S598" s="7"/>
      <c r="T598" s="7"/>
      <c r="U598" s="7"/>
      <c r="V598" s="7"/>
      <c r="W598" s="11">
        <f t="shared" si="10"/>
        <v>1688.4292486980999</v>
      </c>
    </row>
    <row r="599" spans="1:23" x14ac:dyDescent="0.2">
      <c r="A599" s="4" t="s">
        <v>571</v>
      </c>
      <c r="B599" s="4" t="s">
        <v>586</v>
      </c>
      <c r="C599" s="4" t="s">
        <v>10</v>
      </c>
      <c r="D599" s="4" t="s">
        <v>595</v>
      </c>
      <c r="E599" s="4" t="s">
        <v>29</v>
      </c>
      <c r="F599" s="4" t="s">
        <v>449</v>
      </c>
      <c r="G599" s="4" t="s">
        <v>450</v>
      </c>
      <c r="H599" s="4" t="s">
        <v>46</v>
      </c>
      <c r="I599" s="4" t="s">
        <v>52</v>
      </c>
      <c r="J599" s="4" t="s">
        <v>61</v>
      </c>
      <c r="K599" s="7">
        <v>112.01759184479999</v>
      </c>
      <c r="L599" s="7">
        <v>101.77309171420001</v>
      </c>
      <c r="M599" s="7">
        <v>101.20387149450001</v>
      </c>
      <c r="N599" s="7">
        <v>115.4507124073</v>
      </c>
      <c r="O599" s="7">
        <v>172.6410431649</v>
      </c>
      <c r="P599" s="7">
        <v>133.84328753759999</v>
      </c>
      <c r="Q599" s="7">
        <v>111.69509600000001</v>
      </c>
      <c r="R599" s="7">
        <v>103.898777</v>
      </c>
      <c r="S599" s="7"/>
      <c r="T599" s="7"/>
      <c r="U599" s="7"/>
      <c r="V599" s="7"/>
      <c r="W599" s="11">
        <f t="shared" si="10"/>
        <v>952.52347116329997</v>
      </c>
    </row>
    <row r="600" spans="1:23" x14ac:dyDescent="0.2">
      <c r="A600" s="4" t="s">
        <v>571</v>
      </c>
      <c r="B600" s="4" t="s">
        <v>586</v>
      </c>
      <c r="C600" s="4" t="s">
        <v>10</v>
      </c>
      <c r="D600" s="4" t="s">
        <v>595</v>
      </c>
      <c r="E600" s="4" t="s">
        <v>29</v>
      </c>
      <c r="F600" s="4" t="s">
        <v>451</v>
      </c>
      <c r="G600" s="4" t="s">
        <v>452</v>
      </c>
      <c r="H600" s="4" t="s">
        <v>46</v>
      </c>
      <c r="I600" s="4" t="s">
        <v>52</v>
      </c>
      <c r="J600" s="4" t="s">
        <v>52</v>
      </c>
      <c r="K600" s="7">
        <v>39.7172776687</v>
      </c>
      <c r="L600" s="7">
        <v>40.239065643499998</v>
      </c>
      <c r="M600" s="7">
        <v>51.134826994000001</v>
      </c>
      <c r="N600" s="7">
        <v>36.4173660704</v>
      </c>
      <c r="O600" s="7">
        <v>71.372696418499999</v>
      </c>
      <c r="P600" s="7">
        <v>77.590642140900002</v>
      </c>
      <c r="Q600" s="7">
        <v>42.453107000000003</v>
      </c>
      <c r="R600" s="7">
        <v>48.688443999999997</v>
      </c>
      <c r="S600" s="7"/>
      <c r="T600" s="7"/>
      <c r="U600" s="7"/>
      <c r="V600" s="7"/>
      <c r="W600" s="11">
        <f t="shared" si="10"/>
        <v>407.613425936</v>
      </c>
    </row>
    <row r="601" spans="1:23" x14ac:dyDescent="0.2">
      <c r="A601" s="4" t="s">
        <v>571</v>
      </c>
      <c r="B601" s="4" t="s">
        <v>586</v>
      </c>
      <c r="C601" s="4" t="s">
        <v>10</v>
      </c>
      <c r="D601" s="4" t="s">
        <v>595</v>
      </c>
      <c r="E601" s="4" t="s">
        <v>29</v>
      </c>
      <c r="F601" s="4" t="s">
        <v>453</v>
      </c>
      <c r="G601" s="4" t="s">
        <v>454</v>
      </c>
      <c r="H601" s="4" t="s">
        <v>46</v>
      </c>
      <c r="I601" s="4" t="s">
        <v>455</v>
      </c>
      <c r="J601" s="4" t="s">
        <v>456</v>
      </c>
      <c r="K601" s="7">
        <v>239.53267752170001</v>
      </c>
      <c r="L601" s="7">
        <v>211.99771875330001</v>
      </c>
      <c r="M601" s="7">
        <v>101.7081359907</v>
      </c>
      <c r="N601" s="7">
        <v>85.010728994499999</v>
      </c>
      <c r="O601" s="7">
        <v>41.077478834899999</v>
      </c>
      <c r="P601" s="7">
        <v>74.014197399099999</v>
      </c>
      <c r="Q601" s="7">
        <v>1465.0529280000001</v>
      </c>
      <c r="R601" s="7">
        <v>607.36755300000004</v>
      </c>
      <c r="S601" s="7"/>
      <c r="T601" s="7"/>
      <c r="U601" s="7"/>
      <c r="V601" s="7"/>
      <c r="W601" s="11">
        <f t="shared" si="10"/>
        <v>2825.7614184942004</v>
      </c>
    </row>
    <row r="602" spans="1:23" x14ac:dyDescent="0.2">
      <c r="A602" s="4" t="s">
        <v>571</v>
      </c>
      <c r="B602" s="4" t="s">
        <v>586</v>
      </c>
      <c r="C602" s="4" t="s">
        <v>10</v>
      </c>
      <c r="D602" s="4" t="s">
        <v>595</v>
      </c>
      <c r="E602" s="4" t="s">
        <v>29</v>
      </c>
      <c r="F602" s="4" t="s">
        <v>898</v>
      </c>
      <c r="G602" s="4" t="s">
        <v>899</v>
      </c>
      <c r="H602" s="4" t="s">
        <v>46</v>
      </c>
      <c r="I602" s="4" t="s">
        <v>52</v>
      </c>
      <c r="J602" s="4" t="s">
        <v>900</v>
      </c>
      <c r="K602" s="7">
        <v>0</v>
      </c>
      <c r="L602" s="7">
        <v>0</v>
      </c>
      <c r="M602" s="7">
        <v>0</v>
      </c>
      <c r="N602" s="7">
        <v>0</v>
      </c>
      <c r="O602" s="7">
        <v>151.02668380899999</v>
      </c>
      <c r="P602" s="7">
        <v>0</v>
      </c>
      <c r="Q602" s="7">
        <v>0</v>
      </c>
      <c r="R602" s="7">
        <v>0</v>
      </c>
      <c r="S602" s="7"/>
      <c r="T602" s="7"/>
      <c r="U602" s="7"/>
      <c r="V602" s="7"/>
      <c r="W602" s="11">
        <f t="shared" si="10"/>
        <v>151.02668380899999</v>
      </c>
    </row>
    <row r="603" spans="1:23" x14ac:dyDescent="0.2">
      <c r="A603" s="4" t="s">
        <v>571</v>
      </c>
      <c r="B603" s="4" t="s">
        <v>586</v>
      </c>
      <c r="C603" s="4" t="s">
        <v>10</v>
      </c>
      <c r="D603" s="4" t="s">
        <v>595</v>
      </c>
      <c r="E603" s="4" t="s">
        <v>29</v>
      </c>
      <c r="F603" s="4" t="s">
        <v>822</v>
      </c>
      <c r="G603" s="4" t="s">
        <v>823</v>
      </c>
      <c r="H603" s="4" t="s">
        <v>437</v>
      </c>
      <c r="I603" s="4" t="s">
        <v>437</v>
      </c>
      <c r="J603" s="4" t="s">
        <v>824</v>
      </c>
      <c r="K603" s="7">
        <v>0</v>
      </c>
      <c r="L603" s="7">
        <v>0</v>
      </c>
      <c r="M603" s="7">
        <v>10.565064786700001</v>
      </c>
      <c r="N603" s="7">
        <v>7.2694217784999999</v>
      </c>
      <c r="O603" s="7">
        <v>20.2414931687</v>
      </c>
      <c r="P603" s="7">
        <v>21.0686675635</v>
      </c>
      <c r="Q603" s="7">
        <v>29.637710999999999</v>
      </c>
      <c r="R603" s="7">
        <v>15.565341999999999</v>
      </c>
      <c r="S603" s="7"/>
      <c r="T603" s="7"/>
      <c r="U603" s="7"/>
      <c r="V603" s="7"/>
      <c r="W603" s="11">
        <f t="shared" si="10"/>
        <v>104.3477002974</v>
      </c>
    </row>
    <row r="604" spans="1:23" x14ac:dyDescent="0.2">
      <c r="A604" s="4" t="s">
        <v>571</v>
      </c>
      <c r="B604" s="4" t="s">
        <v>586</v>
      </c>
      <c r="C604" s="4" t="s">
        <v>10</v>
      </c>
      <c r="D604" s="4" t="s">
        <v>595</v>
      </c>
      <c r="E604" s="4" t="s">
        <v>29</v>
      </c>
      <c r="F604" s="4" t="s">
        <v>936</v>
      </c>
      <c r="G604" s="4" t="s">
        <v>937</v>
      </c>
      <c r="H604" s="4" t="s">
        <v>46</v>
      </c>
      <c r="I604" s="4" t="s">
        <v>46</v>
      </c>
      <c r="J604" s="4" t="s">
        <v>938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335.88499293379999</v>
      </c>
      <c r="Q604" s="7">
        <v>0</v>
      </c>
      <c r="R604" s="7">
        <v>0</v>
      </c>
      <c r="S604" s="7"/>
      <c r="T604" s="7"/>
      <c r="U604" s="7"/>
      <c r="V604" s="7"/>
      <c r="W604" s="11">
        <f t="shared" si="10"/>
        <v>335.88499293379999</v>
      </c>
    </row>
    <row r="605" spans="1:23" x14ac:dyDescent="0.2">
      <c r="A605" s="4" t="s">
        <v>571</v>
      </c>
      <c r="B605" s="4" t="s">
        <v>586</v>
      </c>
      <c r="C605" s="4" t="s">
        <v>10</v>
      </c>
      <c r="D605" s="4" t="s">
        <v>595</v>
      </c>
      <c r="E605" s="4" t="s">
        <v>29</v>
      </c>
      <c r="F605" s="4" t="s">
        <v>457</v>
      </c>
      <c r="G605" s="4" t="s">
        <v>458</v>
      </c>
      <c r="H605" s="4" t="s">
        <v>46</v>
      </c>
      <c r="I605" s="4" t="s">
        <v>52</v>
      </c>
      <c r="J605" s="4" t="s">
        <v>82</v>
      </c>
      <c r="K605" s="7">
        <v>4.0551195130000002</v>
      </c>
      <c r="L605" s="7">
        <v>3.2898419593999999</v>
      </c>
      <c r="M605" s="7">
        <v>4.1591816957000001</v>
      </c>
      <c r="N605" s="7">
        <v>5.1170911673999999</v>
      </c>
      <c r="O605" s="7">
        <v>4.3500971563000004</v>
      </c>
      <c r="P605" s="7">
        <v>4.8953354606000001</v>
      </c>
      <c r="Q605" s="7">
        <v>6.5366879999999998</v>
      </c>
      <c r="R605" s="7">
        <v>6.6384429999999996</v>
      </c>
      <c r="S605" s="7"/>
      <c r="T605" s="7"/>
      <c r="U605" s="7"/>
      <c r="V605" s="7"/>
      <c r="W605" s="11">
        <f t="shared" si="10"/>
        <v>39.041797952400003</v>
      </c>
    </row>
    <row r="606" spans="1:23" x14ac:dyDescent="0.2">
      <c r="A606" s="4" t="s">
        <v>571</v>
      </c>
      <c r="B606" s="4" t="s">
        <v>586</v>
      </c>
      <c r="C606" s="4" t="s">
        <v>10</v>
      </c>
      <c r="D606" s="4" t="s">
        <v>595</v>
      </c>
      <c r="E606" s="4" t="s">
        <v>29</v>
      </c>
      <c r="F606" s="4" t="s">
        <v>459</v>
      </c>
      <c r="G606" s="4" t="s">
        <v>460</v>
      </c>
      <c r="H606" s="4" t="s">
        <v>46</v>
      </c>
      <c r="I606" s="4" t="s">
        <v>52</v>
      </c>
      <c r="J606" s="4" t="s">
        <v>61</v>
      </c>
      <c r="K606" s="7">
        <v>136.64962801319999</v>
      </c>
      <c r="L606" s="7">
        <v>109.982033401</v>
      </c>
      <c r="M606" s="7">
        <v>116.5207821125</v>
      </c>
      <c r="N606" s="7">
        <v>148.058444549</v>
      </c>
      <c r="O606" s="7">
        <v>123.5421943229</v>
      </c>
      <c r="P606" s="7">
        <v>125.4411046013</v>
      </c>
      <c r="Q606" s="7">
        <v>112.330009</v>
      </c>
      <c r="R606" s="7">
        <v>81.276195999999999</v>
      </c>
      <c r="S606" s="7"/>
      <c r="T606" s="7"/>
      <c r="U606" s="7"/>
      <c r="V606" s="7"/>
      <c r="W606" s="11">
        <f t="shared" si="10"/>
        <v>953.80039199990006</v>
      </c>
    </row>
    <row r="607" spans="1:23" x14ac:dyDescent="0.2">
      <c r="A607" s="4" t="s">
        <v>571</v>
      </c>
      <c r="B607" s="4" t="s">
        <v>586</v>
      </c>
      <c r="C607" s="4" t="s">
        <v>10</v>
      </c>
      <c r="D607" s="4" t="s">
        <v>595</v>
      </c>
      <c r="E607" s="4" t="s">
        <v>29</v>
      </c>
      <c r="F607" s="4" t="s">
        <v>467</v>
      </c>
      <c r="G607" s="4" t="s">
        <v>468</v>
      </c>
      <c r="H607" s="4" t="s">
        <v>73</v>
      </c>
      <c r="I607" s="4" t="s">
        <v>465</v>
      </c>
      <c r="J607" s="4" t="s">
        <v>466</v>
      </c>
      <c r="K607" s="7">
        <v>871.95671170219998</v>
      </c>
      <c r="L607" s="7">
        <v>432.64688249879998</v>
      </c>
      <c r="M607" s="7">
        <v>325.4820211599</v>
      </c>
      <c r="N607" s="7">
        <v>343.69029380630002</v>
      </c>
      <c r="O607" s="7">
        <v>387.25518624889997</v>
      </c>
      <c r="P607" s="7">
        <v>449.71303210500002</v>
      </c>
      <c r="Q607" s="7">
        <v>665.36308799999995</v>
      </c>
      <c r="R607" s="7">
        <v>459.58031399999999</v>
      </c>
      <c r="S607" s="7"/>
      <c r="T607" s="7"/>
      <c r="U607" s="7"/>
      <c r="V607" s="7"/>
      <c r="W607" s="11">
        <f t="shared" si="10"/>
        <v>3935.6875295210993</v>
      </c>
    </row>
    <row r="608" spans="1:23" x14ac:dyDescent="0.2">
      <c r="A608" s="4" t="s">
        <v>571</v>
      </c>
      <c r="B608" s="4" t="s">
        <v>586</v>
      </c>
      <c r="C608" s="4" t="s">
        <v>10</v>
      </c>
      <c r="D608" s="4" t="s">
        <v>595</v>
      </c>
      <c r="E608" s="4" t="s">
        <v>29</v>
      </c>
      <c r="F608" s="4" t="s">
        <v>469</v>
      </c>
      <c r="G608" s="4" t="s">
        <v>470</v>
      </c>
      <c r="H608" s="4" t="s">
        <v>73</v>
      </c>
      <c r="I608" s="4" t="s">
        <v>465</v>
      </c>
      <c r="J608" s="4" t="s">
        <v>466</v>
      </c>
      <c r="K608" s="7">
        <v>16.285886810000001</v>
      </c>
      <c r="L608" s="7">
        <v>16.286915685</v>
      </c>
      <c r="M608" s="7">
        <v>30.4561695222</v>
      </c>
      <c r="N608" s="7">
        <v>52.6963896488</v>
      </c>
      <c r="O608" s="7">
        <v>36.499384759400002</v>
      </c>
      <c r="P608" s="7">
        <v>47.929360559400003</v>
      </c>
      <c r="Q608" s="7">
        <v>76.540217999999996</v>
      </c>
      <c r="R608" s="7">
        <v>100.65289</v>
      </c>
      <c r="S608" s="7"/>
      <c r="T608" s="7"/>
      <c r="U608" s="7"/>
      <c r="V608" s="7"/>
      <c r="W608" s="11">
        <f t="shared" si="10"/>
        <v>377.34721498480002</v>
      </c>
    </row>
    <row r="609" spans="1:24" x14ac:dyDescent="0.2">
      <c r="A609" s="4" t="s">
        <v>571</v>
      </c>
      <c r="B609" s="4" t="s">
        <v>586</v>
      </c>
      <c r="C609" s="4" t="s">
        <v>10</v>
      </c>
      <c r="D609" s="4" t="s">
        <v>595</v>
      </c>
      <c r="E609" s="4" t="s">
        <v>29</v>
      </c>
      <c r="F609" s="4" t="s">
        <v>474</v>
      </c>
      <c r="G609" s="4" t="s">
        <v>475</v>
      </c>
      <c r="H609" s="4" t="s">
        <v>46</v>
      </c>
      <c r="I609" s="4" t="s">
        <v>455</v>
      </c>
      <c r="J609" s="4" t="s">
        <v>456</v>
      </c>
      <c r="K609" s="7">
        <v>71.367642989299995</v>
      </c>
      <c r="L609" s="7">
        <v>50.282502729100003</v>
      </c>
      <c r="M609" s="7">
        <v>26.807974715899999</v>
      </c>
      <c r="N609" s="7">
        <v>23.744689702700001</v>
      </c>
      <c r="O609" s="7">
        <v>28.213316889200001</v>
      </c>
      <c r="P609" s="7">
        <v>23.442989087699999</v>
      </c>
      <c r="Q609" s="7">
        <v>23.715418</v>
      </c>
      <c r="R609" s="7">
        <v>34.879469999999998</v>
      </c>
      <c r="S609" s="7"/>
      <c r="T609" s="7"/>
      <c r="U609" s="7"/>
      <c r="V609" s="7"/>
      <c r="W609" s="11">
        <f t="shared" si="10"/>
        <v>282.45400411389994</v>
      </c>
      <c r="X609" s="10"/>
    </row>
    <row r="610" spans="1:24" x14ac:dyDescent="0.2">
      <c r="A610" s="4" t="s">
        <v>571</v>
      </c>
      <c r="B610" s="4" t="s">
        <v>586</v>
      </c>
      <c r="C610" s="4" t="s">
        <v>10</v>
      </c>
      <c r="D610" s="4" t="s">
        <v>595</v>
      </c>
      <c r="E610" s="4" t="s">
        <v>29</v>
      </c>
      <c r="F610" s="4" t="s">
        <v>939</v>
      </c>
      <c r="G610" s="4" t="s">
        <v>940</v>
      </c>
      <c r="H610" s="4" t="s">
        <v>437</v>
      </c>
      <c r="I610" s="4" t="s">
        <v>437</v>
      </c>
      <c r="J610" s="4" t="s">
        <v>824</v>
      </c>
      <c r="K610" s="7">
        <v>7.3782210562000001</v>
      </c>
      <c r="L610" s="7">
        <v>4.8324751298999997</v>
      </c>
      <c r="M610" s="7">
        <v>8.5520608600999992</v>
      </c>
      <c r="N610" s="7">
        <v>13.146628139500001</v>
      </c>
      <c r="O610" s="7">
        <v>0</v>
      </c>
      <c r="P610" s="7">
        <v>0</v>
      </c>
      <c r="Q610" s="7">
        <v>0</v>
      </c>
      <c r="R610" s="7">
        <v>0</v>
      </c>
      <c r="S610" s="7"/>
      <c r="T610" s="7"/>
      <c r="U610" s="7"/>
      <c r="V610" s="7"/>
      <c r="W610" s="11">
        <f t="shared" si="10"/>
        <v>33.909385185700003</v>
      </c>
      <c r="X610" s="10"/>
    </row>
    <row r="611" spans="1:24" x14ac:dyDescent="0.2">
      <c r="A611" s="4" t="s">
        <v>571</v>
      </c>
      <c r="B611" s="4" t="s">
        <v>586</v>
      </c>
      <c r="C611" s="4" t="s">
        <v>10</v>
      </c>
      <c r="D611" s="4" t="s">
        <v>595</v>
      </c>
      <c r="E611" s="4" t="s">
        <v>29</v>
      </c>
      <c r="F611" s="4" t="s">
        <v>476</v>
      </c>
      <c r="G611" s="4" t="s">
        <v>477</v>
      </c>
      <c r="H611" s="4" t="s">
        <v>88</v>
      </c>
      <c r="I611" s="4" t="s">
        <v>447</v>
      </c>
      <c r="J611" s="4" t="s">
        <v>448</v>
      </c>
      <c r="K611" s="7">
        <v>413.8556392927</v>
      </c>
      <c r="L611" s="7">
        <v>353.41606710859998</v>
      </c>
      <c r="M611" s="7">
        <v>613.15111838220002</v>
      </c>
      <c r="N611" s="7">
        <v>155.14272047220001</v>
      </c>
      <c r="O611" s="7">
        <v>330.29935528589999</v>
      </c>
      <c r="P611" s="7">
        <v>288.59018995370002</v>
      </c>
      <c r="Q611" s="7">
        <v>400.84786100000002</v>
      </c>
      <c r="R611" s="7">
        <v>279.99361499999998</v>
      </c>
      <c r="S611" s="7"/>
      <c r="T611" s="7"/>
      <c r="U611" s="7"/>
      <c r="V611" s="7"/>
      <c r="W611" s="11">
        <f t="shared" si="10"/>
        <v>2835.2965664952999</v>
      </c>
    </row>
    <row r="612" spans="1:24" x14ac:dyDescent="0.2">
      <c r="A612" s="4" t="s">
        <v>571</v>
      </c>
      <c r="B612" s="4" t="s">
        <v>586</v>
      </c>
      <c r="C612" s="4" t="s">
        <v>10</v>
      </c>
      <c r="D612" s="4" t="s">
        <v>595</v>
      </c>
      <c r="E612" s="4" t="s">
        <v>29</v>
      </c>
      <c r="F612" s="4" t="s">
        <v>63</v>
      </c>
      <c r="G612" s="4" t="s">
        <v>64</v>
      </c>
      <c r="H612" s="4" t="s">
        <v>46</v>
      </c>
      <c r="I612" s="4" t="s">
        <v>52</v>
      </c>
      <c r="J612" s="4" t="s">
        <v>65</v>
      </c>
      <c r="K612" s="7">
        <v>0</v>
      </c>
      <c r="L612" s="7">
        <v>0</v>
      </c>
      <c r="M612" s="7">
        <v>0</v>
      </c>
      <c r="N612" s="7">
        <v>4.8526840674000002</v>
      </c>
      <c r="O612" s="7">
        <v>0</v>
      </c>
      <c r="P612" s="7">
        <v>4.8644347610000001</v>
      </c>
      <c r="Q612" s="7">
        <v>0</v>
      </c>
      <c r="R612" s="7">
        <v>1.860058</v>
      </c>
      <c r="S612" s="7"/>
      <c r="T612" s="7"/>
      <c r="U612" s="7"/>
      <c r="V612" s="7"/>
      <c r="W612" s="11">
        <f t="shared" si="10"/>
        <v>11.577176828400001</v>
      </c>
    </row>
    <row r="613" spans="1:24" x14ac:dyDescent="0.2">
      <c r="A613" s="4" t="s">
        <v>571</v>
      </c>
      <c r="B613" s="4" t="s">
        <v>586</v>
      </c>
      <c r="C613" s="4" t="s">
        <v>10</v>
      </c>
      <c r="D613" s="4" t="s">
        <v>595</v>
      </c>
      <c r="E613" s="4" t="s">
        <v>12</v>
      </c>
      <c r="F613" s="4" t="s">
        <v>13</v>
      </c>
      <c r="G613" s="4" t="s">
        <v>185</v>
      </c>
      <c r="H613" s="4" t="s">
        <v>46</v>
      </c>
      <c r="I613" s="4" t="s">
        <v>186</v>
      </c>
      <c r="J613" s="4" t="s">
        <v>187</v>
      </c>
      <c r="K613" s="7">
        <v>21.2321912781</v>
      </c>
      <c r="L613" s="7">
        <v>17.038214012699999</v>
      </c>
      <c r="M613" s="7">
        <v>22.3593439546</v>
      </c>
      <c r="N613" s="7">
        <v>24.822751761700001</v>
      </c>
      <c r="O613" s="7">
        <v>18.512353966500001</v>
      </c>
      <c r="P613" s="7">
        <v>33.801159145</v>
      </c>
      <c r="Q613" s="7">
        <v>25.692254999999999</v>
      </c>
      <c r="R613" s="7">
        <v>20.660890999999999</v>
      </c>
      <c r="S613" s="7"/>
      <c r="T613" s="7"/>
      <c r="U613" s="7"/>
      <c r="V613" s="7"/>
      <c r="W613" s="11">
        <f t="shared" si="10"/>
        <v>184.11916011859998</v>
      </c>
    </row>
    <row r="614" spans="1:24" x14ac:dyDescent="0.2">
      <c r="A614" s="4" t="s">
        <v>571</v>
      </c>
      <c r="B614" s="4" t="s">
        <v>586</v>
      </c>
      <c r="C614" s="4" t="s">
        <v>10</v>
      </c>
      <c r="D614" s="4" t="s">
        <v>595</v>
      </c>
      <c r="E614" s="4" t="s">
        <v>12</v>
      </c>
      <c r="F614" s="4" t="s">
        <v>13</v>
      </c>
      <c r="G614" s="4" t="s">
        <v>188</v>
      </c>
      <c r="H614" s="4" t="s">
        <v>46</v>
      </c>
      <c r="I614" s="4" t="s">
        <v>47</v>
      </c>
      <c r="J614" s="4" t="s">
        <v>189</v>
      </c>
      <c r="K614" s="7">
        <v>76.912136329500001</v>
      </c>
      <c r="L614" s="7">
        <v>70.827045899799998</v>
      </c>
      <c r="M614" s="7">
        <v>79.399659284199998</v>
      </c>
      <c r="N614" s="7">
        <v>59.050204585099998</v>
      </c>
      <c r="O614" s="7">
        <v>43.6682364065</v>
      </c>
      <c r="P614" s="7">
        <v>41.558249630900001</v>
      </c>
      <c r="Q614" s="7">
        <v>51.814703999999999</v>
      </c>
      <c r="R614" s="7">
        <v>46.196697</v>
      </c>
      <c r="S614" s="7"/>
      <c r="T614" s="7"/>
      <c r="U614" s="7"/>
      <c r="V614" s="7"/>
      <c r="W614" s="11">
        <f t="shared" si="10"/>
        <v>469.426933136</v>
      </c>
    </row>
    <row r="615" spans="1:24" x14ac:dyDescent="0.2">
      <c r="A615" s="4" t="s">
        <v>571</v>
      </c>
      <c r="B615" s="4" t="s">
        <v>586</v>
      </c>
      <c r="C615" s="4" t="s">
        <v>10</v>
      </c>
      <c r="D615" s="4" t="s">
        <v>595</v>
      </c>
      <c r="E615" s="4" t="s">
        <v>12</v>
      </c>
      <c r="F615" s="4" t="s">
        <v>480</v>
      </c>
      <c r="G615" s="4" t="s">
        <v>481</v>
      </c>
      <c r="H615" s="4" t="s">
        <v>73</v>
      </c>
      <c r="I615" s="4" t="s">
        <v>482</v>
      </c>
      <c r="J615" s="4" t="s">
        <v>483</v>
      </c>
      <c r="K615" s="7">
        <v>13365.357306256599</v>
      </c>
      <c r="L615" s="7">
        <v>11673.0781253102</v>
      </c>
      <c r="M615" s="7">
        <v>12610.4099528754</v>
      </c>
      <c r="N615" s="7">
        <v>12948.838859674401</v>
      </c>
      <c r="O615" s="7">
        <v>10154.2472652378</v>
      </c>
      <c r="P615" s="7">
        <v>11120.7437344142</v>
      </c>
      <c r="Q615" s="7">
        <v>11690.477672000001</v>
      </c>
      <c r="R615" s="7">
        <v>12813.904139</v>
      </c>
      <c r="S615" s="7"/>
      <c r="T615" s="7"/>
      <c r="U615" s="7"/>
      <c r="V615" s="7"/>
      <c r="W615" s="11">
        <f t="shared" si="10"/>
        <v>96377.057054768593</v>
      </c>
    </row>
    <row r="616" spans="1:24" x14ac:dyDescent="0.2">
      <c r="A616" s="4" t="s">
        <v>571</v>
      </c>
      <c r="B616" s="4" t="s">
        <v>586</v>
      </c>
      <c r="C616" s="4" t="s">
        <v>10</v>
      </c>
      <c r="D616" s="4" t="s">
        <v>595</v>
      </c>
      <c r="E616" s="4" t="s">
        <v>12</v>
      </c>
      <c r="F616" s="4" t="s">
        <v>81</v>
      </c>
      <c r="G616" s="4" t="s">
        <v>484</v>
      </c>
      <c r="H616" s="4" t="s">
        <v>46</v>
      </c>
      <c r="I616" s="4" t="s">
        <v>52</v>
      </c>
      <c r="J616" s="4" t="s">
        <v>65</v>
      </c>
      <c r="K616" s="7">
        <v>171.010026014</v>
      </c>
      <c r="L616" s="7">
        <v>125.75757755950001</v>
      </c>
      <c r="M616" s="7">
        <v>132.74963915309999</v>
      </c>
      <c r="N616" s="7">
        <v>148.87368154699999</v>
      </c>
      <c r="O616" s="7">
        <v>122.1433535507</v>
      </c>
      <c r="P616" s="7">
        <v>127.31275140149999</v>
      </c>
      <c r="Q616" s="7">
        <v>150.15514400000001</v>
      </c>
      <c r="R616" s="7">
        <v>116.177706</v>
      </c>
      <c r="S616" s="7"/>
      <c r="T616" s="7"/>
      <c r="U616" s="7"/>
      <c r="V616" s="7"/>
      <c r="W616" s="11">
        <f t="shared" si="10"/>
        <v>1094.1798792257998</v>
      </c>
    </row>
    <row r="617" spans="1:24" x14ac:dyDescent="0.2">
      <c r="A617" s="4" t="s">
        <v>571</v>
      </c>
      <c r="B617" s="4" t="s">
        <v>586</v>
      </c>
      <c r="C617" s="4" t="s">
        <v>10</v>
      </c>
      <c r="D617" s="4" t="s">
        <v>595</v>
      </c>
      <c r="E617" s="4" t="s">
        <v>12</v>
      </c>
      <c r="F617" s="4" t="s">
        <v>81</v>
      </c>
      <c r="G617" s="4" t="s">
        <v>485</v>
      </c>
      <c r="H617" s="4" t="s">
        <v>478</v>
      </c>
      <c r="I617" s="4" t="s">
        <v>479</v>
      </c>
      <c r="J617" s="4" t="s">
        <v>486</v>
      </c>
      <c r="K617" s="7">
        <v>21.6930048392</v>
      </c>
      <c r="L617" s="7">
        <v>1.4379883827</v>
      </c>
      <c r="M617" s="7">
        <v>4.2519385945000003</v>
      </c>
      <c r="N617" s="7">
        <v>4.2669615737999997</v>
      </c>
      <c r="O617" s="7">
        <v>3.0622243845999999</v>
      </c>
      <c r="P617" s="7">
        <v>5.7114661348000002</v>
      </c>
      <c r="Q617" s="7">
        <v>9.3615549999999992</v>
      </c>
      <c r="R617" s="7">
        <v>6.2404140000000003</v>
      </c>
      <c r="S617" s="7"/>
      <c r="T617" s="7"/>
      <c r="U617" s="7"/>
      <c r="V617" s="7"/>
      <c r="W617" s="11">
        <f t="shared" si="10"/>
        <v>56.025552909599995</v>
      </c>
    </row>
    <row r="618" spans="1:24" x14ac:dyDescent="0.2">
      <c r="A618" s="4" t="s">
        <v>571</v>
      </c>
      <c r="B618" s="4" t="s">
        <v>586</v>
      </c>
      <c r="C618" s="4" t="s">
        <v>10</v>
      </c>
      <c r="D618" s="4" t="s">
        <v>595</v>
      </c>
      <c r="E618" s="4" t="s">
        <v>12</v>
      </c>
      <c r="F618" s="4" t="s">
        <v>487</v>
      </c>
      <c r="G618" s="4" t="s">
        <v>488</v>
      </c>
      <c r="H618" s="4" t="s">
        <v>115</v>
      </c>
      <c r="I618" s="4" t="s">
        <v>116</v>
      </c>
      <c r="J618" s="4" t="s">
        <v>489</v>
      </c>
      <c r="K618" s="7">
        <v>1119.1832845767999</v>
      </c>
      <c r="L618" s="7">
        <v>1429.1380500609</v>
      </c>
      <c r="M618" s="7">
        <v>1142.1622813281001</v>
      </c>
      <c r="N618" s="7">
        <v>1015.3220477260001</v>
      </c>
      <c r="O618" s="7">
        <v>1131.4496684901001</v>
      </c>
      <c r="P618" s="7">
        <v>1520.4052620837999</v>
      </c>
      <c r="Q618" s="7">
        <v>965.53913799999998</v>
      </c>
      <c r="R618" s="7">
        <v>1213.922779</v>
      </c>
      <c r="S618" s="7"/>
      <c r="T618" s="7"/>
      <c r="U618" s="7"/>
      <c r="V618" s="7"/>
      <c r="W618" s="11">
        <f t="shared" si="10"/>
        <v>9537.1225112656994</v>
      </c>
    </row>
    <row r="619" spans="1:24" x14ac:dyDescent="0.2">
      <c r="A619" s="4" t="s">
        <v>571</v>
      </c>
      <c r="B619" s="4" t="s">
        <v>586</v>
      </c>
      <c r="C619" s="4" t="s">
        <v>10</v>
      </c>
      <c r="D619" s="4" t="s">
        <v>595</v>
      </c>
      <c r="E619" s="4" t="s">
        <v>12</v>
      </c>
      <c r="F619" s="4" t="s">
        <v>855</v>
      </c>
      <c r="G619" s="4" t="s">
        <v>856</v>
      </c>
      <c r="H619" s="4" t="s">
        <v>32</v>
      </c>
      <c r="I619" s="4" t="s">
        <v>119</v>
      </c>
      <c r="J619" s="4" t="s">
        <v>857</v>
      </c>
      <c r="K619" s="7">
        <v>0</v>
      </c>
      <c r="L619" s="7">
        <v>406.30700600749998</v>
      </c>
      <c r="M619" s="7">
        <v>2037.5715560481999</v>
      </c>
      <c r="N619" s="7">
        <v>1853.4304487447</v>
      </c>
      <c r="O619" s="7">
        <v>1861.2222514187999</v>
      </c>
      <c r="P619" s="7">
        <v>2485.7273847749998</v>
      </c>
      <c r="Q619" s="7">
        <v>2828.7161759999999</v>
      </c>
      <c r="R619" s="7">
        <v>4755.2337280000002</v>
      </c>
      <c r="S619" s="7"/>
      <c r="T619" s="7"/>
      <c r="U619" s="7"/>
      <c r="V619" s="7"/>
      <c r="W619" s="11">
        <f t="shared" si="10"/>
        <v>16228.208550994201</v>
      </c>
    </row>
    <row r="620" spans="1:24" x14ac:dyDescent="0.2">
      <c r="A620" s="4" t="s">
        <v>571</v>
      </c>
      <c r="B620" s="4" t="s">
        <v>586</v>
      </c>
      <c r="C620" s="4" t="s">
        <v>10</v>
      </c>
      <c r="D620" s="4" t="s">
        <v>595</v>
      </c>
      <c r="E620" s="4" t="s">
        <v>12</v>
      </c>
      <c r="F620" s="4" t="s">
        <v>986</v>
      </c>
      <c r="G620" s="4" t="s">
        <v>490</v>
      </c>
      <c r="H620" s="4" t="s">
        <v>478</v>
      </c>
      <c r="I620" s="4" t="s">
        <v>479</v>
      </c>
      <c r="J620" s="4" t="s">
        <v>479</v>
      </c>
      <c r="K620" s="7">
        <v>230.84387709949999</v>
      </c>
      <c r="L620" s="7">
        <v>304.46101746639999</v>
      </c>
      <c r="M620" s="7">
        <v>304.9985178938</v>
      </c>
      <c r="N620" s="7">
        <v>316.6074536205</v>
      </c>
      <c r="O620" s="7">
        <v>333.7110819774</v>
      </c>
      <c r="P620" s="7">
        <v>0</v>
      </c>
      <c r="Q620" s="7">
        <v>330.64184599999999</v>
      </c>
      <c r="R620" s="7">
        <v>327.86609800000002</v>
      </c>
      <c r="S620" s="7"/>
      <c r="T620" s="7"/>
      <c r="U620" s="7"/>
      <c r="V620" s="7"/>
      <c r="W620" s="11">
        <f t="shared" si="10"/>
        <v>2149.1298920576</v>
      </c>
    </row>
    <row r="621" spans="1:24" x14ac:dyDescent="0.2">
      <c r="A621" s="4" t="s">
        <v>571</v>
      </c>
      <c r="B621" s="4" t="s">
        <v>586</v>
      </c>
      <c r="C621" s="4" t="s">
        <v>10</v>
      </c>
      <c r="D621" s="4" t="s">
        <v>595</v>
      </c>
      <c r="E621" s="4" t="s">
        <v>12</v>
      </c>
      <c r="F621" s="4" t="s">
        <v>986</v>
      </c>
      <c r="G621" s="4" t="s">
        <v>491</v>
      </c>
      <c r="H621" s="4" t="s">
        <v>478</v>
      </c>
      <c r="I621" s="4" t="s">
        <v>479</v>
      </c>
      <c r="J621" s="4" t="s">
        <v>479</v>
      </c>
      <c r="K621" s="7">
        <v>226.59302930390001</v>
      </c>
      <c r="L621" s="7">
        <v>254.82578431100001</v>
      </c>
      <c r="M621" s="7">
        <v>219.0610757366</v>
      </c>
      <c r="N621" s="7">
        <v>177.29569654509999</v>
      </c>
      <c r="O621" s="7">
        <v>219.6577452411</v>
      </c>
      <c r="P621" s="7">
        <v>0</v>
      </c>
      <c r="Q621" s="7">
        <v>221.02160499999999</v>
      </c>
      <c r="R621" s="7">
        <v>214.50948299999999</v>
      </c>
      <c r="S621" s="7"/>
      <c r="T621" s="7"/>
      <c r="U621" s="7"/>
      <c r="V621" s="7"/>
      <c r="W621" s="11">
        <f t="shared" si="10"/>
        <v>1532.9644191377001</v>
      </c>
    </row>
    <row r="622" spans="1:24" x14ac:dyDescent="0.2">
      <c r="A622" s="4" t="s">
        <v>571</v>
      </c>
      <c r="B622" s="4" t="s">
        <v>586</v>
      </c>
      <c r="C622" s="4" t="s">
        <v>10</v>
      </c>
      <c r="D622" s="4" t="s">
        <v>595</v>
      </c>
      <c r="E622" s="4" t="s">
        <v>12</v>
      </c>
      <c r="F622" s="4" t="s">
        <v>748</v>
      </c>
      <c r="G622" s="4" t="s">
        <v>749</v>
      </c>
      <c r="H622" s="4" t="s">
        <v>478</v>
      </c>
      <c r="I622" s="4" t="s">
        <v>504</v>
      </c>
      <c r="J622" s="4" t="s">
        <v>750</v>
      </c>
      <c r="K622" s="7">
        <v>0</v>
      </c>
      <c r="L622" s="7">
        <v>48.374274150600002</v>
      </c>
      <c r="M622" s="7">
        <v>4.9644000000000001E-5</v>
      </c>
      <c r="N622" s="7">
        <v>30.552212906499999</v>
      </c>
      <c r="O622" s="7">
        <v>0</v>
      </c>
      <c r="P622" s="7">
        <v>0</v>
      </c>
      <c r="Q622" s="7">
        <v>0</v>
      </c>
      <c r="R622" s="7">
        <v>0</v>
      </c>
      <c r="S622" s="7"/>
      <c r="T622" s="7"/>
      <c r="U622" s="7"/>
      <c r="V622" s="7"/>
      <c r="W622" s="11">
        <f t="shared" si="10"/>
        <v>78.926536701100005</v>
      </c>
    </row>
    <row r="623" spans="1:24" x14ac:dyDescent="0.2">
      <c r="A623" s="4" t="s">
        <v>571</v>
      </c>
      <c r="B623" s="4" t="s">
        <v>586</v>
      </c>
      <c r="C623" s="4" t="s">
        <v>10</v>
      </c>
      <c r="D623" s="4" t="s">
        <v>595</v>
      </c>
      <c r="E623" s="4" t="s">
        <v>12</v>
      </c>
      <c r="F623" s="4" t="s">
        <v>107</v>
      </c>
      <c r="G623" s="4" t="s">
        <v>166</v>
      </c>
      <c r="H623" s="4" t="s">
        <v>26</v>
      </c>
      <c r="I623" s="4" t="s">
        <v>26</v>
      </c>
      <c r="J623" s="4" t="s">
        <v>109</v>
      </c>
      <c r="K623" s="7">
        <v>5578.3866287837</v>
      </c>
      <c r="L623" s="7">
        <v>5977.1001173560999</v>
      </c>
      <c r="M623" s="7">
        <v>5448.2071382375998</v>
      </c>
      <c r="N623" s="7">
        <v>5599.0247226748997</v>
      </c>
      <c r="O623" s="7">
        <v>6328.5249470973004</v>
      </c>
      <c r="P623" s="7">
        <v>6272.2571625322998</v>
      </c>
      <c r="Q623" s="7">
        <v>6081.2634619999999</v>
      </c>
      <c r="R623" s="7">
        <v>7349.3938410000001</v>
      </c>
      <c r="S623" s="7"/>
      <c r="T623" s="7"/>
      <c r="U623" s="7"/>
      <c r="V623" s="7"/>
      <c r="W623" s="11">
        <f t="shared" si="10"/>
        <v>48634.158019681898</v>
      </c>
    </row>
    <row r="624" spans="1:24" x14ac:dyDescent="0.2">
      <c r="A624" s="4" t="s">
        <v>571</v>
      </c>
      <c r="B624" s="4" t="s">
        <v>586</v>
      </c>
      <c r="C624" s="4" t="s">
        <v>10</v>
      </c>
      <c r="D624" s="4" t="s">
        <v>595</v>
      </c>
      <c r="E624" s="4" t="s">
        <v>12</v>
      </c>
      <c r="F624" s="4" t="s">
        <v>496</v>
      </c>
      <c r="G624" s="4" t="s">
        <v>497</v>
      </c>
      <c r="H624" s="4" t="s">
        <v>478</v>
      </c>
      <c r="I624" s="4" t="s">
        <v>498</v>
      </c>
      <c r="J624" s="4" t="s">
        <v>499</v>
      </c>
      <c r="K624" s="7">
        <v>92.020455843799994</v>
      </c>
      <c r="L624" s="7">
        <v>83.080181393399997</v>
      </c>
      <c r="M624" s="7">
        <v>63.329935168799999</v>
      </c>
      <c r="N624" s="7">
        <v>74.227572926600004</v>
      </c>
      <c r="O624" s="7">
        <v>105.7032604576</v>
      </c>
      <c r="P624" s="7">
        <v>122.1958999411</v>
      </c>
      <c r="Q624" s="7">
        <v>101.003057</v>
      </c>
      <c r="R624" s="7">
        <v>117.91335100000001</v>
      </c>
      <c r="S624" s="7"/>
      <c r="T624" s="7"/>
      <c r="U624" s="7"/>
      <c r="V624" s="7"/>
      <c r="W624" s="11">
        <f t="shared" ref="W624:W642" si="11">SUM(K624:V624)</f>
        <v>759.47371373129999</v>
      </c>
    </row>
    <row r="625" spans="1:23" x14ac:dyDescent="0.2">
      <c r="A625" s="4" t="s">
        <v>571</v>
      </c>
      <c r="B625" s="4" t="s">
        <v>586</v>
      </c>
      <c r="C625" s="4" t="s">
        <v>10</v>
      </c>
      <c r="D625" s="4" t="s">
        <v>595</v>
      </c>
      <c r="E625" s="4" t="s">
        <v>12</v>
      </c>
      <c r="F625" s="4" t="s">
        <v>500</v>
      </c>
      <c r="G625" s="4" t="s">
        <v>501</v>
      </c>
      <c r="H625" s="4" t="s">
        <v>478</v>
      </c>
      <c r="I625" s="4" t="s">
        <v>479</v>
      </c>
      <c r="J625" s="4" t="s">
        <v>494</v>
      </c>
      <c r="K625" s="7">
        <v>135.17559398360001</v>
      </c>
      <c r="L625" s="7">
        <v>129.57417381849999</v>
      </c>
      <c r="M625" s="7">
        <v>158.5613746727</v>
      </c>
      <c r="N625" s="7">
        <v>164.00439483310001</v>
      </c>
      <c r="O625" s="7">
        <v>168.81183497480001</v>
      </c>
      <c r="P625" s="7">
        <v>157.3674346375</v>
      </c>
      <c r="Q625" s="7">
        <v>174.33801500000001</v>
      </c>
      <c r="R625" s="7">
        <v>172.557005</v>
      </c>
      <c r="S625" s="7"/>
      <c r="T625" s="7"/>
      <c r="U625" s="7"/>
      <c r="V625" s="7"/>
      <c r="W625" s="11">
        <f t="shared" si="11"/>
        <v>1260.3898269202</v>
      </c>
    </row>
    <row r="626" spans="1:23" x14ac:dyDescent="0.2">
      <c r="A626" s="4" t="s">
        <v>571</v>
      </c>
      <c r="B626" s="4" t="s">
        <v>586</v>
      </c>
      <c r="C626" s="4" t="s">
        <v>10</v>
      </c>
      <c r="D626" s="4" t="s">
        <v>595</v>
      </c>
      <c r="E626" s="4" t="s">
        <v>12</v>
      </c>
      <c r="F626" s="4" t="s">
        <v>502</v>
      </c>
      <c r="G626" s="4" t="s">
        <v>503</v>
      </c>
      <c r="H626" s="4" t="s">
        <v>478</v>
      </c>
      <c r="I626" s="4" t="s">
        <v>504</v>
      </c>
      <c r="J626" s="4" t="s">
        <v>505</v>
      </c>
      <c r="K626" s="7">
        <v>903.94013014100005</v>
      </c>
      <c r="L626" s="7">
        <v>623.38540049120002</v>
      </c>
      <c r="M626" s="7">
        <v>635.66797687439998</v>
      </c>
      <c r="N626" s="7">
        <v>565.51277851580005</v>
      </c>
      <c r="O626" s="7">
        <v>687.07493249820004</v>
      </c>
      <c r="P626" s="7">
        <v>718.17697857830001</v>
      </c>
      <c r="Q626" s="7">
        <v>1150.7032959999999</v>
      </c>
      <c r="R626" s="7">
        <v>744.95427199999995</v>
      </c>
      <c r="S626" s="7"/>
      <c r="T626" s="7"/>
      <c r="U626" s="7"/>
      <c r="V626" s="7"/>
      <c r="W626" s="11">
        <f t="shared" si="11"/>
        <v>6029.4157650989</v>
      </c>
    </row>
    <row r="627" spans="1:23" x14ac:dyDescent="0.2">
      <c r="A627" s="4" t="s">
        <v>571</v>
      </c>
      <c r="B627" s="4" t="s">
        <v>586</v>
      </c>
      <c r="C627" s="4" t="s">
        <v>10</v>
      </c>
      <c r="D627" s="4" t="s">
        <v>595</v>
      </c>
      <c r="E627" s="4" t="s">
        <v>12</v>
      </c>
      <c r="F627" s="4" t="s">
        <v>506</v>
      </c>
      <c r="G627" s="4" t="s">
        <v>507</v>
      </c>
      <c r="H627" s="4" t="s">
        <v>46</v>
      </c>
      <c r="I627" s="4" t="s">
        <v>52</v>
      </c>
      <c r="J627" s="4" t="s">
        <v>82</v>
      </c>
      <c r="K627" s="7">
        <v>94.548913924000004</v>
      </c>
      <c r="L627" s="7">
        <v>84.296438395300001</v>
      </c>
      <c r="M627" s="7">
        <v>91.654843768500001</v>
      </c>
      <c r="N627" s="7">
        <v>104.7174439369</v>
      </c>
      <c r="O627" s="7">
        <v>123.39223929480001</v>
      </c>
      <c r="P627" s="7">
        <v>117.6065226601</v>
      </c>
      <c r="Q627" s="7">
        <v>115.683605</v>
      </c>
      <c r="R627" s="7">
        <v>113.898371</v>
      </c>
      <c r="S627" s="7"/>
      <c r="T627" s="7"/>
      <c r="U627" s="7"/>
      <c r="V627" s="7"/>
      <c r="W627" s="11">
        <f t="shared" si="11"/>
        <v>845.79837797959999</v>
      </c>
    </row>
    <row r="628" spans="1:23" x14ac:dyDescent="0.2">
      <c r="A628" s="4" t="s">
        <v>571</v>
      </c>
      <c r="B628" s="4" t="s">
        <v>586</v>
      </c>
      <c r="C628" s="4" t="s">
        <v>10</v>
      </c>
      <c r="D628" s="4" t="s">
        <v>595</v>
      </c>
      <c r="E628" s="4" t="s">
        <v>12</v>
      </c>
      <c r="F628" s="4" t="s">
        <v>508</v>
      </c>
      <c r="G628" s="4" t="s">
        <v>509</v>
      </c>
      <c r="H628" s="4" t="s">
        <v>88</v>
      </c>
      <c r="I628" s="4" t="s">
        <v>154</v>
      </c>
      <c r="J628" s="4" t="s">
        <v>510</v>
      </c>
      <c r="K628" s="7">
        <v>1.9895674816</v>
      </c>
      <c r="L628" s="7">
        <v>5.7678140488</v>
      </c>
      <c r="M628" s="7">
        <v>3.0938068425999998</v>
      </c>
      <c r="N628" s="7">
        <v>1.0977640587999999</v>
      </c>
      <c r="O628" s="7">
        <v>1.1092456086</v>
      </c>
      <c r="P628" s="7">
        <v>1.7525995688</v>
      </c>
      <c r="Q628" s="7">
        <v>4.220294</v>
      </c>
      <c r="R628" s="7">
        <v>1.380096</v>
      </c>
      <c r="S628" s="7"/>
      <c r="T628" s="7"/>
      <c r="U628" s="7"/>
      <c r="V628" s="7"/>
      <c r="W628" s="11">
        <f t="shared" si="11"/>
        <v>20.411187609199999</v>
      </c>
    </row>
    <row r="629" spans="1:23" x14ac:dyDescent="0.2">
      <c r="A629" s="4" t="s">
        <v>571</v>
      </c>
      <c r="B629" s="4" t="s">
        <v>586</v>
      </c>
      <c r="C629" s="4" t="s">
        <v>10</v>
      </c>
      <c r="D629" s="4" t="s">
        <v>595</v>
      </c>
      <c r="E629" s="4" t="s">
        <v>12</v>
      </c>
      <c r="F629" s="4" t="s">
        <v>511</v>
      </c>
      <c r="G629" s="4" t="s">
        <v>512</v>
      </c>
      <c r="H629" s="4" t="s">
        <v>115</v>
      </c>
      <c r="I629" s="4" t="s">
        <v>513</v>
      </c>
      <c r="J629" s="4" t="s">
        <v>514</v>
      </c>
      <c r="K629" s="7">
        <v>152.90139642099999</v>
      </c>
      <c r="L629" s="7">
        <v>119.6709916746</v>
      </c>
      <c r="M629" s="7">
        <v>156.2874764272</v>
      </c>
      <c r="N629" s="7">
        <v>110.4512580131</v>
      </c>
      <c r="O629" s="7">
        <v>108.6966934667</v>
      </c>
      <c r="P629" s="7">
        <v>106.7290744583</v>
      </c>
      <c r="Q629" s="7">
        <v>138.25761199999999</v>
      </c>
      <c r="R629" s="7">
        <v>129.54239200000001</v>
      </c>
      <c r="S629" s="7"/>
      <c r="T629" s="7"/>
      <c r="U629" s="7"/>
      <c r="V629" s="7"/>
      <c r="W629" s="11">
        <f t="shared" si="11"/>
        <v>1022.5368944608999</v>
      </c>
    </row>
    <row r="630" spans="1:23" x14ac:dyDescent="0.2">
      <c r="A630" s="4" t="s">
        <v>571</v>
      </c>
      <c r="B630" s="4" t="s">
        <v>586</v>
      </c>
      <c r="C630" s="4" t="s">
        <v>10</v>
      </c>
      <c r="D630" s="4" t="s">
        <v>595</v>
      </c>
      <c r="E630" s="4" t="s">
        <v>12</v>
      </c>
      <c r="F630" s="4" t="s">
        <v>134</v>
      </c>
      <c r="G630" s="4" t="s">
        <v>135</v>
      </c>
      <c r="H630" s="4" t="s">
        <v>46</v>
      </c>
      <c r="I630" s="4" t="s">
        <v>52</v>
      </c>
      <c r="J630" s="4" t="s">
        <v>61</v>
      </c>
      <c r="K630" s="7">
        <v>110.32290897350001</v>
      </c>
      <c r="L630" s="7">
        <v>59.960950526700003</v>
      </c>
      <c r="M630" s="7">
        <v>133.92088950300001</v>
      </c>
      <c r="N630" s="7">
        <v>61.104949582800003</v>
      </c>
      <c r="O630" s="7">
        <v>161.00486715630001</v>
      </c>
      <c r="P630" s="7">
        <v>113.0219067466</v>
      </c>
      <c r="Q630" s="7">
        <v>103.13491399999999</v>
      </c>
      <c r="R630" s="7">
        <v>119.913901</v>
      </c>
      <c r="S630" s="7"/>
      <c r="T630" s="7"/>
      <c r="U630" s="7"/>
      <c r="V630" s="7"/>
      <c r="W630" s="11">
        <f t="shared" si="11"/>
        <v>862.38528748890019</v>
      </c>
    </row>
    <row r="631" spans="1:23" x14ac:dyDescent="0.2">
      <c r="A631" s="4" t="s">
        <v>571</v>
      </c>
      <c r="B631" s="4" t="s">
        <v>586</v>
      </c>
      <c r="C631" s="4" t="s">
        <v>10</v>
      </c>
      <c r="D631" s="4" t="s">
        <v>595</v>
      </c>
      <c r="E631" s="4" t="s">
        <v>12</v>
      </c>
      <c r="F631" s="4" t="s">
        <v>518</v>
      </c>
      <c r="G631" s="4" t="s">
        <v>519</v>
      </c>
      <c r="H631" s="4" t="s">
        <v>46</v>
      </c>
      <c r="I631" s="4" t="s">
        <v>52</v>
      </c>
      <c r="J631" s="4" t="s">
        <v>61</v>
      </c>
      <c r="K631" s="7">
        <v>0</v>
      </c>
      <c r="L631" s="7">
        <v>817.38053820460004</v>
      </c>
      <c r="M631" s="7">
        <v>290.2768322238</v>
      </c>
      <c r="N631" s="7">
        <v>0</v>
      </c>
      <c r="O631" s="7">
        <v>0</v>
      </c>
      <c r="P631" s="7">
        <v>198.16563487209999</v>
      </c>
      <c r="Q631" s="7">
        <v>1112.3656820000001</v>
      </c>
      <c r="R631" s="7">
        <v>343.95056</v>
      </c>
      <c r="S631" s="7"/>
      <c r="T631" s="7"/>
      <c r="U631" s="7"/>
      <c r="V631" s="7"/>
      <c r="W631" s="11">
        <f t="shared" si="11"/>
        <v>2762.1392473004998</v>
      </c>
    </row>
    <row r="632" spans="1:23" x14ac:dyDescent="0.2">
      <c r="A632" s="4" t="s">
        <v>571</v>
      </c>
      <c r="B632" s="4" t="s">
        <v>586</v>
      </c>
      <c r="C632" s="4" t="s">
        <v>10</v>
      </c>
      <c r="D632" s="4" t="s">
        <v>595</v>
      </c>
      <c r="E632" s="4" t="s">
        <v>12</v>
      </c>
      <c r="F632" s="4" t="s">
        <v>520</v>
      </c>
      <c r="G632" s="4" t="s">
        <v>521</v>
      </c>
      <c r="H632" s="4" t="s">
        <v>115</v>
      </c>
      <c r="I632" s="4" t="s">
        <v>115</v>
      </c>
      <c r="J632" s="4" t="s">
        <v>115</v>
      </c>
      <c r="K632" s="7">
        <v>224.7289652783</v>
      </c>
      <c r="L632" s="7">
        <v>210.71816152860001</v>
      </c>
      <c r="M632" s="7">
        <v>235.0119551217</v>
      </c>
      <c r="N632" s="7">
        <v>322.31749863750002</v>
      </c>
      <c r="O632" s="7">
        <v>300.55318596730001</v>
      </c>
      <c r="P632" s="7">
        <v>274.49683610030002</v>
      </c>
      <c r="Q632" s="7">
        <v>258.90430800000001</v>
      </c>
      <c r="R632" s="7">
        <v>284.23932200000002</v>
      </c>
      <c r="S632" s="7"/>
      <c r="T632" s="7"/>
      <c r="U632" s="7"/>
      <c r="V632" s="7"/>
      <c r="W632" s="11">
        <f t="shared" si="11"/>
        <v>2110.9702326336997</v>
      </c>
    </row>
    <row r="633" spans="1:23" x14ac:dyDescent="0.2">
      <c r="A633" s="4" t="s">
        <v>571</v>
      </c>
      <c r="B633" s="4" t="s">
        <v>586</v>
      </c>
      <c r="C633" s="4" t="s">
        <v>10</v>
      </c>
      <c r="D633" s="4" t="s">
        <v>595</v>
      </c>
      <c r="E633" s="4" t="s">
        <v>12</v>
      </c>
      <c r="F633" s="4" t="s">
        <v>520</v>
      </c>
      <c r="G633" s="4" t="s">
        <v>522</v>
      </c>
      <c r="H633" s="4" t="s">
        <v>115</v>
      </c>
      <c r="I633" s="4" t="s">
        <v>115</v>
      </c>
      <c r="J633" s="4" t="s">
        <v>523</v>
      </c>
      <c r="K633" s="7">
        <v>1044.9150277582</v>
      </c>
      <c r="L633" s="7">
        <v>596.82224746220004</v>
      </c>
      <c r="M633" s="7">
        <v>629.76965038180003</v>
      </c>
      <c r="N633" s="7">
        <v>643.26692639780003</v>
      </c>
      <c r="O633" s="7">
        <v>532.20915991740003</v>
      </c>
      <c r="P633" s="7">
        <v>472.72417102669999</v>
      </c>
      <c r="Q633" s="7">
        <v>425.314708</v>
      </c>
      <c r="R633" s="7">
        <v>459.69695200000001</v>
      </c>
      <c r="S633" s="7"/>
      <c r="T633" s="7"/>
      <c r="U633" s="7"/>
      <c r="V633" s="7"/>
      <c r="W633" s="11">
        <f t="shared" si="11"/>
        <v>4804.7188429441003</v>
      </c>
    </row>
    <row r="634" spans="1:23" x14ac:dyDescent="0.2">
      <c r="A634" s="4" t="s">
        <v>571</v>
      </c>
      <c r="B634" s="4" t="s">
        <v>586</v>
      </c>
      <c r="C634" s="4" t="s">
        <v>10</v>
      </c>
      <c r="D634" s="4" t="s">
        <v>595</v>
      </c>
      <c r="E634" s="4" t="s">
        <v>12</v>
      </c>
      <c r="F634" s="4" t="s">
        <v>172</v>
      </c>
      <c r="G634" s="4" t="s">
        <v>524</v>
      </c>
      <c r="H634" s="4" t="s">
        <v>159</v>
      </c>
      <c r="I634" s="4" t="s">
        <v>159</v>
      </c>
      <c r="J634" s="4" t="s">
        <v>525</v>
      </c>
      <c r="K634" s="7">
        <v>134.19148811279999</v>
      </c>
      <c r="L634" s="7">
        <v>0</v>
      </c>
      <c r="M634" s="7">
        <v>361.14329633109998</v>
      </c>
      <c r="N634" s="7">
        <v>180.57518083319999</v>
      </c>
      <c r="O634" s="7">
        <v>215.82021106299999</v>
      </c>
      <c r="P634" s="7">
        <v>191.95455024949999</v>
      </c>
      <c r="Q634" s="7">
        <v>187.483566</v>
      </c>
      <c r="R634" s="7">
        <v>183.53673699999999</v>
      </c>
      <c r="S634" s="7"/>
      <c r="T634" s="7"/>
      <c r="U634" s="7"/>
      <c r="V634" s="7"/>
      <c r="W634" s="11">
        <f t="shared" si="11"/>
        <v>1454.7050295895997</v>
      </c>
    </row>
    <row r="635" spans="1:23" x14ac:dyDescent="0.2">
      <c r="A635" s="4" t="s">
        <v>571</v>
      </c>
      <c r="B635" s="4" t="s">
        <v>586</v>
      </c>
      <c r="C635" s="4" t="s">
        <v>10</v>
      </c>
      <c r="D635" s="4" t="s">
        <v>595</v>
      </c>
      <c r="E635" s="4" t="s">
        <v>12</v>
      </c>
      <c r="F635" s="4" t="s">
        <v>526</v>
      </c>
      <c r="G635" s="4" t="s">
        <v>527</v>
      </c>
      <c r="H635" s="4" t="s">
        <v>115</v>
      </c>
      <c r="I635" s="4" t="s">
        <v>528</v>
      </c>
      <c r="J635" s="4" t="s">
        <v>529</v>
      </c>
      <c r="K635" s="7">
        <v>411.35493587299999</v>
      </c>
      <c r="L635" s="7">
        <v>407.07862633590003</v>
      </c>
      <c r="M635" s="7">
        <v>410.68638688670001</v>
      </c>
      <c r="N635" s="7">
        <v>383.28739183530001</v>
      </c>
      <c r="O635" s="7">
        <v>375.59378877109998</v>
      </c>
      <c r="P635" s="7">
        <v>452.46056559390001</v>
      </c>
      <c r="Q635" s="7">
        <v>436.18111699999997</v>
      </c>
      <c r="R635" s="7">
        <v>562.46639900000002</v>
      </c>
      <c r="S635" s="7"/>
      <c r="T635" s="7"/>
      <c r="U635" s="7"/>
      <c r="V635" s="7"/>
      <c r="W635" s="11">
        <f t="shared" si="11"/>
        <v>3439.1092112959</v>
      </c>
    </row>
    <row r="636" spans="1:23" x14ac:dyDescent="0.2">
      <c r="A636" s="4" t="s">
        <v>571</v>
      </c>
      <c r="B636" s="4" t="s">
        <v>586</v>
      </c>
      <c r="C636" s="4" t="s">
        <v>10</v>
      </c>
      <c r="D636" s="4" t="s">
        <v>595</v>
      </c>
      <c r="E636" s="4" t="s">
        <v>12</v>
      </c>
      <c r="F636" s="4" t="s">
        <v>530</v>
      </c>
      <c r="G636" s="4" t="s">
        <v>531</v>
      </c>
      <c r="H636" s="4" t="s">
        <v>478</v>
      </c>
      <c r="I636" s="4" t="s">
        <v>498</v>
      </c>
      <c r="J636" s="4" t="s">
        <v>499</v>
      </c>
      <c r="K636" s="7">
        <v>183.3835489635</v>
      </c>
      <c r="L636" s="7">
        <v>150.3312358517</v>
      </c>
      <c r="M636" s="7">
        <v>133.98186435100001</v>
      </c>
      <c r="N636" s="7">
        <v>194.27078944190001</v>
      </c>
      <c r="O636" s="7">
        <v>182.12374151349999</v>
      </c>
      <c r="P636" s="7">
        <v>148.2511867634</v>
      </c>
      <c r="Q636" s="7">
        <v>186.080468</v>
      </c>
      <c r="R636" s="7">
        <v>192.01351199999999</v>
      </c>
      <c r="S636" s="7"/>
      <c r="T636" s="7"/>
      <c r="U636" s="7"/>
      <c r="V636" s="7"/>
      <c r="W636" s="11">
        <f t="shared" si="11"/>
        <v>1370.4363468850001</v>
      </c>
    </row>
    <row r="637" spans="1:23" x14ac:dyDescent="0.2">
      <c r="A637" s="4" t="s">
        <v>571</v>
      </c>
      <c r="B637" s="4" t="s">
        <v>586</v>
      </c>
      <c r="C637" s="4" t="s">
        <v>10</v>
      </c>
      <c r="D637" s="4" t="s">
        <v>595</v>
      </c>
      <c r="E637" s="4" t="s">
        <v>12</v>
      </c>
      <c r="F637" s="4" t="s">
        <v>532</v>
      </c>
      <c r="G637" s="4" t="s">
        <v>533</v>
      </c>
      <c r="H637" s="4" t="s">
        <v>54</v>
      </c>
      <c r="I637" s="4" t="s">
        <v>123</v>
      </c>
      <c r="J637" s="4" t="s">
        <v>534</v>
      </c>
      <c r="K637" s="7">
        <v>63.0365005142</v>
      </c>
      <c r="L637" s="7">
        <v>65.001851457100003</v>
      </c>
      <c r="M637" s="7">
        <v>78.520106457200001</v>
      </c>
      <c r="N637" s="7">
        <v>69.349867136300006</v>
      </c>
      <c r="O637" s="7">
        <v>36.570671819499999</v>
      </c>
      <c r="P637" s="7">
        <v>41.241191674200003</v>
      </c>
      <c r="Q637" s="7">
        <v>42.942692999999998</v>
      </c>
      <c r="R637" s="7">
        <v>41.128579999999999</v>
      </c>
      <c r="S637" s="7"/>
      <c r="T637" s="7"/>
      <c r="U637" s="7"/>
      <c r="V637" s="7"/>
      <c r="W637" s="11">
        <f t="shared" si="11"/>
        <v>437.79146205850003</v>
      </c>
    </row>
    <row r="638" spans="1:23" x14ac:dyDescent="0.2">
      <c r="A638" s="4" t="s">
        <v>572</v>
      </c>
      <c r="B638" s="4" t="s">
        <v>9</v>
      </c>
      <c r="C638" s="4" t="s">
        <v>10</v>
      </c>
      <c r="D638" s="4" t="s">
        <v>11</v>
      </c>
      <c r="E638" s="4" t="s">
        <v>29</v>
      </c>
      <c r="F638" s="4" t="s">
        <v>48</v>
      </c>
      <c r="G638" s="4" t="s">
        <v>49</v>
      </c>
      <c r="H638" s="4" t="s">
        <v>591</v>
      </c>
      <c r="I638" s="4" t="s">
        <v>50</v>
      </c>
      <c r="J638" s="4" t="s">
        <v>51</v>
      </c>
      <c r="K638" s="7">
        <v>16.987085099999998</v>
      </c>
      <c r="L638" s="7">
        <v>20.383606199999999</v>
      </c>
      <c r="M638" s="7">
        <v>16.824526200000001</v>
      </c>
      <c r="N638" s="7">
        <v>0</v>
      </c>
      <c r="O638" s="7">
        <v>25.183703399999999</v>
      </c>
      <c r="P638" s="7">
        <v>0</v>
      </c>
      <c r="Q638" s="7">
        <v>23.410549</v>
      </c>
      <c r="R638" s="7">
        <v>0</v>
      </c>
      <c r="S638" s="7"/>
      <c r="T638" s="7"/>
      <c r="U638" s="7"/>
      <c r="V638" s="7"/>
      <c r="W638" s="11">
        <f t="shared" si="11"/>
        <v>102.7894699</v>
      </c>
    </row>
    <row r="639" spans="1:23" x14ac:dyDescent="0.2">
      <c r="A639" s="4" t="s">
        <v>572</v>
      </c>
      <c r="B639" s="4" t="s">
        <v>9</v>
      </c>
      <c r="C639" s="4" t="s">
        <v>10</v>
      </c>
      <c r="D639" s="4" t="s">
        <v>11</v>
      </c>
      <c r="E639" s="4" t="s">
        <v>29</v>
      </c>
      <c r="F639" s="4" t="s">
        <v>180</v>
      </c>
      <c r="G639" s="4" t="s">
        <v>181</v>
      </c>
      <c r="H639" s="4" t="s">
        <v>46</v>
      </c>
      <c r="I639" s="4" t="s">
        <v>47</v>
      </c>
      <c r="J639" s="4" t="s">
        <v>47</v>
      </c>
      <c r="K639" s="7">
        <v>0.853464</v>
      </c>
      <c r="L639" s="7">
        <v>1.604352</v>
      </c>
      <c r="M639" s="7">
        <v>2.7033689999999999</v>
      </c>
      <c r="N639" s="7">
        <v>2.1074830000000002</v>
      </c>
      <c r="O639" s="7">
        <v>2.0136820000000002</v>
      </c>
      <c r="P639" s="7">
        <v>1.7867519999999999</v>
      </c>
      <c r="Q639" s="7">
        <v>0</v>
      </c>
      <c r="R639" s="7">
        <v>3.6074739999999998</v>
      </c>
      <c r="S639" s="7"/>
      <c r="T639" s="7"/>
      <c r="U639" s="7"/>
      <c r="V639" s="7"/>
      <c r="W639" s="11">
        <f t="shared" si="11"/>
        <v>14.676576000000001</v>
      </c>
    </row>
    <row r="640" spans="1:23" x14ac:dyDescent="0.2">
      <c r="A640" s="4" t="s">
        <v>572</v>
      </c>
      <c r="B640" s="4" t="s">
        <v>9</v>
      </c>
      <c r="C640" s="4" t="s">
        <v>10</v>
      </c>
      <c r="D640" s="4" t="s">
        <v>11</v>
      </c>
      <c r="E640" s="4" t="s">
        <v>29</v>
      </c>
      <c r="F640" s="4" t="s">
        <v>858</v>
      </c>
      <c r="G640" s="4" t="s">
        <v>859</v>
      </c>
      <c r="H640" s="4" t="s">
        <v>591</v>
      </c>
      <c r="I640" s="4" t="s">
        <v>860</v>
      </c>
      <c r="J640" s="4" t="s">
        <v>861</v>
      </c>
      <c r="K640" s="7">
        <v>0</v>
      </c>
      <c r="L640" s="7">
        <v>0</v>
      </c>
      <c r="M640" s="7">
        <v>0</v>
      </c>
      <c r="N640" s="7">
        <v>155.9681865</v>
      </c>
      <c r="O640" s="7">
        <v>0</v>
      </c>
      <c r="P640" s="7">
        <v>0</v>
      </c>
      <c r="Q640" s="7">
        <v>0</v>
      </c>
      <c r="R640" s="7">
        <v>162.51963499999999</v>
      </c>
      <c r="S640" s="7"/>
      <c r="T640" s="7"/>
      <c r="U640" s="7"/>
      <c r="V640" s="7"/>
      <c r="W640" s="11">
        <f t="shared" si="11"/>
        <v>318.4878215</v>
      </c>
    </row>
    <row r="641" spans="1:24" x14ac:dyDescent="0.2">
      <c r="A641" s="4" t="s">
        <v>572</v>
      </c>
      <c r="B641" s="4" t="s">
        <v>9</v>
      </c>
      <c r="C641" s="4" t="s">
        <v>10</v>
      </c>
      <c r="D641" s="4" t="s">
        <v>11</v>
      </c>
      <c r="E641" s="4" t="s">
        <v>29</v>
      </c>
      <c r="F641" s="4" t="s">
        <v>596</v>
      </c>
      <c r="G641" s="4" t="s">
        <v>182</v>
      </c>
      <c r="H641" s="4" t="s">
        <v>593</v>
      </c>
      <c r="I641" s="4" t="s">
        <v>183</v>
      </c>
      <c r="J641" s="4" t="s">
        <v>184</v>
      </c>
      <c r="K641" s="7">
        <v>5.23644467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/>
      <c r="T641" s="7"/>
      <c r="U641" s="7"/>
      <c r="V641" s="7"/>
      <c r="W641" s="11">
        <f t="shared" si="11"/>
        <v>5.23644467</v>
      </c>
    </row>
    <row r="642" spans="1:24" x14ac:dyDescent="0.2">
      <c r="A642" s="4" t="s">
        <v>572</v>
      </c>
      <c r="B642" s="4" t="s">
        <v>9</v>
      </c>
      <c r="C642" s="4" t="s">
        <v>10</v>
      </c>
      <c r="D642" s="4" t="s">
        <v>11</v>
      </c>
      <c r="E642" s="4" t="s">
        <v>29</v>
      </c>
      <c r="F642" s="4" t="s">
        <v>56</v>
      </c>
      <c r="G642" s="4" t="s">
        <v>57</v>
      </c>
      <c r="H642" s="4" t="s">
        <v>591</v>
      </c>
      <c r="I642" s="4" t="s">
        <v>20</v>
      </c>
      <c r="J642" s="4" t="s">
        <v>58</v>
      </c>
      <c r="K642" s="7">
        <v>41.5426146</v>
      </c>
      <c r="L642" s="7">
        <v>68.162494199999998</v>
      </c>
      <c r="M642" s="7">
        <v>66.561023500000005</v>
      </c>
      <c r="N642" s="7">
        <v>57.208430400000005</v>
      </c>
      <c r="O642" s="7">
        <v>49.848176000000002</v>
      </c>
      <c r="P642" s="7">
        <v>51.449565399999997</v>
      </c>
      <c r="Q642" s="7">
        <v>47.586547000000003</v>
      </c>
      <c r="R642" s="7">
        <v>99.106099999999998</v>
      </c>
      <c r="S642" s="7"/>
      <c r="T642" s="7"/>
      <c r="U642" s="7"/>
      <c r="V642" s="7"/>
      <c r="W642" s="11">
        <f t="shared" si="11"/>
        <v>481.46495110000001</v>
      </c>
    </row>
    <row r="643" spans="1:24" x14ac:dyDescent="0.2">
      <c r="A643" s="4" t="s">
        <v>572</v>
      </c>
      <c r="B643" s="4" t="s">
        <v>9</v>
      </c>
      <c r="C643" s="4" t="s">
        <v>10</v>
      </c>
      <c r="D643" s="4" t="s">
        <v>11</v>
      </c>
      <c r="E643" s="4" t="s">
        <v>29</v>
      </c>
      <c r="F643" s="4" t="s">
        <v>761</v>
      </c>
      <c r="G643" s="4" t="s">
        <v>762</v>
      </c>
      <c r="H643" s="4" t="s">
        <v>591</v>
      </c>
      <c r="I643" s="4" t="s">
        <v>62</v>
      </c>
      <c r="J643" s="4" t="s">
        <v>763</v>
      </c>
      <c r="K643" s="7">
        <v>0</v>
      </c>
      <c r="L643" s="7">
        <v>0</v>
      </c>
      <c r="M643" s="7">
        <v>83.135582400000004</v>
      </c>
      <c r="N643" s="7">
        <v>36.589536000000003</v>
      </c>
      <c r="O643" s="7">
        <v>0</v>
      </c>
      <c r="P643" s="7">
        <v>89.245136400000007</v>
      </c>
      <c r="Q643" s="7">
        <v>0</v>
      </c>
      <c r="R643" s="7">
        <v>82.821284000000006</v>
      </c>
      <c r="S643" s="7"/>
      <c r="T643" s="7"/>
      <c r="U643" s="7"/>
      <c r="V643" s="7"/>
      <c r="W643" s="11">
        <f t="shared" ref="W643:W700" si="12">SUM(K643:V643)</f>
        <v>291.79153880000001</v>
      </c>
    </row>
    <row r="644" spans="1:24" x14ac:dyDescent="0.2">
      <c r="A644" s="4" t="s">
        <v>572</v>
      </c>
      <c r="B644" s="4" t="s">
        <v>9</v>
      </c>
      <c r="C644" s="4" t="s">
        <v>10</v>
      </c>
      <c r="D644" s="4" t="s">
        <v>11</v>
      </c>
      <c r="E644" s="4" t="s">
        <v>29</v>
      </c>
      <c r="F644" s="4" t="s">
        <v>677</v>
      </c>
      <c r="G644" s="4" t="s">
        <v>50</v>
      </c>
      <c r="H644" s="4" t="s">
        <v>591</v>
      </c>
      <c r="I644" s="4" t="s">
        <v>50</v>
      </c>
      <c r="J644" s="4" t="s">
        <v>678</v>
      </c>
      <c r="K644" s="7">
        <v>29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/>
      <c r="T644" s="7"/>
      <c r="U644" s="7"/>
      <c r="V644" s="7"/>
      <c r="W644" s="11">
        <f t="shared" si="12"/>
        <v>29</v>
      </c>
      <c r="X644" s="10"/>
    </row>
    <row r="645" spans="1:24" x14ac:dyDescent="0.2">
      <c r="A645" s="4" t="s">
        <v>572</v>
      </c>
      <c r="B645" s="4" t="s">
        <v>9</v>
      </c>
      <c r="C645" s="4" t="s">
        <v>10</v>
      </c>
      <c r="D645" s="4" t="s">
        <v>11</v>
      </c>
      <c r="E645" s="4" t="s">
        <v>29</v>
      </c>
      <c r="F645" s="4" t="s">
        <v>632</v>
      </c>
      <c r="G645" s="4" t="s">
        <v>633</v>
      </c>
      <c r="H645" s="4" t="s">
        <v>32</v>
      </c>
      <c r="I645" s="4" t="s">
        <v>80</v>
      </c>
      <c r="J645" s="4" t="s">
        <v>634</v>
      </c>
      <c r="K645" s="7">
        <v>0.37363200000000002</v>
      </c>
      <c r="L645" s="7">
        <v>3.2663359999999999</v>
      </c>
      <c r="M645" s="7">
        <v>0</v>
      </c>
      <c r="N645" s="7">
        <v>2.6031200000000001</v>
      </c>
      <c r="O645" s="7">
        <v>0</v>
      </c>
      <c r="P645" s="7">
        <v>4.3648550000000004</v>
      </c>
      <c r="Q645" s="7">
        <v>0.16897999999999999</v>
      </c>
      <c r="R645" s="7">
        <v>0</v>
      </c>
      <c r="S645" s="7"/>
      <c r="T645" s="7"/>
      <c r="U645" s="7"/>
      <c r="V645" s="7"/>
      <c r="W645" s="11">
        <f t="shared" si="12"/>
        <v>10.776923</v>
      </c>
    </row>
    <row r="646" spans="1:24" x14ac:dyDescent="0.2">
      <c r="A646" s="4" t="s">
        <v>572</v>
      </c>
      <c r="B646" s="4" t="s">
        <v>9</v>
      </c>
      <c r="C646" s="4" t="s">
        <v>10</v>
      </c>
      <c r="D646" s="4" t="s">
        <v>11</v>
      </c>
      <c r="E646" s="4" t="s">
        <v>29</v>
      </c>
      <c r="F646" s="4" t="s">
        <v>751</v>
      </c>
      <c r="G646" s="4" t="s">
        <v>752</v>
      </c>
      <c r="H646" s="4" t="s">
        <v>591</v>
      </c>
      <c r="I646" s="4" t="s">
        <v>100</v>
      </c>
      <c r="J646" s="4" t="s">
        <v>752</v>
      </c>
      <c r="K646" s="7">
        <v>0</v>
      </c>
      <c r="L646" s="7">
        <v>90</v>
      </c>
      <c r="M646" s="7">
        <v>0</v>
      </c>
      <c r="N646" s="7">
        <v>54</v>
      </c>
      <c r="O646" s="7">
        <v>0</v>
      </c>
      <c r="P646" s="7">
        <v>77.5</v>
      </c>
      <c r="Q646" s="7">
        <v>0</v>
      </c>
      <c r="R646" s="7">
        <v>57.96</v>
      </c>
      <c r="S646" s="7"/>
      <c r="T646" s="7"/>
      <c r="U646" s="7"/>
      <c r="V646" s="7"/>
      <c r="W646" s="11">
        <f t="shared" si="12"/>
        <v>279.45999999999998</v>
      </c>
    </row>
    <row r="647" spans="1:24" x14ac:dyDescent="0.2">
      <c r="A647" s="4" t="s">
        <v>572</v>
      </c>
      <c r="B647" s="4" t="s">
        <v>9</v>
      </c>
      <c r="C647" s="4" t="s">
        <v>10</v>
      </c>
      <c r="D647" s="4" t="s">
        <v>11</v>
      </c>
      <c r="E647" s="4" t="s">
        <v>12</v>
      </c>
      <c r="F647" s="4" t="s">
        <v>71</v>
      </c>
      <c r="G647" s="4" t="s">
        <v>72</v>
      </c>
      <c r="H647" s="4" t="s">
        <v>73</v>
      </c>
      <c r="I647" s="4" t="s">
        <v>74</v>
      </c>
      <c r="J647" s="4" t="s">
        <v>75</v>
      </c>
      <c r="K647" s="7">
        <v>375.66474360000001</v>
      </c>
      <c r="L647" s="7">
        <v>347.81830035000002</v>
      </c>
      <c r="M647" s="7">
        <v>492.9686762</v>
      </c>
      <c r="N647" s="7">
        <v>491.957764</v>
      </c>
      <c r="O647" s="7">
        <v>429.30237419999997</v>
      </c>
      <c r="P647" s="7">
        <v>328.32066850000001</v>
      </c>
      <c r="Q647" s="7">
        <v>366.25812300000001</v>
      </c>
      <c r="R647" s="7">
        <v>135.04258300000001</v>
      </c>
      <c r="S647" s="7"/>
      <c r="T647" s="7"/>
      <c r="U647" s="7"/>
      <c r="V647" s="7"/>
      <c r="W647" s="11">
        <f t="shared" si="12"/>
        <v>2967.3332328500001</v>
      </c>
    </row>
    <row r="648" spans="1:24" x14ac:dyDescent="0.2">
      <c r="A648" s="4" t="s">
        <v>572</v>
      </c>
      <c r="B648" s="4" t="s">
        <v>9</v>
      </c>
      <c r="C648" s="4" t="s">
        <v>10</v>
      </c>
      <c r="D648" s="4" t="s">
        <v>11</v>
      </c>
      <c r="E648" s="4" t="s">
        <v>12</v>
      </c>
      <c r="F648" s="4" t="s">
        <v>536</v>
      </c>
      <c r="G648" s="4" t="s">
        <v>547</v>
      </c>
      <c r="H648" s="4" t="s">
        <v>88</v>
      </c>
      <c r="I648" s="4" t="s">
        <v>111</v>
      </c>
      <c r="J648" s="4" t="s">
        <v>112</v>
      </c>
      <c r="K648" s="7">
        <v>6.6792600000000002</v>
      </c>
      <c r="L648" s="7">
        <v>6.4557779999999996</v>
      </c>
      <c r="M648" s="7">
        <v>6.7203099999999996</v>
      </c>
      <c r="N648" s="7">
        <v>5.581709</v>
      </c>
      <c r="O648" s="7">
        <v>7.2437120000000004</v>
      </c>
      <c r="P648" s="7">
        <v>0</v>
      </c>
      <c r="Q648" s="7">
        <v>9.5861870000000007</v>
      </c>
      <c r="R648" s="7">
        <v>18.961285</v>
      </c>
      <c r="S648" s="7"/>
      <c r="T648" s="7"/>
      <c r="U648" s="7"/>
      <c r="V648" s="7"/>
      <c r="W648" s="11">
        <f t="shared" si="12"/>
        <v>61.228240999999997</v>
      </c>
    </row>
    <row r="649" spans="1:24" x14ac:dyDescent="0.2">
      <c r="A649" s="4" t="s">
        <v>572</v>
      </c>
      <c r="B649" s="4" t="s">
        <v>9</v>
      </c>
      <c r="C649" s="4" t="s">
        <v>10</v>
      </c>
      <c r="D649" s="4" t="s">
        <v>11</v>
      </c>
      <c r="E649" s="4" t="s">
        <v>12</v>
      </c>
      <c r="F649" s="4" t="s">
        <v>13</v>
      </c>
      <c r="G649" s="4" t="s">
        <v>178</v>
      </c>
      <c r="H649" s="4" t="s">
        <v>88</v>
      </c>
      <c r="I649" s="4" t="s">
        <v>179</v>
      </c>
      <c r="J649" s="4" t="s">
        <v>179</v>
      </c>
      <c r="K649" s="7">
        <v>1619.0227982000001</v>
      </c>
      <c r="L649" s="7">
        <v>1542.1968884999999</v>
      </c>
      <c r="M649" s="7">
        <v>1639.6895793999997</v>
      </c>
      <c r="N649" s="7">
        <v>1491.5156920000002</v>
      </c>
      <c r="O649" s="7">
        <v>1517.8101879999999</v>
      </c>
      <c r="P649" s="7">
        <v>1516.4214219999999</v>
      </c>
      <c r="Q649" s="7">
        <v>1685.3726240000001</v>
      </c>
      <c r="R649" s="7">
        <v>1649.5259540000002</v>
      </c>
      <c r="S649" s="7"/>
      <c r="T649" s="7"/>
      <c r="U649" s="7"/>
      <c r="V649" s="7"/>
      <c r="W649" s="11">
        <f t="shared" si="12"/>
        <v>12661.5551461</v>
      </c>
    </row>
    <row r="650" spans="1:24" x14ac:dyDescent="0.2">
      <c r="A650" s="4" t="s">
        <v>572</v>
      </c>
      <c r="B650" s="4" t="s">
        <v>9</v>
      </c>
      <c r="C650" s="4" t="s">
        <v>10</v>
      </c>
      <c r="D650" s="4" t="s">
        <v>11</v>
      </c>
      <c r="E650" s="4" t="s">
        <v>12</v>
      </c>
      <c r="F650" s="4" t="s">
        <v>13</v>
      </c>
      <c r="G650" s="4" t="s">
        <v>14</v>
      </c>
      <c r="H650" s="4" t="s">
        <v>15</v>
      </c>
      <c r="I650" s="4" t="s">
        <v>16</v>
      </c>
      <c r="J650" s="4" t="s">
        <v>17</v>
      </c>
      <c r="K650" s="7">
        <v>93.333944599999995</v>
      </c>
      <c r="L650" s="7">
        <v>99.323979600000001</v>
      </c>
      <c r="M650" s="7">
        <v>94.286866799999999</v>
      </c>
      <c r="N650" s="7">
        <v>46.671420999999995</v>
      </c>
      <c r="O650" s="7">
        <v>52.041379200000002</v>
      </c>
      <c r="P650" s="7">
        <v>27.4117152</v>
      </c>
      <c r="Q650" s="7">
        <v>49.473852999999998</v>
      </c>
      <c r="R650" s="7">
        <v>54.819065999999999</v>
      </c>
      <c r="S650" s="7"/>
      <c r="T650" s="7"/>
      <c r="U650" s="7"/>
      <c r="V650" s="7"/>
      <c r="W650" s="11">
        <f t="shared" si="12"/>
        <v>517.36222540000006</v>
      </c>
    </row>
    <row r="651" spans="1:24" x14ac:dyDescent="0.2">
      <c r="A651" s="4" t="s">
        <v>572</v>
      </c>
      <c r="B651" s="4" t="s">
        <v>9</v>
      </c>
      <c r="C651" s="4" t="s">
        <v>10</v>
      </c>
      <c r="D651" s="4" t="s">
        <v>11</v>
      </c>
      <c r="E651" s="4" t="s">
        <v>12</v>
      </c>
      <c r="F651" s="4" t="s">
        <v>13</v>
      </c>
      <c r="G651" s="4" t="s">
        <v>188</v>
      </c>
      <c r="H651" s="4" t="s">
        <v>46</v>
      </c>
      <c r="I651" s="4" t="s">
        <v>47</v>
      </c>
      <c r="J651" s="4" t="s">
        <v>189</v>
      </c>
      <c r="K651" s="7">
        <v>214.4302758</v>
      </c>
      <c r="L651" s="7">
        <v>177.97647560000001</v>
      </c>
      <c r="M651" s="7">
        <v>144.21409919999999</v>
      </c>
      <c r="N651" s="7">
        <v>113.7933084</v>
      </c>
      <c r="O651" s="7">
        <v>84.358008999999996</v>
      </c>
      <c r="P651" s="7">
        <v>105.9798476</v>
      </c>
      <c r="Q651" s="7">
        <v>113.522639</v>
      </c>
      <c r="R651" s="7">
        <v>180.09384799999998</v>
      </c>
      <c r="S651" s="7"/>
      <c r="T651" s="7"/>
      <c r="U651" s="7"/>
      <c r="V651" s="7"/>
      <c r="W651" s="11">
        <f t="shared" si="12"/>
        <v>1134.3685026000001</v>
      </c>
    </row>
    <row r="652" spans="1:24" x14ac:dyDescent="0.2">
      <c r="A652" s="4" t="s">
        <v>572</v>
      </c>
      <c r="B652" s="4" t="s">
        <v>9</v>
      </c>
      <c r="C652" s="4" t="s">
        <v>10</v>
      </c>
      <c r="D652" s="4" t="s">
        <v>11</v>
      </c>
      <c r="E652" s="4" t="s">
        <v>12</v>
      </c>
      <c r="F652" s="4" t="s">
        <v>76</v>
      </c>
      <c r="G652" s="4" t="s">
        <v>77</v>
      </c>
      <c r="H652" s="4" t="s">
        <v>591</v>
      </c>
      <c r="I652" s="4" t="s">
        <v>42</v>
      </c>
      <c r="J652" s="4" t="s">
        <v>43</v>
      </c>
      <c r="K652" s="7">
        <v>0</v>
      </c>
      <c r="L652" s="7">
        <v>0</v>
      </c>
      <c r="M652" s="7">
        <v>652.80829319999998</v>
      </c>
      <c r="N652" s="7">
        <v>367.45323059999998</v>
      </c>
      <c r="O652" s="7">
        <v>333.51936480000001</v>
      </c>
      <c r="P652" s="7">
        <v>0</v>
      </c>
      <c r="Q652" s="7">
        <v>0</v>
      </c>
      <c r="R652" s="7">
        <v>0</v>
      </c>
      <c r="S652" s="7"/>
      <c r="T652" s="7"/>
      <c r="U652" s="7"/>
      <c r="V652" s="7"/>
      <c r="W652" s="11">
        <f t="shared" si="12"/>
        <v>1353.7808886</v>
      </c>
    </row>
    <row r="653" spans="1:24" x14ac:dyDescent="0.2">
      <c r="A653" s="4" t="s">
        <v>572</v>
      </c>
      <c r="B653" s="4" t="s">
        <v>9</v>
      </c>
      <c r="C653" s="4" t="s">
        <v>10</v>
      </c>
      <c r="D653" s="4" t="s">
        <v>11</v>
      </c>
      <c r="E653" s="4" t="s">
        <v>12</v>
      </c>
      <c r="F653" s="4" t="s">
        <v>867</v>
      </c>
      <c r="G653" s="4" t="s">
        <v>628</v>
      </c>
      <c r="H653" s="4" t="s">
        <v>592</v>
      </c>
      <c r="I653" s="4" t="s">
        <v>23</v>
      </c>
      <c r="J653" s="4" t="s">
        <v>23</v>
      </c>
      <c r="K653" s="7">
        <v>3.7021914999999996</v>
      </c>
      <c r="L653" s="7">
        <v>293.9135473</v>
      </c>
      <c r="M653" s="7">
        <v>154.2457101</v>
      </c>
      <c r="N653" s="7">
        <v>212.6532196</v>
      </c>
      <c r="O653" s="7">
        <v>58.541835899999995</v>
      </c>
      <c r="P653" s="7">
        <v>142.8799108</v>
      </c>
      <c r="Q653" s="7">
        <v>163.49545900000001</v>
      </c>
      <c r="R653" s="7">
        <v>161.993944</v>
      </c>
      <c r="S653" s="7"/>
      <c r="T653" s="7"/>
      <c r="U653" s="7"/>
      <c r="V653" s="7"/>
      <c r="W653" s="11">
        <f t="shared" si="12"/>
        <v>1191.4258182000001</v>
      </c>
    </row>
    <row r="654" spans="1:24" x14ac:dyDescent="0.2">
      <c r="A654" s="4" t="s">
        <v>572</v>
      </c>
      <c r="B654" s="4" t="s">
        <v>9</v>
      </c>
      <c r="C654" s="4" t="s">
        <v>10</v>
      </c>
      <c r="D654" s="4" t="s">
        <v>11</v>
      </c>
      <c r="E654" s="4" t="s">
        <v>12</v>
      </c>
      <c r="F654" s="4" t="s">
        <v>867</v>
      </c>
      <c r="G654" s="4" t="s">
        <v>682</v>
      </c>
      <c r="H654" s="4" t="s">
        <v>592</v>
      </c>
      <c r="I654" s="4" t="s">
        <v>23</v>
      </c>
      <c r="J654" s="4" t="s">
        <v>23</v>
      </c>
      <c r="K654" s="7">
        <v>0</v>
      </c>
      <c r="L654" s="7">
        <v>308.44324440000003</v>
      </c>
      <c r="M654" s="7">
        <v>0</v>
      </c>
      <c r="N654" s="7">
        <v>0</v>
      </c>
      <c r="O654" s="7">
        <v>520.34497480000005</v>
      </c>
      <c r="P654" s="7">
        <v>0</v>
      </c>
      <c r="Q654" s="7">
        <v>0</v>
      </c>
      <c r="R654" s="7">
        <v>0</v>
      </c>
      <c r="S654" s="7"/>
      <c r="T654" s="7"/>
      <c r="U654" s="7"/>
      <c r="V654" s="7"/>
      <c r="W654" s="11">
        <f t="shared" si="12"/>
        <v>828.78821920000007</v>
      </c>
    </row>
    <row r="655" spans="1:24" x14ac:dyDescent="0.2">
      <c r="A655" s="4" t="s">
        <v>572</v>
      </c>
      <c r="B655" s="4" t="s">
        <v>9</v>
      </c>
      <c r="C655" s="4" t="s">
        <v>10</v>
      </c>
      <c r="D655" s="4" t="s">
        <v>11</v>
      </c>
      <c r="E655" s="4" t="s">
        <v>12</v>
      </c>
      <c r="F655" s="4" t="s">
        <v>867</v>
      </c>
      <c r="G655" s="4" t="s">
        <v>683</v>
      </c>
      <c r="H655" s="4" t="s">
        <v>592</v>
      </c>
      <c r="I655" s="4" t="s">
        <v>23</v>
      </c>
      <c r="J655" s="4" t="s">
        <v>683</v>
      </c>
      <c r="K655" s="7">
        <v>0</v>
      </c>
      <c r="L655" s="7">
        <v>587.82679089999999</v>
      </c>
      <c r="M655" s="7">
        <v>308.49177810000003</v>
      </c>
      <c r="N655" s="7">
        <v>425.3064392</v>
      </c>
      <c r="O655" s="7">
        <v>65.881034899999989</v>
      </c>
      <c r="P655" s="7">
        <v>658.32363559999999</v>
      </c>
      <c r="Q655" s="7">
        <v>691.85852800000009</v>
      </c>
      <c r="R655" s="7">
        <v>264.94104200000004</v>
      </c>
      <c r="S655" s="7"/>
      <c r="T655" s="7"/>
      <c r="U655" s="7"/>
      <c r="V655" s="7"/>
      <c r="W655" s="11">
        <f t="shared" si="12"/>
        <v>3002.6292487000001</v>
      </c>
    </row>
    <row r="656" spans="1:24" x14ac:dyDescent="0.2">
      <c r="A656" s="4" t="s">
        <v>572</v>
      </c>
      <c r="B656" s="4" t="s">
        <v>9</v>
      </c>
      <c r="C656" s="4" t="s">
        <v>10</v>
      </c>
      <c r="D656" s="4" t="s">
        <v>11</v>
      </c>
      <c r="E656" s="4" t="s">
        <v>12</v>
      </c>
      <c r="F656" s="4" t="s">
        <v>83</v>
      </c>
      <c r="G656" s="4" t="s">
        <v>84</v>
      </c>
      <c r="H656" s="4" t="s">
        <v>26</v>
      </c>
      <c r="I656" s="4" t="s">
        <v>26</v>
      </c>
      <c r="J656" s="4" t="s">
        <v>85</v>
      </c>
      <c r="K656" s="7">
        <v>1455.927096271</v>
      </c>
      <c r="L656" s="7">
        <v>1470.2200564749999</v>
      </c>
      <c r="M656" s="7">
        <v>1479.255459362</v>
      </c>
      <c r="N656" s="7">
        <v>1568.0761992660002</v>
      </c>
      <c r="O656" s="7">
        <v>1830.4214520749999</v>
      </c>
      <c r="P656" s="7">
        <v>2465.8354111510002</v>
      </c>
      <c r="Q656" s="7">
        <v>2909.47514</v>
      </c>
      <c r="R656" s="7">
        <v>2508.3909949999997</v>
      </c>
      <c r="S656" s="7"/>
      <c r="T656" s="7"/>
      <c r="U656" s="7"/>
      <c r="V656" s="7"/>
      <c r="W656" s="11">
        <f t="shared" si="12"/>
        <v>15687.601809600001</v>
      </c>
    </row>
    <row r="657" spans="1:23" x14ac:dyDescent="0.2">
      <c r="A657" s="4" t="s">
        <v>572</v>
      </c>
      <c r="B657" s="4" t="s">
        <v>9</v>
      </c>
      <c r="C657" s="4" t="s">
        <v>10</v>
      </c>
      <c r="D657" s="4" t="s">
        <v>11</v>
      </c>
      <c r="E657" s="4" t="s">
        <v>12</v>
      </c>
      <c r="F657" s="4" t="s">
        <v>83</v>
      </c>
      <c r="G657" s="4" t="s">
        <v>684</v>
      </c>
      <c r="H657" s="4" t="s">
        <v>592</v>
      </c>
      <c r="I657" s="4" t="s">
        <v>23</v>
      </c>
      <c r="J657" s="4" t="s">
        <v>685</v>
      </c>
      <c r="K657" s="7">
        <v>0</v>
      </c>
      <c r="L657" s="7">
        <v>17.342982874</v>
      </c>
      <c r="M657" s="7">
        <v>92.704049490000003</v>
      </c>
      <c r="N657" s="7">
        <v>47.104067682</v>
      </c>
      <c r="O657" s="7">
        <v>4.822021919</v>
      </c>
      <c r="P657" s="7">
        <v>362.884535196</v>
      </c>
      <c r="Q657" s="7">
        <v>251.79501300000001</v>
      </c>
      <c r="R657" s="7">
        <v>975.61817300000007</v>
      </c>
      <c r="S657" s="7"/>
      <c r="T657" s="7"/>
      <c r="U657" s="7"/>
      <c r="V657" s="7"/>
      <c r="W657" s="11">
        <f t="shared" si="12"/>
        <v>1752.2708431610001</v>
      </c>
    </row>
    <row r="658" spans="1:23" x14ac:dyDescent="0.2">
      <c r="A658" s="4" t="s">
        <v>572</v>
      </c>
      <c r="B658" s="4" t="s">
        <v>9</v>
      </c>
      <c r="C658" s="4" t="s">
        <v>10</v>
      </c>
      <c r="D658" s="4" t="s">
        <v>11</v>
      </c>
      <c r="E658" s="4" t="s">
        <v>12</v>
      </c>
      <c r="F658" s="4" t="s">
        <v>91</v>
      </c>
      <c r="G658" s="4" t="s">
        <v>92</v>
      </c>
      <c r="H658" s="4" t="s">
        <v>15</v>
      </c>
      <c r="I658" s="4" t="s">
        <v>15</v>
      </c>
      <c r="J658" s="4" t="s">
        <v>93</v>
      </c>
      <c r="K658" s="7">
        <v>1707.6736550000001</v>
      </c>
      <c r="L658" s="7">
        <v>1578.2422074000001</v>
      </c>
      <c r="M658" s="7">
        <v>1758.7500246999998</v>
      </c>
      <c r="N658" s="7">
        <v>2218.2767478000001</v>
      </c>
      <c r="O658" s="7">
        <v>2018.6585204999999</v>
      </c>
      <c r="P658" s="7">
        <v>2068.5364961</v>
      </c>
      <c r="Q658" s="7">
        <v>2291.9720859999998</v>
      </c>
      <c r="R658" s="7">
        <v>2193.5726489999997</v>
      </c>
      <c r="S658" s="7"/>
      <c r="T658" s="7"/>
      <c r="U658" s="7"/>
      <c r="V658" s="7"/>
      <c r="W658" s="11">
        <f t="shared" si="12"/>
        <v>15835.682386499999</v>
      </c>
    </row>
    <row r="659" spans="1:23" x14ac:dyDescent="0.2">
      <c r="A659" s="4" t="s">
        <v>572</v>
      </c>
      <c r="B659" s="4" t="s">
        <v>9</v>
      </c>
      <c r="C659" s="4" t="s">
        <v>10</v>
      </c>
      <c r="D659" s="4" t="s">
        <v>11</v>
      </c>
      <c r="E659" s="4" t="s">
        <v>12</v>
      </c>
      <c r="F659" s="4" t="s">
        <v>18</v>
      </c>
      <c r="G659" s="4" t="s">
        <v>19</v>
      </c>
      <c r="H659" s="4" t="s">
        <v>591</v>
      </c>
      <c r="I659" s="4" t="s">
        <v>20</v>
      </c>
      <c r="J659" s="4" t="s">
        <v>20</v>
      </c>
      <c r="K659" s="7">
        <v>794.967534</v>
      </c>
      <c r="L659" s="7">
        <v>835.889184</v>
      </c>
      <c r="M659" s="7">
        <v>638.90703359999998</v>
      </c>
      <c r="N659" s="7">
        <v>561.01453649999996</v>
      </c>
      <c r="O659" s="7">
        <v>745.86379750000003</v>
      </c>
      <c r="P659" s="7">
        <v>747.48726469999997</v>
      </c>
      <c r="Q659" s="7">
        <v>737.22120399999994</v>
      </c>
      <c r="R659" s="7">
        <v>840.86779200000001</v>
      </c>
      <c r="S659" s="7"/>
      <c r="T659" s="7"/>
      <c r="U659" s="7"/>
      <c r="V659" s="7"/>
      <c r="W659" s="11">
        <f t="shared" si="12"/>
        <v>5902.2183462999992</v>
      </c>
    </row>
    <row r="660" spans="1:23" x14ac:dyDescent="0.2">
      <c r="A660" s="4" t="s">
        <v>572</v>
      </c>
      <c r="B660" s="4" t="s">
        <v>9</v>
      </c>
      <c r="C660" s="4" t="s">
        <v>10</v>
      </c>
      <c r="D660" s="4" t="s">
        <v>11</v>
      </c>
      <c r="E660" s="4" t="s">
        <v>12</v>
      </c>
      <c r="F660" s="4" t="s">
        <v>94</v>
      </c>
      <c r="G660" s="4" t="s">
        <v>95</v>
      </c>
      <c r="H660" s="4" t="s">
        <v>594</v>
      </c>
      <c r="I660" s="4" t="s">
        <v>96</v>
      </c>
      <c r="J660" s="4" t="s">
        <v>97</v>
      </c>
      <c r="K660" s="7">
        <v>964.51886569999999</v>
      </c>
      <c r="L660" s="7">
        <v>738.87548169999991</v>
      </c>
      <c r="M660" s="7">
        <v>929.77387249999992</v>
      </c>
      <c r="N660" s="7">
        <v>1036.0539277</v>
      </c>
      <c r="O660" s="7">
        <v>938.04422900000009</v>
      </c>
      <c r="P660" s="7">
        <v>417.92546390000001</v>
      </c>
      <c r="Q660" s="7">
        <v>996.60218500000008</v>
      </c>
      <c r="R660" s="7">
        <v>881.84982799999989</v>
      </c>
      <c r="S660" s="7"/>
      <c r="T660" s="7"/>
      <c r="U660" s="7"/>
      <c r="V660" s="7"/>
      <c r="W660" s="11">
        <f t="shared" si="12"/>
        <v>6903.6438534999998</v>
      </c>
    </row>
    <row r="661" spans="1:23" x14ac:dyDescent="0.2">
      <c r="A661" s="4" t="s">
        <v>572</v>
      </c>
      <c r="B661" s="4" t="s">
        <v>9</v>
      </c>
      <c r="C661" s="4" t="s">
        <v>10</v>
      </c>
      <c r="D661" s="4" t="s">
        <v>11</v>
      </c>
      <c r="E661" s="4" t="s">
        <v>12</v>
      </c>
      <c r="F661" s="4" t="s">
        <v>962</v>
      </c>
      <c r="G661" s="4" t="s">
        <v>322</v>
      </c>
      <c r="H661" s="4" t="s">
        <v>592</v>
      </c>
      <c r="I661" s="4" t="s">
        <v>963</v>
      </c>
      <c r="J661" s="4" t="s">
        <v>964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32.872301</v>
      </c>
      <c r="R661" s="7">
        <v>36.735983000000004</v>
      </c>
      <c r="S661" s="7"/>
      <c r="T661" s="7"/>
      <c r="U661" s="7"/>
      <c r="V661" s="7"/>
      <c r="W661" s="11">
        <f t="shared" si="12"/>
        <v>69.608283999999998</v>
      </c>
    </row>
    <row r="662" spans="1:23" x14ac:dyDescent="0.2">
      <c r="A662" s="4" t="s">
        <v>572</v>
      </c>
      <c r="B662" s="4" t="s">
        <v>9</v>
      </c>
      <c r="C662" s="4" t="s">
        <v>10</v>
      </c>
      <c r="D662" s="4" t="s">
        <v>11</v>
      </c>
      <c r="E662" s="4" t="s">
        <v>12</v>
      </c>
      <c r="F662" s="4" t="s">
        <v>98</v>
      </c>
      <c r="G662" s="4" t="s">
        <v>99</v>
      </c>
      <c r="H662" s="4" t="s">
        <v>591</v>
      </c>
      <c r="I662" s="4" t="s">
        <v>100</v>
      </c>
      <c r="J662" s="4" t="s">
        <v>101</v>
      </c>
      <c r="K662" s="7">
        <v>603.16719999999998</v>
      </c>
      <c r="L662" s="7">
        <v>559.82920000000001</v>
      </c>
      <c r="M662" s="7">
        <v>550.9251999999999</v>
      </c>
      <c r="N662" s="7">
        <v>409.8546</v>
      </c>
      <c r="O662" s="7">
        <v>405.41920000000005</v>
      </c>
      <c r="P662" s="7">
        <v>525.01009999999997</v>
      </c>
      <c r="Q662" s="7">
        <v>514.76549999999997</v>
      </c>
      <c r="R662" s="7">
        <v>554.49720000000002</v>
      </c>
      <c r="S662" s="7"/>
      <c r="T662" s="7"/>
      <c r="U662" s="7"/>
      <c r="V662" s="7"/>
      <c r="W662" s="11">
        <f t="shared" si="12"/>
        <v>4123.4681999999993</v>
      </c>
    </row>
    <row r="663" spans="1:23" x14ac:dyDescent="0.2">
      <c r="A663" s="4" t="s">
        <v>572</v>
      </c>
      <c r="B663" s="4" t="s">
        <v>9</v>
      </c>
      <c r="C663" s="4" t="s">
        <v>10</v>
      </c>
      <c r="D663" s="4" t="s">
        <v>11</v>
      </c>
      <c r="E663" s="4" t="s">
        <v>12</v>
      </c>
      <c r="F663" s="4" t="s">
        <v>605</v>
      </c>
      <c r="G663" s="4" t="s">
        <v>146</v>
      </c>
      <c r="H663" s="4" t="s">
        <v>88</v>
      </c>
      <c r="I663" s="4" t="s">
        <v>127</v>
      </c>
      <c r="J663" s="4" t="s">
        <v>147</v>
      </c>
      <c r="K663" s="7">
        <v>344.20688799999999</v>
      </c>
      <c r="L663" s="7">
        <v>379.33581599999997</v>
      </c>
      <c r="M663" s="7">
        <v>381.70263600000004</v>
      </c>
      <c r="N663" s="7">
        <v>414.16785800000002</v>
      </c>
      <c r="O663" s="7">
        <v>324.90448199999997</v>
      </c>
      <c r="P663" s="7">
        <v>162.53456</v>
      </c>
      <c r="Q663" s="7">
        <v>456.304574</v>
      </c>
      <c r="R663" s="7">
        <v>370.30131</v>
      </c>
      <c r="S663" s="7"/>
      <c r="T663" s="7"/>
      <c r="U663" s="7"/>
      <c r="V663" s="7"/>
      <c r="W663" s="11">
        <f t="shared" si="12"/>
        <v>2833.4581239999998</v>
      </c>
    </row>
    <row r="664" spans="1:23" x14ac:dyDescent="0.2">
      <c r="A664" s="4" t="s">
        <v>572</v>
      </c>
      <c r="B664" s="4" t="s">
        <v>9</v>
      </c>
      <c r="C664" s="4" t="s">
        <v>10</v>
      </c>
      <c r="D664" s="4" t="s">
        <v>11</v>
      </c>
      <c r="E664" s="4" t="s">
        <v>12</v>
      </c>
      <c r="F664" s="4" t="s">
        <v>589</v>
      </c>
      <c r="G664" s="4" t="s">
        <v>535</v>
      </c>
      <c r="H664" s="4" t="s">
        <v>73</v>
      </c>
      <c r="I664" s="4" t="s">
        <v>230</v>
      </c>
      <c r="J664" s="4" t="s">
        <v>231</v>
      </c>
      <c r="K664" s="7">
        <v>76.826399999999992</v>
      </c>
      <c r="L664" s="7">
        <v>95.725200000000001</v>
      </c>
      <c r="M664" s="7">
        <v>104.03360000000001</v>
      </c>
      <c r="N664" s="7">
        <v>118.8312</v>
      </c>
      <c r="O664" s="7">
        <v>115.2253</v>
      </c>
      <c r="P664" s="7">
        <v>115.224</v>
      </c>
      <c r="Q664" s="7">
        <v>102.4222</v>
      </c>
      <c r="R664" s="7">
        <v>72.62639999999999</v>
      </c>
      <c r="S664" s="7"/>
      <c r="T664" s="7"/>
      <c r="U664" s="7"/>
      <c r="V664" s="7"/>
      <c r="W664" s="11">
        <f t="shared" si="12"/>
        <v>800.91429999999991</v>
      </c>
    </row>
    <row r="665" spans="1:23" x14ac:dyDescent="0.2">
      <c r="A665" s="4" t="s">
        <v>572</v>
      </c>
      <c r="B665" s="4" t="s">
        <v>9</v>
      </c>
      <c r="C665" s="4" t="s">
        <v>10</v>
      </c>
      <c r="D665" s="4" t="s">
        <v>11</v>
      </c>
      <c r="E665" s="4" t="s">
        <v>12</v>
      </c>
      <c r="F665" s="4" t="s">
        <v>102</v>
      </c>
      <c r="G665" s="4" t="s">
        <v>103</v>
      </c>
      <c r="H665" s="4" t="s">
        <v>104</v>
      </c>
      <c r="I665" s="4" t="s">
        <v>105</v>
      </c>
      <c r="J665" s="4" t="s">
        <v>106</v>
      </c>
      <c r="K665" s="7">
        <v>489.5974458</v>
      </c>
      <c r="L665" s="7">
        <v>391.90272679999998</v>
      </c>
      <c r="M665" s="7">
        <v>352.85394380000002</v>
      </c>
      <c r="N665" s="7">
        <v>364.40882720000002</v>
      </c>
      <c r="O665" s="7">
        <v>0</v>
      </c>
      <c r="P665" s="7">
        <v>0</v>
      </c>
      <c r="Q665" s="7">
        <v>720.25790799999993</v>
      </c>
      <c r="R665" s="7">
        <v>311.52810499999998</v>
      </c>
      <c r="S665" s="7"/>
      <c r="T665" s="7"/>
      <c r="U665" s="7"/>
      <c r="V665" s="7"/>
      <c r="W665" s="11">
        <f t="shared" si="12"/>
        <v>2630.5489566000001</v>
      </c>
    </row>
    <row r="666" spans="1:23" x14ac:dyDescent="0.2">
      <c r="A666" s="4" t="s">
        <v>572</v>
      </c>
      <c r="B666" s="4" t="s">
        <v>9</v>
      </c>
      <c r="C666" s="4" t="s">
        <v>10</v>
      </c>
      <c r="D666" s="4" t="s">
        <v>11</v>
      </c>
      <c r="E666" s="4" t="s">
        <v>12</v>
      </c>
      <c r="F666" s="4" t="s">
        <v>107</v>
      </c>
      <c r="G666" s="4" t="s">
        <v>108</v>
      </c>
      <c r="H666" s="4" t="s">
        <v>26</v>
      </c>
      <c r="I666" s="4" t="s">
        <v>26</v>
      </c>
      <c r="J666" s="4" t="s">
        <v>109</v>
      </c>
      <c r="K666" s="7">
        <v>1089.5325217049999</v>
      </c>
      <c r="L666" s="7">
        <v>872.50736512399999</v>
      </c>
      <c r="M666" s="7">
        <v>1075.173606761</v>
      </c>
      <c r="N666" s="7">
        <v>1037.726306241</v>
      </c>
      <c r="O666" s="7">
        <v>1228.464332904</v>
      </c>
      <c r="P666" s="7">
        <v>1070.374133738</v>
      </c>
      <c r="Q666" s="7">
        <v>1081.26439</v>
      </c>
      <c r="R666" s="7">
        <v>903.42238799999996</v>
      </c>
      <c r="S666" s="7"/>
      <c r="T666" s="7"/>
      <c r="U666" s="7"/>
      <c r="V666" s="7"/>
      <c r="W666" s="11">
        <f t="shared" si="12"/>
        <v>8358.4650444729996</v>
      </c>
    </row>
    <row r="667" spans="1:23" x14ac:dyDescent="0.2">
      <c r="A667" s="4" t="s">
        <v>572</v>
      </c>
      <c r="B667" s="4" t="s">
        <v>9</v>
      </c>
      <c r="C667" s="4" t="s">
        <v>10</v>
      </c>
      <c r="D667" s="4" t="s">
        <v>11</v>
      </c>
      <c r="E667" s="4" t="s">
        <v>12</v>
      </c>
      <c r="F667" s="4" t="s">
        <v>617</v>
      </c>
      <c r="G667" s="4" t="s">
        <v>110</v>
      </c>
      <c r="H667" s="4" t="s">
        <v>88</v>
      </c>
      <c r="I667" s="4" t="s">
        <v>111</v>
      </c>
      <c r="J667" s="4" t="s">
        <v>112</v>
      </c>
      <c r="K667" s="7">
        <v>617.4402996</v>
      </c>
      <c r="L667" s="7">
        <v>558.60074980000002</v>
      </c>
      <c r="M667" s="7">
        <v>495.20166369999998</v>
      </c>
      <c r="N667" s="7">
        <v>488.14488909999994</v>
      </c>
      <c r="O667" s="7">
        <v>572.3883110999999</v>
      </c>
      <c r="P667" s="7">
        <v>479.37508089999994</v>
      </c>
      <c r="Q667" s="7">
        <v>487.14946700000002</v>
      </c>
      <c r="R667" s="7">
        <v>550.76493899999991</v>
      </c>
      <c r="S667" s="7"/>
      <c r="T667" s="7"/>
      <c r="U667" s="7"/>
      <c r="V667" s="7"/>
      <c r="W667" s="11">
        <f t="shared" si="12"/>
        <v>4249.0654002000001</v>
      </c>
    </row>
    <row r="668" spans="1:23" x14ac:dyDescent="0.2">
      <c r="A668" s="4" t="s">
        <v>572</v>
      </c>
      <c r="B668" s="4" t="s">
        <v>9</v>
      </c>
      <c r="C668" s="4" t="s">
        <v>10</v>
      </c>
      <c r="D668" s="4" t="s">
        <v>11</v>
      </c>
      <c r="E668" s="4" t="s">
        <v>12</v>
      </c>
      <c r="F668" s="4" t="s">
        <v>617</v>
      </c>
      <c r="G668" s="4" t="s">
        <v>629</v>
      </c>
      <c r="H668" s="4" t="s">
        <v>88</v>
      </c>
      <c r="I668" s="4" t="s">
        <v>179</v>
      </c>
      <c r="J668" s="4" t="s">
        <v>179</v>
      </c>
      <c r="K668" s="7">
        <v>221.95439099999999</v>
      </c>
      <c r="L668" s="7">
        <v>241.61899969999999</v>
      </c>
      <c r="M668" s="7">
        <v>227.99244719999999</v>
      </c>
      <c r="N668" s="7">
        <v>143.393947</v>
      </c>
      <c r="O668" s="7">
        <v>96.599589600000002</v>
      </c>
      <c r="P668" s="7">
        <v>40.877641500000003</v>
      </c>
      <c r="Q668" s="7">
        <v>47.076423000000005</v>
      </c>
      <c r="R668" s="7">
        <v>29.870512999999999</v>
      </c>
      <c r="S668" s="7"/>
      <c r="T668" s="7"/>
      <c r="U668" s="7"/>
      <c r="V668" s="7"/>
      <c r="W668" s="11">
        <f t="shared" si="12"/>
        <v>1049.3839520000001</v>
      </c>
    </row>
    <row r="669" spans="1:23" x14ac:dyDescent="0.2">
      <c r="A669" s="4" t="s">
        <v>572</v>
      </c>
      <c r="B669" s="4" t="s">
        <v>9</v>
      </c>
      <c r="C669" s="4" t="s">
        <v>10</v>
      </c>
      <c r="D669" s="4" t="s">
        <v>11</v>
      </c>
      <c r="E669" s="4" t="s">
        <v>12</v>
      </c>
      <c r="F669" s="4" t="s">
        <v>44</v>
      </c>
      <c r="G669" s="4" t="s">
        <v>45</v>
      </c>
      <c r="H669" s="4" t="s">
        <v>46</v>
      </c>
      <c r="I669" s="4" t="s">
        <v>47</v>
      </c>
      <c r="J669" s="4" t="s">
        <v>47</v>
      </c>
      <c r="K669" s="7">
        <v>1334.794122</v>
      </c>
      <c r="L669" s="7">
        <v>1156.7923499999999</v>
      </c>
      <c r="M669" s="7">
        <v>1250.3990740000002</v>
      </c>
      <c r="N669" s="7">
        <v>1252.6449619999999</v>
      </c>
      <c r="O669" s="7">
        <v>1103.0978279999999</v>
      </c>
      <c r="P669" s="7">
        <v>1226.6122130000001</v>
      </c>
      <c r="Q669" s="7">
        <v>1242.5934999999999</v>
      </c>
      <c r="R669" s="7">
        <v>1290.382998</v>
      </c>
      <c r="S669" s="7"/>
      <c r="T669" s="7"/>
      <c r="U669" s="7"/>
      <c r="V669" s="7"/>
      <c r="W669" s="11">
        <f t="shared" si="12"/>
        <v>9857.3170470000005</v>
      </c>
    </row>
    <row r="670" spans="1:23" x14ac:dyDescent="0.2">
      <c r="A670" s="4" t="s">
        <v>572</v>
      </c>
      <c r="B670" s="4" t="s">
        <v>9</v>
      </c>
      <c r="C670" s="4" t="s">
        <v>10</v>
      </c>
      <c r="D670" s="4" t="s">
        <v>11</v>
      </c>
      <c r="E670" s="4" t="s">
        <v>12</v>
      </c>
      <c r="F670" s="4" t="s">
        <v>125</v>
      </c>
      <c r="G670" s="4" t="s">
        <v>126</v>
      </c>
      <c r="H670" s="4" t="s">
        <v>88</v>
      </c>
      <c r="I670" s="4" t="s">
        <v>127</v>
      </c>
      <c r="J670" s="4" t="s">
        <v>127</v>
      </c>
      <c r="K670" s="7">
        <v>212.10893931000001</v>
      </c>
      <c r="L670" s="7">
        <v>255.00481517999998</v>
      </c>
      <c r="M670" s="7">
        <v>208.29212937000003</v>
      </c>
      <c r="N670" s="7">
        <v>249.48727458000002</v>
      </c>
      <c r="O670" s="7">
        <v>328.76511452</v>
      </c>
      <c r="P670" s="7">
        <v>397.53290901000003</v>
      </c>
      <c r="Q670" s="7">
        <v>390.22384199999999</v>
      </c>
      <c r="R670" s="7">
        <v>350.91263399999997</v>
      </c>
      <c r="S670" s="7"/>
      <c r="T670" s="7"/>
      <c r="U670" s="7"/>
      <c r="V670" s="7"/>
      <c r="W670" s="11">
        <f t="shared" si="12"/>
        <v>2392.3276579699996</v>
      </c>
    </row>
    <row r="671" spans="1:23" x14ac:dyDescent="0.2">
      <c r="A671" s="4" t="s">
        <v>572</v>
      </c>
      <c r="B671" s="4" t="s">
        <v>9</v>
      </c>
      <c r="C671" s="4" t="s">
        <v>10</v>
      </c>
      <c r="D671" s="4" t="s">
        <v>11</v>
      </c>
      <c r="E671" s="4" t="s">
        <v>12</v>
      </c>
      <c r="F671" s="4" t="s">
        <v>132</v>
      </c>
      <c r="G671" s="4" t="s">
        <v>133</v>
      </c>
      <c r="H671" s="4" t="s">
        <v>54</v>
      </c>
      <c r="I671" s="4" t="s">
        <v>123</v>
      </c>
      <c r="J671" s="4" t="s">
        <v>124</v>
      </c>
      <c r="K671" s="7">
        <v>1024.067012</v>
      </c>
      <c r="L671" s="7">
        <v>580.582716</v>
      </c>
      <c r="M671" s="7">
        <v>393.61640699999998</v>
      </c>
      <c r="N671" s="7">
        <v>240.61119299999999</v>
      </c>
      <c r="O671" s="7">
        <v>268.572248</v>
      </c>
      <c r="P671" s="7">
        <v>834.73017000000004</v>
      </c>
      <c r="Q671" s="7">
        <v>962.79202499999997</v>
      </c>
      <c r="R671" s="7">
        <v>685.32422799999995</v>
      </c>
      <c r="S671" s="7"/>
      <c r="T671" s="7"/>
      <c r="U671" s="7"/>
      <c r="V671" s="7"/>
      <c r="W671" s="11">
        <f t="shared" si="12"/>
        <v>4990.2959989999999</v>
      </c>
    </row>
    <row r="672" spans="1:23" x14ac:dyDescent="0.2">
      <c r="A672" s="4" t="s">
        <v>572</v>
      </c>
      <c r="B672" s="4" t="s">
        <v>9</v>
      </c>
      <c r="C672" s="4" t="s">
        <v>10</v>
      </c>
      <c r="D672" s="4" t="s">
        <v>11</v>
      </c>
      <c r="E672" s="4" t="s">
        <v>12</v>
      </c>
      <c r="F672" s="4" t="s">
        <v>753</v>
      </c>
      <c r="G672" s="4" t="s">
        <v>754</v>
      </c>
      <c r="H672" s="4" t="s">
        <v>15</v>
      </c>
      <c r="I672" s="4" t="s">
        <v>15</v>
      </c>
      <c r="J672" s="4" t="s">
        <v>755</v>
      </c>
      <c r="K672" s="7">
        <v>0.68348059999999999</v>
      </c>
      <c r="L672" s="7">
        <v>1.92406214</v>
      </c>
      <c r="M672" s="7">
        <v>1.7278880000000001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/>
      <c r="T672" s="7"/>
      <c r="U672" s="7"/>
      <c r="V672" s="7"/>
      <c r="W672" s="11">
        <f t="shared" si="12"/>
        <v>4.3354307399999996</v>
      </c>
    </row>
    <row r="673" spans="1:23" x14ac:dyDescent="0.2">
      <c r="A673" s="4" t="s">
        <v>572</v>
      </c>
      <c r="B673" s="4" t="s">
        <v>9</v>
      </c>
      <c r="C673" s="4" t="s">
        <v>10</v>
      </c>
      <c r="D673" s="4" t="s">
        <v>11</v>
      </c>
      <c r="E673" s="4" t="s">
        <v>12</v>
      </c>
      <c r="F673" s="4" t="s">
        <v>35</v>
      </c>
      <c r="G673" s="4" t="s">
        <v>36</v>
      </c>
      <c r="H673" s="4" t="s">
        <v>26</v>
      </c>
      <c r="I673" s="4" t="s">
        <v>26</v>
      </c>
      <c r="J673" s="4" t="s">
        <v>37</v>
      </c>
      <c r="K673" s="7">
        <v>1164.5183420000001</v>
      </c>
      <c r="L673" s="7">
        <v>785.79421100000002</v>
      </c>
      <c r="M673" s="7">
        <v>1118.5160699999999</v>
      </c>
      <c r="N673" s="7">
        <v>1185.2664300000001</v>
      </c>
      <c r="O673" s="7">
        <v>1455.478764</v>
      </c>
      <c r="P673" s="7">
        <v>1343.7529139999999</v>
      </c>
      <c r="Q673" s="7">
        <v>1352.1978360000001</v>
      </c>
      <c r="R673" s="7">
        <v>1410.2019150000001</v>
      </c>
      <c r="S673" s="7"/>
      <c r="T673" s="7"/>
      <c r="U673" s="7"/>
      <c r="V673" s="7"/>
      <c r="W673" s="11">
        <f t="shared" si="12"/>
        <v>9815.726482</v>
      </c>
    </row>
    <row r="674" spans="1:23" x14ac:dyDescent="0.2">
      <c r="A674" s="4" t="s">
        <v>572</v>
      </c>
      <c r="B674" s="4" t="s">
        <v>9</v>
      </c>
      <c r="C674" s="4" t="s">
        <v>10</v>
      </c>
      <c r="D674" s="4" t="s">
        <v>11</v>
      </c>
      <c r="E674" s="4" t="s">
        <v>12</v>
      </c>
      <c r="F674" s="4" t="s">
        <v>38</v>
      </c>
      <c r="G674" s="4" t="s">
        <v>39</v>
      </c>
      <c r="H674" s="4" t="s">
        <v>26</v>
      </c>
      <c r="I674" s="4" t="s">
        <v>26</v>
      </c>
      <c r="J674" s="4" t="s">
        <v>37</v>
      </c>
      <c r="K674" s="7">
        <v>1547.6148090000002</v>
      </c>
      <c r="L674" s="7">
        <v>1616.5559819999999</v>
      </c>
      <c r="M674" s="7">
        <v>2127.034208</v>
      </c>
      <c r="N674" s="7">
        <v>2099.8144889999999</v>
      </c>
      <c r="O674" s="7">
        <v>2080.7575319999996</v>
      </c>
      <c r="P674" s="7">
        <v>2366.8048789999998</v>
      </c>
      <c r="Q674" s="7">
        <v>2358.3908219999998</v>
      </c>
      <c r="R674" s="7">
        <v>2501.134536</v>
      </c>
      <c r="S674" s="7"/>
      <c r="T674" s="7"/>
      <c r="U674" s="7"/>
      <c r="V674" s="7"/>
      <c r="W674" s="11">
        <f t="shared" si="12"/>
        <v>16698.107257</v>
      </c>
    </row>
    <row r="675" spans="1:23" x14ac:dyDescent="0.2">
      <c r="A675" s="4" t="s">
        <v>572</v>
      </c>
      <c r="B675" s="4" t="s">
        <v>9</v>
      </c>
      <c r="C675" s="4" t="s">
        <v>10</v>
      </c>
      <c r="D675" s="4" t="s">
        <v>11</v>
      </c>
      <c r="E675" s="4" t="s">
        <v>12</v>
      </c>
      <c r="F675" s="4" t="s">
        <v>136</v>
      </c>
      <c r="G675" s="4" t="s">
        <v>137</v>
      </c>
      <c r="H675" s="4" t="s">
        <v>54</v>
      </c>
      <c r="I675" s="4" t="s">
        <v>138</v>
      </c>
      <c r="J675" s="4" t="s">
        <v>139</v>
      </c>
      <c r="K675" s="7">
        <v>905.27269999999999</v>
      </c>
      <c r="L675" s="7">
        <v>1010.0454</v>
      </c>
      <c r="M675" s="7">
        <v>1014.4553999999999</v>
      </c>
      <c r="N675" s="7">
        <v>1061.2415000000001</v>
      </c>
      <c r="O675" s="7">
        <v>1108.5253</v>
      </c>
      <c r="P675" s="7">
        <v>1058.1629</v>
      </c>
      <c r="Q675" s="7">
        <v>1062.4068</v>
      </c>
      <c r="R675" s="7">
        <v>1006.3478000000001</v>
      </c>
      <c r="S675" s="7"/>
      <c r="T675" s="7"/>
      <c r="U675" s="7"/>
      <c r="V675" s="7"/>
      <c r="W675" s="11">
        <f t="shared" si="12"/>
        <v>8226.4578000000001</v>
      </c>
    </row>
    <row r="676" spans="1:23" x14ac:dyDescent="0.2">
      <c r="A676" s="4" t="s">
        <v>572</v>
      </c>
      <c r="B676" s="4" t="s">
        <v>9</v>
      </c>
      <c r="C676" s="4" t="s">
        <v>10</v>
      </c>
      <c r="D676" s="4" t="s">
        <v>11</v>
      </c>
      <c r="E676" s="4" t="s">
        <v>12</v>
      </c>
      <c r="F676" s="4" t="s">
        <v>40</v>
      </c>
      <c r="G676" s="4" t="s">
        <v>41</v>
      </c>
      <c r="H676" s="4" t="s">
        <v>591</v>
      </c>
      <c r="I676" s="4" t="s">
        <v>42</v>
      </c>
      <c r="J676" s="4" t="s">
        <v>43</v>
      </c>
      <c r="K676" s="7">
        <v>98.575404000000006</v>
      </c>
      <c r="L676" s="7">
        <v>94.479249499999995</v>
      </c>
      <c r="M676" s="7">
        <v>71.873313700000011</v>
      </c>
      <c r="N676" s="7">
        <v>61.636406399999998</v>
      </c>
      <c r="O676" s="7">
        <v>88.208900200000002</v>
      </c>
      <c r="P676" s="7">
        <v>89.372387199999991</v>
      </c>
      <c r="Q676" s="7">
        <v>88.28132500000001</v>
      </c>
      <c r="R676" s="7">
        <v>89.039179000000004</v>
      </c>
      <c r="S676" s="7"/>
      <c r="T676" s="7"/>
      <c r="U676" s="7"/>
      <c r="V676" s="7"/>
      <c r="W676" s="11">
        <f t="shared" si="12"/>
        <v>681.46616500000005</v>
      </c>
    </row>
    <row r="677" spans="1:23" x14ac:dyDescent="0.2">
      <c r="A677" s="4" t="s">
        <v>572</v>
      </c>
      <c r="B677" s="4" t="s">
        <v>9</v>
      </c>
      <c r="C677" s="4" t="s">
        <v>10</v>
      </c>
      <c r="D677" s="4" t="s">
        <v>11</v>
      </c>
      <c r="E677" s="4" t="s">
        <v>12</v>
      </c>
      <c r="F677" s="4" t="s">
        <v>144</v>
      </c>
      <c r="G677" s="4" t="s">
        <v>145</v>
      </c>
      <c r="H677" s="4" t="s">
        <v>26</v>
      </c>
      <c r="I677" s="4" t="s">
        <v>26</v>
      </c>
      <c r="J677" s="4" t="s">
        <v>85</v>
      </c>
      <c r="K677" s="7">
        <v>957.10751890000006</v>
      </c>
      <c r="L677" s="7">
        <v>1085.5297893000002</v>
      </c>
      <c r="M677" s="7">
        <v>1164.447897</v>
      </c>
      <c r="N677" s="7">
        <v>1299.7122932</v>
      </c>
      <c r="O677" s="7">
        <v>1237.1205649999999</v>
      </c>
      <c r="P677" s="7">
        <v>1069.7077326000001</v>
      </c>
      <c r="Q677" s="7">
        <v>1284.28973</v>
      </c>
      <c r="R677" s="7">
        <v>1279.4929830000001</v>
      </c>
      <c r="S677" s="7"/>
      <c r="T677" s="7"/>
      <c r="U677" s="7"/>
      <c r="V677" s="7"/>
      <c r="W677" s="11">
        <f t="shared" si="12"/>
        <v>9377.4085090000008</v>
      </c>
    </row>
    <row r="678" spans="1:23" x14ac:dyDescent="0.2">
      <c r="A678" s="4" t="s">
        <v>572</v>
      </c>
      <c r="B678" s="4" t="s">
        <v>9</v>
      </c>
      <c r="C678" s="4" t="s">
        <v>10</v>
      </c>
      <c r="D678" s="4" t="s">
        <v>11</v>
      </c>
      <c r="E678" s="4" t="s">
        <v>12</v>
      </c>
      <c r="F678" s="4" t="s">
        <v>825</v>
      </c>
      <c r="G678" s="4" t="s">
        <v>826</v>
      </c>
      <c r="H678" s="4" t="s">
        <v>15</v>
      </c>
      <c r="I678" s="4" t="s">
        <v>15</v>
      </c>
      <c r="J678" s="4" t="s">
        <v>93</v>
      </c>
      <c r="K678" s="7">
        <v>130.909344</v>
      </c>
      <c r="L678" s="7">
        <v>96.982212000000004</v>
      </c>
      <c r="M678" s="7">
        <v>231.56489999999999</v>
      </c>
      <c r="N678" s="7">
        <v>299.41513199999997</v>
      </c>
      <c r="O678" s="7">
        <v>198.9504</v>
      </c>
      <c r="P678" s="7">
        <v>154.184485</v>
      </c>
      <c r="Q678" s="7">
        <v>133.05091999999999</v>
      </c>
      <c r="R678" s="7">
        <v>151.09130100000002</v>
      </c>
      <c r="S678" s="7"/>
      <c r="T678" s="7"/>
      <c r="U678" s="7"/>
      <c r="V678" s="7"/>
      <c r="W678" s="11">
        <f t="shared" si="12"/>
        <v>1396.1486939999998</v>
      </c>
    </row>
    <row r="679" spans="1:23" x14ac:dyDescent="0.2">
      <c r="A679" s="4" t="s">
        <v>572</v>
      </c>
      <c r="B679" s="4" t="s">
        <v>9</v>
      </c>
      <c r="C679" s="4" t="s">
        <v>10</v>
      </c>
      <c r="D679" s="4" t="s">
        <v>11</v>
      </c>
      <c r="E679" s="4" t="s">
        <v>12</v>
      </c>
      <c r="F679" s="4" t="s">
        <v>862</v>
      </c>
      <c r="G679" s="4" t="s">
        <v>863</v>
      </c>
      <c r="H679" s="4" t="s">
        <v>592</v>
      </c>
      <c r="I679" s="4" t="s">
        <v>864</v>
      </c>
      <c r="J679" s="4" t="s">
        <v>865</v>
      </c>
      <c r="K679" s="7">
        <v>0</v>
      </c>
      <c r="L679" s="7">
        <v>0</v>
      </c>
      <c r="M679" s="7">
        <v>0</v>
      </c>
      <c r="N679" s="7">
        <v>9.8949599999999993</v>
      </c>
      <c r="O679" s="7">
        <v>0</v>
      </c>
      <c r="P679" s="7">
        <v>3.2838720000000001</v>
      </c>
      <c r="Q679" s="7">
        <v>5.2678500000000001</v>
      </c>
      <c r="R679" s="7">
        <v>2.4551430000000001</v>
      </c>
      <c r="S679" s="7"/>
      <c r="T679" s="7"/>
      <c r="U679" s="7"/>
      <c r="V679" s="7"/>
      <c r="W679" s="11">
        <f t="shared" si="12"/>
        <v>20.901824999999999</v>
      </c>
    </row>
    <row r="680" spans="1:23" x14ac:dyDescent="0.2">
      <c r="A680" s="4" t="s">
        <v>572</v>
      </c>
      <c r="B680" s="4" t="s">
        <v>9</v>
      </c>
      <c r="C680" s="4" t="s">
        <v>10</v>
      </c>
      <c r="D680" s="4" t="s">
        <v>11</v>
      </c>
      <c r="E680" s="4" t="s">
        <v>12</v>
      </c>
      <c r="F680" s="4" t="s">
        <v>148</v>
      </c>
      <c r="G680" s="4" t="s">
        <v>686</v>
      </c>
      <c r="H680" s="4" t="s">
        <v>592</v>
      </c>
      <c r="I680" s="4" t="s">
        <v>23</v>
      </c>
      <c r="J680" s="4" t="s">
        <v>23</v>
      </c>
      <c r="K680" s="7">
        <v>1101.8036258</v>
      </c>
      <c r="L680" s="7">
        <v>1101.8036258</v>
      </c>
      <c r="M680" s="7">
        <v>1115.6915653000001</v>
      </c>
      <c r="N680" s="7">
        <v>1010.9161394999999</v>
      </c>
      <c r="O680" s="7">
        <v>1085.5667846000001</v>
      </c>
      <c r="P680" s="7">
        <v>1360.6006725000002</v>
      </c>
      <c r="Q680" s="7">
        <v>665.39927999999998</v>
      </c>
      <c r="R680" s="7">
        <v>1609.646688</v>
      </c>
      <c r="S680" s="7"/>
      <c r="T680" s="7"/>
      <c r="U680" s="7"/>
      <c r="V680" s="7"/>
      <c r="W680" s="11">
        <f t="shared" si="12"/>
        <v>9051.4283815000017</v>
      </c>
    </row>
    <row r="681" spans="1:23" x14ac:dyDescent="0.2">
      <c r="A681" s="4" t="s">
        <v>572</v>
      </c>
      <c r="B681" s="4" t="s">
        <v>9</v>
      </c>
      <c r="C681" s="4" t="s">
        <v>10</v>
      </c>
      <c r="D681" s="4" t="s">
        <v>11</v>
      </c>
      <c r="E681" s="4" t="s">
        <v>12</v>
      </c>
      <c r="F681" s="4" t="s">
        <v>152</v>
      </c>
      <c r="G681" s="4" t="s">
        <v>153</v>
      </c>
      <c r="H681" s="4" t="s">
        <v>88</v>
      </c>
      <c r="I681" s="4" t="s">
        <v>154</v>
      </c>
      <c r="J681" s="4" t="s">
        <v>155</v>
      </c>
      <c r="K681" s="7">
        <v>1214.0154717</v>
      </c>
      <c r="L681" s="7">
        <v>965.3181879</v>
      </c>
      <c r="M681" s="7">
        <v>693.35499899999991</v>
      </c>
      <c r="N681" s="7">
        <v>595.12867200000005</v>
      </c>
      <c r="O681" s="7">
        <v>607.90223419999995</v>
      </c>
      <c r="P681" s="7">
        <v>965.63378869999997</v>
      </c>
      <c r="Q681" s="7">
        <v>832.01090899999997</v>
      </c>
      <c r="R681" s="7">
        <v>562.05560500000001</v>
      </c>
      <c r="S681" s="7"/>
      <c r="T681" s="7"/>
      <c r="U681" s="7"/>
      <c r="V681" s="7"/>
      <c r="W681" s="11">
        <f t="shared" si="12"/>
        <v>6435.4198674999989</v>
      </c>
    </row>
    <row r="682" spans="1:23" x14ac:dyDescent="0.2">
      <c r="A682" s="4" t="s">
        <v>572</v>
      </c>
      <c r="B682" s="4" t="s">
        <v>9</v>
      </c>
      <c r="C682" s="4" t="s">
        <v>10</v>
      </c>
      <c r="D682" s="4" t="s">
        <v>11</v>
      </c>
      <c r="E682" s="4" t="s">
        <v>12</v>
      </c>
      <c r="F682" s="4" t="s">
        <v>24</v>
      </c>
      <c r="G682" s="4" t="s">
        <v>25</v>
      </c>
      <c r="H682" s="4" t="s">
        <v>26</v>
      </c>
      <c r="I682" s="4" t="s">
        <v>26</v>
      </c>
      <c r="J682" s="4" t="s">
        <v>27</v>
      </c>
      <c r="K682" s="7">
        <v>114.9028596</v>
      </c>
      <c r="L682" s="7">
        <v>66.925136699999996</v>
      </c>
      <c r="M682" s="7">
        <v>19.525315200000001</v>
      </c>
      <c r="N682" s="7">
        <v>27.289203499999999</v>
      </c>
      <c r="O682" s="7">
        <v>29.503257000000001</v>
      </c>
      <c r="P682" s="7">
        <v>16.424664199999999</v>
      </c>
      <c r="Q682" s="7">
        <v>27.548196000000001</v>
      </c>
      <c r="R682" s="7">
        <v>20.778998000000001</v>
      </c>
      <c r="S682" s="7"/>
      <c r="T682" s="7"/>
      <c r="U682" s="7"/>
      <c r="V682" s="7"/>
      <c r="W682" s="11">
        <f t="shared" si="12"/>
        <v>322.89763020000004</v>
      </c>
    </row>
    <row r="683" spans="1:23" x14ac:dyDescent="0.2">
      <c r="A683" s="4" t="s">
        <v>572</v>
      </c>
      <c r="B683" s="4" t="s">
        <v>9</v>
      </c>
      <c r="C683" s="4" t="s">
        <v>10</v>
      </c>
      <c r="D683" s="4" t="s">
        <v>11</v>
      </c>
      <c r="E683" s="4" t="s">
        <v>12</v>
      </c>
      <c r="F683" s="4" t="s">
        <v>162</v>
      </c>
      <c r="G683" s="4" t="s">
        <v>163</v>
      </c>
      <c r="H683" s="4" t="s">
        <v>592</v>
      </c>
      <c r="I683" s="4" t="s">
        <v>23</v>
      </c>
      <c r="J683" s="4" t="s">
        <v>164</v>
      </c>
      <c r="K683" s="7">
        <v>1402.362670793</v>
      </c>
      <c r="L683" s="7">
        <v>750.1974946360001</v>
      </c>
      <c r="M683" s="7">
        <v>1531.5831923359999</v>
      </c>
      <c r="N683" s="7">
        <v>1440.5650405599999</v>
      </c>
      <c r="O683" s="7">
        <v>1465.4124202739999</v>
      </c>
      <c r="P683" s="7">
        <v>1021.2529215640001</v>
      </c>
      <c r="Q683" s="7">
        <v>1055.4985019999999</v>
      </c>
      <c r="R683" s="7">
        <v>1254.9752149999999</v>
      </c>
      <c r="S683" s="7"/>
      <c r="T683" s="7"/>
      <c r="U683" s="7"/>
      <c r="V683" s="7"/>
      <c r="W683" s="11">
        <f t="shared" si="12"/>
        <v>9921.8474571629995</v>
      </c>
    </row>
    <row r="684" spans="1:23" x14ac:dyDescent="0.2">
      <c r="A684" s="4" t="s">
        <v>572</v>
      </c>
      <c r="B684" s="4" t="s">
        <v>9</v>
      </c>
      <c r="C684" s="4" t="s">
        <v>10</v>
      </c>
      <c r="D684" s="4" t="s">
        <v>11</v>
      </c>
      <c r="E684" s="4" t="s">
        <v>12</v>
      </c>
      <c r="F684" s="4" t="s">
        <v>162</v>
      </c>
      <c r="G684" s="4" t="s">
        <v>165</v>
      </c>
      <c r="H684" s="4" t="s">
        <v>592</v>
      </c>
      <c r="I684" s="4" t="s">
        <v>23</v>
      </c>
      <c r="J684" s="4" t="s">
        <v>23</v>
      </c>
      <c r="K684" s="7">
        <v>778.57715285800009</v>
      </c>
      <c r="L684" s="7">
        <v>666.03105421099997</v>
      </c>
      <c r="M684" s="7">
        <v>1132.16984007</v>
      </c>
      <c r="N684" s="7">
        <v>918.99095677699995</v>
      </c>
      <c r="O684" s="7">
        <v>770.62581603000001</v>
      </c>
      <c r="P684" s="7">
        <v>822.76886056199987</v>
      </c>
      <c r="Q684" s="7">
        <v>870.42348900000002</v>
      </c>
      <c r="R684" s="7">
        <v>835.17198200000007</v>
      </c>
      <c r="S684" s="7"/>
      <c r="T684" s="7"/>
      <c r="U684" s="7"/>
      <c r="V684" s="7"/>
      <c r="W684" s="11">
        <f t="shared" si="12"/>
        <v>6794.7591515079994</v>
      </c>
    </row>
    <row r="685" spans="1:23" x14ac:dyDescent="0.2">
      <c r="A685" s="4" t="s">
        <v>572</v>
      </c>
      <c r="B685" s="4" t="s">
        <v>9</v>
      </c>
      <c r="C685" s="4" t="s">
        <v>10</v>
      </c>
      <c r="D685" s="4" t="s">
        <v>28</v>
      </c>
      <c r="E685" s="4" t="s">
        <v>29</v>
      </c>
      <c r="F685" s="4" t="s">
        <v>30</v>
      </c>
      <c r="G685" s="4" t="s">
        <v>31</v>
      </c>
      <c r="H685" s="4" t="s">
        <v>32</v>
      </c>
      <c r="I685" s="4" t="s">
        <v>33</v>
      </c>
      <c r="J685" s="4" t="s">
        <v>34</v>
      </c>
      <c r="K685" s="7">
        <v>28.259599999999999</v>
      </c>
      <c r="L685" s="7">
        <v>15.3476</v>
      </c>
      <c r="M685" s="7">
        <v>12.7098</v>
      </c>
      <c r="N685" s="7">
        <v>8.7763000000000009</v>
      </c>
      <c r="O685" s="7">
        <v>6.8578000000000001</v>
      </c>
      <c r="P685" s="7">
        <v>6.3045</v>
      </c>
      <c r="Q685" s="7">
        <v>12.2059</v>
      </c>
      <c r="R685" s="7">
        <v>7.2625000000000002</v>
      </c>
      <c r="S685" s="7"/>
      <c r="T685" s="7"/>
      <c r="U685" s="7"/>
      <c r="V685" s="7"/>
      <c r="W685" s="11">
        <f t="shared" si="12"/>
        <v>97.724000000000004</v>
      </c>
    </row>
    <row r="686" spans="1:23" x14ac:dyDescent="0.2">
      <c r="A686" s="4" t="s">
        <v>572</v>
      </c>
      <c r="B686" s="4" t="s">
        <v>9</v>
      </c>
      <c r="C686" s="4" t="s">
        <v>10</v>
      </c>
      <c r="D686" s="4" t="s">
        <v>28</v>
      </c>
      <c r="E686" s="4" t="s">
        <v>12</v>
      </c>
      <c r="F686" s="4" t="s">
        <v>867</v>
      </c>
      <c r="G686" s="4" t="s">
        <v>683</v>
      </c>
      <c r="H686" s="4" t="s">
        <v>592</v>
      </c>
      <c r="I686" s="4" t="s">
        <v>23</v>
      </c>
      <c r="J686" s="4" t="s">
        <v>683</v>
      </c>
      <c r="K686" s="7">
        <v>0</v>
      </c>
      <c r="L686" s="7">
        <v>0</v>
      </c>
      <c r="M686" s="7">
        <v>0</v>
      </c>
      <c r="N686" s="7">
        <v>0</v>
      </c>
      <c r="O686" s="7">
        <v>1.0000000000000001E-5</v>
      </c>
      <c r="P686" s="7">
        <v>0</v>
      </c>
      <c r="Q686" s="7">
        <v>0</v>
      </c>
      <c r="R686" s="7">
        <v>0</v>
      </c>
      <c r="S686" s="7"/>
      <c r="T686" s="7"/>
      <c r="U686" s="7"/>
      <c r="V686" s="7"/>
      <c r="W686" s="11">
        <f t="shared" si="12"/>
        <v>1.0000000000000001E-5</v>
      </c>
    </row>
    <row r="687" spans="1:23" x14ac:dyDescent="0.2">
      <c r="A687" s="4" t="s">
        <v>572</v>
      </c>
      <c r="B687" s="4" t="s">
        <v>9</v>
      </c>
      <c r="C687" s="4" t="s">
        <v>10</v>
      </c>
      <c r="D687" s="4" t="s">
        <v>28</v>
      </c>
      <c r="E687" s="4" t="s">
        <v>12</v>
      </c>
      <c r="F687" s="4" t="s">
        <v>589</v>
      </c>
      <c r="G687" s="4" t="s">
        <v>535</v>
      </c>
      <c r="H687" s="4" t="s">
        <v>73</v>
      </c>
      <c r="I687" s="4" t="s">
        <v>230</v>
      </c>
      <c r="J687" s="4" t="s">
        <v>231</v>
      </c>
      <c r="K687" s="7">
        <v>0.01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/>
      <c r="T687" s="7"/>
      <c r="U687" s="7"/>
      <c r="V687" s="7"/>
      <c r="W687" s="11">
        <f t="shared" si="12"/>
        <v>0.01</v>
      </c>
    </row>
    <row r="688" spans="1:23" x14ac:dyDescent="0.2">
      <c r="A688" s="4" t="s">
        <v>572</v>
      </c>
      <c r="B688" s="4" t="s">
        <v>9</v>
      </c>
      <c r="C688" s="4" t="s">
        <v>10</v>
      </c>
      <c r="D688" s="4" t="s">
        <v>595</v>
      </c>
      <c r="E688" s="4" t="s">
        <v>12</v>
      </c>
      <c r="F688" s="4" t="s">
        <v>13</v>
      </c>
      <c r="G688" s="4" t="s">
        <v>188</v>
      </c>
      <c r="H688" s="4" t="s">
        <v>46</v>
      </c>
      <c r="I688" s="4" t="s">
        <v>47</v>
      </c>
      <c r="J688" s="4" t="s">
        <v>189</v>
      </c>
      <c r="K688" s="7">
        <v>6.9700000000000003E-4</v>
      </c>
      <c r="L688" s="7">
        <v>3.1159999999999998E-4</v>
      </c>
      <c r="M688" s="7">
        <v>2.2680000000000001E-4</v>
      </c>
      <c r="N688" s="7">
        <v>2.8160000000000001E-4</v>
      </c>
      <c r="O688" s="7">
        <v>1.872E-4</v>
      </c>
      <c r="P688" s="7">
        <v>1.5300000000000001E-4</v>
      </c>
      <c r="Q688" s="7">
        <v>2.7300000000000002E-4</v>
      </c>
      <c r="R688" s="7">
        <v>2.0799999999999999E-4</v>
      </c>
      <c r="S688" s="7"/>
      <c r="T688" s="7"/>
      <c r="U688" s="7"/>
      <c r="V688" s="7"/>
      <c r="W688" s="11">
        <f t="shared" si="12"/>
        <v>2.3381999999999999E-3</v>
      </c>
    </row>
    <row r="689" spans="1:23" x14ac:dyDescent="0.2">
      <c r="A689" s="4" t="s">
        <v>573</v>
      </c>
      <c r="B689" s="4" t="s">
        <v>9</v>
      </c>
      <c r="C689" s="4" t="s">
        <v>10</v>
      </c>
      <c r="D689" s="4" t="s">
        <v>11</v>
      </c>
      <c r="E689" s="4" t="s">
        <v>29</v>
      </c>
      <c r="F689" s="4" t="s">
        <v>48</v>
      </c>
      <c r="G689" s="4" t="s">
        <v>49</v>
      </c>
      <c r="H689" s="4" t="s">
        <v>591</v>
      </c>
      <c r="I689" s="4" t="s">
        <v>50</v>
      </c>
      <c r="J689" s="4" t="s">
        <v>51</v>
      </c>
      <c r="K689" s="7">
        <v>50.918350500000003</v>
      </c>
      <c r="L689" s="7">
        <v>60.270720300000001</v>
      </c>
      <c r="M689" s="7">
        <v>52.128429400000002</v>
      </c>
      <c r="N689" s="7">
        <v>0</v>
      </c>
      <c r="O689" s="7">
        <v>75.399767499999996</v>
      </c>
      <c r="P689" s="7">
        <v>0</v>
      </c>
      <c r="Q689" s="7">
        <v>66.035398999999998</v>
      </c>
      <c r="R689" s="7">
        <v>0</v>
      </c>
      <c r="S689" s="7"/>
      <c r="T689" s="7"/>
      <c r="U689" s="7"/>
      <c r="V689" s="7"/>
      <c r="W689" s="11">
        <f t="shared" si="12"/>
        <v>304.75266669999996</v>
      </c>
    </row>
    <row r="690" spans="1:23" x14ac:dyDescent="0.2">
      <c r="A690" s="4" t="s">
        <v>573</v>
      </c>
      <c r="B690" s="4" t="s">
        <v>9</v>
      </c>
      <c r="C690" s="4" t="s">
        <v>10</v>
      </c>
      <c r="D690" s="4" t="s">
        <v>11</v>
      </c>
      <c r="E690" s="4" t="s">
        <v>29</v>
      </c>
      <c r="F690" s="4" t="s">
        <v>858</v>
      </c>
      <c r="G690" s="4" t="s">
        <v>859</v>
      </c>
      <c r="H690" s="4" t="s">
        <v>591</v>
      </c>
      <c r="I690" s="4" t="s">
        <v>860</v>
      </c>
      <c r="J690" s="4" t="s">
        <v>861</v>
      </c>
      <c r="K690" s="7">
        <v>0</v>
      </c>
      <c r="L690" s="7">
        <v>0</v>
      </c>
      <c r="M690" s="7">
        <v>0</v>
      </c>
      <c r="N690" s="7">
        <v>770.388192</v>
      </c>
      <c r="O690" s="7">
        <v>0</v>
      </c>
      <c r="P690" s="7">
        <v>0</v>
      </c>
      <c r="Q690" s="7">
        <v>0</v>
      </c>
      <c r="R690" s="7">
        <v>652.62862800000005</v>
      </c>
      <c r="S690" s="7"/>
      <c r="T690" s="7"/>
      <c r="U690" s="7"/>
      <c r="V690" s="7"/>
      <c r="W690" s="11">
        <f t="shared" si="12"/>
        <v>1423.0168200000001</v>
      </c>
    </row>
    <row r="691" spans="1:23" x14ac:dyDescent="0.2">
      <c r="A691" s="4" t="s">
        <v>573</v>
      </c>
      <c r="B691" s="4" t="s">
        <v>9</v>
      </c>
      <c r="C691" s="4" t="s">
        <v>10</v>
      </c>
      <c r="D691" s="4" t="s">
        <v>11</v>
      </c>
      <c r="E691" s="4" t="s">
        <v>29</v>
      </c>
      <c r="F691" s="4" t="s">
        <v>596</v>
      </c>
      <c r="G691" s="4" t="s">
        <v>182</v>
      </c>
      <c r="H691" s="4" t="s">
        <v>593</v>
      </c>
      <c r="I691" s="4" t="s">
        <v>183</v>
      </c>
      <c r="J691" s="4" t="s">
        <v>184</v>
      </c>
      <c r="K691" s="7">
        <v>9.4929547652000004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/>
      <c r="T691" s="7"/>
      <c r="U691" s="7"/>
      <c r="V691" s="7"/>
      <c r="W691" s="11">
        <f t="shared" si="12"/>
        <v>9.4929547652000004</v>
      </c>
    </row>
    <row r="692" spans="1:23" x14ac:dyDescent="0.2">
      <c r="A692" s="4" t="s">
        <v>573</v>
      </c>
      <c r="B692" s="4" t="s">
        <v>9</v>
      </c>
      <c r="C692" s="4" t="s">
        <v>10</v>
      </c>
      <c r="D692" s="4" t="s">
        <v>11</v>
      </c>
      <c r="E692" s="4" t="s">
        <v>29</v>
      </c>
      <c r="F692" s="4" t="s">
        <v>56</v>
      </c>
      <c r="G692" s="4" t="s">
        <v>57</v>
      </c>
      <c r="H692" s="4" t="s">
        <v>591</v>
      </c>
      <c r="I692" s="4" t="s">
        <v>20</v>
      </c>
      <c r="J692" s="4" t="s">
        <v>58</v>
      </c>
      <c r="K692" s="7">
        <v>124.5896659</v>
      </c>
      <c r="L692" s="7">
        <v>211.07765699999999</v>
      </c>
      <c r="M692" s="7">
        <v>195.6570203</v>
      </c>
      <c r="N692" s="7">
        <v>166.5537224</v>
      </c>
      <c r="O692" s="7">
        <v>156.26731760000001</v>
      </c>
      <c r="P692" s="7">
        <v>159.5034728</v>
      </c>
      <c r="Q692" s="7">
        <v>116.43097299999999</v>
      </c>
      <c r="R692" s="7">
        <v>250.07500100000001</v>
      </c>
      <c r="S692" s="7"/>
      <c r="T692" s="7"/>
      <c r="U692" s="7"/>
      <c r="V692" s="7"/>
      <c r="W692" s="11">
        <f t="shared" si="12"/>
        <v>1380.1548299999999</v>
      </c>
    </row>
    <row r="693" spans="1:23" x14ac:dyDescent="0.2">
      <c r="A693" s="4" t="s">
        <v>573</v>
      </c>
      <c r="B693" s="4" t="s">
        <v>9</v>
      </c>
      <c r="C693" s="4" t="s">
        <v>10</v>
      </c>
      <c r="D693" s="4" t="s">
        <v>11</v>
      </c>
      <c r="E693" s="4" t="s">
        <v>29</v>
      </c>
      <c r="F693" s="4" t="s">
        <v>537</v>
      </c>
      <c r="G693" s="4" t="s">
        <v>548</v>
      </c>
      <c r="H693" s="4" t="s">
        <v>591</v>
      </c>
      <c r="I693" s="4" t="s">
        <v>62</v>
      </c>
      <c r="J693" s="4" t="s">
        <v>560</v>
      </c>
      <c r="K693" s="7">
        <v>21.471081600000002</v>
      </c>
      <c r="L693" s="7">
        <v>14.38804972</v>
      </c>
      <c r="M693" s="7">
        <v>15.94651893</v>
      </c>
      <c r="N693" s="7">
        <v>16.664082239999999</v>
      </c>
      <c r="O693" s="7">
        <v>16.239966899999999</v>
      </c>
      <c r="P693" s="7">
        <v>19.997324339999999</v>
      </c>
      <c r="Q693" s="7">
        <v>15.603728</v>
      </c>
      <c r="R693" s="7">
        <v>14.937681</v>
      </c>
      <c r="S693" s="7"/>
      <c r="T693" s="7"/>
      <c r="U693" s="7"/>
      <c r="V693" s="7"/>
      <c r="W693" s="11">
        <f t="shared" si="12"/>
        <v>135.24843273000002</v>
      </c>
    </row>
    <row r="694" spans="1:23" x14ac:dyDescent="0.2">
      <c r="A694" s="4" t="s">
        <v>573</v>
      </c>
      <c r="B694" s="4" t="s">
        <v>9</v>
      </c>
      <c r="C694" s="4" t="s">
        <v>10</v>
      </c>
      <c r="D694" s="4" t="s">
        <v>11</v>
      </c>
      <c r="E694" s="4" t="s">
        <v>29</v>
      </c>
      <c r="F694" s="4" t="s">
        <v>761</v>
      </c>
      <c r="G694" s="4" t="s">
        <v>762</v>
      </c>
      <c r="H694" s="4" t="s">
        <v>591</v>
      </c>
      <c r="I694" s="4" t="s">
        <v>62</v>
      </c>
      <c r="J694" s="4" t="s">
        <v>763</v>
      </c>
      <c r="K694" s="7">
        <v>0</v>
      </c>
      <c r="L694" s="7">
        <v>0</v>
      </c>
      <c r="M694" s="7">
        <v>119.082543</v>
      </c>
      <c r="N694" s="7">
        <v>52.832758200000001</v>
      </c>
      <c r="O694" s="7">
        <v>0</v>
      </c>
      <c r="P694" s="7">
        <v>105.4585182</v>
      </c>
      <c r="Q694" s="7">
        <v>0</v>
      </c>
      <c r="R694" s="7">
        <v>92.089882000000003</v>
      </c>
      <c r="S694" s="7"/>
      <c r="T694" s="7"/>
      <c r="U694" s="7"/>
      <c r="V694" s="7"/>
      <c r="W694" s="11">
        <f t="shared" si="12"/>
        <v>369.46370139999999</v>
      </c>
    </row>
    <row r="695" spans="1:23" x14ac:dyDescent="0.2">
      <c r="A695" s="4" t="s">
        <v>573</v>
      </c>
      <c r="B695" s="4" t="s">
        <v>9</v>
      </c>
      <c r="C695" s="4" t="s">
        <v>10</v>
      </c>
      <c r="D695" s="4" t="s">
        <v>11</v>
      </c>
      <c r="E695" s="4" t="s">
        <v>29</v>
      </c>
      <c r="F695" s="4" t="s">
        <v>677</v>
      </c>
      <c r="G695" s="4" t="s">
        <v>50</v>
      </c>
      <c r="H695" s="4" t="s">
        <v>591</v>
      </c>
      <c r="I695" s="4" t="s">
        <v>50</v>
      </c>
      <c r="J695" s="4" t="s">
        <v>678</v>
      </c>
      <c r="K695" s="7">
        <v>55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/>
      <c r="T695" s="7"/>
      <c r="U695" s="7"/>
      <c r="V695" s="7"/>
      <c r="W695" s="11">
        <f t="shared" si="12"/>
        <v>55</v>
      </c>
    </row>
    <row r="696" spans="1:23" x14ac:dyDescent="0.2">
      <c r="A696" s="4" t="s">
        <v>573</v>
      </c>
      <c r="B696" s="4" t="s">
        <v>9</v>
      </c>
      <c r="C696" s="4" t="s">
        <v>10</v>
      </c>
      <c r="D696" s="4" t="s">
        <v>11</v>
      </c>
      <c r="E696" s="4" t="s">
        <v>29</v>
      </c>
      <c r="F696" s="4" t="s">
        <v>751</v>
      </c>
      <c r="G696" s="4" t="s">
        <v>752</v>
      </c>
      <c r="H696" s="4" t="s">
        <v>591</v>
      </c>
      <c r="I696" s="4" t="s">
        <v>100</v>
      </c>
      <c r="J696" s="4" t="s">
        <v>752</v>
      </c>
      <c r="K696" s="7">
        <v>0</v>
      </c>
      <c r="L696" s="7">
        <v>191.36</v>
      </c>
      <c r="M696" s="7">
        <v>0</v>
      </c>
      <c r="N696" s="7">
        <v>241.8</v>
      </c>
      <c r="O696" s="7">
        <v>0</v>
      </c>
      <c r="P696" s="7">
        <v>306.8</v>
      </c>
      <c r="Q696" s="7">
        <v>128.96</v>
      </c>
      <c r="R696" s="7">
        <v>202.5</v>
      </c>
      <c r="S696" s="7"/>
      <c r="T696" s="7"/>
      <c r="U696" s="7"/>
      <c r="V696" s="7"/>
      <c r="W696" s="11">
        <f t="shared" si="12"/>
        <v>1071.42</v>
      </c>
    </row>
    <row r="697" spans="1:23" x14ac:dyDescent="0.2">
      <c r="A697" s="4" t="s">
        <v>573</v>
      </c>
      <c r="B697" s="4" t="s">
        <v>9</v>
      </c>
      <c r="C697" s="4" t="s">
        <v>10</v>
      </c>
      <c r="D697" s="4" t="s">
        <v>11</v>
      </c>
      <c r="E697" s="4" t="s">
        <v>12</v>
      </c>
      <c r="F697" s="4" t="s">
        <v>71</v>
      </c>
      <c r="G697" s="4" t="s">
        <v>72</v>
      </c>
      <c r="H697" s="4" t="s">
        <v>73</v>
      </c>
      <c r="I697" s="4" t="s">
        <v>74</v>
      </c>
      <c r="J697" s="4" t="s">
        <v>75</v>
      </c>
      <c r="K697" s="7">
        <v>4051.29372285</v>
      </c>
      <c r="L697" s="7">
        <v>3709.2070488500003</v>
      </c>
      <c r="M697" s="7">
        <v>4542.9715094000003</v>
      </c>
      <c r="N697" s="7">
        <v>4840.1081599999998</v>
      </c>
      <c r="O697" s="7">
        <v>5200.3459254999998</v>
      </c>
      <c r="P697" s="7">
        <v>4017.1912399900002</v>
      </c>
      <c r="Q697" s="7">
        <v>5094.4128229999997</v>
      </c>
      <c r="R697" s="7">
        <v>4973.5629399999998</v>
      </c>
      <c r="S697" s="7"/>
      <c r="T697" s="7"/>
      <c r="U697" s="7"/>
      <c r="V697" s="7"/>
      <c r="W697" s="11">
        <f t="shared" si="12"/>
        <v>36429.093369589995</v>
      </c>
    </row>
    <row r="698" spans="1:23" x14ac:dyDescent="0.2">
      <c r="A698" s="4" t="s">
        <v>573</v>
      </c>
      <c r="B698" s="4" t="s">
        <v>9</v>
      </c>
      <c r="C698" s="4" t="s">
        <v>10</v>
      </c>
      <c r="D698" s="4" t="s">
        <v>11</v>
      </c>
      <c r="E698" s="4" t="s">
        <v>12</v>
      </c>
      <c r="F698" s="4" t="s">
        <v>536</v>
      </c>
      <c r="G698" s="4" t="s">
        <v>547</v>
      </c>
      <c r="H698" s="4" t="s">
        <v>88</v>
      </c>
      <c r="I698" s="4" t="s">
        <v>111</v>
      </c>
      <c r="J698" s="4" t="s">
        <v>112</v>
      </c>
      <c r="K698" s="7">
        <v>10.916639999999999</v>
      </c>
      <c r="L698" s="7">
        <v>10.786362</v>
      </c>
      <c r="M698" s="7">
        <v>8.1370240000000003</v>
      </c>
      <c r="N698" s="7">
        <v>9.1526160000000001</v>
      </c>
      <c r="O698" s="7">
        <v>8.7396960000000004</v>
      </c>
      <c r="P698" s="7">
        <v>0</v>
      </c>
      <c r="Q698" s="7">
        <v>11.628215000000001</v>
      </c>
      <c r="R698" s="7">
        <v>17.722996999999999</v>
      </c>
      <c r="S698" s="7"/>
      <c r="T698" s="7"/>
      <c r="U698" s="7"/>
      <c r="V698" s="7"/>
      <c r="W698" s="11">
        <f t="shared" si="12"/>
        <v>77.083550000000002</v>
      </c>
    </row>
    <row r="699" spans="1:23" x14ac:dyDescent="0.2">
      <c r="A699" s="4" t="s">
        <v>573</v>
      </c>
      <c r="B699" s="4" t="s">
        <v>9</v>
      </c>
      <c r="C699" s="4" t="s">
        <v>10</v>
      </c>
      <c r="D699" s="4" t="s">
        <v>11</v>
      </c>
      <c r="E699" s="4" t="s">
        <v>12</v>
      </c>
      <c r="F699" s="4" t="s">
        <v>13</v>
      </c>
      <c r="G699" s="4" t="s">
        <v>178</v>
      </c>
      <c r="H699" s="4" t="s">
        <v>88</v>
      </c>
      <c r="I699" s="4" t="s">
        <v>179</v>
      </c>
      <c r="J699" s="4" t="s">
        <v>179</v>
      </c>
      <c r="K699" s="7">
        <v>2532.7120163999998</v>
      </c>
      <c r="L699" s="7">
        <v>2418.9694669999999</v>
      </c>
      <c r="M699" s="7">
        <v>3554.6071732</v>
      </c>
      <c r="N699" s="7">
        <v>2912.0132337999999</v>
      </c>
      <c r="O699" s="7">
        <v>2880.2605729999996</v>
      </c>
      <c r="P699" s="7">
        <v>3296.6437779999997</v>
      </c>
      <c r="Q699" s="7">
        <v>2973.7348799999995</v>
      </c>
      <c r="R699" s="7">
        <v>2414.9487960000001</v>
      </c>
      <c r="S699" s="7"/>
      <c r="T699" s="7"/>
      <c r="U699" s="7"/>
      <c r="V699" s="7"/>
      <c r="W699" s="11">
        <f t="shared" si="12"/>
        <v>22983.8899174</v>
      </c>
    </row>
    <row r="700" spans="1:23" x14ac:dyDescent="0.2">
      <c r="A700" s="4" t="s">
        <v>573</v>
      </c>
      <c r="B700" s="4" t="s">
        <v>9</v>
      </c>
      <c r="C700" s="4" t="s">
        <v>10</v>
      </c>
      <c r="D700" s="4" t="s">
        <v>11</v>
      </c>
      <c r="E700" s="4" t="s">
        <v>12</v>
      </c>
      <c r="F700" s="4" t="s">
        <v>13</v>
      </c>
      <c r="G700" s="4" t="s">
        <v>188</v>
      </c>
      <c r="H700" s="4" t="s">
        <v>46</v>
      </c>
      <c r="I700" s="4" t="s">
        <v>47</v>
      </c>
      <c r="J700" s="4" t="s">
        <v>189</v>
      </c>
      <c r="K700" s="7">
        <v>236.60263129999998</v>
      </c>
      <c r="L700" s="7">
        <v>202.5889607</v>
      </c>
      <c r="M700" s="7">
        <v>165.0599824</v>
      </c>
      <c r="N700" s="7">
        <v>155.9189092</v>
      </c>
      <c r="O700" s="7">
        <v>151.64542489999999</v>
      </c>
      <c r="P700" s="7">
        <v>166.69105070000001</v>
      </c>
      <c r="Q700" s="7">
        <v>185.92233199999998</v>
      </c>
      <c r="R700" s="7">
        <v>218.21232499999999</v>
      </c>
      <c r="S700" s="7"/>
      <c r="T700" s="7"/>
      <c r="U700" s="7"/>
      <c r="V700" s="7"/>
      <c r="W700" s="11">
        <f t="shared" si="12"/>
        <v>1482.6416162</v>
      </c>
    </row>
    <row r="701" spans="1:23" x14ac:dyDescent="0.2">
      <c r="A701" s="4" t="s">
        <v>573</v>
      </c>
      <c r="B701" s="4" t="s">
        <v>9</v>
      </c>
      <c r="C701" s="4" t="s">
        <v>10</v>
      </c>
      <c r="D701" s="4" t="s">
        <v>11</v>
      </c>
      <c r="E701" s="4" t="s">
        <v>12</v>
      </c>
      <c r="F701" s="4" t="s">
        <v>76</v>
      </c>
      <c r="G701" s="4" t="s">
        <v>77</v>
      </c>
      <c r="H701" s="4" t="s">
        <v>591</v>
      </c>
      <c r="I701" s="4" t="s">
        <v>42</v>
      </c>
      <c r="J701" s="4" t="s">
        <v>43</v>
      </c>
      <c r="K701" s="7">
        <v>25380.912273299997</v>
      </c>
      <c r="L701" s="7">
        <v>25004.115359799998</v>
      </c>
      <c r="M701" s="7">
        <v>32623.433254000003</v>
      </c>
      <c r="N701" s="7">
        <v>29573.576397299999</v>
      </c>
      <c r="O701" s="7">
        <v>23806.758842899999</v>
      </c>
      <c r="P701" s="7">
        <v>16327.821211400002</v>
      </c>
      <c r="Q701" s="7">
        <v>19233.156309999998</v>
      </c>
      <c r="R701" s="7">
        <v>22202.812461000001</v>
      </c>
      <c r="S701" s="7"/>
      <c r="T701" s="7"/>
      <c r="U701" s="7"/>
      <c r="V701" s="7"/>
      <c r="W701" s="11">
        <f t="shared" ref="W701:W748" si="13">SUM(K701:V701)</f>
        <v>194152.58610969997</v>
      </c>
    </row>
    <row r="702" spans="1:23" x14ac:dyDescent="0.2">
      <c r="A702" s="4" t="s">
        <v>573</v>
      </c>
      <c r="B702" s="4" t="s">
        <v>9</v>
      </c>
      <c r="C702" s="4" t="s">
        <v>10</v>
      </c>
      <c r="D702" s="4" t="s">
        <v>11</v>
      </c>
      <c r="E702" s="4" t="s">
        <v>12</v>
      </c>
      <c r="F702" s="4" t="s">
        <v>867</v>
      </c>
      <c r="G702" s="4" t="s">
        <v>628</v>
      </c>
      <c r="H702" s="4" t="s">
        <v>592</v>
      </c>
      <c r="I702" s="4" t="s">
        <v>23</v>
      </c>
      <c r="J702" s="4" t="s">
        <v>23</v>
      </c>
      <c r="K702" s="7">
        <v>10.0766601</v>
      </c>
      <c r="L702" s="7">
        <v>1100.7002795000001</v>
      </c>
      <c r="M702" s="7">
        <v>658.2979497</v>
      </c>
      <c r="N702" s="7">
        <v>888.12170559999993</v>
      </c>
      <c r="O702" s="7">
        <v>207.37260630000003</v>
      </c>
      <c r="P702" s="7">
        <v>611.78928379999991</v>
      </c>
      <c r="Q702" s="7">
        <v>757.22462400000006</v>
      </c>
      <c r="R702" s="7">
        <v>617.05384300000003</v>
      </c>
      <c r="S702" s="7"/>
      <c r="T702" s="7"/>
      <c r="U702" s="7"/>
      <c r="V702" s="7"/>
      <c r="W702" s="11">
        <f t="shared" si="13"/>
        <v>4850.6369519999998</v>
      </c>
    </row>
    <row r="703" spans="1:23" x14ac:dyDescent="0.2">
      <c r="A703" s="4" t="s">
        <v>573</v>
      </c>
      <c r="B703" s="4" t="s">
        <v>9</v>
      </c>
      <c r="C703" s="4" t="s">
        <v>10</v>
      </c>
      <c r="D703" s="4" t="s">
        <v>11</v>
      </c>
      <c r="E703" s="4" t="s">
        <v>12</v>
      </c>
      <c r="F703" s="4" t="s">
        <v>867</v>
      </c>
      <c r="G703" s="4" t="s">
        <v>682</v>
      </c>
      <c r="H703" s="4" t="s">
        <v>592</v>
      </c>
      <c r="I703" s="4" t="s">
        <v>23</v>
      </c>
      <c r="J703" s="4" t="s">
        <v>23</v>
      </c>
      <c r="K703" s="7">
        <v>0</v>
      </c>
      <c r="L703" s="7">
        <v>974.97069119999992</v>
      </c>
      <c r="M703" s="7">
        <v>0</v>
      </c>
      <c r="N703" s="7">
        <v>0</v>
      </c>
      <c r="O703" s="7">
        <v>2280.5873866000002</v>
      </c>
      <c r="P703" s="7">
        <v>0</v>
      </c>
      <c r="Q703" s="7">
        <v>0</v>
      </c>
      <c r="R703" s="7">
        <v>0</v>
      </c>
      <c r="S703" s="7"/>
      <c r="T703" s="7"/>
      <c r="U703" s="7"/>
      <c r="V703" s="7"/>
      <c r="W703" s="11">
        <f t="shared" si="13"/>
        <v>3255.5580778000003</v>
      </c>
    </row>
    <row r="704" spans="1:23" x14ac:dyDescent="0.2">
      <c r="A704" s="4" t="s">
        <v>573</v>
      </c>
      <c r="B704" s="4" t="s">
        <v>9</v>
      </c>
      <c r="C704" s="4" t="s">
        <v>10</v>
      </c>
      <c r="D704" s="4" t="s">
        <v>11</v>
      </c>
      <c r="E704" s="4" t="s">
        <v>12</v>
      </c>
      <c r="F704" s="4" t="s">
        <v>867</v>
      </c>
      <c r="G704" s="4" t="s">
        <v>683</v>
      </c>
      <c r="H704" s="4" t="s">
        <v>592</v>
      </c>
      <c r="I704" s="4" t="s">
        <v>23</v>
      </c>
      <c r="J704" s="4" t="s">
        <v>683</v>
      </c>
      <c r="K704" s="7">
        <v>0</v>
      </c>
      <c r="L704" s="7">
        <v>2201.4010031000003</v>
      </c>
      <c r="M704" s="7">
        <v>1316.5939028999999</v>
      </c>
      <c r="N704" s="7">
        <v>1776.2434111999999</v>
      </c>
      <c r="O704" s="7">
        <v>280.08860380000004</v>
      </c>
      <c r="P704" s="7">
        <v>2818.8390353999998</v>
      </c>
      <c r="Q704" s="7">
        <v>3236.8695310000003</v>
      </c>
      <c r="R704" s="7">
        <v>992.92138199999999</v>
      </c>
      <c r="S704" s="7"/>
      <c r="T704" s="7"/>
      <c r="U704" s="7"/>
      <c r="V704" s="7"/>
      <c r="W704" s="11">
        <f t="shared" si="13"/>
        <v>12622.956869400001</v>
      </c>
    </row>
    <row r="705" spans="1:23" x14ac:dyDescent="0.2">
      <c r="A705" s="4" t="s">
        <v>573</v>
      </c>
      <c r="B705" s="4" t="s">
        <v>9</v>
      </c>
      <c r="C705" s="4" t="s">
        <v>10</v>
      </c>
      <c r="D705" s="4" t="s">
        <v>11</v>
      </c>
      <c r="E705" s="4" t="s">
        <v>12</v>
      </c>
      <c r="F705" s="4" t="s">
        <v>83</v>
      </c>
      <c r="G705" s="4" t="s">
        <v>84</v>
      </c>
      <c r="H705" s="4" t="s">
        <v>26</v>
      </c>
      <c r="I705" s="4" t="s">
        <v>26</v>
      </c>
      <c r="J705" s="4" t="s">
        <v>85</v>
      </c>
      <c r="K705" s="7">
        <v>3176.9823422649997</v>
      </c>
      <c r="L705" s="7">
        <v>3588.3434154840006</v>
      </c>
      <c r="M705" s="7">
        <v>3598.3592177800001</v>
      </c>
      <c r="N705" s="7">
        <v>3021.8389959339997</v>
      </c>
      <c r="O705" s="7">
        <v>3488.4575445300002</v>
      </c>
      <c r="P705" s="7">
        <v>4061.5700981869995</v>
      </c>
      <c r="Q705" s="7">
        <v>5370.5087089999997</v>
      </c>
      <c r="R705" s="7">
        <v>4545.0279270000001</v>
      </c>
      <c r="S705" s="7"/>
      <c r="T705" s="7"/>
      <c r="U705" s="7"/>
      <c r="V705" s="7"/>
      <c r="W705" s="11">
        <f t="shared" si="13"/>
        <v>30851.088250179997</v>
      </c>
    </row>
    <row r="706" spans="1:23" x14ac:dyDescent="0.2">
      <c r="A706" s="4" t="s">
        <v>573</v>
      </c>
      <c r="B706" s="4" t="s">
        <v>9</v>
      </c>
      <c r="C706" s="4" t="s">
        <v>10</v>
      </c>
      <c r="D706" s="4" t="s">
        <v>11</v>
      </c>
      <c r="E706" s="4" t="s">
        <v>12</v>
      </c>
      <c r="F706" s="4" t="s">
        <v>83</v>
      </c>
      <c r="G706" s="4" t="s">
        <v>684</v>
      </c>
      <c r="H706" s="4" t="s">
        <v>592</v>
      </c>
      <c r="I706" s="4" t="s">
        <v>23</v>
      </c>
      <c r="J706" s="4" t="s">
        <v>685</v>
      </c>
      <c r="K706" s="7">
        <v>0</v>
      </c>
      <c r="L706" s="7">
        <v>33.500014659999998</v>
      </c>
      <c r="M706" s="7">
        <v>87.502937150999998</v>
      </c>
      <c r="N706" s="7">
        <v>50.404012371</v>
      </c>
      <c r="O706" s="7">
        <v>10.438971781000001</v>
      </c>
      <c r="P706" s="7">
        <v>483.126828128</v>
      </c>
      <c r="Q706" s="7">
        <v>378.93172500000003</v>
      </c>
      <c r="R706" s="7">
        <v>1276.620895</v>
      </c>
      <c r="S706" s="7"/>
      <c r="T706" s="7"/>
      <c r="U706" s="7"/>
      <c r="V706" s="7"/>
      <c r="W706" s="11">
        <f t="shared" si="13"/>
        <v>2320.525384091</v>
      </c>
    </row>
    <row r="707" spans="1:23" x14ac:dyDescent="0.2">
      <c r="A707" s="4" t="s">
        <v>573</v>
      </c>
      <c r="B707" s="4" t="s">
        <v>9</v>
      </c>
      <c r="C707" s="4" t="s">
        <v>10</v>
      </c>
      <c r="D707" s="4" t="s">
        <v>11</v>
      </c>
      <c r="E707" s="4" t="s">
        <v>12</v>
      </c>
      <c r="F707" s="4" t="s">
        <v>91</v>
      </c>
      <c r="G707" s="4" t="s">
        <v>92</v>
      </c>
      <c r="H707" s="4" t="s">
        <v>15</v>
      </c>
      <c r="I707" s="4" t="s">
        <v>15</v>
      </c>
      <c r="J707" s="4" t="s">
        <v>93</v>
      </c>
      <c r="K707" s="7">
        <v>1061.4555669000001</v>
      </c>
      <c r="L707" s="7">
        <v>924.51244499999984</v>
      </c>
      <c r="M707" s="7">
        <v>1182.4542543000002</v>
      </c>
      <c r="N707" s="7">
        <v>1570.8131762</v>
      </c>
      <c r="O707" s="7">
        <v>1392.5541754999999</v>
      </c>
      <c r="P707" s="7">
        <v>1530.0994044999998</v>
      </c>
      <c r="Q707" s="7">
        <v>1763.3980920000001</v>
      </c>
      <c r="R707" s="7">
        <v>1675.2673150000001</v>
      </c>
      <c r="S707" s="7"/>
      <c r="T707" s="7"/>
      <c r="U707" s="7"/>
      <c r="V707" s="7"/>
      <c r="W707" s="11">
        <f t="shared" si="13"/>
        <v>11100.554429399999</v>
      </c>
    </row>
    <row r="708" spans="1:23" x14ac:dyDescent="0.2">
      <c r="A708" s="4" t="s">
        <v>573</v>
      </c>
      <c r="B708" s="4" t="s">
        <v>9</v>
      </c>
      <c r="C708" s="4" t="s">
        <v>10</v>
      </c>
      <c r="D708" s="4" t="s">
        <v>11</v>
      </c>
      <c r="E708" s="4" t="s">
        <v>12</v>
      </c>
      <c r="F708" s="4" t="s">
        <v>18</v>
      </c>
      <c r="G708" s="4" t="s">
        <v>19</v>
      </c>
      <c r="H708" s="4" t="s">
        <v>591</v>
      </c>
      <c r="I708" s="4" t="s">
        <v>20</v>
      </c>
      <c r="J708" s="4" t="s">
        <v>20</v>
      </c>
      <c r="K708" s="7">
        <v>956.78937599999995</v>
      </c>
      <c r="L708" s="7">
        <v>798.87226799999996</v>
      </c>
      <c r="M708" s="7">
        <v>866.50641540000004</v>
      </c>
      <c r="N708" s="7">
        <v>598.08421120000003</v>
      </c>
      <c r="O708" s="7">
        <v>807.73148140000001</v>
      </c>
      <c r="P708" s="7">
        <v>843.32599470000002</v>
      </c>
      <c r="Q708" s="7">
        <v>906.76442399999996</v>
      </c>
      <c r="R708" s="7">
        <v>996.98129400000005</v>
      </c>
      <c r="S708" s="7"/>
      <c r="T708" s="7"/>
      <c r="U708" s="7"/>
      <c r="V708" s="7"/>
      <c r="W708" s="11">
        <f t="shared" si="13"/>
        <v>6775.0554646999999</v>
      </c>
    </row>
    <row r="709" spans="1:23" x14ac:dyDescent="0.2">
      <c r="A709" s="4" t="s">
        <v>573</v>
      </c>
      <c r="B709" s="4" t="s">
        <v>9</v>
      </c>
      <c r="C709" s="4" t="s">
        <v>10</v>
      </c>
      <c r="D709" s="4" t="s">
        <v>11</v>
      </c>
      <c r="E709" s="4" t="s">
        <v>12</v>
      </c>
      <c r="F709" s="4" t="s">
        <v>94</v>
      </c>
      <c r="G709" s="4" t="s">
        <v>95</v>
      </c>
      <c r="H709" s="4" t="s">
        <v>594</v>
      </c>
      <c r="I709" s="4" t="s">
        <v>96</v>
      </c>
      <c r="J709" s="4" t="s">
        <v>97</v>
      </c>
      <c r="K709" s="7">
        <v>5014.1109136000005</v>
      </c>
      <c r="L709" s="7">
        <v>4763.8980597999998</v>
      </c>
      <c r="M709" s="7">
        <v>5055.4985606999999</v>
      </c>
      <c r="N709" s="7">
        <v>4707.5649704999996</v>
      </c>
      <c r="O709" s="7">
        <v>4760.8057925000003</v>
      </c>
      <c r="P709" s="7">
        <v>5023.1553366999997</v>
      </c>
      <c r="Q709" s="7">
        <v>5122.2058180000004</v>
      </c>
      <c r="R709" s="7">
        <v>5174.3274460000002</v>
      </c>
      <c r="S709" s="7"/>
      <c r="T709" s="7"/>
      <c r="U709" s="7"/>
      <c r="V709" s="7"/>
      <c r="W709" s="11">
        <f t="shared" si="13"/>
        <v>39621.566897800003</v>
      </c>
    </row>
    <row r="710" spans="1:23" x14ac:dyDescent="0.2">
      <c r="A710" s="4" t="s">
        <v>573</v>
      </c>
      <c r="B710" s="4" t="s">
        <v>9</v>
      </c>
      <c r="C710" s="4" t="s">
        <v>10</v>
      </c>
      <c r="D710" s="4" t="s">
        <v>11</v>
      </c>
      <c r="E710" s="4" t="s">
        <v>12</v>
      </c>
      <c r="F710" s="4" t="s">
        <v>962</v>
      </c>
      <c r="G710" s="4" t="s">
        <v>322</v>
      </c>
      <c r="H710" s="4" t="s">
        <v>592</v>
      </c>
      <c r="I710" s="4" t="s">
        <v>963</v>
      </c>
      <c r="J710" s="4" t="s">
        <v>964</v>
      </c>
      <c r="K710" s="7">
        <v>0</v>
      </c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604.58604200000002</v>
      </c>
      <c r="R710" s="7">
        <v>817.01989800000001</v>
      </c>
      <c r="S710" s="7"/>
      <c r="T710" s="7"/>
      <c r="U710" s="7"/>
      <c r="V710" s="7"/>
      <c r="W710" s="11">
        <f t="shared" si="13"/>
        <v>1421.6059399999999</v>
      </c>
    </row>
    <row r="711" spans="1:23" x14ac:dyDescent="0.2">
      <c r="A711" s="4" t="s">
        <v>573</v>
      </c>
      <c r="B711" s="4" t="s">
        <v>9</v>
      </c>
      <c r="C711" s="4" t="s">
        <v>10</v>
      </c>
      <c r="D711" s="4" t="s">
        <v>11</v>
      </c>
      <c r="E711" s="4" t="s">
        <v>12</v>
      </c>
      <c r="F711" s="4" t="s">
        <v>98</v>
      </c>
      <c r="G711" s="4" t="s">
        <v>99</v>
      </c>
      <c r="H711" s="4" t="s">
        <v>591</v>
      </c>
      <c r="I711" s="4" t="s">
        <v>100</v>
      </c>
      <c r="J711" s="4" t="s">
        <v>101</v>
      </c>
      <c r="K711" s="7">
        <v>2966.6664000000001</v>
      </c>
      <c r="L711" s="7">
        <v>2818.1466</v>
      </c>
      <c r="M711" s="7">
        <v>2908.9168000000004</v>
      </c>
      <c r="N711" s="7">
        <v>2775.8491999999997</v>
      </c>
      <c r="O711" s="7">
        <v>2528.5279999999998</v>
      </c>
      <c r="P711" s="7">
        <v>2878.1942999999997</v>
      </c>
      <c r="Q711" s="7">
        <v>2892.9837999999995</v>
      </c>
      <c r="R711" s="7">
        <v>2875.8398000000002</v>
      </c>
      <c r="S711" s="7"/>
      <c r="T711" s="7"/>
      <c r="U711" s="7"/>
      <c r="V711" s="7"/>
      <c r="W711" s="11">
        <f t="shared" si="13"/>
        <v>22645.124900000003</v>
      </c>
    </row>
    <row r="712" spans="1:23" x14ac:dyDescent="0.2">
      <c r="A712" s="4" t="s">
        <v>573</v>
      </c>
      <c r="B712" s="4" t="s">
        <v>9</v>
      </c>
      <c r="C712" s="4" t="s">
        <v>10</v>
      </c>
      <c r="D712" s="4" t="s">
        <v>11</v>
      </c>
      <c r="E712" s="4" t="s">
        <v>12</v>
      </c>
      <c r="F712" s="4" t="s">
        <v>605</v>
      </c>
      <c r="G712" s="4" t="s">
        <v>146</v>
      </c>
      <c r="H712" s="4" t="s">
        <v>88</v>
      </c>
      <c r="I712" s="4" t="s">
        <v>127</v>
      </c>
      <c r="J712" s="4" t="s">
        <v>147</v>
      </c>
      <c r="K712" s="7">
        <v>736.878781</v>
      </c>
      <c r="L712" s="7">
        <v>1114.4373840000001</v>
      </c>
      <c r="M712" s="7">
        <v>842.64528399999995</v>
      </c>
      <c r="N712" s="7">
        <v>1074.553883</v>
      </c>
      <c r="O712" s="7">
        <v>737.84828000000005</v>
      </c>
      <c r="P712" s="7">
        <v>903.48003599999993</v>
      </c>
      <c r="Q712" s="7">
        <v>901.99292700000001</v>
      </c>
      <c r="R712" s="7">
        <v>969.37196400000005</v>
      </c>
      <c r="S712" s="7"/>
      <c r="T712" s="7"/>
      <c r="U712" s="7"/>
      <c r="V712" s="7"/>
      <c r="W712" s="11">
        <f t="shared" si="13"/>
        <v>7281.2085390000002</v>
      </c>
    </row>
    <row r="713" spans="1:23" x14ac:dyDescent="0.2">
      <c r="A713" s="4" t="s">
        <v>573</v>
      </c>
      <c r="B713" s="4" t="s">
        <v>9</v>
      </c>
      <c r="C713" s="4" t="s">
        <v>10</v>
      </c>
      <c r="D713" s="4" t="s">
        <v>11</v>
      </c>
      <c r="E713" s="4" t="s">
        <v>12</v>
      </c>
      <c r="F713" s="4" t="s">
        <v>589</v>
      </c>
      <c r="G713" s="4" t="s">
        <v>535</v>
      </c>
      <c r="H713" s="4" t="s">
        <v>73</v>
      </c>
      <c r="I713" s="4" t="s">
        <v>230</v>
      </c>
      <c r="J713" s="4" t="s">
        <v>231</v>
      </c>
      <c r="K713" s="7">
        <v>116.61344</v>
      </c>
      <c r="L713" s="7">
        <v>121.51624</v>
      </c>
      <c r="M713" s="7">
        <v>151.21759999999998</v>
      </c>
      <c r="N713" s="7">
        <v>140.42160000000001</v>
      </c>
      <c r="O713" s="7">
        <v>124.21980000000001</v>
      </c>
      <c r="P713" s="7">
        <v>108.0198</v>
      </c>
      <c r="Q713" s="7">
        <v>110.01792</v>
      </c>
      <c r="R713" s="7">
        <v>121.01452</v>
      </c>
      <c r="S713" s="7"/>
      <c r="T713" s="7"/>
      <c r="U713" s="7"/>
      <c r="V713" s="7"/>
      <c r="W713" s="11">
        <f t="shared" si="13"/>
        <v>993.04091999999991</v>
      </c>
    </row>
    <row r="714" spans="1:23" x14ac:dyDescent="0.2">
      <c r="A714" s="4" t="s">
        <v>573</v>
      </c>
      <c r="B714" s="4" t="s">
        <v>9</v>
      </c>
      <c r="C714" s="4" t="s">
        <v>10</v>
      </c>
      <c r="D714" s="4" t="s">
        <v>11</v>
      </c>
      <c r="E714" s="4" t="s">
        <v>12</v>
      </c>
      <c r="F714" s="4" t="s">
        <v>102</v>
      </c>
      <c r="G714" s="4" t="s">
        <v>103</v>
      </c>
      <c r="H714" s="4" t="s">
        <v>104</v>
      </c>
      <c r="I714" s="4" t="s">
        <v>105</v>
      </c>
      <c r="J714" s="4" t="s">
        <v>106</v>
      </c>
      <c r="K714" s="7">
        <v>569.9467353</v>
      </c>
      <c r="L714" s="7">
        <v>268.18652900000001</v>
      </c>
      <c r="M714" s="7">
        <v>351.25507530000004</v>
      </c>
      <c r="N714" s="7">
        <v>298.71416959999999</v>
      </c>
      <c r="O714" s="7">
        <v>0</v>
      </c>
      <c r="P714" s="7">
        <v>0</v>
      </c>
      <c r="Q714" s="7">
        <v>679.83884399999999</v>
      </c>
      <c r="R714" s="7">
        <v>248.120813</v>
      </c>
      <c r="S714" s="7"/>
      <c r="T714" s="7"/>
      <c r="U714" s="7"/>
      <c r="V714" s="7"/>
      <c r="W714" s="11">
        <f t="shared" si="13"/>
        <v>2416.0621661999999</v>
      </c>
    </row>
    <row r="715" spans="1:23" x14ac:dyDescent="0.2">
      <c r="A715" s="4" t="s">
        <v>573</v>
      </c>
      <c r="B715" s="4" t="s">
        <v>9</v>
      </c>
      <c r="C715" s="4" t="s">
        <v>10</v>
      </c>
      <c r="D715" s="4" t="s">
        <v>11</v>
      </c>
      <c r="E715" s="4" t="s">
        <v>12</v>
      </c>
      <c r="F715" s="4" t="s">
        <v>107</v>
      </c>
      <c r="G715" s="4" t="s">
        <v>108</v>
      </c>
      <c r="H715" s="4" t="s">
        <v>26</v>
      </c>
      <c r="I715" s="4" t="s">
        <v>26</v>
      </c>
      <c r="J715" s="4" t="s">
        <v>109</v>
      </c>
      <c r="K715" s="7">
        <v>2609.979028149</v>
      </c>
      <c r="L715" s="7">
        <v>2010.847352778</v>
      </c>
      <c r="M715" s="7">
        <v>2360.4907267250001</v>
      </c>
      <c r="N715" s="7">
        <v>2421.0412266789999</v>
      </c>
      <c r="O715" s="7">
        <v>2969.485807608</v>
      </c>
      <c r="P715" s="7">
        <v>2779.3045689290002</v>
      </c>
      <c r="Q715" s="7">
        <v>2653.5730090000002</v>
      </c>
      <c r="R715" s="7">
        <v>2266.8567659999999</v>
      </c>
      <c r="S715" s="7"/>
      <c r="T715" s="7"/>
      <c r="U715" s="7"/>
      <c r="V715" s="7"/>
      <c r="W715" s="11">
        <f t="shared" si="13"/>
        <v>20071.578485868002</v>
      </c>
    </row>
    <row r="716" spans="1:23" x14ac:dyDescent="0.2">
      <c r="A716" s="4" t="s">
        <v>573</v>
      </c>
      <c r="B716" s="4" t="s">
        <v>9</v>
      </c>
      <c r="C716" s="4" t="s">
        <v>10</v>
      </c>
      <c r="D716" s="4" t="s">
        <v>11</v>
      </c>
      <c r="E716" s="4" t="s">
        <v>12</v>
      </c>
      <c r="F716" s="4" t="s">
        <v>617</v>
      </c>
      <c r="G716" s="4" t="s">
        <v>110</v>
      </c>
      <c r="H716" s="4" t="s">
        <v>88</v>
      </c>
      <c r="I716" s="4" t="s">
        <v>111</v>
      </c>
      <c r="J716" s="4" t="s">
        <v>112</v>
      </c>
      <c r="K716" s="7">
        <v>1886.7767584000001</v>
      </c>
      <c r="L716" s="7">
        <v>1810.0144299000001</v>
      </c>
      <c r="M716" s="7">
        <v>1857.8404089999999</v>
      </c>
      <c r="N716" s="7">
        <v>1496.9485412999998</v>
      </c>
      <c r="O716" s="7">
        <v>2006.8666560000001</v>
      </c>
      <c r="P716" s="7">
        <v>1527.0881402999998</v>
      </c>
      <c r="Q716" s="7">
        <v>1699.9823670000001</v>
      </c>
      <c r="R716" s="7">
        <v>1911.7590340000002</v>
      </c>
      <c r="S716" s="7"/>
      <c r="T716" s="7"/>
      <c r="U716" s="7"/>
      <c r="V716" s="7"/>
      <c r="W716" s="11">
        <f t="shared" si="13"/>
        <v>14197.276335900002</v>
      </c>
    </row>
    <row r="717" spans="1:23" x14ac:dyDescent="0.2">
      <c r="A717" s="4" t="s">
        <v>573</v>
      </c>
      <c r="B717" s="4" t="s">
        <v>9</v>
      </c>
      <c r="C717" s="4" t="s">
        <v>10</v>
      </c>
      <c r="D717" s="4" t="s">
        <v>11</v>
      </c>
      <c r="E717" s="4" t="s">
        <v>12</v>
      </c>
      <c r="F717" s="4" t="s">
        <v>617</v>
      </c>
      <c r="G717" s="4" t="s">
        <v>629</v>
      </c>
      <c r="H717" s="4" t="s">
        <v>88</v>
      </c>
      <c r="I717" s="4" t="s">
        <v>179</v>
      </c>
      <c r="J717" s="4" t="s">
        <v>179</v>
      </c>
      <c r="K717" s="7">
        <v>3494.5485782999999</v>
      </c>
      <c r="L717" s="7">
        <v>3498.2229087000001</v>
      </c>
      <c r="M717" s="7">
        <v>3432.4223751999998</v>
      </c>
      <c r="N717" s="7">
        <v>2382.2585469999999</v>
      </c>
      <c r="O717" s="7">
        <v>2052.7412789999998</v>
      </c>
      <c r="P717" s="7">
        <v>653.35234600000001</v>
      </c>
      <c r="Q717" s="7">
        <v>648.64065600000004</v>
      </c>
      <c r="R717" s="7">
        <v>405.265445</v>
      </c>
      <c r="S717" s="7"/>
      <c r="T717" s="7"/>
      <c r="U717" s="7"/>
      <c r="V717" s="7"/>
      <c r="W717" s="11">
        <f t="shared" si="13"/>
        <v>16567.452135199997</v>
      </c>
    </row>
    <row r="718" spans="1:23" x14ac:dyDescent="0.2">
      <c r="A718" s="4" t="s">
        <v>573</v>
      </c>
      <c r="B718" s="4" t="s">
        <v>9</v>
      </c>
      <c r="C718" s="4" t="s">
        <v>10</v>
      </c>
      <c r="D718" s="4" t="s">
        <v>11</v>
      </c>
      <c r="E718" s="4" t="s">
        <v>12</v>
      </c>
      <c r="F718" s="4" t="s">
        <v>44</v>
      </c>
      <c r="G718" s="4" t="s">
        <v>45</v>
      </c>
      <c r="H718" s="4" t="s">
        <v>46</v>
      </c>
      <c r="I718" s="4" t="s">
        <v>47</v>
      </c>
      <c r="J718" s="4" t="s">
        <v>47</v>
      </c>
      <c r="K718" s="7">
        <v>2204.86483</v>
      </c>
      <c r="L718" s="7">
        <v>1714.02576</v>
      </c>
      <c r="M718" s="7">
        <v>1536.6662270000002</v>
      </c>
      <c r="N718" s="7">
        <v>1909.1750979999999</v>
      </c>
      <c r="O718" s="7">
        <v>1688.9149949999999</v>
      </c>
      <c r="P718" s="7">
        <v>2134.2093369999998</v>
      </c>
      <c r="Q718" s="7">
        <v>1746.894262</v>
      </c>
      <c r="R718" s="7">
        <v>1779.7860150000001</v>
      </c>
      <c r="S718" s="7"/>
      <c r="T718" s="7"/>
      <c r="U718" s="7"/>
      <c r="V718" s="7"/>
      <c r="W718" s="11">
        <f t="shared" si="13"/>
        <v>14714.536523999999</v>
      </c>
    </row>
    <row r="719" spans="1:23" x14ac:dyDescent="0.2">
      <c r="A719" s="4" t="s">
        <v>573</v>
      </c>
      <c r="B719" s="4" t="s">
        <v>9</v>
      </c>
      <c r="C719" s="4" t="s">
        <v>10</v>
      </c>
      <c r="D719" s="4" t="s">
        <v>11</v>
      </c>
      <c r="E719" s="4" t="s">
        <v>12</v>
      </c>
      <c r="F719" s="4" t="s">
        <v>21</v>
      </c>
      <c r="G719" s="4" t="s">
        <v>22</v>
      </c>
      <c r="H719" s="4" t="s">
        <v>592</v>
      </c>
      <c r="I719" s="4" t="s">
        <v>23</v>
      </c>
      <c r="J719" s="4" t="s">
        <v>23</v>
      </c>
      <c r="K719" s="7">
        <v>5916.8424990000003</v>
      </c>
      <c r="L719" s="7">
        <v>5801.3969070000003</v>
      </c>
      <c r="M719" s="7">
        <v>3592.9160200000001</v>
      </c>
      <c r="N719" s="7">
        <v>5909.1649109999998</v>
      </c>
      <c r="O719" s="7">
        <v>4528.3672829999996</v>
      </c>
      <c r="P719" s="7">
        <v>6654.5520800000004</v>
      </c>
      <c r="Q719" s="7">
        <v>4991.8371109999998</v>
      </c>
      <c r="R719" s="7">
        <v>6202.4595749999999</v>
      </c>
      <c r="S719" s="7"/>
      <c r="T719" s="7"/>
      <c r="U719" s="7"/>
      <c r="V719" s="7"/>
      <c r="W719" s="11">
        <f t="shared" si="13"/>
        <v>43597.536386</v>
      </c>
    </row>
    <row r="720" spans="1:23" x14ac:dyDescent="0.2">
      <c r="A720" s="4" t="s">
        <v>573</v>
      </c>
      <c r="B720" s="4" t="s">
        <v>9</v>
      </c>
      <c r="C720" s="4" t="s">
        <v>10</v>
      </c>
      <c r="D720" s="4" t="s">
        <v>11</v>
      </c>
      <c r="E720" s="4" t="s">
        <v>12</v>
      </c>
      <c r="F720" s="4" t="s">
        <v>125</v>
      </c>
      <c r="G720" s="4" t="s">
        <v>126</v>
      </c>
      <c r="H720" s="4" t="s">
        <v>88</v>
      </c>
      <c r="I720" s="4" t="s">
        <v>127</v>
      </c>
      <c r="J720" s="4" t="s">
        <v>127</v>
      </c>
      <c r="K720" s="7">
        <v>3377.89173833</v>
      </c>
      <c r="L720" s="7">
        <v>3173.6562308799998</v>
      </c>
      <c r="M720" s="7">
        <v>3173.6258716600005</v>
      </c>
      <c r="N720" s="7">
        <v>3527.02015145</v>
      </c>
      <c r="O720" s="7">
        <v>3568.3686290399996</v>
      </c>
      <c r="P720" s="7">
        <v>3502.9741629300001</v>
      </c>
      <c r="Q720" s="7">
        <v>3653.0279189999997</v>
      </c>
      <c r="R720" s="7">
        <v>3854.5484460000002</v>
      </c>
      <c r="S720" s="7"/>
      <c r="T720" s="7"/>
      <c r="U720" s="7"/>
      <c r="V720" s="7"/>
      <c r="W720" s="11">
        <f t="shared" si="13"/>
        <v>27831.113149290002</v>
      </c>
    </row>
    <row r="721" spans="1:23" x14ac:dyDescent="0.2">
      <c r="A721" s="4" t="s">
        <v>573</v>
      </c>
      <c r="B721" s="4" t="s">
        <v>9</v>
      </c>
      <c r="C721" s="4" t="s">
        <v>10</v>
      </c>
      <c r="D721" s="4" t="s">
        <v>11</v>
      </c>
      <c r="E721" s="4" t="s">
        <v>12</v>
      </c>
      <c r="F721" s="4" t="s">
        <v>132</v>
      </c>
      <c r="G721" s="4" t="s">
        <v>133</v>
      </c>
      <c r="H721" s="4" t="s">
        <v>54</v>
      </c>
      <c r="I721" s="4" t="s">
        <v>123</v>
      </c>
      <c r="J721" s="4" t="s">
        <v>124</v>
      </c>
      <c r="K721" s="7">
        <v>8101.8598519999996</v>
      </c>
      <c r="L721" s="7">
        <v>6733.5054180000006</v>
      </c>
      <c r="M721" s="7">
        <v>5430.0924960000002</v>
      </c>
      <c r="N721" s="7">
        <v>3546.9901479999999</v>
      </c>
      <c r="O721" s="7">
        <v>4234.2587960000001</v>
      </c>
      <c r="P721" s="7">
        <v>5199.7440229999993</v>
      </c>
      <c r="Q721" s="7">
        <v>4723.339215</v>
      </c>
      <c r="R721" s="7">
        <v>4163.6430250000003</v>
      </c>
      <c r="S721" s="7"/>
      <c r="T721" s="7"/>
      <c r="U721" s="7"/>
      <c r="V721" s="7"/>
      <c r="W721" s="11">
        <f t="shared" si="13"/>
        <v>42133.432972999995</v>
      </c>
    </row>
    <row r="722" spans="1:23" x14ac:dyDescent="0.2">
      <c r="A722" s="4" t="s">
        <v>573</v>
      </c>
      <c r="B722" s="4" t="s">
        <v>9</v>
      </c>
      <c r="C722" s="4" t="s">
        <v>10</v>
      </c>
      <c r="D722" s="4" t="s">
        <v>11</v>
      </c>
      <c r="E722" s="4" t="s">
        <v>12</v>
      </c>
      <c r="F722" s="4" t="s">
        <v>753</v>
      </c>
      <c r="G722" s="4" t="s">
        <v>754</v>
      </c>
      <c r="H722" s="4" t="s">
        <v>15</v>
      </c>
      <c r="I722" s="4" t="s">
        <v>15</v>
      </c>
      <c r="J722" s="4" t="s">
        <v>755</v>
      </c>
      <c r="K722" s="7">
        <v>0.53096840000000001</v>
      </c>
      <c r="L722" s="7">
        <v>1.49472596</v>
      </c>
      <c r="M722" s="7">
        <v>1.7278880000000001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/>
      <c r="T722" s="7"/>
      <c r="U722" s="7"/>
      <c r="V722" s="7"/>
      <c r="W722" s="11">
        <f t="shared" si="13"/>
        <v>3.7535823600000002</v>
      </c>
    </row>
    <row r="723" spans="1:23" x14ac:dyDescent="0.2">
      <c r="A723" s="4" t="s">
        <v>573</v>
      </c>
      <c r="B723" s="4" t="s">
        <v>9</v>
      </c>
      <c r="C723" s="4" t="s">
        <v>10</v>
      </c>
      <c r="D723" s="4" t="s">
        <v>11</v>
      </c>
      <c r="E723" s="4" t="s">
        <v>12</v>
      </c>
      <c r="F723" s="4" t="s">
        <v>35</v>
      </c>
      <c r="G723" s="4" t="s">
        <v>36</v>
      </c>
      <c r="H723" s="4" t="s">
        <v>26</v>
      </c>
      <c r="I723" s="4" t="s">
        <v>26</v>
      </c>
      <c r="J723" s="4" t="s">
        <v>37</v>
      </c>
      <c r="K723" s="7">
        <v>973.81795599999998</v>
      </c>
      <c r="L723" s="7">
        <v>534.914355</v>
      </c>
      <c r="M723" s="7">
        <v>892.88598400000001</v>
      </c>
      <c r="N723" s="7">
        <v>979.58224000000007</v>
      </c>
      <c r="O723" s="7">
        <v>1105.4400840000001</v>
      </c>
      <c r="P723" s="7">
        <v>1170.512704</v>
      </c>
      <c r="Q723" s="7">
        <v>1256.499411</v>
      </c>
      <c r="R723" s="7">
        <v>1041.6138989999999</v>
      </c>
      <c r="S723" s="7"/>
      <c r="T723" s="7"/>
      <c r="U723" s="7"/>
      <c r="V723" s="7"/>
      <c r="W723" s="11">
        <f t="shared" si="13"/>
        <v>7955.2666330000002</v>
      </c>
    </row>
    <row r="724" spans="1:23" x14ac:dyDescent="0.2">
      <c r="A724" s="4" t="s">
        <v>573</v>
      </c>
      <c r="B724" s="4" t="s">
        <v>9</v>
      </c>
      <c r="C724" s="4" t="s">
        <v>10</v>
      </c>
      <c r="D724" s="4" t="s">
        <v>11</v>
      </c>
      <c r="E724" s="4" t="s">
        <v>12</v>
      </c>
      <c r="F724" s="4" t="s">
        <v>38</v>
      </c>
      <c r="G724" s="4" t="s">
        <v>39</v>
      </c>
      <c r="H724" s="4" t="s">
        <v>26</v>
      </c>
      <c r="I724" s="4" t="s">
        <v>26</v>
      </c>
      <c r="J724" s="4" t="s">
        <v>37</v>
      </c>
      <c r="K724" s="7">
        <v>3146.4550880000002</v>
      </c>
      <c r="L724" s="7">
        <v>3302.9009849999998</v>
      </c>
      <c r="M724" s="7">
        <v>4166.6848970000001</v>
      </c>
      <c r="N724" s="7">
        <v>4206.6839319999999</v>
      </c>
      <c r="O724" s="7">
        <v>5099.0879879999993</v>
      </c>
      <c r="P724" s="7">
        <v>4569.5723120000002</v>
      </c>
      <c r="Q724" s="7">
        <v>4554.5139400000007</v>
      </c>
      <c r="R724" s="7">
        <v>5274.9462279999998</v>
      </c>
      <c r="S724" s="7"/>
      <c r="T724" s="7"/>
      <c r="U724" s="7"/>
      <c r="V724" s="7"/>
      <c r="W724" s="11">
        <f t="shared" si="13"/>
        <v>34320.845370000003</v>
      </c>
    </row>
    <row r="725" spans="1:23" x14ac:dyDescent="0.2">
      <c r="A725" s="4" t="s">
        <v>573</v>
      </c>
      <c r="B725" s="4" t="s">
        <v>9</v>
      </c>
      <c r="C725" s="4" t="s">
        <v>10</v>
      </c>
      <c r="D725" s="4" t="s">
        <v>11</v>
      </c>
      <c r="E725" s="4" t="s">
        <v>12</v>
      </c>
      <c r="F725" s="4" t="s">
        <v>136</v>
      </c>
      <c r="G725" s="4" t="s">
        <v>137</v>
      </c>
      <c r="H725" s="4" t="s">
        <v>54</v>
      </c>
      <c r="I725" s="4" t="s">
        <v>138</v>
      </c>
      <c r="J725" s="4" t="s">
        <v>139</v>
      </c>
      <c r="K725" s="7">
        <v>8173.1221999999998</v>
      </c>
      <c r="L725" s="7">
        <v>8757.750399999999</v>
      </c>
      <c r="M725" s="7">
        <v>6254.3124000000007</v>
      </c>
      <c r="N725" s="7">
        <v>7135.0984999999991</v>
      </c>
      <c r="O725" s="7">
        <v>8302.2541000000001</v>
      </c>
      <c r="P725" s="7">
        <v>7870.3315000000002</v>
      </c>
      <c r="Q725" s="7">
        <v>6918.8033999999998</v>
      </c>
      <c r="R725" s="7">
        <v>6238.0902999999998</v>
      </c>
      <c r="S725" s="7"/>
      <c r="T725" s="7"/>
      <c r="U725" s="7"/>
      <c r="V725" s="7"/>
      <c r="W725" s="11">
        <f t="shared" si="13"/>
        <v>59649.762799999997</v>
      </c>
    </row>
    <row r="726" spans="1:23" x14ac:dyDescent="0.2">
      <c r="A726" s="4" t="s">
        <v>573</v>
      </c>
      <c r="B726" s="4" t="s">
        <v>9</v>
      </c>
      <c r="C726" s="4" t="s">
        <v>10</v>
      </c>
      <c r="D726" s="4" t="s">
        <v>11</v>
      </c>
      <c r="E726" s="4" t="s">
        <v>12</v>
      </c>
      <c r="F726" s="4" t="s">
        <v>40</v>
      </c>
      <c r="G726" s="4" t="s">
        <v>41</v>
      </c>
      <c r="H726" s="4" t="s">
        <v>591</v>
      </c>
      <c r="I726" s="4" t="s">
        <v>42</v>
      </c>
      <c r="J726" s="4" t="s">
        <v>43</v>
      </c>
      <c r="K726" s="7">
        <v>772.42888600000003</v>
      </c>
      <c r="L726" s="7">
        <v>778.12985839999999</v>
      </c>
      <c r="M726" s="7">
        <v>1055.3275481000001</v>
      </c>
      <c r="N726" s="7">
        <v>833.77802559999998</v>
      </c>
      <c r="O726" s="7">
        <v>794.37666339999998</v>
      </c>
      <c r="P726" s="7">
        <v>1028.0498064999999</v>
      </c>
      <c r="Q726" s="7">
        <v>648.400533</v>
      </c>
      <c r="R726" s="7">
        <v>944.67181000000005</v>
      </c>
      <c r="S726" s="7"/>
      <c r="T726" s="7"/>
      <c r="U726" s="7"/>
      <c r="V726" s="7"/>
      <c r="W726" s="11">
        <f t="shared" si="13"/>
        <v>6855.1631310000002</v>
      </c>
    </row>
    <row r="727" spans="1:23" x14ac:dyDescent="0.2">
      <c r="A727" s="4" t="s">
        <v>573</v>
      </c>
      <c r="B727" s="4" t="s">
        <v>9</v>
      </c>
      <c r="C727" s="4" t="s">
        <v>10</v>
      </c>
      <c r="D727" s="4" t="s">
        <v>11</v>
      </c>
      <c r="E727" s="4" t="s">
        <v>12</v>
      </c>
      <c r="F727" s="4" t="s">
        <v>144</v>
      </c>
      <c r="G727" s="4" t="s">
        <v>145</v>
      </c>
      <c r="H727" s="4" t="s">
        <v>26</v>
      </c>
      <c r="I727" s="4" t="s">
        <v>26</v>
      </c>
      <c r="J727" s="4" t="s">
        <v>85</v>
      </c>
      <c r="K727" s="7">
        <v>1449.0059677999998</v>
      </c>
      <c r="L727" s="7">
        <v>1671.8917813</v>
      </c>
      <c r="M727" s="7">
        <v>1686.4133919999999</v>
      </c>
      <c r="N727" s="7">
        <v>1772.9681779000002</v>
      </c>
      <c r="O727" s="7">
        <v>1733.3143264999999</v>
      </c>
      <c r="P727" s="7">
        <v>1680.8030905000001</v>
      </c>
      <c r="Q727" s="7">
        <v>2267.9007859999997</v>
      </c>
      <c r="R727" s="7">
        <v>2147.7386759999999</v>
      </c>
      <c r="S727" s="7"/>
      <c r="T727" s="7"/>
      <c r="U727" s="7"/>
      <c r="V727" s="7"/>
      <c r="W727" s="11">
        <f t="shared" si="13"/>
        <v>14410.036197999998</v>
      </c>
    </row>
    <row r="728" spans="1:23" x14ac:dyDescent="0.2">
      <c r="A728" s="4" t="s">
        <v>573</v>
      </c>
      <c r="B728" s="4" t="s">
        <v>9</v>
      </c>
      <c r="C728" s="4" t="s">
        <v>10</v>
      </c>
      <c r="D728" s="4" t="s">
        <v>11</v>
      </c>
      <c r="E728" s="4" t="s">
        <v>12</v>
      </c>
      <c r="F728" s="4" t="s">
        <v>825</v>
      </c>
      <c r="G728" s="4" t="s">
        <v>826</v>
      </c>
      <c r="H728" s="4" t="s">
        <v>15</v>
      </c>
      <c r="I728" s="4" t="s">
        <v>15</v>
      </c>
      <c r="J728" s="4" t="s">
        <v>93</v>
      </c>
      <c r="K728" s="7">
        <v>153.70728600000001</v>
      </c>
      <c r="L728" s="7">
        <v>112.38153600000001</v>
      </c>
      <c r="M728" s="7">
        <v>226.1123</v>
      </c>
      <c r="N728" s="7">
        <v>219.05474800000002</v>
      </c>
      <c r="O728" s="7">
        <v>184.7304</v>
      </c>
      <c r="P728" s="7">
        <v>159.17902500000002</v>
      </c>
      <c r="Q728" s="7">
        <v>122.13948499999999</v>
      </c>
      <c r="R728" s="7">
        <v>147.80145199999998</v>
      </c>
      <c r="S728" s="7"/>
      <c r="T728" s="7"/>
      <c r="U728" s="7"/>
      <c r="V728" s="7"/>
      <c r="W728" s="11">
        <f t="shared" si="13"/>
        <v>1325.1062320000001</v>
      </c>
    </row>
    <row r="729" spans="1:23" x14ac:dyDescent="0.2">
      <c r="A729" s="4" t="s">
        <v>573</v>
      </c>
      <c r="B729" s="4" t="s">
        <v>9</v>
      </c>
      <c r="C729" s="4" t="s">
        <v>10</v>
      </c>
      <c r="D729" s="4" t="s">
        <v>11</v>
      </c>
      <c r="E729" s="4" t="s">
        <v>12</v>
      </c>
      <c r="F729" s="4" t="s">
        <v>862</v>
      </c>
      <c r="G729" s="4" t="s">
        <v>863</v>
      </c>
      <c r="H729" s="4" t="s">
        <v>592</v>
      </c>
      <c r="I729" s="4" t="s">
        <v>864</v>
      </c>
      <c r="J729" s="4" t="s">
        <v>865</v>
      </c>
      <c r="K729" s="7">
        <v>0</v>
      </c>
      <c r="L729" s="7">
        <v>0</v>
      </c>
      <c r="M729" s="7">
        <v>0</v>
      </c>
      <c r="N729" s="7">
        <v>4.894533</v>
      </c>
      <c r="O729" s="7">
        <v>0</v>
      </c>
      <c r="P729" s="7">
        <v>46.620280000000001</v>
      </c>
      <c r="Q729" s="7">
        <v>1.33623</v>
      </c>
      <c r="R729" s="7">
        <v>3.4278659999999999</v>
      </c>
      <c r="S729" s="7"/>
      <c r="T729" s="7"/>
      <c r="U729" s="7"/>
      <c r="V729" s="7"/>
      <c r="W729" s="11">
        <f t="shared" si="13"/>
        <v>56.278909000000006</v>
      </c>
    </row>
    <row r="730" spans="1:23" x14ac:dyDescent="0.2">
      <c r="A730" s="4" t="s">
        <v>573</v>
      </c>
      <c r="B730" s="4" t="s">
        <v>9</v>
      </c>
      <c r="C730" s="4" t="s">
        <v>10</v>
      </c>
      <c r="D730" s="4" t="s">
        <v>11</v>
      </c>
      <c r="E730" s="4" t="s">
        <v>12</v>
      </c>
      <c r="F730" s="4" t="s">
        <v>148</v>
      </c>
      <c r="G730" s="4" t="s">
        <v>686</v>
      </c>
      <c r="H730" s="4" t="s">
        <v>592</v>
      </c>
      <c r="I730" s="4" t="s">
        <v>23</v>
      </c>
      <c r="J730" s="4" t="s">
        <v>23</v>
      </c>
      <c r="K730" s="7">
        <v>3965.4970929000001</v>
      </c>
      <c r="L730" s="7">
        <v>3965.4970929000001</v>
      </c>
      <c r="M730" s="7">
        <v>3369.8119237999999</v>
      </c>
      <c r="N730" s="7">
        <v>3036.5857590000001</v>
      </c>
      <c r="O730" s="7">
        <v>3155.7183347</v>
      </c>
      <c r="P730" s="7">
        <v>2973.6131938000003</v>
      </c>
      <c r="Q730" s="7">
        <v>2251.4600010000004</v>
      </c>
      <c r="R730" s="7">
        <v>3577.3523300000002</v>
      </c>
      <c r="S730" s="7"/>
      <c r="T730" s="7"/>
      <c r="U730" s="7"/>
      <c r="V730" s="7"/>
      <c r="W730" s="11">
        <f t="shared" si="13"/>
        <v>26295.5357281</v>
      </c>
    </row>
    <row r="731" spans="1:23" x14ac:dyDescent="0.2">
      <c r="A731" s="4" t="s">
        <v>573</v>
      </c>
      <c r="B731" s="4" t="s">
        <v>9</v>
      </c>
      <c r="C731" s="4" t="s">
        <v>10</v>
      </c>
      <c r="D731" s="4" t="s">
        <v>11</v>
      </c>
      <c r="E731" s="4" t="s">
        <v>12</v>
      </c>
      <c r="F731" s="4" t="s">
        <v>152</v>
      </c>
      <c r="G731" s="4" t="s">
        <v>153</v>
      </c>
      <c r="H731" s="4" t="s">
        <v>88</v>
      </c>
      <c r="I731" s="4" t="s">
        <v>154</v>
      </c>
      <c r="J731" s="4" t="s">
        <v>155</v>
      </c>
      <c r="K731" s="7">
        <v>3281.6272652999996</v>
      </c>
      <c r="L731" s="7">
        <v>2427.7356672000001</v>
      </c>
      <c r="M731" s="7">
        <v>1936.2037791</v>
      </c>
      <c r="N731" s="7">
        <v>2320.3193539999997</v>
      </c>
      <c r="O731" s="7">
        <v>2338.9251623999999</v>
      </c>
      <c r="P731" s="7">
        <v>3267.1876736999998</v>
      </c>
      <c r="Q731" s="7">
        <v>2564.3886510000002</v>
      </c>
      <c r="R731" s="7">
        <v>1803.5423940000001</v>
      </c>
      <c r="S731" s="7"/>
      <c r="T731" s="7"/>
      <c r="U731" s="7"/>
      <c r="V731" s="7"/>
      <c r="W731" s="11">
        <f t="shared" si="13"/>
        <v>19939.929946699998</v>
      </c>
    </row>
    <row r="732" spans="1:23" x14ac:dyDescent="0.2">
      <c r="A732" s="4" t="s">
        <v>573</v>
      </c>
      <c r="B732" s="4" t="s">
        <v>9</v>
      </c>
      <c r="C732" s="4" t="s">
        <v>10</v>
      </c>
      <c r="D732" s="4" t="s">
        <v>11</v>
      </c>
      <c r="E732" s="4" t="s">
        <v>12</v>
      </c>
      <c r="F732" s="4" t="s">
        <v>24</v>
      </c>
      <c r="G732" s="4" t="s">
        <v>25</v>
      </c>
      <c r="H732" s="4" t="s">
        <v>26</v>
      </c>
      <c r="I732" s="4" t="s">
        <v>26</v>
      </c>
      <c r="J732" s="4" t="s">
        <v>27</v>
      </c>
      <c r="K732" s="7">
        <v>76.734684999999999</v>
      </c>
      <c r="L732" s="7">
        <v>64.176618200000007</v>
      </c>
      <c r="M732" s="7">
        <v>31.728637200000001</v>
      </c>
      <c r="N732" s="7">
        <v>39.884220499999998</v>
      </c>
      <c r="O732" s="7">
        <v>46.362260999999997</v>
      </c>
      <c r="P732" s="7">
        <v>32.849328399999997</v>
      </c>
      <c r="Q732" s="7">
        <v>39.026611000000003</v>
      </c>
      <c r="R732" s="7">
        <v>36.940441</v>
      </c>
      <c r="S732" s="7"/>
      <c r="T732" s="7"/>
      <c r="U732" s="7"/>
      <c r="V732" s="7"/>
      <c r="W732" s="11">
        <f t="shared" si="13"/>
        <v>367.70280230000003</v>
      </c>
    </row>
    <row r="733" spans="1:23" x14ac:dyDescent="0.2">
      <c r="A733" s="4" t="s">
        <v>573</v>
      </c>
      <c r="B733" s="4" t="s">
        <v>9</v>
      </c>
      <c r="C733" s="4" t="s">
        <v>10</v>
      </c>
      <c r="D733" s="4" t="s">
        <v>11</v>
      </c>
      <c r="E733" s="4" t="s">
        <v>12</v>
      </c>
      <c r="F733" s="4" t="s">
        <v>162</v>
      </c>
      <c r="G733" s="4" t="s">
        <v>163</v>
      </c>
      <c r="H733" s="4" t="s">
        <v>592</v>
      </c>
      <c r="I733" s="4" t="s">
        <v>23</v>
      </c>
      <c r="J733" s="4" t="s">
        <v>164</v>
      </c>
      <c r="K733" s="7">
        <v>4774.0517253110002</v>
      </c>
      <c r="L733" s="7">
        <v>5565.9062016000007</v>
      </c>
      <c r="M733" s="7">
        <v>6432.3361554419998</v>
      </c>
      <c r="N733" s="7">
        <v>6145.3749082640006</v>
      </c>
      <c r="O733" s="7">
        <v>5184.0964947419998</v>
      </c>
      <c r="P733" s="7">
        <v>5355.8721107639994</v>
      </c>
      <c r="Q733" s="7">
        <v>5029.9360660000002</v>
      </c>
      <c r="R733" s="7">
        <v>5223.3815189999996</v>
      </c>
      <c r="S733" s="7"/>
      <c r="T733" s="7"/>
      <c r="U733" s="7"/>
      <c r="V733" s="7"/>
      <c r="W733" s="11">
        <f t="shared" si="13"/>
        <v>43710.955181123005</v>
      </c>
    </row>
    <row r="734" spans="1:23" x14ac:dyDescent="0.2">
      <c r="A734" s="4" t="s">
        <v>573</v>
      </c>
      <c r="B734" s="4" t="s">
        <v>9</v>
      </c>
      <c r="C734" s="4" t="s">
        <v>10</v>
      </c>
      <c r="D734" s="4" t="s">
        <v>11</v>
      </c>
      <c r="E734" s="4" t="s">
        <v>12</v>
      </c>
      <c r="F734" s="4" t="s">
        <v>162</v>
      </c>
      <c r="G734" s="4" t="s">
        <v>165</v>
      </c>
      <c r="H734" s="4" t="s">
        <v>592</v>
      </c>
      <c r="I734" s="4" t="s">
        <v>23</v>
      </c>
      <c r="J734" s="4" t="s">
        <v>23</v>
      </c>
      <c r="K734" s="7">
        <v>5568.4524471780005</v>
      </c>
      <c r="L734" s="7">
        <v>5957.8282190849995</v>
      </c>
      <c r="M734" s="7">
        <v>6910.2958819140003</v>
      </c>
      <c r="N734" s="7">
        <v>6440.1802485679991</v>
      </c>
      <c r="O734" s="7">
        <v>6818.9426755900004</v>
      </c>
      <c r="P734" s="7">
        <v>6864.3435858339999</v>
      </c>
      <c r="Q734" s="7">
        <v>5815.182178</v>
      </c>
      <c r="R734" s="7">
        <v>7251.3592870000002</v>
      </c>
      <c r="S734" s="7"/>
      <c r="T734" s="7"/>
      <c r="U734" s="7"/>
      <c r="V734" s="7"/>
      <c r="W734" s="11">
        <f t="shared" si="13"/>
        <v>51626.584523169004</v>
      </c>
    </row>
    <row r="735" spans="1:23" x14ac:dyDescent="0.2">
      <c r="A735" s="4" t="s">
        <v>573</v>
      </c>
      <c r="B735" s="4" t="s">
        <v>9</v>
      </c>
      <c r="C735" s="4" t="s">
        <v>10</v>
      </c>
      <c r="D735" s="4" t="s">
        <v>28</v>
      </c>
      <c r="E735" s="4" t="s">
        <v>29</v>
      </c>
      <c r="F735" s="4" t="s">
        <v>30</v>
      </c>
      <c r="G735" s="4" t="s">
        <v>31</v>
      </c>
      <c r="H735" s="4" t="s">
        <v>32</v>
      </c>
      <c r="I735" s="4" t="s">
        <v>33</v>
      </c>
      <c r="J735" s="4" t="s">
        <v>34</v>
      </c>
      <c r="K735" s="7">
        <v>6.4977999999999998</v>
      </c>
      <c r="L735" s="7">
        <v>3.57</v>
      </c>
      <c r="M735" s="7">
        <v>3.3119999999999998</v>
      </c>
      <c r="N735" s="7">
        <v>0.95889999999999997</v>
      </c>
      <c r="O735" s="7">
        <v>1.0471999999999999</v>
      </c>
      <c r="P735" s="7">
        <v>1.1096999999999999</v>
      </c>
      <c r="Q735" s="7">
        <v>2.5651999999999999</v>
      </c>
      <c r="R735" s="7">
        <v>0.96599999999999997</v>
      </c>
      <c r="S735" s="7"/>
      <c r="T735" s="7"/>
      <c r="U735" s="7"/>
      <c r="V735" s="7"/>
      <c r="W735" s="11">
        <f t="shared" si="13"/>
        <v>20.026800000000001</v>
      </c>
    </row>
    <row r="736" spans="1:23" x14ac:dyDescent="0.2">
      <c r="A736" s="4" t="s">
        <v>573</v>
      </c>
      <c r="B736" s="4" t="s">
        <v>9</v>
      </c>
      <c r="C736" s="4" t="s">
        <v>10</v>
      </c>
      <c r="D736" s="4" t="s">
        <v>28</v>
      </c>
      <c r="E736" s="4" t="s">
        <v>12</v>
      </c>
      <c r="F736" s="4" t="s">
        <v>867</v>
      </c>
      <c r="G736" s="4" t="s">
        <v>683</v>
      </c>
      <c r="H736" s="4" t="s">
        <v>592</v>
      </c>
      <c r="I736" s="4" t="s">
        <v>23</v>
      </c>
      <c r="J736" s="4" t="s">
        <v>683</v>
      </c>
      <c r="K736" s="7">
        <v>0</v>
      </c>
      <c r="L736" s="7">
        <v>0</v>
      </c>
      <c r="M736" s="7">
        <v>0</v>
      </c>
      <c r="N736" s="7">
        <v>0</v>
      </c>
      <c r="O736" s="7">
        <v>1.0000000000000001E-5</v>
      </c>
      <c r="P736" s="7">
        <v>0</v>
      </c>
      <c r="Q736" s="7">
        <v>0</v>
      </c>
      <c r="R736" s="7">
        <v>0</v>
      </c>
      <c r="S736" s="7"/>
      <c r="T736" s="7"/>
      <c r="U736" s="7"/>
      <c r="V736" s="7"/>
      <c r="W736" s="11">
        <f t="shared" si="13"/>
        <v>1.0000000000000001E-5</v>
      </c>
    </row>
    <row r="737" spans="1:23" x14ac:dyDescent="0.2">
      <c r="A737" s="4" t="s">
        <v>573</v>
      </c>
      <c r="B737" s="4" t="s">
        <v>9</v>
      </c>
      <c r="C737" s="4" t="s">
        <v>10</v>
      </c>
      <c r="D737" s="4" t="s">
        <v>28</v>
      </c>
      <c r="E737" s="4" t="s">
        <v>12</v>
      </c>
      <c r="F737" s="4" t="s">
        <v>589</v>
      </c>
      <c r="G737" s="4" t="s">
        <v>535</v>
      </c>
      <c r="H737" s="4" t="s">
        <v>73</v>
      </c>
      <c r="I737" s="4" t="s">
        <v>230</v>
      </c>
      <c r="J737" s="4" t="s">
        <v>231</v>
      </c>
      <c r="K737" s="7">
        <v>0.01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/>
      <c r="T737" s="7"/>
      <c r="U737" s="7"/>
      <c r="V737" s="7"/>
      <c r="W737" s="11">
        <f t="shared" si="13"/>
        <v>0.01</v>
      </c>
    </row>
    <row r="738" spans="1:23" x14ac:dyDescent="0.2">
      <c r="A738" s="4" t="s">
        <v>573</v>
      </c>
      <c r="B738" s="4" t="s">
        <v>9</v>
      </c>
      <c r="C738" s="4" t="s">
        <v>10</v>
      </c>
      <c r="D738" s="4" t="s">
        <v>595</v>
      </c>
      <c r="E738" s="4" t="s">
        <v>12</v>
      </c>
      <c r="F738" s="4" t="s">
        <v>13</v>
      </c>
      <c r="G738" s="4" t="s">
        <v>188</v>
      </c>
      <c r="H738" s="4" t="s">
        <v>46</v>
      </c>
      <c r="I738" s="4" t="s">
        <v>47</v>
      </c>
      <c r="J738" s="4" t="s">
        <v>189</v>
      </c>
      <c r="K738" s="7">
        <v>7.6500000000000003E-5</v>
      </c>
      <c r="L738" s="7">
        <v>2.2799999999999999E-5</v>
      </c>
      <c r="M738" s="7">
        <v>1.596E-4</v>
      </c>
      <c r="N738" s="7">
        <v>4.0319999999999999E-4</v>
      </c>
      <c r="O738" s="7">
        <v>4.8000000000000001E-5</v>
      </c>
      <c r="P738" s="7">
        <v>3.15E-5</v>
      </c>
      <c r="Q738" s="7">
        <v>2.8E-5</v>
      </c>
      <c r="R738" s="7">
        <v>1.0000000000000001E-5</v>
      </c>
      <c r="S738" s="7"/>
      <c r="T738" s="7"/>
      <c r="U738" s="7"/>
      <c r="V738" s="7"/>
      <c r="W738" s="11">
        <f t="shared" si="13"/>
        <v>7.7959999999999998E-4</v>
      </c>
    </row>
    <row r="739" spans="1:23" x14ac:dyDescent="0.2">
      <c r="A739" s="4" t="s">
        <v>564</v>
      </c>
      <c r="B739" s="4" t="s">
        <v>9</v>
      </c>
      <c r="C739" s="4" t="s">
        <v>622</v>
      </c>
      <c r="D739" s="4" t="s">
        <v>28</v>
      </c>
      <c r="E739" s="4" t="s">
        <v>12</v>
      </c>
      <c r="F739" s="4" t="s">
        <v>167</v>
      </c>
      <c r="G739" s="4" t="s">
        <v>168</v>
      </c>
      <c r="H739" s="4" t="s">
        <v>88</v>
      </c>
      <c r="I739" s="4" t="s">
        <v>88</v>
      </c>
      <c r="J739" s="4" t="s">
        <v>169</v>
      </c>
      <c r="K739" s="7">
        <v>92.088026999999997</v>
      </c>
      <c r="L739" s="7">
        <v>83.089196999999999</v>
      </c>
      <c r="M739" s="7">
        <v>96.087507000000002</v>
      </c>
      <c r="N739" s="7">
        <v>65.091537000000002</v>
      </c>
      <c r="O739" s="7">
        <v>43.994280000000003</v>
      </c>
      <c r="P739" s="7">
        <v>55.092837000000003</v>
      </c>
      <c r="Q739" s="7">
        <v>90.088286999999994</v>
      </c>
      <c r="R739" s="7">
        <v>87.988560000000007</v>
      </c>
      <c r="S739" s="7"/>
      <c r="T739" s="7"/>
      <c r="U739" s="7"/>
      <c r="V739" s="7"/>
      <c r="W739" s="11">
        <f t="shared" si="13"/>
        <v>613.52023200000008</v>
      </c>
    </row>
    <row r="740" spans="1:23" x14ac:dyDescent="0.2">
      <c r="A740" s="4" t="s">
        <v>565</v>
      </c>
      <c r="B740" s="4" t="s">
        <v>9</v>
      </c>
      <c r="C740" s="4" t="s">
        <v>618</v>
      </c>
      <c r="D740" s="4" t="s">
        <v>595</v>
      </c>
      <c r="E740" s="4" t="s">
        <v>12</v>
      </c>
      <c r="F740" s="4" t="s">
        <v>156</v>
      </c>
      <c r="G740" s="4" t="s">
        <v>619</v>
      </c>
      <c r="H740" s="4" t="s">
        <v>68</v>
      </c>
      <c r="I740" s="4" t="s">
        <v>620</v>
      </c>
      <c r="J740" s="4" t="s">
        <v>621</v>
      </c>
      <c r="K740" s="7">
        <v>31870.217573189999</v>
      </c>
      <c r="L740" s="7">
        <v>29149.441464299998</v>
      </c>
      <c r="M740" s="7">
        <v>30582.842429749999</v>
      </c>
      <c r="N740" s="7">
        <v>30994.109301259999</v>
      </c>
      <c r="O740" s="7">
        <v>31623.365088859999</v>
      </c>
      <c r="P740" s="7">
        <v>30921.040371840001</v>
      </c>
      <c r="Q740" s="7">
        <v>29900.602930000001</v>
      </c>
      <c r="R740" s="7">
        <v>25797.898526000001</v>
      </c>
      <c r="S740" s="7"/>
      <c r="T740" s="7"/>
      <c r="U740" s="7"/>
      <c r="V740" s="7"/>
      <c r="W740" s="11">
        <f t="shared" si="13"/>
        <v>240839.5176852</v>
      </c>
    </row>
    <row r="741" spans="1:23" x14ac:dyDescent="0.2">
      <c r="A741" s="4" t="s">
        <v>565</v>
      </c>
      <c r="B741" s="4" t="s">
        <v>9</v>
      </c>
      <c r="C741" s="4" t="s">
        <v>622</v>
      </c>
      <c r="D741" s="4" t="s">
        <v>28</v>
      </c>
      <c r="E741" s="4" t="s">
        <v>12</v>
      </c>
      <c r="F741" s="4" t="s">
        <v>156</v>
      </c>
      <c r="G741" s="4" t="s">
        <v>623</v>
      </c>
      <c r="H741" s="4" t="s">
        <v>68</v>
      </c>
      <c r="I741" s="4" t="s">
        <v>620</v>
      </c>
      <c r="J741" s="4" t="s">
        <v>621</v>
      </c>
      <c r="K741" s="7">
        <v>24432.479672760001</v>
      </c>
      <c r="L741" s="7">
        <v>21665.72634057</v>
      </c>
      <c r="M741" s="7">
        <v>24471.261284939999</v>
      </c>
      <c r="N741" s="7">
        <v>24265.537342200001</v>
      </c>
      <c r="O741" s="7">
        <v>24790.415181780001</v>
      </c>
      <c r="P741" s="7">
        <v>23740.96058802</v>
      </c>
      <c r="Q741" s="7">
        <v>25267.162325000001</v>
      </c>
      <c r="R741" s="7">
        <v>23166.457332999998</v>
      </c>
      <c r="S741" s="7"/>
      <c r="T741" s="7"/>
      <c r="U741" s="7"/>
      <c r="V741" s="7"/>
      <c r="W741" s="11">
        <f t="shared" si="13"/>
        <v>191800.00006827002</v>
      </c>
    </row>
    <row r="742" spans="1:23" x14ac:dyDescent="0.2">
      <c r="A742" s="4" t="s">
        <v>574</v>
      </c>
      <c r="B742" s="4" t="s">
        <v>9</v>
      </c>
      <c r="C742" s="4" t="s">
        <v>622</v>
      </c>
      <c r="D742" s="4" t="s">
        <v>28</v>
      </c>
      <c r="E742" s="4" t="s">
        <v>12</v>
      </c>
      <c r="F742" s="4" t="s">
        <v>172</v>
      </c>
      <c r="G742" s="4" t="s">
        <v>624</v>
      </c>
      <c r="H742" s="4" t="s">
        <v>54</v>
      </c>
      <c r="I742" s="4" t="s">
        <v>55</v>
      </c>
      <c r="J742" s="4" t="s">
        <v>625</v>
      </c>
      <c r="K742" s="7">
        <v>2944.6939164999999</v>
      </c>
      <c r="L742" s="7">
        <v>2614.110291</v>
      </c>
      <c r="M742" s="7">
        <v>2786.3061499999999</v>
      </c>
      <c r="N742" s="7">
        <v>1328.1525915</v>
      </c>
      <c r="O742" s="7">
        <v>2859.4525585000001</v>
      </c>
      <c r="P742" s="7">
        <v>2869.1057295000001</v>
      </c>
      <c r="Q742" s="7">
        <v>2792.8318850000001</v>
      </c>
      <c r="R742" s="7">
        <v>3129.6893719999998</v>
      </c>
      <c r="S742" s="7"/>
      <c r="T742" s="7"/>
      <c r="U742" s="7"/>
      <c r="V742" s="7"/>
      <c r="W742" s="11">
        <f t="shared" si="13"/>
        <v>21324.342494</v>
      </c>
    </row>
    <row r="743" spans="1:23" x14ac:dyDescent="0.2">
      <c r="A743" s="4" t="s">
        <v>570</v>
      </c>
      <c r="B743" s="4" t="s">
        <v>585</v>
      </c>
      <c r="C743" s="4" t="s">
        <v>622</v>
      </c>
      <c r="D743" s="4" t="s">
        <v>28</v>
      </c>
      <c r="E743" s="4" t="s">
        <v>12</v>
      </c>
      <c r="F743" s="4" t="s">
        <v>172</v>
      </c>
      <c r="G743" s="4" t="s">
        <v>524</v>
      </c>
      <c r="H743" s="4" t="s">
        <v>159</v>
      </c>
      <c r="I743" s="4" t="s">
        <v>159</v>
      </c>
      <c r="J743" s="4" t="s">
        <v>525</v>
      </c>
      <c r="K743" s="7">
        <v>9.2674312562000001</v>
      </c>
      <c r="L743" s="7">
        <v>8.2500566979999999</v>
      </c>
      <c r="M743" s="7">
        <v>18.761263497200002</v>
      </c>
      <c r="N743" s="7">
        <v>0</v>
      </c>
      <c r="O743" s="7">
        <v>19.003112311199999</v>
      </c>
      <c r="P743" s="7">
        <v>8.5995067790000004</v>
      </c>
      <c r="Q743" s="7">
        <v>7.5434710000000003</v>
      </c>
      <c r="R743" s="7">
        <v>7.9274290000000001</v>
      </c>
      <c r="S743" s="7"/>
      <c r="T743" s="7"/>
      <c r="U743" s="7"/>
      <c r="V743" s="7"/>
      <c r="W743" s="11">
        <f t="shared" si="13"/>
        <v>79.352270541600006</v>
      </c>
    </row>
    <row r="744" spans="1:23" x14ac:dyDescent="0.2">
      <c r="A744" s="4" t="s">
        <v>570</v>
      </c>
      <c r="B744" s="4" t="s">
        <v>585</v>
      </c>
      <c r="C744" s="4" t="s">
        <v>622</v>
      </c>
      <c r="D744" s="4" t="s">
        <v>28</v>
      </c>
      <c r="E744" s="4" t="s">
        <v>12</v>
      </c>
      <c r="F744" s="4" t="s">
        <v>156</v>
      </c>
      <c r="G744" s="4" t="s">
        <v>623</v>
      </c>
      <c r="H744" s="4" t="s">
        <v>68</v>
      </c>
      <c r="I744" s="4" t="s">
        <v>620</v>
      </c>
      <c r="J744" s="4" t="s">
        <v>621</v>
      </c>
      <c r="K744" s="7">
        <v>11104.66685</v>
      </c>
      <c r="L744" s="7">
        <v>15091.2454</v>
      </c>
      <c r="M744" s="7">
        <v>16117.03292</v>
      </c>
      <c r="N744" s="7">
        <v>10089.495500000001</v>
      </c>
      <c r="O744" s="7">
        <v>16989.320400000001</v>
      </c>
      <c r="P744" s="7">
        <v>18294.902239999999</v>
      </c>
      <c r="Q744" s="7">
        <v>18433.262640000001</v>
      </c>
      <c r="R744" s="7">
        <v>17131.314719999998</v>
      </c>
      <c r="S744" s="7"/>
      <c r="T744" s="7"/>
      <c r="U744" s="7"/>
      <c r="V744" s="7"/>
      <c r="W744" s="11">
        <f t="shared" si="13"/>
        <v>123251.24066999998</v>
      </c>
    </row>
    <row r="745" spans="1:23" x14ac:dyDescent="0.2">
      <c r="A745" s="4" t="s">
        <v>571</v>
      </c>
      <c r="B745" s="4" t="s">
        <v>586</v>
      </c>
      <c r="C745" s="4" t="s">
        <v>622</v>
      </c>
      <c r="D745" s="4" t="s">
        <v>28</v>
      </c>
      <c r="E745" s="4" t="s">
        <v>12</v>
      </c>
      <c r="F745" s="4" t="s">
        <v>172</v>
      </c>
      <c r="G745" s="4" t="s">
        <v>524</v>
      </c>
      <c r="H745" s="4" t="s">
        <v>159</v>
      </c>
      <c r="I745" s="4" t="s">
        <v>159</v>
      </c>
      <c r="J745" s="4" t="s">
        <v>525</v>
      </c>
      <c r="K745" s="7">
        <v>0.496416156</v>
      </c>
      <c r="L745" s="7">
        <v>0.3467866429</v>
      </c>
      <c r="M745" s="7">
        <v>0.98528641029999997</v>
      </c>
      <c r="N745" s="7">
        <v>0</v>
      </c>
      <c r="O745" s="7">
        <v>1.1439876964</v>
      </c>
      <c r="P745" s="7">
        <v>0.50908737969999995</v>
      </c>
      <c r="Q745" s="7">
        <v>0.46591500000000002</v>
      </c>
      <c r="R745" s="7">
        <v>0.48073900000000003</v>
      </c>
      <c r="S745" s="7"/>
      <c r="T745" s="7"/>
      <c r="U745" s="7"/>
      <c r="V745" s="7"/>
      <c r="W745" s="11">
        <f t="shared" si="13"/>
        <v>4.4282182852999998</v>
      </c>
    </row>
    <row r="746" spans="1:23" x14ac:dyDescent="0.2">
      <c r="A746" s="4" t="s">
        <v>571</v>
      </c>
      <c r="B746" s="4" t="s">
        <v>586</v>
      </c>
      <c r="C746" s="4" t="s">
        <v>622</v>
      </c>
      <c r="D746" s="4" t="s">
        <v>28</v>
      </c>
      <c r="E746" s="4" t="s">
        <v>12</v>
      </c>
      <c r="F746" s="4" t="s">
        <v>156</v>
      </c>
      <c r="G746" s="4" t="s">
        <v>623</v>
      </c>
      <c r="H746" s="4" t="s">
        <v>68</v>
      </c>
      <c r="I746" s="4" t="s">
        <v>620</v>
      </c>
      <c r="J746" s="4" t="s">
        <v>621</v>
      </c>
      <c r="K746" s="7">
        <v>9999.5989121807997</v>
      </c>
      <c r="L746" s="7">
        <v>10799.5668251552</v>
      </c>
      <c r="M746" s="7">
        <v>10174.591893143899</v>
      </c>
      <c r="N746" s="7">
        <v>9599.6149556934997</v>
      </c>
      <c r="O746" s="7">
        <v>10099.5949013026</v>
      </c>
      <c r="P746" s="7">
        <v>10049.596906741701</v>
      </c>
      <c r="Q746" s="7">
        <v>10499.578857</v>
      </c>
      <c r="R746" s="7">
        <v>10699.464003999999</v>
      </c>
      <c r="S746" s="7"/>
      <c r="T746" s="7"/>
      <c r="U746" s="7"/>
      <c r="V746" s="7"/>
      <c r="W746" s="11">
        <f t="shared" si="13"/>
        <v>81921.607255217692</v>
      </c>
    </row>
    <row r="747" spans="1:23" x14ac:dyDescent="0.2">
      <c r="A747" s="4" t="s">
        <v>827</v>
      </c>
      <c r="B747" s="4" t="s">
        <v>9</v>
      </c>
      <c r="C747" s="4" t="s">
        <v>622</v>
      </c>
      <c r="D747" s="4" t="s">
        <v>28</v>
      </c>
      <c r="E747" s="4" t="s">
        <v>12</v>
      </c>
      <c r="F747" s="4" t="s">
        <v>156</v>
      </c>
      <c r="G747" s="4" t="s">
        <v>623</v>
      </c>
      <c r="H747" s="4" t="s">
        <v>68</v>
      </c>
      <c r="I747" s="4" t="s">
        <v>620</v>
      </c>
      <c r="J747" s="4" t="s">
        <v>621</v>
      </c>
      <c r="K747" s="7">
        <v>4.5215271499999998</v>
      </c>
      <c r="L747" s="7">
        <v>3.9887664799999998</v>
      </c>
      <c r="M747" s="7">
        <v>4.2424530000000003</v>
      </c>
      <c r="N747" s="7">
        <v>4.5414094499999997</v>
      </c>
      <c r="O747" s="7">
        <v>4.4907747000000002</v>
      </c>
      <c r="P747" s="7">
        <v>4.2463664100000003</v>
      </c>
      <c r="Q747" s="7">
        <v>3.4998119999999999</v>
      </c>
      <c r="R747" s="7">
        <v>1.989088</v>
      </c>
      <c r="S747" s="7"/>
      <c r="T747" s="7"/>
      <c r="U747" s="7"/>
      <c r="V747" s="7"/>
      <c r="W747" s="11">
        <f t="shared" si="13"/>
        <v>31.520197189999998</v>
      </c>
    </row>
    <row r="748" spans="1:23" x14ac:dyDescent="0.2">
      <c r="A748" s="4" t="s">
        <v>573</v>
      </c>
      <c r="B748" s="4" t="s">
        <v>9</v>
      </c>
      <c r="C748" s="4" t="s">
        <v>622</v>
      </c>
      <c r="D748" s="4" t="s">
        <v>28</v>
      </c>
      <c r="E748" s="4" t="s">
        <v>12</v>
      </c>
      <c r="F748" s="4" t="s">
        <v>167</v>
      </c>
      <c r="G748" s="4" t="s">
        <v>168</v>
      </c>
      <c r="H748" s="4" t="s">
        <v>88</v>
      </c>
      <c r="I748" s="4" t="s">
        <v>88</v>
      </c>
      <c r="J748" s="4" t="s">
        <v>169</v>
      </c>
      <c r="K748" s="7">
        <v>30840.831864</v>
      </c>
      <c r="L748" s="7">
        <v>26051.289708</v>
      </c>
      <c r="M748" s="7">
        <v>28793.711628000001</v>
      </c>
      <c r="N748" s="7">
        <v>27582.954322000001</v>
      </c>
      <c r="O748" s="7">
        <v>13776.055503</v>
      </c>
      <c r="P748" s="7">
        <v>21064.699501999999</v>
      </c>
      <c r="Q748" s="7">
        <v>33087.107717999999</v>
      </c>
      <c r="R748" s="7">
        <v>33366.507440000001</v>
      </c>
      <c r="S748" s="7"/>
      <c r="T748" s="7"/>
      <c r="U748" s="7"/>
      <c r="V748" s="7"/>
      <c r="W748" s="11">
        <f t="shared" si="13"/>
        <v>214563.15768500004</v>
      </c>
    </row>
    <row r="751" spans="1:23" x14ac:dyDescent="0.2">
      <c r="A751" s="12" t="s">
        <v>988</v>
      </c>
      <c r="B751" s="12"/>
    </row>
    <row r="752" spans="1:23" x14ac:dyDescent="0.2">
      <c r="A752" s="12" t="s">
        <v>945</v>
      </c>
      <c r="B752" s="12"/>
    </row>
    <row r="753" spans="1:2" x14ac:dyDescent="0.2">
      <c r="A753" s="13" t="s">
        <v>946</v>
      </c>
      <c r="B753" s="13"/>
    </row>
  </sheetData>
  <autoFilter ref="A4:W748" xr:uid="{7A1F5C75-3356-40EE-912A-9A4C80F76C5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INFORMACION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LAURA ESPINOZA</dc:creator>
  <cp:lastModifiedBy>Franco Olivares Untiveros</cp:lastModifiedBy>
  <dcterms:created xsi:type="dcterms:W3CDTF">2025-04-10T22:43:56Z</dcterms:created>
  <dcterms:modified xsi:type="dcterms:W3CDTF">2026-10-26T15:41:07Z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{9C8BC64A-CC4F-42BF-973A-FA1F7F89873D}</vt:lpwstr>
  </property>
</Properties>
</file>