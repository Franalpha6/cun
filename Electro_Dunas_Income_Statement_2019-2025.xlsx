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048546\Downloads\"/>
    </mc:Choice>
  </mc:AlternateContent>
  <xr:revisionPtr revIDLastSave="0" documentId="8_{85EBB2D6-59FA-4B27-90EC-38CA04DE179F}" xr6:coauthVersionLast="47" xr6:coauthVersionMax="47" xr10:uidLastSave="{00000000-0000-0000-0000-000000000000}"/>
  <bookViews>
    <workbookView xWindow="-110" yWindow="-110" windowWidth="19420" windowHeight="10300" tabRatio="500" activeTab="2" xr2:uid="{00000000-000D-0000-FFFF-FFFF00000000}"/>
  </bookViews>
  <sheets>
    <sheet name="IS" sheetId="1" r:id="rId1"/>
    <sheet name="Energía distribuida" sheetId="2" r:id="rId2"/>
    <sheet name="Costos" sheetId="3" r:id="rId3"/>
    <sheet name="Gastos Operativos" sheetId="4" r:id="rId4"/>
    <sheet name="Costos y Gastos x Naturaleza" sheetId="5" r:id="rId5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46210.1782407407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35" i="2" l="1"/>
  <c r="G35" i="2"/>
  <c r="F35" i="2"/>
  <c r="E35" i="2"/>
  <c r="D35" i="2"/>
  <c r="C35" i="2"/>
  <c r="I35" i="2"/>
  <c r="I16" i="5" l="1"/>
  <c r="H16" i="5"/>
  <c r="G16" i="5"/>
  <c r="F16" i="5"/>
  <c r="E16" i="5"/>
  <c r="D16" i="5"/>
  <c r="C16" i="5"/>
  <c r="I15" i="5"/>
  <c r="H15" i="5"/>
  <c r="G15" i="5"/>
  <c r="F15" i="5"/>
  <c r="E15" i="5"/>
  <c r="D15" i="5"/>
  <c r="C15" i="5"/>
  <c r="I14" i="5"/>
  <c r="H14" i="5"/>
  <c r="G14" i="5"/>
  <c r="F14" i="5"/>
  <c r="E14" i="5"/>
  <c r="D14" i="5"/>
  <c r="C14" i="5"/>
  <c r="I13" i="5"/>
  <c r="H13" i="5"/>
  <c r="G13" i="5"/>
  <c r="F13" i="5"/>
  <c r="E13" i="5"/>
  <c r="D13" i="5"/>
  <c r="C13" i="5"/>
  <c r="I12" i="5"/>
  <c r="I23" i="5" s="1"/>
  <c r="H12" i="5"/>
  <c r="H23" i="5" s="1"/>
  <c r="G12" i="5"/>
  <c r="G23" i="5" s="1"/>
  <c r="F12" i="5"/>
  <c r="F23" i="5" s="1"/>
  <c r="E12" i="5"/>
  <c r="E23" i="5" s="1"/>
  <c r="D12" i="5"/>
  <c r="D23" i="5" s="1"/>
  <c r="C12" i="5"/>
  <c r="C23" i="5" s="1"/>
  <c r="I11" i="5"/>
  <c r="I22" i="5" s="1"/>
  <c r="H11" i="5"/>
  <c r="H22" i="5" s="1"/>
  <c r="G11" i="5"/>
  <c r="G22" i="5" s="1"/>
  <c r="F11" i="5"/>
  <c r="F22" i="5" s="1"/>
  <c r="E11" i="5"/>
  <c r="E22" i="5" s="1"/>
  <c r="D11" i="5"/>
  <c r="D22" i="5" s="1"/>
  <c r="C11" i="5"/>
  <c r="C22" i="5" s="1"/>
  <c r="I10" i="5"/>
  <c r="H10" i="5"/>
  <c r="G10" i="5"/>
  <c r="F10" i="5"/>
  <c r="E10" i="5"/>
  <c r="D10" i="5"/>
  <c r="C10" i="5"/>
  <c r="I9" i="5"/>
  <c r="H9" i="5"/>
  <c r="G9" i="5"/>
  <c r="F9" i="5"/>
  <c r="E9" i="5"/>
  <c r="D9" i="5"/>
  <c r="C9" i="5"/>
  <c r="I8" i="5"/>
  <c r="H8" i="5"/>
  <c r="G8" i="5"/>
  <c r="F8" i="5"/>
  <c r="E8" i="5"/>
  <c r="D8" i="5"/>
  <c r="C8" i="5"/>
  <c r="I7" i="5"/>
  <c r="H7" i="5"/>
  <c r="G7" i="5"/>
  <c r="F7" i="5"/>
  <c r="E7" i="5"/>
  <c r="D7" i="5"/>
  <c r="C7" i="5"/>
  <c r="I6" i="5"/>
  <c r="H6" i="5"/>
  <c r="G6" i="5"/>
  <c r="F6" i="5"/>
  <c r="E6" i="5"/>
  <c r="D6" i="5"/>
  <c r="C6" i="5"/>
  <c r="F51" i="4"/>
  <c r="I47" i="4"/>
  <c r="H47" i="4"/>
  <c r="G47" i="4"/>
  <c r="F47" i="4"/>
  <c r="E47" i="4"/>
  <c r="D47" i="4"/>
  <c r="C47" i="4"/>
  <c r="I36" i="4"/>
  <c r="H36" i="4"/>
  <c r="G36" i="4"/>
  <c r="F36" i="4"/>
  <c r="E36" i="4"/>
  <c r="D36" i="4"/>
  <c r="C36" i="4"/>
  <c r="I26" i="4"/>
  <c r="I52" i="4" s="1"/>
  <c r="H26" i="4"/>
  <c r="H52" i="4" s="1"/>
  <c r="G26" i="4"/>
  <c r="G52" i="4" s="1"/>
  <c r="F26" i="4"/>
  <c r="F52" i="4" s="1"/>
  <c r="E26" i="4"/>
  <c r="E52" i="4" s="1"/>
  <c r="D26" i="4"/>
  <c r="C26" i="4"/>
  <c r="C52" i="4" s="1"/>
  <c r="I23" i="4"/>
  <c r="I51" i="4" s="1"/>
  <c r="H23" i="4"/>
  <c r="H51" i="4" s="1"/>
  <c r="G23" i="4"/>
  <c r="G51" i="4" s="1"/>
  <c r="F23" i="4"/>
  <c r="E23" i="4"/>
  <c r="D23" i="4"/>
  <c r="D51" i="4" s="1"/>
  <c r="C23" i="4"/>
  <c r="C51" i="4" s="1"/>
  <c r="I12" i="4"/>
  <c r="H12" i="4"/>
  <c r="H50" i="4" s="1"/>
  <c r="G12" i="4"/>
  <c r="G50" i="4" s="1"/>
  <c r="F12" i="4"/>
  <c r="F50" i="4" s="1"/>
  <c r="E12" i="4"/>
  <c r="D12" i="4"/>
  <c r="D50" i="4" s="1"/>
  <c r="C12" i="4"/>
  <c r="I15" i="3"/>
  <c r="I20" i="3" s="1"/>
  <c r="H15" i="3"/>
  <c r="H20" i="3" s="1"/>
  <c r="G15" i="3"/>
  <c r="G24" i="3" s="1"/>
  <c r="F15" i="3"/>
  <c r="F26" i="3" s="1"/>
  <c r="E15" i="3"/>
  <c r="E20" i="3" s="1"/>
  <c r="D15" i="3"/>
  <c r="D20" i="3" s="1"/>
  <c r="C15" i="3"/>
  <c r="C20" i="3" s="1"/>
  <c r="I32" i="2"/>
  <c r="H32" i="2"/>
  <c r="G32" i="2"/>
  <c r="F32" i="2"/>
  <c r="I31" i="2"/>
  <c r="H31" i="2"/>
  <c r="G31" i="2"/>
  <c r="F31" i="2"/>
  <c r="I30" i="2"/>
  <c r="H30" i="2"/>
  <c r="G30" i="2"/>
  <c r="F30" i="2"/>
  <c r="I19" i="2"/>
  <c r="H19" i="2"/>
  <c r="G19" i="2"/>
  <c r="F19" i="2"/>
  <c r="E19" i="2"/>
  <c r="D19" i="2"/>
  <c r="C19" i="2"/>
  <c r="I12" i="2"/>
  <c r="H12" i="2"/>
  <c r="G12" i="2"/>
  <c r="G25" i="2" s="1"/>
  <c r="F12" i="2"/>
  <c r="F25" i="2" s="1"/>
  <c r="E12" i="2"/>
  <c r="E25" i="2" s="1"/>
  <c r="D12" i="2"/>
  <c r="C12" i="2"/>
  <c r="I28" i="1"/>
  <c r="H28" i="1"/>
  <c r="G28" i="1"/>
  <c r="F28" i="1"/>
  <c r="E28" i="1"/>
  <c r="D28" i="1"/>
  <c r="C28" i="1"/>
  <c r="I20" i="1"/>
  <c r="H20" i="1"/>
  <c r="G20" i="1"/>
  <c r="F20" i="1"/>
  <c r="E20" i="1"/>
  <c r="D20" i="1"/>
  <c r="C20" i="1"/>
  <c r="I10" i="1"/>
  <c r="H10" i="1"/>
  <c r="G10" i="1"/>
  <c r="F10" i="1"/>
  <c r="E10" i="1"/>
  <c r="D10" i="1"/>
  <c r="C10" i="1"/>
  <c r="I6" i="1"/>
  <c r="H6" i="1"/>
  <c r="G6" i="1"/>
  <c r="F6" i="1"/>
  <c r="E6" i="1"/>
  <c r="D6" i="1"/>
  <c r="C6" i="1"/>
  <c r="C23" i="3" s="1"/>
  <c r="E51" i="4" l="1"/>
  <c r="D53" i="4"/>
  <c r="C53" i="4"/>
  <c r="E53" i="4"/>
  <c r="I50" i="4"/>
  <c r="C26" i="3"/>
  <c r="D26" i="5"/>
  <c r="F20" i="3"/>
  <c r="G20" i="3"/>
  <c r="H24" i="3"/>
  <c r="I26" i="5"/>
  <c r="D17" i="5"/>
  <c r="D18" i="5" s="1"/>
  <c r="F24" i="3"/>
  <c r="G25" i="3"/>
  <c r="H26" i="5"/>
  <c r="H26" i="3"/>
  <c r="E17" i="5"/>
  <c r="E18" i="5" s="1"/>
  <c r="G17" i="5"/>
  <c r="G18" i="5" s="1"/>
  <c r="H17" i="5"/>
  <c r="H18" i="5" s="1"/>
  <c r="I17" i="5"/>
  <c r="I18" i="5" s="1"/>
  <c r="F17" i="5"/>
  <c r="F18" i="5" s="1"/>
  <c r="C17" i="5"/>
  <c r="C18" i="5" s="1"/>
  <c r="I21" i="2"/>
  <c r="H21" i="2"/>
  <c r="E29" i="2"/>
  <c r="I29" i="2"/>
  <c r="H29" i="2"/>
  <c r="E21" i="2"/>
  <c r="H25" i="2"/>
  <c r="G46" i="1"/>
  <c r="D12" i="1"/>
  <c r="D40" i="1" s="1"/>
  <c r="H46" i="1"/>
  <c r="I12" i="1"/>
  <c r="D21" i="2"/>
  <c r="D22" i="1"/>
  <c r="D37" i="1" s="1"/>
  <c r="D25" i="3"/>
  <c r="C55" i="4"/>
  <c r="E46" i="1"/>
  <c r="D55" i="4"/>
  <c r="E55" i="4"/>
  <c r="H25" i="3"/>
  <c r="I25" i="3"/>
  <c r="G21" i="2"/>
  <c r="E12" i="1"/>
  <c r="E25" i="3"/>
  <c r="H12" i="1"/>
  <c r="F46" i="1"/>
  <c r="G12" i="1"/>
  <c r="D23" i="3"/>
  <c r="D56" i="4"/>
  <c r="D52" i="4"/>
  <c r="D54" i="4" s="1"/>
  <c r="C21" i="2"/>
  <c r="E23" i="3"/>
  <c r="H23" i="3"/>
  <c r="F56" i="4"/>
  <c r="C25" i="3"/>
  <c r="F55" i="4"/>
  <c r="G55" i="4"/>
  <c r="I46" i="1"/>
  <c r="I25" i="2"/>
  <c r="F23" i="3"/>
  <c r="F53" i="4"/>
  <c r="F54" i="4" s="1"/>
  <c r="H55" i="4"/>
  <c r="G23" i="3"/>
  <c r="G53" i="4"/>
  <c r="G54" i="4" s="1"/>
  <c r="I55" i="4"/>
  <c r="H53" i="4"/>
  <c r="H54" i="4" s="1"/>
  <c r="C56" i="4"/>
  <c r="E26" i="2"/>
  <c r="I23" i="3"/>
  <c r="D26" i="3"/>
  <c r="I53" i="4"/>
  <c r="F25" i="3"/>
  <c r="F26" i="2"/>
  <c r="C24" i="3"/>
  <c r="E26" i="3"/>
  <c r="E56" i="4"/>
  <c r="E24" i="2"/>
  <c r="G26" i="2"/>
  <c r="D24" i="3"/>
  <c r="F24" i="2"/>
  <c r="H26" i="2"/>
  <c r="E24" i="3"/>
  <c r="G26" i="3"/>
  <c r="G56" i="4"/>
  <c r="G24" i="2"/>
  <c r="I26" i="2"/>
  <c r="H56" i="4"/>
  <c r="C26" i="5"/>
  <c r="D29" i="2"/>
  <c r="H24" i="2"/>
  <c r="I26" i="3"/>
  <c r="C50" i="4"/>
  <c r="I56" i="4"/>
  <c r="C12" i="1"/>
  <c r="C40" i="1" s="1"/>
  <c r="I24" i="2"/>
  <c r="E26" i="5"/>
  <c r="F29" i="2"/>
  <c r="I24" i="3"/>
  <c r="E50" i="4"/>
  <c r="E54" i="4" s="1"/>
  <c r="F26" i="5"/>
  <c r="D46" i="1"/>
  <c r="G29" i="2"/>
  <c r="G26" i="5"/>
  <c r="F12" i="1"/>
  <c r="F21" i="2"/>
  <c r="C54" i="4" l="1"/>
  <c r="I54" i="4"/>
  <c r="D29" i="1"/>
  <c r="D41" i="1"/>
  <c r="D21" i="5"/>
  <c r="D24" i="5" s="1"/>
  <c r="D25" i="5" s="1"/>
  <c r="G47" i="1"/>
  <c r="F40" i="1"/>
  <c r="G22" i="1"/>
  <c r="G37" i="1" s="1"/>
  <c r="G40" i="1"/>
  <c r="I22" i="1"/>
  <c r="I37" i="1" s="1"/>
  <c r="I40" i="1"/>
  <c r="H22" i="1"/>
  <c r="H37" i="1" s="1"/>
  <c r="H40" i="1"/>
  <c r="E47" i="1"/>
  <c r="E40" i="1"/>
  <c r="I21" i="5"/>
  <c r="I24" i="5" s="1"/>
  <c r="I25" i="5" s="1"/>
  <c r="I29" i="1"/>
  <c r="I50" i="1" s="1"/>
  <c r="E22" i="1"/>
  <c r="E37" i="1" s="1"/>
  <c r="I47" i="1"/>
  <c r="H47" i="1"/>
  <c r="C22" i="1"/>
  <c r="C37" i="1" s="1"/>
  <c r="D47" i="1"/>
  <c r="D32" i="1"/>
  <c r="D42" i="1" s="1"/>
  <c r="D50" i="1"/>
  <c r="F22" i="1"/>
  <c r="F37" i="1" s="1"/>
  <c r="F47" i="1"/>
  <c r="G29" i="1"/>
  <c r="G21" i="5"/>
  <c r="G24" i="5" s="1"/>
  <c r="G25" i="5" s="1"/>
  <c r="E41" i="1" l="1"/>
  <c r="I41" i="1"/>
  <c r="F41" i="1"/>
  <c r="G41" i="1"/>
  <c r="C41" i="1"/>
  <c r="E29" i="1"/>
  <c r="E32" i="1" s="1"/>
  <c r="E42" i="1" s="1"/>
  <c r="E21" i="5"/>
  <c r="E24" i="5" s="1"/>
  <c r="E25" i="5" s="1"/>
  <c r="H21" i="5"/>
  <c r="H24" i="5" s="1"/>
  <c r="H25" i="5" s="1"/>
  <c r="H41" i="1"/>
  <c r="H29" i="1"/>
  <c r="H32" i="1" s="1"/>
  <c r="H42" i="1" s="1"/>
  <c r="I32" i="1"/>
  <c r="I42" i="1" s="1"/>
  <c r="G50" i="1"/>
  <c r="G32" i="1"/>
  <c r="G42" i="1" s="1"/>
  <c r="F29" i="1"/>
  <c r="F21" i="5"/>
  <c r="F24" i="5" s="1"/>
  <c r="F25" i="5" s="1"/>
  <c r="C29" i="1"/>
  <c r="C21" i="5"/>
  <c r="C24" i="5" s="1"/>
  <c r="C25" i="5" s="1"/>
  <c r="E48" i="1" l="1"/>
  <c r="H50" i="1"/>
  <c r="I48" i="1"/>
  <c r="H48" i="1"/>
  <c r="E50" i="1"/>
  <c r="C32" i="1"/>
  <c r="C42" i="1" s="1"/>
  <c r="C50" i="1"/>
  <c r="F32" i="1"/>
  <c r="F42" i="1" s="1"/>
  <c r="F50" i="1"/>
  <c r="F48" i="1" l="1"/>
  <c r="D48" i="1"/>
  <c r="G48" i="1"/>
</calcChain>
</file>

<file path=xl/sharedStrings.xml><?xml version="1.0" encoding="utf-8"?>
<sst xmlns="http://schemas.openxmlformats.org/spreadsheetml/2006/main" count="262" uniqueCount="145">
  <si>
    <t>En miles de soles (S/ 000)</t>
  </si>
  <si>
    <t>Nota</t>
  </si>
  <si>
    <t>2019</t>
  </si>
  <si>
    <t>2020</t>
  </si>
  <si>
    <t>2021</t>
  </si>
  <si>
    <t>2022</t>
  </si>
  <si>
    <t>2023</t>
  </si>
  <si>
    <t>2024</t>
  </si>
  <si>
    <t>2025</t>
  </si>
  <si>
    <t>Ingresos de actividades ordinarias</t>
  </si>
  <si>
    <t>Ingresos por servicios de distribución de energía</t>
  </si>
  <si>
    <t>Otros ingresos operativos</t>
  </si>
  <si>
    <t>Total ingresos</t>
  </si>
  <si>
    <t>Costos de actividades ordinarias</t>
  </si>
  <si>
    <t>Costo de servicio de distribución de energía</t>
  </si>
  <si>
    <t>Otros costos operativos</t>
  </si>
  <si>
    <t>Total costos</t>
  </si>
  <si>
    <t>Ganancia bruta</t>
  </si>
  <si>
    <t>Gastos operativos</t>
  </si>
  <si>
    <t>Gastos de comercialización</t>
  </si>
  <si>
    <t>Gastos de administración</t>
  </si>
  <si>
    <t>Pérdida por deterioro de cuentas por cobrar comerciales</t>
  </si>
  <si>
    <t>Otros ingresos</t>
  </si>
  <si>
    <t>Otros gastos</t>
  </si>
  <si>
    <t>Total gastos operativos</t>
  </si>
  <si>
    <t>Resultado de actividades de operación</t>
  </si>
  <si>
    <t>Resultado financiero</t>
  </si>
  <si>
    <t>Ingresos financieros</t>
  </si>
  <si>
    <t>Costos financieros</t>
  </si>
  <si>
    <t>Diferencia de cambio, neta</t>
  </si>
  <si>
    <t>Costo financiero neto</t>
  </si>
  <si>
    <t>Ganancia antes de impuestos</t>
  </si>
  <si>
    <t>Gasto por impuesto a las ganancias</t>
  </si>
  <si>
    <t>Margen bruto</t>
  </si>
  <si>
    <t>Margen operativo</t>
  </si>
  <si>
    <t>Margen neto</t>
  </si>
  <si>
    <t>Tasa efectiva de impuesto</t>
  </si>
  <si>
    <t>Clientes de baja tensión</t>
  </si>
  <si>
    <t>Clientes de media tensión</t>
  </si>
  <si>
    <t>Clientes libres</t>
  </si>
  <si>
    <t>Peaje de transmisión y distribución</t>
  </si>
  <si>
    <t>Energía entregada y no facturada</t>
  </si>
  <si>
    <t>Clientes - entidades relacionadas</t>
  </si>
  <si>
    <t>FOSE y mecanismo de compensación</t>
  </si>
  <si>
    <t>Total servicios de distribución de energía</t>
  </si>
  <si>
    <t>Alquiler por uso de infraestructura</t>
  </si>
  <si>
    <t>Servicios de ingeniería</t>
  </si>
  <si>
    <t>Mantenimiento en redes de terceros</t>
  </si>
  <si>
    <t>Otros ingresos operativos con relacionadas</t>
  </si>
  <si>
    <t>Total otros ingresos operativos</t>
  </si>
  <si>
    <t>Total ingresos de actividades ordinarias</t>
  </si>
  <si>
    <t>Análisis</t>
  </si>
  <si>
    <t>Crecimiento servicios de distribución (a/a)</t>
  </si>
  <si>
    <t>Crecimiento baja tensión (a/a)</t>
  </si>
  <si>
    <t>Crecimiento media tensión (a/a)</t>
  </si>
  <si>
    <t>Crecimiento clientes libres (a/a)</t>
  </si>
  <si>
    <t>% baja tensión sobre distribución</t>
  </si>
  <si>
    <t>% media tensión</t>
  </si>
  <si>
    <t>% clientes libres</t>
  </si>
  <si>
    <t>(1) Homologado: suma de servicios complementarios + venta de medidores/conexión + corte y reconexión. Hasta 2023 (EEFF 2023) se presentaba como un solo rubro; desde el EEFF 2024 se abre en 3.</t>
  </si>
  <si>
    <t>Compra de energía</t>
  </si>
  <si>
    <t>Compra de gas</t>
  </si>
  <si>
    <t>Depreciación</t>
  </si>
  <si>
    <t>Servicios prestados por relacionadas</t>
  </si>
  <si>
    <t>Gastos de personal</t>
  </si>
  <si>
    <t>Servicios prestados por terceros</t>
  </si>
  <si>
    <t>Suministros diversos</t>
  </si>
  <si>
    <t>Cargas diversas de gestión</t>
  </si>
  <si>
    <t>Amortización</t>
  </si>
  <si>
    <t>Arrendamientos</t>
  </si>
  <si>
    <t>Total costo de servicio de distribución</t>
  </si>
  <si>
    <t>Otros costos operativos (remoción y reubicación de redes)</t>
  </si>
  <si>
    <t>Total otros costos operativos</t>
  </si>
  <si>
    <t>Total costos de actividades ordinarias</t>
  </si>
  <si>
    <t>Costos pass-through (compra de energía + gas) / ingresos</t>
  </si>
  <si>
    <t>Compra de energía + gas / total costo de distribución</t>
  </si>
  <si>
    <t>Costo total / ingresos</t>
  </si>
  <si>
    <t>Costos "propios" excl. energía, gas, depreciación y amortización</t>
  </si>
  <si>
    <t>Total gastos de comercialización</t>
  </si>
  <si>
    <t>Tributos</t>
  </si>
  <si>
    <t>Total gastos de administración</t>
  </si>
  <si>
    <t>Deterioro de cuentas por cobrar comerciales</t>
  </si>
  <si>
    <t>Otros ingresos (Nota Otros Ingresos y Gastos)</t>
  </si>
  <si>
    <t>Servicios prestados a partes relacionadas</t>
  </si>
  <si>
    <t>Venta de materiales a partes relacionadas</t>
  </si>
  <si>
    <t>Recuperación de incobrables / castigo y condonación de deudas</t>
  </si>
  <si>
    <t>Venta de chatarra y de propiedad, planta y equipo</t>
  </si>
  <si>
    <t>Reversión de provisiones y recupero de desvalorización de inventarios</t>
  </si>
  <si>
    <t>Indemnizaciones, penalidades, alquileres e intereses por devolución de impuestos</t>
  </si>
  <si>
    <t>Otros menores</t>
  </si>
  <si>
    <t>Total otros ingresos</t>
  </si>
  <si>
    <t>Otros gastos (Nota Otros Ingresos y Gastos)</t>
  </si>
  <si>
    <t>Provisiones, desvalorización de inventarios y deterioro de otras cuentas por cobrar / castigos</t>
  </si>
  <si>
    <t>Costo de baja de activo fijo e intangibles</t>
  </si>
  <si>
    <t>Gerenciamiento, sinergias corporativas, backoffice y gestión de recaudo</t>
  </si>
  <si>
    <t>Costo por venta de materiales</t>
  </si>
  <si>
    <t>Gastos de personal y servicios a relacionadas</t>
  </si>
  <si>
    <t>Indemnizaciones, sanciones y gastos de ejercicios anteriores</t>
  </si>
  <si>
    <t>Gastos asociados al COVID-19</t>
  </si>
  <si>
    <t>Total otros gastos</t>
  </si>
  <si>
    <t>Resumen de gastos operativos</t>
  </si>
  <si>
    <t>Comercialización</t>
  </si>
  <si>
    <t>Administración</t>
  </si>
  <si>
    <t>Deterioro de cuentas por cobrar</t>
  </si>
  <si>
    <t>Otros gastos, netos de otros ingresos</t>
  </si>
  <si>
    <t>Total gastos operativos (neto)</t>
  </si>
  <si>
    <t>Gastos de comercialización + administración / ingresos</t>
  </si>
  <si>
    <t>Deterioro CxC / ingresos</t>
  </si>
  <si>
    <t>Costos y gastos operativos consolidados por naturaleza + EBITDA simple</t>
  </si>
  <si>
    <t>Suma de costo de servicio + comercialización + administración (sin otros costos/ingresos/gastos). EBITDA simple = resultado de operación + depreciación + amortización.</t>
  </si>
  <si>
    <t>Por naturaleza (costo de servicio + comercialización + administración)</t>
  </si>
  <si>
    <t>Total</t>
  </si>
  <si>
    <t>Verificación vs. costo de servicio + comercialización + administración (debe ser 0)</t>
  </si>
  <si>
    <t>EBITDA simple</t>
  </si>
  <si>
    <t>(+) Depreciación</t>
  </si>
  <si>
    <t>(+) Amortización (incl. otros costos operativos)</t>
  </si>
  <si>
    <t>Margen EBITDA simple</t>
  </si>
  <si>
    <t>Memo: ingresos menos compra de energía y gas (margen propio de distribución)</t>
  </si>
  <si>
    <t>Nota: el roadshow define un EBITDA ajustado distinto (suma otros ingresos/gastos e intereses de cuentas por cobrar comerciales); no es comparable con este EBITDA simple.</t>
  </si>
  <si>
    <t>Sobre 2022: depreciación y amortización idénticas a las notas; la reexpresión de tributos no altera el total consolidado.</t>
  </si>
  <si>
    <t>PEN 000</t>
  </si>
  <si>
    <t>Ganancia del ejercicio</t>
  </si>
  <si>
    <t>-</t>
  </si>
  <si>
    <t>Márgenes</t>
  </si>
  <si>
    <t>Margen EBITDA</t>
  </si>
  <si>
    <t>Crecimiento</t>
  </si>
  <si>
    <t>Ingresos</t>
  </si>
  <si>
    <t>Ganancia neta</t>
  </si>
  <si>
    <t>EBITDA</t>
  </si>
  <si>
    <t xml:space="preserve">Intereses sobre CxC </t>
  </si>
  <si>
    <t>Pérdida por deterioro de CxC</t>
  </si>
  <si>
    <t>Ingresos por distribución de energía</t>
  </si>
  <si>
    <t>Costo de distribución de energía</t>
  </si>
  <si>
    <t>Resultado operativo</t>
  </si>
  <si>
    <t>Servicios complementarios, conexión y corte/reconexión</t>
  </si>
  <si>
    <t>% servicios</t>
  </si>
  <si>
    <t>Energía distribuída</t>
  </si>
  <si>
    <t>Clientes propios ELD</t>
  </si>
  <si>
    <t>Terceros que usan redes de ELD</t>
  </si>
  <si>
    <t>Compra de energía y generación propia</t>
  </si>
  <si>
    <t>Clientes</t>
  </si>
  <si>
    <t>Pérdida de energía</t>
  </si>
  <si>
    <t>Información operativa</t>
  </si>
  <si>
    <t>Redes (km)</t>
  </si>
  <si>
    <t>Del cual: amortización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</si>
</sst>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;\-"/>
    <numFmt numFmtId="165" formatCode="0.0%;\(0.0%\);\-"/>
  </numFmts>
  <fonts count="9" x14ac:knownFonts="1">
    <font>
      <sz val="11"/>
      <color theme="1"/>
      <name val="Calibri"/>
      <family val="2"/>
      <charset val="1"/>
    </font>
    <font>
      <b/>
      <sz val="10"/>
      <color rgb="FFFFFFFF"/>
      <name val="Aptos Narrow"/>
      <family val="2"/>
    </font>
    <font>
      <b/>
      <sz val="10"/>
      <name val="Aptos Narrow"/>
      <family val="2"/>
    </font>
    <font>
      <sz val="10"/>
      <name val="Aptos Narrow"/>
      <family val="2"/>
    </font>
    <font>
      <sz val="10"/>
      <color theme="1"/>
      <name val="Aptos Narrow"/>
      <family val="2"/>
    </font>
    <font>
      <i/>
      <sz val="10"/>
      <name val="Aptos Narrow"/>
      <family val="2"/>
    </font>
    <font>
      <sz val="10"/>
      <color rgb="FF008000"/>
      <name val="Aptos Narrow"/>
      <family val="2"/>
    </font>
    <font>
      <sz val="10"/>
      <color rgb="FF7F7F7F"/>
      <name val="Aptos Narrow"/>
      <family val="2"/>
    </font>
    <font>
      <b/>
      <sz val="10"/>
      <color theme="1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002060"/>
        <bgColor rgb="FF333333"/>
      </patternFill>
    </fill>
    <fill>
      <patternFill patternType="solid">
        <fgColor rgb="FFCCECFF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2" fillId="3" borderId="0" xfId="0" applyFont="1" applyFill="1"/>
    <xf numFmtId="0" fontId="3" fillId="0" borderId="0" xfId="0" applyFont="1" applyAlignment="1">
      <alignment indent="1"/>
    </xf>
    <xf numFmtId="0" fontId="2" fillId="0" borderId="0" xfId="0" applyFont="1"/>
    <xf numFmtId="164" fontId="2" fillId="0" borderId="1" xfId="0" applyNumberFormat="1" applyFont="1" applyBorder="1"/>
    <xf numFmtId="0" fontId="3" fillId="0" borderId="0" xfId="0" applyFont="1"/>
    <xf numFmtId="164" fontId="3" fillId="0" borderId="0" xfId="0" applyNumberFormat="1" applyFont="1"/>
    <xf numFmtId="165" fontId="3" fillId="0" borderId="0" xfId="0" applyNumberFormat="1" applyFont="1"/>
    <xf numFmtId="0" fontId="4" fillId="0" borderId="0" xfId="0" applyFont="1"/>
    <xf numFmtId="0" fontId="5" fillId="0" borderId="0" xfId="0" applyFont="1"/>
    <xf numFmtId="0" fontId="4" fillId="3" borderId="0" xfId="0" applyFont="1" applyFill="1"/>
    <xf numFmtId="164" fontId="6" fillId="0" borderId="0" xfId="0" applyNumberFormat="1" applyFont="1"/>
    <xf numFmtId="0" fontId="1" fillId="4" borderId="0" xfId="0" applyFont="1" applyFill="1"/>
    <xf numFmtId="0" fontId="1" fillId="4" borderId="0" xfId="0" applyFont="1" applyFill="1" applyAlignment="1">
      <alignment horizontal="right"/>
    </xf>
    <xf numFmtId="0" fontId="2" fillId="0" borderId="1" xfId="0" applyFont="1" applyBorder="1"/>
    <xf numFmtId="164" fontId="2" fillId="0" borderId="0" xfId="0" applyNumberFormat="1" applyFont="1"/>
    <xf numFmtId="0" fontId="2" fillId="0" borderId="2" xfId="0" applyFont="1" applyBorder="1"/>
    <xf numFmtId="164" fontId="2" fillId="0" borderId="2" xfId="0" applyNumberFormat="1" applyFont="1" applyBorder="1"/>
    <xf numFmtId="0" fontId="4" fillId="0" borderId="2" xfId="0" applyFont="1" applyBorder="1"/>
    <xf numFmtId="165" fontId="3" fillId="0" borderId="0" xfId="0" applyNumberFormat="1" applyFont="1" applyAlignment="1">
      <alignment horizontal="right"/>
    </xf>
    <xf numFmtId="0" fontId="3" fillId="0" borderId="0" xfId="0" applyFont="1" applyAlignment="1">
      <alignment horizontal="left"/>
    </xf>
    <xf numFmtId="0" fontId="3" fillId="0" borderId="2" xfId="0" applyFont="1" applyBorder="1" applyAlignment="1">
      <alignment indent="1"/>
    </xf>
    <xf numFmtId="165" fontId="3" fillId="0" borderId="2" xfId="0" applyNumberFormat="1" applyFont="1" applyBorder="1"/>
    <xf numFmtId="0" fontId="7" fillId="0" borderId="0" xfId="0" applyFont="1" applyAlignment="1">
      <alignment horizontal="right"/>
    </xf>
    <xf numFmtId="0" fontId="8" fillId="0" borderId="2" xfId="0" applyFont="1" applyBorder="1"/>
    <xf numFmtId="164" fontId="8" fillId="0" borderId="2" xfId="0" applyNumberFormat="1" applyFont="1" applyBorder="1"/>
    <xf numFmtId="3" fontId="8" fillId="0" borderId="0" xfId="0" applyNumberFormat="1" applyFont="1"/>
    <xf numFmtId="3" fontId="4" fillId="0" borderId="0" xfId="0" applyNumberFormat="1" applyFont="1"/>
    <xf numFmtId="0" fontId="8" fillId="0" borderId="0" xfId="0" applyFont="1"/>
    <xf numFmtId="0" fontId="2" fillId="5" borderId="0" xfId="0" applyFont="1" applyFill="1"/>
    <xf numFmtId="0" fontId="4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0"/>
  <sheetViews>
    <sheetView showGridLines="0" zoomScaleNormal="100" workbookViewId="0">
      <pane xSplit="2" ySplit="2" topLeftCell="C3" activePane="bottomRight" state="frozen"/>
      <selection pane="topRight" activeCell="C1" sqref="C1"/>
      <selection pane="bottomLeft" activeCell="A5" sqref="A5"/>
      <selection pane="bottomRight" activeCell="J2" sqref="J2"/>
    </sheetView>
  </sheetViews>
  <sheetFormatPr baseColWidth="10" defaultColWidth="8.7265625" defaultRowHeight="13" x14ac:dyDescent="0.3"/>
  <cols>
    <col min="1" max="1" width="3.7265625" style="10" customWidth="1"/>
    <col min="2" max="2" width="29.81640625" style="10" customWidth="1"/>
    <col min="3" max="9" width="12" style="10" customWidth="1"/>
    <col min="10" max="16384" width="8.7265625" style="10"/>
  </cols>
  <sheetData>
    <row r="1" spans="2:9" x14ac:dyDescent="0.3">
      <c r="B1" s="5"/>
    </row>
    <row r="2" spans="2:9" x14ac:dyDescent="0.3">
      <c r="B2" s="14" t="s">
        <v>120</v>
      </c>
      <c r="C2" s="15" t="s">
        <v>2</v>
      </c>
      <c r="D2" s="15" t="s">
        <v>3</v>
      </c>
      <c r="E2" s="15" t="s">
        <v>4</v>
      </c>
      <c r="F2" s="15" t="s">
        <v>5</v>
      </c>
      <c r="G2" s="15" t="s">
        <v>6</v>
      </c>
      <c r="H2" s="15" t="s">
        <v>7</v>
      </c>
      <c r="I2" s="15" t="s">
        <v>8</v>
      </c>
    </row>
    <row r="3" spans="2:9" x14ac:dyDescent="0.3">
      <c r="B3" s="5" t="s">
        <v>9</v>
      </c>
    </row>
    <row r="4" spans="2:9" x14ac:dyDescent="0.3">
      <c r="B4" s="22" t="s">
        <v>131</v>
      </c>
      <c r="C4" s="8">
        <v>369257</v>
      </c>
      <c r="D4" s="8">
        <v>372967</v>
      </c>
      <c r="E4" s="8">
        <v>425246</v>
      </c>
      <c r="F4" s="8">
        <v>480828</v>
      </c>
      <c r="G4" s="8">
        <v>531848</v>
      </c>
      <c r="H4" s="8">
        <v>562856</v>
      </c>
      <c r="I4" s="8">
        <v>573857</v>
      </c>
    </row>
    <row r="5" spans="2:9" x14ac:dyDescent="0.3">
      <c r="B5" s="22" t="s">
        <v>11</v>
      </c>
      <c r="C5" s="8">
        <v>3866</v>
      </c>
      <c r="D5" s="8">
        <v>4731</v>
      </c>
      <c r="E5" s="8">
        <v>6017</v>
      </c>
      <c r="F5" s="8">
        <v>7755</v>
      </c>
      <c r="G5" s="8">
        <v>8905</v>
      </c>
      <c r="H5" s="8">
        <v>7667</v>
      </c>
      <c r="I5" s="8">
        <v>7564</v>
      </c>
    </row>
    <row r="6" spans="2:9" x14ac:dyDescent="0.3">
      <c r="B6" s="16" t="s">
        <v>12</v>
      </c>
      <c r="C6" s="6">
        <f t="shared" ref="C6:I6" si="0">SUM(C4:C5)</f>
        <v>373123</v>
      </c>
      <c r="D6" s="6">
        <f t="shared" si="0"/>
        <v>377698</v>
      </c>
      <c r="E6" s="6">
        <f t="shared" si="0"/>
        <v>431263</v>
      </c>
      <c r="F6" s="6">
        <f t="shared" si="0"/>
        <v>488583</v>
      </c>
      <c r="G6" s="6">
        <f t="shared" si="0"/>
        <v>540753</v>
      </c>
      <c r="H6" s="6">
        <f t="shared" si="0"/>
        <v>570523</v>
      </c>
      <c r="I6" s="6">
        <f t="shared" si="0"/>
        <v>581421</v>
      </c>
    </row>
    <row r="7" spans="2:9" x14ac:dyDescent="0.3">
      <c r="B7" s="5" t="s">
        <v>13</v>
      </c>
    </row>
    <row r="8" spans="2:9" x14ac:dyDescent="0.3">
      <c r="B8" s="22" t="s">
        <v>132</v>
      </c>
      <c r="C8" s="8">
        <v>-247680</v>
      </c>
      <c r="D8" s="8">
        <v>-246064</v>
      </c>
      <c r="E8" s="8">
        <v>-273225</v>
      </c>
      <c r="F8" s="8">
        <v>-322814</v>
      </c>
      <c r="G8" s="8">
        <v>-361629</v>
      </c>
      <c r="H8" s="8">
        <v>-386573</v>
      </c>
      <c r="I8" s="8">
        <v>-398594</v>
      </c>
    </row>
    <row r="9" spans="2:9" x14ac:dyDescent="0.3">
      <c r="B9" s="22" t="s">
        <v>15</v>
      </c>
      <c r="C9" s="8">
        <v>-173</v>
      </c>
      <c r="D9" s="8">
        <v>-83</v>
      </c>
      <c r="E9" s="8">
        <v>-200</v>
      </c>
      <c r="F9" s="8">
        <v>-235</v>
      </c>
      <c r="G9" s="8">
        <v>-158</v>
      </c>
      <c r="H9" s="8">
        <v>-200</v>
      </c>
      <c r="I9" s="8">
        <v>-247</v>
      </c>
    </row>
    <row r="10" spans="2:9" x14ac:dyDescent="0.3">
      <c r="B10" s="16" t="s">
        <v>16</v>
      </c>
      <c r="C10" s="6">
        <f t="shared" ref="C10:I10" si="1">SUM(C8:C9)</f>
        <v>-247853</v>
      </c>
      <c r="D10" s="6">
        <f t="shared" si="1"/>
        <v>-246147</v>
      </c>
      <c r="E10" s="6">
        <f t="shared" si="1"/>
        <v>-273425</v>
      </c>
      <c r="F10" s="6">
        <f t="shared" si="1"/>
        <v>-323049</v>
      </c>
      <c r="G10" s="6">
        <f t="shared" si="1"/>
        <v>-361787</v>
      </c>
      <c r="H10" s="6">
        <f t="shared" si="1"/>
        <v>-386773</v>
      </c>
      <c r="I10" s="6">
        <f t="shared" si="1"/>
        <v>-398841</v>
      </c>
    </row>
    <row r="11" spans="2:9" x14ac:dyDescent="0.3">
      <c r="B11" s="5"/>
      <c r="C11" s="17"/>
      <c r="D11" s="17"/>
      <c r="E11" s="17"/>
      <c r="F11" s="17"/>
      <c r="G11" s="17"/>
      <c r="H11" s="17"/>
      <c r="I11" s="17"/>
    </row>
    <row r="12" spans="2:9" x14ac:dyDescent="0.3">
      <c r="B12" s="18" t="s">
        <v>17</v>
      </c>
      <c r="C12" s="19">
        <f t="shared" ref="C12:I12" si="2">C6+C10</f>
        <v>125270</v>
      </c>
      <c r="D12" s="19">
        <f t="shared" si="2"/>
        <v>131551</v>
      </c>
      <c r="E12" s="19">
        <f t="shared" si="2"/>
        <v>157838</v>
      </c>
      <c r="F12" s="19">
        <f t="shared" si="2"/>
        <v>165534</v>
      </c>
      <c r="G12" s="19">
        <f t="shared" si="2"/>
        <v>178966</v>
      </c>
      <c r="H12" s="19">
        <f t="shared" si="2"/>
        <v>183750</v>
      </c>
      <c r="I12" s="19">
        <f t="shared" si="2"/>
        <v>182580</v>
      </c>
    </row>
    <row r="13" spans="2:9" x14ac:dyDescent="0.3">
      <c r="B13" s="5"/>
      <c r="C13" s="17"/>
      <c r="D13" s="17"/>
      <c r="E13" s="17"/>
      <c r="F13" s="17"/>
      <c r="G13" s="17"/>
      <c r="H13" s="17"/>
      <c r="I13" s="17"/>
    </row>
    <row r="14" spans="2:9" x14ac:dyDescent="0.3">
      <c r="B14" s="5" t="s">
        <v>18</v>
      </c>
    </row>
    <row r="15" spans="2:9" x14ac:dyDescent="0.3">
      <c r="B15" s="22" t="s">
        <v>19</v>
      </c>
      <c r="C15" s="8">
        <v>-33370</v>
      </c>
      <c r="D15" s="8">
        <v>-31513</v>
      </c>
      <c r="E15" s="8">
        <v>-38236</v>
      </c>
      <c r="F15" s="8">
        <v>-36038</v>
      </c>
      <c r="G15" s="8">
        <v>-35653</v>
      </c>
      <c r="H15" s="8">
        <v>-30427</v>
      </c>
      <c r="I15" s="8">
        <v>-30840</v>
      </c>
    </row>
    <row r="16" spans="2:9" x14ac:dyDescent="0.3">
      <c r="B16" s="22" t="s">
        <v>20</v>
      </c>
      <c r="C16" s="8">
        <v>-40609</v>
      </c>
      <c r="D16" s="8">
        <v>-27281</v>
      </c>
      <c r="E16" s="8">
        <v>-30651</v>
      </c>
      <c r="F16" s="8">
        <v>-34720</v>
      </c>
      <c r="G16" s="8">
        <v>-35719</v>
      </c>
      <c r="H16" s="8">
        <v>-38860</v>
      </c>
      <c r="I16" s="8">
        <v>-44184</v>
      </c>
    </row>
    <row r="17" spans="2:9" x14ac:dyDescent="0.3">
      <c r="B17" s="22" t="s">
        <v>130</v>
      </c>
      <c r="C17" s="8">
        <v>-2782</v>
      </c>
      <c r="D17" s="8">
        <v>-4713</v>
      </c>
      <c r="E17" s="8">
        <v>-2107</v>
      </c>
      <c r="F17" s="8">
        <v>-1807</v>
      </c>
      <c r="G17" s="8">
        <v>-4600</v>
      </c>
      <c r="H17" s="8">
        <v>-2437</v>
      </c>
      <c r="I17" s="8">
        <v>-1392</v>
      </c>
    </row>
    <row r="18" spans="2:9" x14ac:dyDescent="0.3">
      <c r="B18" s="22" t="s">
        <v>22</v>
      </c>
      <c r="C18" s="8">
        <v>4049</v>
      </c>
      <c r="D18" s="8">
        <v>3654</v>
      </c>
      <c r="E18" s="8">
        <v>7504</v>
      </c>
      <c r="F18" s="8">
        <v>9405</v>
      </c>
      <c r="G18" s="8">
        <v>6393</v>
      </c>
      <c r="H18" s="8">
        <v>7928</v>
      </c>
      <c r="I18" s="8">
        <v>7959</v>
      </c>
    </row>
    <row r="19" spans="2:9" x14ac:dyDescent="0.3">
      <c r="B19" s="22" t="s">
        <v>23</v>
      </c>
      <c r="C19" s="8">
        <v>-3396</v>
      </c>
      <c r="D19" s="8">
        <v>-3983</v>
      </c>
      <c r="E19" s="8">
        <v>-6504</v>
      </c>
      <c r="F19" s="8">
        <v>-5170</v>
      </c>
      <c r="G19" s="8">
        <v>-4744</v>
      </c>
      <c r="H19" s="8">
        <v>-5912</v>
      </c>
      <c r="I19" s="8">
        <v>-4015</v>
      </c>
    </row>
    <row r="20" spans="2:9" x14ac:dyDescent="0.3">
      <c r="B20" s="16" t="s">
        <v>24</v>
      </c>
      <c r="C20" s="6">
        <f t="shared" ref="C20:I20" si="3">SUM(C15:C19)</f>
        <v>-76108</v>
      </c>
      <c r="D20" s="6">
        <f t="shared" si="3"/>
        <v>-63836</v>
      </c>
      <c r="E20" s="6">
        <f t="shared" si="3"/>
        <v>-69994</v>
      </c>
      <c r="F20" s="6">
        <f t="shared" si="3"/>
        <v>-68330</v>
      </c>
      <c r="G20" s="6">
        <f t="shared" si="3"/>
        <v>-74323</v>
      </c>
      <c r="H20" s="6">
        <f t="shared" si="3"/>
        <v>-69708</v>
      </c>
      <c r="I20" s="6">
        <f t="shared" si="3"/>
        <v>-72472</v>
      </c>
    </row>
    <row r="21" spans="2:9" x14ac:dyDescent="0.3">
      <c r="B21" s="5"/>
      <c r="C21" s="17"/>
      <c r="D21" s="17"/>
      <c r="E21" s="17"/>
      <c r="F21" s="17"/>
      <c r="G21" s="17"/>
      <c r="H21" s="17"/>
      <c r="I21" s="17"/>
    </row>
    <row r="22" spans="2:9" x14ac:dyDescent="0.3">
      <c r="B22" s="18" t="s">
        <v>133</v>
      </c>
      <c r="C22" s="19">
        <f t="shared" ref="C22:I22" si="4">C12+C20</f>
        <v>49162</v>
      </c>
      <c r="D22" s="19">
        <f t="shared" si="4"/>
        <v>67715</v>
      </c>
      <c r="E22" s="19">
        <f t="shared" si="4"/>
        <v>87844</v>
      </c>
      <c r="F22" s="19">
        <f t="shared" si="4"/>
        <v>97204</v>
      </c>
      <c r="G22" s="19">
        <f t="shared" si="4"/>
        <v>104643</v>
      </c>
      <c r="H22" s="19">
        <f t="shared" si="4"/>
        <v>114042</v>
      </c>
      <c r="I22" s="19">
        <f t="shared" si="4"/>
        <v>110108</v>
      </c>
    </row>
    <row r="23" spans="2:9" x14ac:dyDescent="0.3">
      <c r="B23" s="5"/>
      <c r="C23" s="17"/>
      <c r="D23" s="17"/>
      <c r="E23" s="17"/>
      <c r="F23" s="17"/>
      <c r="G23" s="17"/>
      <c r="H23" s="17"/>
      <c r="I23" s="17"/>
    </row>
    <row r="24" spans="2:9" x14ac:dyDescent="0.3">
      <c r="B24" s="5" t="s">
        <v>26</v>
      </c>
    </row>
    <row r="25" spans="2:9" x14ac:dyDescent="0.3">
      <c r="B25" s="22" t="s">
        <v>27</v>
      </c>
      <c r="C25" s="8">
        <v>3957</v>
      </c>
      <c r="D25" s="8">
        <v>7003</v>
      </c>
      <c r="E25" s="8">
        <v>3685</v>
      </c>
      <c r="F25" s="8">
        <v>5557</v>
      </c>
      <c r="G25" s="8">
        <v>5630</v>
      </c>
      <c r="H25" s="8">
        <v>4622</v>
      </c>
      <c r="I25" s="8">
        <v>4824</v>
      </c>
    </row>
    <row r="26" spans="2:9" x14ac:dyDescent="0.3">
      <c r="B26" s="22" t="s">
        <v>28</v>
      </c>
      <c r="C26" s="8">
        <v>-33988</v>
      </c>
      <c r="D26" s="8">
        <v>-26572</v>
      </c>
      <c r="E26" s="8">
        <v>-28061</v>
      </c>
      <c r="F26" s="8">
        <v>-26463</v>
      </c>
      <c r="G26" s="8">
        <v>-26995</v>
      </c>
      <c r="H26" s="8">
        <v>-28692</v>
      </c>
      <c r="I26" s="8">
        <v>-31380</v>
      </c>
    </row>
    <row r="27" spans="2:9" x14ac:dyDescent="0.3">
      <c r="B27" s="22" t="s">
        <v>29</v>
      </c>
      <c r="C27" s="8">
        <v>3616</v>
      </c>
      <c r="D27" s="8">
        <v>-1358</v>
      </c>
      <c r="E27" s="8">
        <v>-1777</v>
      </c>
      <c r="F27" s="8">
        <v>1268</v>
      </c>
      <c r="G27" s="8">
        <v>-154</v>
      </c>
      <c r="H27" s="8">
        <v>-1124</v>
      </c>
      <c r="I27" s="8">
        <v>6977</v>
      </c>
    </row>
    <row r="28" spans="2:9" x14ac:dyDescent="0.3">
      <c r="B28" s="16" t="s">
        <v>30</v>
      </c>
      <c r="C28" s="6">
        <f t="shared" ref="C28:I28" si="5">SUM(C25:C27)</f>
        <v>-26415</v>
      </c>
      <c r="D28" s="6">
        <f t="shared" si="5"/>
        <v>-20927</v>
      </c>
      <c r="E28" s="6">
        <f t="shared" si="5"/>
        <v>-26153</v>
      </c>
      <c r="F28" s="6">
        <f t="shared" si="5"/>
        <v>-19638</v>
      </c>
      <c r="G28" s="6">
        <f t="shared" si="5"/>
        <v>-21519</v>
      </c>
      <c r="H28" s="6">
        <f t="shared" si="5"/>
        <v>-25194</v>
      </c>
      <c r="I28" s="6">
        <f t="shared" si="5"/>
        <v>-19579</v>
      </c>
    </row>
    <row r="29" spans="2:9" x14ac:dyDescent="0.3">
      <c r="B29" s="16" t="s">
        <v>31</v>
      </c>
      <c r="C29" s="6">
        <f t="shared" ref="C29:I29" si="6">C22+C28</f>
        <v>22747</v>
      </c>
      <c r="D29" s="6">
        <f t="shared" si="6"/>
        <v>46788</v>
      </c>
      <c r="E29" s="6">
        <f t="shared" si="6"/>
        <v>61691</v>
      </c>
      <c r="F29" s="6">
        <f t="shared" si="6"/>
        <v>77566</v>
      </c>
      <c r="G29" s="6">
        <f t="shared" si="6"/>
        <v>83124</v>
      </c>
      <c r="H29" s="6">
        <f t="shared" si="6"/>
        <v>88848</v>
      </c>
      <c r="I29" s="6">
        <f t="shared" si="6"/>
        <v>90529</v>
      </c>
    </row>
    <row r="30" spans="2:9" x14ac:dyDescent="0.3">
      <c r="B30" s="22" t="s">
        <v>32</v>
      </c>
      <c r="C30" s="8">
        <v>-11369</v>
      </c>
      <c r="D30" s="8">
        <v>-15026</v>
      </c>
      <c r="E30" s="8">
        <v>-19614</v>
      </c>
      <c r="F30" s="8">
        <v>-23928</v>
      </c>
      <c r="G30" s="8">
        <v>-25479</v>
      </c>
      <c r="H30" s="8">
        <v>-27190</v>
      </c>
      <c r="I30" s="8">
        <v>-27170</v>
      </c>
    </row>
    <row r="32" spans="2:9" x14ac:dyDescent="0.3">
      <c r="B32" s="18" t="s">
        <v>121</v>
      </c>
      <c r="C32" s="19">
        <f t="shared" ref="C32:I32" si="7">C29+C30</f>
        <v>11378</v>
      </c>
      <c r="D32" s="19">
        <f t="shared" si="7"/>
        <v>31762</v>
      </c>
      <c r="E32" s="19">
        <f t="shared" si="7"/>
        <v>42077</v>
      </c>
      <c r="F32" s="19">
        <f t="shared" si="7"/>
        <v>53638</v>
      </c>
      <c r="G32" s="19">
        <f t="shared" si="7"/>
        <v>57645</v>
      </c>
      <c r="H32" s="19">
        <f t="shared" si="7"/>
        <v>61658</v>
      </c>
      <c r="I32" s="19">
        <f t="shared" si="7"/>
        <v>63359</v>
      </c>
    </row>
    <row r="34" spans="2:9" x14ac:dyDescent="0.3">
      <c r="B34" s="10" t="s">
        <v>62</v>
      </c>
    </row>
    <row r="35" spans="2:9" x14ac:dyDescent="0.3">
      <c r="B35" s="10" t="s">
        <v>68</v>
      </c>
    </row>
    <row r="36" spans="2:9" x14ac:dyDescent="0.3">
      <c r="B36" s="10" t="s">
        <v>129</v>
      </c>
    </row>
    <row r="37" spans="2:9" x14ac:dyDescent="0.3">
      <c r="B37" s="26" t="s">
        <v>128</v>
      </c>
      <c r="C37" s="27">
        <f>+C22+SUM(C34:C36)</f>
        <v>49162</v>
      </c>
      <c r="D37" s="27">
        <f t="shared" ref="D37:I37" si="8">+D22+SUM(D34:D36)</f>
        <v>67715</v>
      </c>
      <c r="E37" s="27">
        <f t="shared" si="8"/>
        <v>87844</v>
      </c>
      <c r="F37" s="27">
        <f t="shared" si="8"/>
        <v>97204</v>
      </c>
      <c r="G37" s="27">
        <f t="shared" si="8"/>
        <v>104643</v>
      </c>
      <c r="H37" s="27">
        <f t="shared" si="8"/>
        <v>114042</v>
      </c>
      <c r="I37" s="27">
        <f t="shared" si="8"/>
        <v>110108</v>
      </c>
    </row>
    <row r="39" spans="2:9" x14ac:dyDescent="0.3">
      <c r="B39" s="18" t="s">
        <v>123</v>
      </c>
      <c r="C39" s="20"/>
      <c r="D39" s="20"/>
      <c r="E39" s="20"/>
      <c r="F39" s="20"/>
      <c r="G39" s="20"/>
      <c r="H39" s="20"/>
      <c r="I39" s="20"/>
    </row>
    <row r="40" spans="2:9" x14ac:dyDescent="0.3">
      <c r="B40" s="22" t="s">
        <v>33</v>
      </c>
      <c r="C40" s="9">
        <f>C12/C$6</f>
        <v>0.3357337928779518</v>
      </c>
      <c r="D40" s="9">
        <f t="shared" ref="D40:I40" si="9">D12/D$6</f>
        <v>0.34829678738039388</v>
      </c>
      <c r="E40" s="9">
        <f t="shared" si="9"/>
        <v>0.36599012667444225</v>
      </c>
      <c r="F40" s="9">
        <f t="shared" si="9"/>
        <v>0.33880425639041883</v>
      </c>
      <c r="G40" s="9">
        <f t="shared" si="9"/>
        <v>0.3309570173443328</v>
      </c>
      <c r="H40" s="9">
        <f t="shared" si="9"/>
        <v>0.32207290503625619</v>
      </c>
      <c r="I40" s="9">
        <f t="shared" si="9"/>
        <v>0.3140237452723586</v>
      </c>
    </row>
    <row r="41" spans="2:9" x14ac:dyDescent="0.3">
      <c r="B41" s="22" t="s">
        <v>34</v>
      </c>
      <c r="C41" s="9">
        <f>C22/C$6</f>
        <v>0.131758160177743</v>
      </c>
      <c r="D41" s="9">
        <f t="shared" ref="D41:I41" si="10">D22/D$6</f>
        <v>0.17928344868122151</v>
      </c>
      <c r="E41" s="9">
        <f t="shared" si="10"/>
        <v>0.20369009166100499</v>
      </c>
      <c r="F41" s="9">
        <f t="shared" si="10"/>
        <v>0.19895084356189224</v>
      </c>
      <c r="G41" s="9">
        <f t="shared" si="10"/>
        <v>0.19351348952294301</v>
      </c>
      <c r="H41" s="9">
        <f t="shared" si="10"/>
        <v>0.19989027611507337</v>
      </c>
      <c r="I41" s="9">
        <f t="shared" si="10"/>
        <v>0.18937740466890601</v>
      </c>
    </row>
    <row r="42" spans="2:9" x14ac:dyDescent="0.3">
      <c r="B42" s="22" t="s">
        <v>35</v>
      </c>
      <c r="C42" s="9">
        <f>C32/C$6</f>
        <v>3.0493965796801591E-2</v>
      </c>
      <c r="D42" s="9">
        <f t="shared" ref="D42:I42" si="11">D32/D$6</f>
        <v>8.409364095123617E-2</v>
      </c>
      <c r="E42" s="9">
        <f t="shared" si="11"/>
        <v>9.7566913924913568E-2</v>
      </c>
      <c r="F42" s="9">
        <f t="shared" si="11"/>
        <v>0.10978277999848542</v>
      </c>
      <c r="G42" s="9">
        <f t="shared" si="11"/>
        <v>0.10660135033924915</v>
      </c>
      <c r="H42" s="9">
        <f t="shared" si="11"/>
        <v>0.10807276831959448</v>
      </c>
      <c r="I42" s="9">
        <f t="shared" si="11"/>
        <v>0.10897267212570581</v>
      </c>
    </row>
    <row r="43" spans="2:9" x14ac:dyDescent="0.3">
      <c r="B43" s="22" t="s">
        <v>124</v>
      </c>
    </row>
    <row r="45" spans="2:9" x14ac:dyDescent="0.3">
      <c r="B45" s="18" t="s">
        <v>125</v>
      </c>
      <c r="C45" s="20"/>
      <c r="D45" s="20"/>
      <c r="E45" s="20"/>
      <c r="F45" s="20"/>
      <c r="G45" s="20"/>
      <c r="H45" s="20"/>
      <c r="I45" s="20"/>
    </row>
    <row r="46" spans="2:9" x14ac:dyDescent="0.3">
      <c r="B46" s="22" t="s">
        <v>126</v>
      </c>
      <c r="C46" s="21" t="s">
        <v>122</v>
      </c>
      <c r="D46" s="9">
        <f t="shared" ref="D46:I46" si="12">D6/C6-1</f>
        <v>1.2261372255261582E-2</v>
      </c>
      <c r="E46" s="9">
        <f t="shared" si="12"/>
        <v>0.14181965485652559</v>
      </c>
      <c r="F46" s="9">
        <f t="shared" si="12"/>
        <v>0.13291193540832391</v>
      </c>
      <c r="G46" s="9">
        <f t="shared" si="12"/>
        <v>0.10677817279766177</v>
      </c>
      <c r="H46" s="9">
        <f t="shared" si="12"/>
        <v>5.5052861472798087E-2</v>
      </c>
      <c r="I46" s="9">
        <f t="shared" si="12"/>
        <v>1.9101771532435974E-2</v>
      </c>
    </row>
    <row r="47" spans="2:9" x14ac:dyDescent="0.3">
      <c r="B47" s="22" t="s">
        <v>17</v>
      </c>
      <c r="C47" s="21" t="s">
        <v>122</v>
      </c>
      <c r="D47" s="9">
        <f t="shared" ref="D47:I47" si="13">D12/C12-1</f>
        <v>5.013969825177611E-2</v>
      </c>
      <c r="E47" s="9">
        <f t="shared" si="13"/>
        <v>0.19982364254167595</v>
      </c>
      <c r="F47" s="9">
        <f t="shared" si="13"/>
        <v>4.8758854014876007E-2</v>
      </c>
      <c r="G47" s="9">
        <f t="shared" si="13"/>
        <v>8.1143450892263935E-2</v>
      </c>
      <c r="H47" s="9">
        <f t="shared" si="13"/>
        <v>2.6731334443413912E-2</v>
      </c>
      <c r="I47" s="9">
        <f t="shared" si="13"/>
        <v>-6.3673469387754977E-3</v>
      </c>
    </row>
    <row r="48" spans="2:9" x14ac:dyDescent="0.3">
      <c r="B48" s="22" t="s">
        <v>127</v>
      </c>
      <c r="C48" s="21" t="s">
        <v>122</v>
      </c>
      <c r="D48" s="9">
        <f t="shared" ref="D48:I48" si="14">D32/C32-1</f>
        <v>1.7915275092283354</v>
      </c>
      <c r="E48" s="9">
        <f t="shared" si="14"/>
        <v>0.32475914614948675</v>
      </c>
      <c r="F48" s="9">
        <f t="shared" si="14"/>
        <v>0.27475818142928432</v>
      </c>
      <c r="G48" s="9">
        <f t="shared" si="14"/>
        <v>7.4704500540661467E-2</v>
      </c>
      <c r="H48" s="9">
        <f t="shared" si="14"/>
        <v>6.9615751582964736E-2</v>
      </c>
      <c r="I48" s="9">
        <f t="shared" si="14"/>
        <v>2.7587660968568573E-2</v>
      </c>
    </row>
    <row r="50" spans="2:9" x14ac:dyDescent="0.3">
      <c r="B50" s="23" t="s">
        <v>36</v>
      </c>
      <c r="C50" s="24">
        <f t="shared" ref="C50:I50" si="15">-C30/C29</f>
        <v>0.49980217171495145</v>
      </c>
      <c r="D50" s="24">
        <f t="shared" si="15"/>
        <v>0.3211507224074549</v>
      </c>
      <c r="E50" s="24">
        <f t="shared" si="15"/>
        <v>0.31793940769318052</v>
      </c>
      <c r="F50" s="24">
        <f t="shared" si="15"/>
        <v>0.30848567671402416</v>
      </c>
      <c r="G50" s="24">
        <f t="shared" si="15"/>
        <v>0.30651797314854917</v>
      </c>
      <c r="H50" s="24">
        <f t="shared" si="15"/>
        <v>0.30602827300558255</v>
      </c>
      <c r="I50" s="24">
        <f t="shared" si="15"/>
        <v>0.30012482188028144</v>
      </c>
    </row>
  </sheetData>
  <pageMargins left="0.75" right="0.75" top="1" bottom="1" header="0.511811023622047" footer="0.511811023622047"/>
  <pageSetup paperSize="9" orientation="portrait" horizontalDpi="300" verticalDpi="300"/>
  <ignoredErrors>
    <ignoredError sqref="C2:I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62"/>
  <sheetViews>
    <sheetView showGridLines="0" zoomScaleNormal="100" workbookViewId="0">
      <pane xSplit="2" ySplit="2" topLeftCell="C3" activePane="bottomRight" state="frozen"/>
      <selection pane="topRight" activeCell="C1" sqref="C1"/>
      <selection pane="bottomLeft" activeCell="A5" sqref="A5"/>
      <selection pane="bottomRight" activeCell="I3" sqref="B3:I3"/>
    </sheetView>
  </sheetViews>
  <sheetFormatPr baseColWidth="10" defaultColWidth="8.7265625" defaultRowHeight="13" x14ac:dyDescent="0.3"/>
  <cols>
    <col min="1" max="1" width="3.7265625" style="10" customWidth="1"/>
    <col min="2" max="2" width="33" style="10" customWidth="1"/>
    <col min="3" max="9" width="12" style="10" customWidth="1"/>
    <col min="10" max="16384" width="8.7265625" style="10"/>
  </cols>
  <sheetData>
    <row r="2" spans="2:9" x14ac:dyDescent="0.3">
      <c r="B2" s="14" t="s">
        <v>120</v>
      </c>
      <c r="C2" s="15" t="s">
        <v>2</v>
      </c>
      <c r="D2" s="15" t="s">
        <v>3</v>
      </c>
      <c r="E2" s="15" t="s">
        <v>4</v>
      </c>
      <c r="F2" s="15" t="s">
        <v>5</v>
      </c>
      <c r="G2" s="15" t="s">
        <v>6</v>
      </c>
      <c r="H2" s="15" t="s">
        <v>7</v>
      </c>
      <c r="I2" s="15" t="s">
        <v>8</v>
      </c>
    </row>
    <row r="3" spans="2:9" x14ac:dyDescent="0.3">
      <c r="B3" s="31" t="s">
        <v>10</v>
      </c>
      <c r="C3" s="32"/>
      <c r="D3" s="32"/>
      <c r="E3" s="32"/>
      <c r="F3" s="32"/>
      <c r="G3" s="32"/>
      <c r="H3" s="32"/>
      <c r="I3" s="32"/>
    </row>
    <row r="4" spans="2:9" x14ac:dyDescent="0.3">
      <c r="B4" s="22" t="s">
        <v>37</v>
      </c>
      <c r="C4" s="25" t="s">
        <v>122</v>
      </c>
      <c r="D4" s="25" t="s">
        <v>122</v>
      </c>
      <c r="E4" s="8">
        <v>282613</v>
      </c>
      <c r="F4" s="8">
        <v>308741</v>
      </c>
      <c r="G4" s="8">
        <v>317805</v>
      </c>
      <c r="H4" s="8">
        <v>334150</v>
      </c>
      <c r="I4" s="8">
        <v>347903</v>
      </c>
    </row>
    <row r="5" spans="2:9" x14ac:dyDescent="0.3">
      <c r="B5" s="22" t="s">
        <v>38</v>
      </c>
      <c r="C5" s="25" t="s">
        <v>122</v>
      </c>
      <c r="D5" s="25" t="s">
        <v>122</v>
      </c>
      <c r="E5" s="8">
        <v>91363</v>
      </c>
      <c r="F5" s="8">
        <v>100468</v>
      </c>
      <c r="G5" s="8">
        <v>104362</v>
      </c>
      <c r="H5" s="8">
        <v>107332</v>
      </c>
      <c r="I5" s="8">
        <v>110296</v>
      </c>
    </row>
    <row r="6" spans="2:9" x14ac:dyDescent="0.3">
      <c r="B6" s="22" t="s">
        <v>39</v>
      </c>
      <c r="C6" s="25" t="s">
        <v>122</v>
      </c>
      <c r="D6" s="25" t="s">
        <v>122</v>
      </c>
      <c r="E6" s="8">
        <v>45119</v>
      </c>
      <c r="F6" s="8">
        <v>68650</v>
      </c>
      <c r="G6" s="8">
        <v>100499</v>
      </c>
      <c r="H6" s="8">
        <v>113517</v>
      </c>
      <c r="I6" s="8">
        <v>106027</v>
      </c>
    </row>
    <row r="7" spans="2:9" x14ac:dyDescent="0.3">
      <c r="B7" s="22" t="s">
        <v>40</v>
      </c>
      <c r="C7" s="25" t="s">
        <v>122</v>
      </c>
      <c r="D7" s="25" t="s">
        <v>122</v>
      </c>
      <c r="E7" s="8">
        <v>13569</v>
      </c>
      <c r="F7" s="8">
        <v>10877</v>
      </c>
      <c r="G7" s="8">
        <v>8336</v>
      </c>
      <c r="H7" s="8">
        <v>3469</v>
      </c>
      <c r="I7" s="8">
        <v>13299</v>
      </c>
    </row>
    <row r="8" spans="2:9" x14ac:dyDescent="0.3">
      <c r="B8" s="22" t="s">
        <v>134</v>
      </c>
      <c r="C8" s="25" t="s">
        <v>122</v>
      </c>
      <c r="D8" s="25" t="s">
        <v>122</v>
      </c>
      <c r="E8" s="8">
        <v>12555</v>
      </c>
      <c r="F8" s="8">
        <v>13981</v>
      </c>
      <c r="G8" s="8">
        <v>15355</v>
      </c>
      <c r="H8" s="8">
        <v>17923</v>
      </c>
      <c r="I8" s="8">
        <v>16278</v>
      </c>
    </row>
    <row r="9" spans="2:9" x14ac:dyDescent="0.3">
      <c r="B9" s="22" t="s">
        <v>41</v>
      </c>
      <c r="C9" s="25" t="s">
        <v>122</v>
      </c>
      <c r="D9" s="25" t="s">
        <v>122</v>
      </c>
      <c r="E9" s="8">
        <v>-644</v>
      </c>
      <c r="F9" s="8">
        <v>386</v>
      </c>
      <c r="G9" s="8">
        <v>1235</v>
      </c>
      <c r="H9" s="8">
        <v>7532</v>
      </c>
      <c r="I9" s="8">
        <v>-1609</v>
      </c>
    </row>
    <row r="10" spans="2:9" x14ac:dyDescent="0.3">
      <c r="B10" s="22" t="s">
        <v>42</v>
      </c>
      <c r="C10" s="25" t="s">
        <v>122</v>
      </c>
      <c r="D10" s="25" t="s">
        <v>122</v>
      </c>
      <c r="E10" s="8">
        <v>294</v>
      </c>
      <c r="F10" s="8">
        <v>324</v>
      </c>
      <c r="G10" s="8">
        <v>346</v>
      </c>
      <c r="H10" s="8">
        <v>360</v>
      </c>
      <c r="I10" s="8">
        <v>318</v>
      </c>
    </row>
    <row r="11" spans="2:9" x14ac:dyDescent="0.3">
      <c r="B11" s="22" t="s">
        <v>43</v>
      </c>
      <c r="C11" s="25" t="s">
        <v>122</v>
      </c>
      <c r="D11" s="25" t="s">
        <v>122</v>
      </c>
      <c r="E11" s="8">
        <v>-19623</v>
      </c>
      <c r="F11" s="8">
        <v>-22599</v>
      </c>
      <c r="G11" s="8">
        <v>-16090</v>
      </c>
      <c r="H11" s="8">
        <v>-21427</v>
      </c>
      <c r="I11" s="8">
        <v>-18655</v>
      </c>
    </row>
    <row r="12" spans="2:9" x14ac:dyDescent="0.3">
      <c r="B12" s="16" t="s">
        <v>44</v>
      </c>
      <c r="C12" s="6">
        <f>IS!C4</f>
        <v>369257</v>
      </c>
      <c r="D12" s="6">
        <f>IS!D4</f>
        <v>372967</v>
      </c>
      <c r="E12" s="6">
        <f>SUM(E4:E11)</f>
        <v>425246</v>
      </c>
      <c r="F12" s="6">
        <f>SUM(F4:F11)</f>
        <v>480828</v>
      </c>
      <c r="G12" s="6">
        <f>SUM(G4:G11)</f>
        <v>531848</v>
      </c>
      <c r="H12" s="6">
        <f>SUM(H4:H11)</f>
        <v>562856</v>
      </c>
      <c r="I12" s="6">
        <f>SUM(I4:I11)</f>
        <v>573857</v>
      </c>
    </row>
    <row r="14" spans="2:9" x14ac:dyDescent="0.3">
      <c r="B14" s="31" t="s">
        <v>11</v>
      </c>
      <c r="C14" s="32"/>
      <c r="D14" s="32"/>
      <c r="E14" s="32"/>
      <c r="F14" s="32"/>
      <c r="G14" s="32"/>
      <c r="H14" s="32"/>
      <c r="I14" s="32"/>
    </row>
    <row r="15" spans="2:9" x14ac:dyDescent="0.3">
      <c r="B15" s="22" t="s">
        <v>45</v>
      </c>
      <c r="C15" s="25" t="s">
        <v>122</v>
      </c>
      <c r="D15" s="25" t="s">
        <v>122</v>
      </c>
      <c r="E15" s="25" t="s">
        <v>122</v>
      </c>
      <c r="F15" s="25" t="s">
        <v>122</v>
      </c>
      <c r="G15" s="8">
        <v>5821</v>
      </c>
      <c r="H15" s="8">
        <v>5829</v>
      </c>
      <c r="I15" s="8">
        <v>6374</v>
      </c>
    </row>
    <row r="16" spans="2:9" x14ac:dyDescent="0.3">
      <c r="B16" s="22" t="s">
        <v>46</v>
      </c>
      <c r="C16" s="25" t="s">
        <v>122</v>
      </c>
      <c r="D16" s="25" t="s">
        <v>122</v>
      </c>
      <c r="E16" s="25" t="s">
        <v>122</v>
      </c>
      <c r="F16" s="25" t="s">
        <v>122</v>
      </c>
      <c r="G16" s="8">
        <v>2549</v>
      </c>
      <c r="H16" s="8">
        <v>1245</v>
      </c>
      <c r="I16" s="8">
        <v>375</v>
      </c>
    </row>
    <row r="17" spans="2:9" x14ac:dyDescent="0.3">
      <c r="B17" s="22" t="s">
        <v>47</v>
      </c>
      <c r="C17" s="25" t="s">
        <v>122</v>
      </c>
      <c r="D17" s="25" t="s">
        <v>122</v>
      </c>
      <c r="E17" s="25" t="s">
        <v>122</v>
      </c>
      <c r="F17" s="25" t="s">
        <v>122</v>
      </c>
      <c r="G17" s="8">
        <v>235</v>
      </c>
      <c r="H17" s="8">
        <v>213</v>
      </c>
      <c r="I17" s="8">
        <v>491</v>
      </c>
    </row>
    <row r="18" spans="2:9" x14ac:dyDescent="0.3">
      <c r="B18" s="22" t="s">
        <v>48</v>
      </c>
      <c r="C18" s="25" t="s">
        <v>122</v>
      </c>
      <c r="D18" s="25" t="s">
        <v>122</v>
      </c>
      <c r="E18" s="25" t="s">
        <v>122</v>
      </c>
      <c r="F18" s="25" t="s">
        <v>122</v>
      </c>
      <c r="G18" s="8">
        <v>300</v>
      </c>
      <c r="H18" s="8">
        <v>380</v>
      </c>
      <c r="I18" s="8">
        <v>324</v>
      </c>
    </row>
    <row r="19" spans="2:9" x14ac:dyDescent="0.3">
      <c r="B19" s="16" t="s">
        <v>49</v>
      </c>
      <c r="C19" s="6">
        <f>IS!C5</f>
        <v>3866</v>
      </c>
      <c r="D19" s="6">
        <f>IS!D5</f>
        <v>4731</v>
      </c>
      <c r="E19" s="6">
        <f>IS!E5</f>
        <v>6017</v>
      </c>
      <c r="F19" s="6">
        <f>IS!F5</f>
        <v>7755</v>
      </c>
      <c r="G19" s="6">
        <f>SUM(G15:G18)</f>
        <v>8905</v>
      </c>
      <c r="H19" s="6">
        <f>SUM(H15:H18)</f>
        <v>7667</v>
      </c>
      <c r="I19" s="6">
        <f>SUM(I15:I18)</f>
        <v>7564</v>
      </c>
    </row>
    <row r="20" spans="2:9" x14ac:dyDescent="0.3">
      <c r="B20" s="5"/>
      <c r="C20" s="17"/>
      <c r="D20" s="17"/>
      <c r="E20" s="17"/>
      <c r="F20" s="17"/>
      <c r="G20" s="17"/>
      <c r="H20" s="17"/>
      <c r="I20" s="17"/>
    </row>
    <row r="21" spans="2:9" x14ac:dyDescent="0.3">
      <c r="B21" s="18" t="s">
        <v>50</v>
      </c>
      <c r="C21" s="19">
        <f t="shared" ref="C21:I21" si="0">C12+C19</f>
        <v>373123</v>
      </c>
      <c r="D21" s="19">
        <f t="shared" si="0"/>
        <v>377698</v>
      </c>
      <c r="E21" s="19">
        <f t="shared" si="0"/>
        <v>431263</v>
      </c>
      <c r="F21" s="19">
        <f t="shared" si="0"/>
        <v>488583</v>
      </c>
      <c r="G21" s="19">
        <f t="shared" si="0"/>
        <v>540753</v>
      </c>
      <c r="H21" s="19">
        <f t="shared" si="0"/>
        <v>570523</v>
      </c>
      <c r="I21" s="19">
        <f t="shared" si="0"/>
        <v>581421</v>
      </c>
    </row>
    <row r="23" spans="2:9" x14ac:dyDescent="0.3">
      <c r="B23" s="18" t="s">
        <v>135</v>
      </c>
      <c r="C23" s="20"/>
      <c r="D23" s="20"/>
      <c r="E23" s="20"/>
      <c r="F23" s="20"/>
      <c r="G23" s="20"/>
      <c r="H23" s="20"/>
      <c r="I23" s="20"/>
    </row>
    <row r="24" spans="2:9" x14ac:dyDescent="0.3">
      <c r="B24" s="22" t="s">
        <v>56</v>
      </c>
      <c r="C24" s="21" t="s">
        <v>122</v>
      </c>
      <c r="D24" s="21" t="s">
        <v>122</v>
      </c>
      <c r="E24" s="21">
        <f>E4/E12</f>
        <v>0.66458708606312578</v>
      </c>
      <c r="F24" s="21">
        <f>F4/F12</f>
        <v>0.64210278935502929</v>
      </c>
      <c r="G24" s="21">
        <f>G4/G12</f>
        <v>0.59754854770535948</v>
      </c>
      <c r="H24" s="21">
        <f>H4/H12</f>
        <v>0.59366871810907229</v>
      </c>
      <c r="I24" s="21">
        <f>I4/I12</f>
        <v>0.60625382281648565</v>
      </c>
    </row>
    <row r="25" spans="2:9" x14ac:dyDescent="0.3">
      <c r="B25" s="22" t="s">
        <v>57</v>
      </c>
      <c r="C25" s="21" t="s">
        <v>122</v>
      </c>
      <c r="D25" s="21" t="s">
        <v>122</v>
      </c>
      <c r="E25" s="21">
        <f>E5/E12</f>
        <v>0.21484740597207264</v>
      </c>
      <c r="F25" s="21">
        <f>F5/F12</f>
        <v>0.20894789820892293</v>
      </c>
      <c r="G25" s="21">
        <f>G5/G12</f>
        <v>0.19622523728584107</v>
      </c>
      <c r="H25" s="21">
        <f>H5/H12</f>
        <v>0.19069175774976194</v>
      </c>
      <c r="I25" s="21">
        <f>I5/I12</f>
        <v>0.19220119298013269</v>
      </c>
    </row>
    <row r="26" spans="2:9" x14ac:dyDescent="0.3">
      <c r="B26" s="22" t="s">
        <v>58</v>
      </c>
      <c r="C26" s="21" t="s">
        <v>122</v>
      </c>
      <c r="D26" s="21" t="s">
        <v>122</v>
      </c>
      <c r="E26" s="21">
        <f>E6/E12</f>
        <v>0.10610093922106263</v>
      </c>
      <c r="F26" s="21">
        <f>F6/F12</f>
        <v>0.14277454723934546</v>
      </c>
      <c r="G26" s="21">
        <f>G6/G12</f>
        <v>0.18896188384651252</v>
      </c>
      <c r="H26" s="21">
        <f>H6/H12</f>
        <v>0.20168035874184517</v>
      </c>
      <c r="I26" s="21">
        <f>I6/I12</f>
        <v>0.18476205744636731</v>
      </c>
    </row>
    <row r="28" spans="2:9" x14ac:dyDescent="0.3">
      <c r="B28" s="18" t="s">
        <v>125</v>
      </c>
      <c r="C28" s="20"/>
      <c r="D28" s="20"/>
      <c r="E28" s="20"/>
      <c r="F28" s="20"/>
      <c r="G28" s="20"/>
      <c r="H28" s="20"/>
      <c r="I28" s="20"/>
    </row>
    <row r="29" spans="2:9" x14ac:dyDescent="0.3">
      <c r="B29" s="22" t="s">
        <v>52</v>
      </c>
      <c r="C29" s="21" t="s">
        <v>122</v>
      </c>
      <c r="D29" s="21">
        <f t="shared" ref="D29:I29" si="1">D12/C12-1</f>
        <v>1.0047202896627638E-2</v>
      </c>
      <c r="E29" s="21">
        <f t="shared" si="1"/>
        <v>0.14017057809404054</v>
      </c>
      <c r="F29" s="21">
        <f t="shared" si="1"/>
        <v>0.13070552103958644</v>
      </c>
      <c r="G29" s="21">
        <f t="shared" si="1"/>
        <v>0.10610862928115661</v>
      </c>
      <c r="H29" s="21">
        <f t="shared" si="1"/>
        <v>5.8302372106316058E-2</v>
      </c>
      <c r="I29" s="21">
        <f t="shared" si="1"/>
        <v>1.9544963543073113E-2</v>
      </c>
    </row>
    <row r="30" spans="2:9" x14ac:dyDescent="0.3">
      <c r="B30" s="22" t="s">
        <v>53</v>
      </c>
      <c r="C30" s="21" t="s">
        <v>122</v>
      </c>
      <c r="D30" s="21" t="s">
        <v>122</v>
      </c>
      <c r="E30" s="21" t="s">
        <v>122</v>
      </c>
      <c r="F30" s="21">
        <f t="shared" ref="F30:I32" si="2">F4/E4-1</f>
        <v>9.2451514969233539E-2</v>
      </c>
      <c r="G30" s="21">
        <f t="shared" si="2"/>
        <v>2.9357940798274251E-2</v>
      </c>
      <c r="H30" s="21">
        <f t="shared" si="2"/>
        <v>5.1430908890671923E-2</v>
      </c>
      <c r="I30" s="21">
        <f t="shared" si="2"/>
        <v>4.1158162501870432E-2</v>
      </c>
    </row>
    <row r="31" spans="2:9" x14ac:dyDescent="0.3">
      <c r="B31" s="22" t="s">
        <v>54</v>
      </c>
      <c r="C31" s="21" t="s">
        <v>122</v>
      </c>
      <c r="D31" s="21" t="s">
        <v>122</v>
      </c>
      <c r="E31" s="21" t="s">
        <v>122</v>
      </c>
      <c r="F31" s="21">
        <f t="shared" si="2"/>
        <v>9.9657410549128134E-2</v>
      </c>
      <c r="G31" s="21">
        <f t="shared" si="2"/>
        <v>3.8758609706573299E-2</v>
      </c>
      <c r="H31" s="21">
        <f t="shared" si="2"/>
        <v>2.8458634368831559E-2</v>
      </c>
      <c r="I31" s="21">
        <f t="shared" si="2"/>
        <v>2.7615249878880421E-2</v>
      </c>
    </row>
    <row r="32" spans="2:9" x14ac:dyDescent="0.3">
      <c r="B32" s="22" t="s">
        <v>55</v>
      </c>
      <c r="C32" s="21" t="s">
        <v>122</v>
      </c>
      <c r="D32" s="21" t="s">
        <v>122</v>
      </c>
      <c r="E32" s="21" t="s">
        <v>122</v>
      </c>
      <c r="F32" s="21">
        <f t="shared" si="2"/>
        <v>0.5215319488463841</v>
      </c>
      <c r="G32" s="21">
        <f t="shared" si="2"/>
        <v>0.46393299344501093</v>
      </c>
      <c r="H32" s="21">
        <f t="shared" si="2"/>
        <v>0.12953362720027073</v>
      </c>
      <c r="I32" s="21">
        <f t="shared" si="2"/>
        <v>-6.5981306764625547E-2</v>
      </c>
    </row>
    <row r="34" spans="2:9" x14ac:dyDescent="0.3">
      <c r="B34" s="26" t="s">
        <v>142</v>
      </c>
      <c r="C34" s="20"/>
      <c r="D34" s="20"/>
      <c r="E34" s="20"/>
      <c r="F34" s="20"/>
      <c r="G34" s="20"/>
      <c r="H34" s="20"/>
      <c r="I34" s="20"/>
    </row>
    <row r="35" spans="2:9" x14ac:dyDescent="0.3">
      <c r="B35" s="5" t="s">
        <v>136</v>
      </c>
      <c r="C35" s="28">
        <f t="shared" ref="C35:H35" si="3">+SUM(C36:C37)</f>
        <v>1068138</v>
      </c>
      <c r="D35" s="28">
        <f t="shared" si="3"/>
        <v>1051543</v>
      </c>
      <c r="E35" s="28">
        <f t="shared" si="3"/>
        <v>1136860</v>
      </c>
      <c r="F35" s="28">
        <f t="shared" si="3"/>
        <v>1205140</v>
      </c>
      <c r="G35" s="28">
        <f t="shared" si="3"/>
        <v>1269420</v>
      </c>
      <c r="H35" s="28">
        <f t="shared" si="3"/>
        <v>1326147</v>
      </c>
      <c r="I35" s="28">
        <f>+SUM(I36:I37)</f>
        <v>1400651</v>
      </c>
    </row>
    <row r="36" spans="2:9" x14ac:dyDescent="0.3">
      <c r="B36" s="10" t="s">
        <v>137</v>
      </c>
      <c r="C36" s="29">
        <v>725068</v>
      </c>
      <c r="D36" s="29">
        <v>700844</v>
      </c>
      <c r="E36" s="29">
        <v>750634</v>
      </c>
      <c r="F36" s="29">
        <v>829966</v>
      </c>
      <c r="G36" s="29">
        <v>940457</v>
      </c>
      <c r="H36" s="29">
        <v>1000161</v>
      </c>
      <c r="I36" s="29">
        <v>1016004</v>
      </c>
    </row>
    <row r="37" spans="2:9" x14ac:dyDescent="0.3">
      <c r="B37" s="10" t="s">
        <v>138</v>
      </c>
      <c r="C37" s="29">
        <v>343070</v>
      </c>
      <c r="D37" s="29">
        <v>350699</v>
      </c>
      <c r="E37" s="29">
        <v>386226</v>
      </c>
      <c r="F37" s="29">
        <v>375174</v>
      </c>
      <c r="G37" s="29">
        <v>328963</v>
      </c>
      <c r="H37" s="29">
        <v>325986</v>
      </c>
      <c r="I37" s="29">
        <v>384647</v>
      </c>
    </row>
    <row r="38" spans="2:9" x14ac:dyDescent="0.3">
      <c r="B38" s="30" t="s">
        <v>139</v>
      </c>
      <c r="C38" s="28">
        <v>847468</v>
      </c>
      <c r="D38" s="28">
        <v>822710</v>
      </c>
      <c r="E38" s="28">
        <v>895124</v>
      </c>
      <c r="F38" s="28">
        <v>990736</v>
      </c>
      <c r="G38" s="28">
        <v>1101855</v>
      </c>
      <c r="H38" s="28">
        <v>1147616</v>
      </c>
      <c r="I38" s="28">
        <v>1174419</v>
      </c>
    </row>
    <row r="40" spans="2:9" x14ac:dyDescent="0.3">
      <c r="B40" s="10" t="s">
        <v>140</v>
      </c>
    </row>
    <row r="41" spans="2:9" x14ac:dyDescent="0.3">
      <c r="B41" s="10" t="s">
        <v>143</v>
      </c>
    </row>
    <row r="42" spans="2:9" x14ac:dyDescent="0.3">
      <c r="B42" s="10" t="s">
        <v>141</v>
      </c>
    </row>
    <row r="61" spans="2:2" x14ac:dyDescent="0.3">
      <c r="B61" s="11" t="s">
        <v>59</v>
      </c>
    </row>
    <row r="62" spans="2:2" x14ac:dyDescent="0.3">
      <c r="B62" s="11"/>
    </row>
  </sheetData>
  <pageMargins left="0.75" right="0.75" top="1" bottom="1" header="0.511811023622047" footer="0.511811023622047"/>
  <pageSetup paperSize="9" orientation="portrait" horizontalDpi="300" verticalDpi="300"/>
  <ignoredErrors>
    <ignoredError sqref="C2:I2" numberStoredAsText="1"/>
    <ignoredError sqref="E38:I38 E35:I37 C35:D37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I28"/>
  <sheetViews>
    <sheetView showGridLines="0" tabSelected="1" zoomScaleNormal="100" workbookViewId="0">
      <pane xSplit="2" ySplit="2" topLeftCell="C3" activePane="bottomRight" state="frozen"/>
      <selection pane="topRight" activeCell="C1" sqref="C1"/>
      <selection pane="bottomLeft" activeCell="A5" sqref="A5"/>
      <selection pane="bottomRight" activeCell="B28" sqref="B28"/>
    </sheetView>
  </sheetViews>
  <sheetFormatPr baseColWidth="10" defaultColWidth="8.7265625" defaultRowHeight="13" x14ac:dyDescent="0.3"/>
  <cols>
    <col min="1" max="1" width="3.7265625" style="10" customWidth="1"/>
    <col min="2" max="2" width="40.26953125" style="10" customWidth="1"/>
    <col min="3" max="9" width="12" style="10" customWidth="1"/>
    <col min="10" max="16384" width="8.7265625" style="10"/>
  </cols>
  <sheetData>
    <row r="2" spans="2:9" x14ac:dyDescent="0.3">
      <c r="B2" s="14" t="s">
        <v>120</v>
      </c>
      <c r="C2" s="15" t="s">
        <v>2</v>
      </c>
      <c r="D2" s="15" t="s">
        <v>3</v>
      </c>
      <c r="E2" s="15" t="s">
        <v>4</v>
      </c>
      <c r="F2" s="15" t="s">
        <v>5</v>
      </c>
      <c r="G2" s="15" t="s">
        <v>6</v>
      </c>
      <c r="H2" s="15" t="s">
        <v>7</v>
      </c>
      <c r="I2" s="15" t="s">
        <v>8</v>
      </c>
    </row>
    <row r="3" spans="2:9" x14ac:dyDescent="0.3">
      <c r="B3" s="31" t="s">
        <v>14</v>
      </c>
      <c r="C3" s="32"/>
      <c r="D3" s="32"/>
      <c r="E3" s="32"/>
      <c r="F3" s="32"/>
      <c r="G3" s="32"/>
      <c r="H3" s="32"/>
      <c r="I3" s="32"/>
    </row>
    <row r="4" spans="2:9" x14ac:dyDescent="0.3">
      <c r="B4" s="22" t="s">
        <v>60</v>
      </c>
      <c r="C4" s="8">
        <v>150389</v>
      </c>
      <c r="D4" s="8">
        <v>147275</v>
      </c>
      <c r="E4" s="8">
        <v>168635</v>
      </c>
      <c r="F4" s="8">
        <v>207229</v>
      </c>
      <c r="G4" s="8">
        <v>235874</v>
      </c>
      <c r="H4" s="8">
        <v>243210</v>
      </c>
      <c r="I4" s="8">
        <v>241681</v>
      </c>
    </row>
    <row r="5" spans="2:9" x14ac:dyDescent="0.3">
      <c r="B5" s="22" t="s">
        <v>61</v>
      </c>
      <c r="C5" s="8">
        <v>28335</v>
      </c>
      <c r="D5" s="8">
        <v>32301</v>
      </c>
      <c r="E5" s="8">
        <v>35452</v>
      </c>
      <c r="F5" s="8">
        <v>38155</v>
      </c>
      <c r="G5" s="8">
        <v>39811</v>
      </c>
      <c r="H5" s="8">
        <v>45814</v>
      </c>
      <c r="I5" s="8">
        <v>52158</v>
      </c>
    </row>
    <row r="6" spans="2:9" x14ac:dyDescent="0.3">
      <c r="B6" s="22" t="s">
        <v>62</v>
      </c>
      <c r="C6" s="8">
        <v>42280</v>
      </c>
      <c r="D6" s="8">
        <v>41338</v>
      </c>
      <c r="E6" s="8">
        <v>43281</v>
      </c>
      <c r="F6" s="8">
        <v>44374</v>
      </c>
      <c r="G6" s="8">
        <v>45725</v>
      </c>
      <c r="H6" s="8">
        <v>49372</v>
      </c>
      <c r="I6" s="8">
        <v>55524</v>
      </c>
    </row>
    <row r="7" spans="2:9" x14ac:dyDescent="0.3">
      <c r="B7" s="22" t="s">
        <v>63</v>
      </c>
      <c r="C7" s="8">
        <v>8478</v>
      </c>
      <c r="D7" s="8">
        <v>8474</v>
      </c>
      <c r="E7" s="8">
        <v>9204</v>
      </c>
      <c r="F7" s="8">
        <v>9620</v>
      </c>
      <c r="G7" s="8">
        <v>14048</v>
      </c>
      <c r="H7" s="8">
        <v>19275</v>
      </c>
      <c r="I7" s="8">
        <v>19095</v>
      </c>
    </row>
    <row r="8" spans="2:9" x14ac:dyDescent="0.3">
      <c r="B8" s="22" t="s">
        <v>64</v>
      </c>
      <c r="C8" s="8">
        <v>6413</v>
      </c>
      <c r="D8" s="8">
        <v>7830</v>
      </c>
      <c r="E8" s="8">
        <v>7728</v>
      </c>
      <c r="F8" s="8">
        <v>7365</v>
      </c>
      <c r="G8" s="8">
        <v>9379</v>
      </c>
      <c r="H8" s="8">
        <v>9958</v>
      </c>
      <c r="I8" s="8">
        <v>9547</v>
      </c>
    </row>
    <row r="9" spans="2:9" x14ac:dyDescent="0.3">
      <c r="B9" s="22" t="s">
        <v>65</v>
      </c>
      <c r="C9" s="8">
        <v>2314</v>
      </c>
      <c r="D9" s="8">
        <v>2817</v>
      </c>
      <c r="E9" s="8">
        <v>2407</v>
      </c>
      <c r="F9" s="8">
        <v>2853</v>
      </c>
      <c r="G9" s="8">
        <v>2324</v>
      </c>
      <c r="H9" s="8">
        <v>2792</v>
      </c>
      <c r="I9" s="8">
        <v>3429</v>
      </c>
    </row>
    <row r="10" spans="2:9" x14ac:dyDescent="0.3">
      <c r="B10" s="22" t="s">
        <v>66</v>
      </c>
      <c r="C10" s="8">
        <v>1790</v>
      </c>
      <c r="D10" s="8">
        <v>2515</v>
      </c>
      <c r="E10" s="8">
        <v>2619</v>
      </c>
      <c r="F10" s="8">
        <v>3474</v>
      </c>
      <c r="G10" s="8">
        <v>3901</v>
      </c>
      <c r="H10" s="8">
        <v>5230</v>
      </c>
      <c r="I10" s="8">
        <v>6481</v>
      </c>
    </row>
    <row r="11" spans="2:9" x14ac:dyDescent="0.3">
      <c r="B11" s="22" t="s">
        <v>67</v>
      </c>
      <c r="C11" s="8">
        <v>2353</v>
      </c>
      <c r="D11" s="8">
        <v>2222</v>
      </c>
      <c r="E11" s="8">
        <v>2608</v>
      </c>
      <c r="F11" s="8">
        <v>3551</v>
      </c>
      <c r="G11" s="8">
        <v>4432</v>
      </c>
      <c r="H11" s="8">
        <v>4693</v>
      </c>
      <c r="I11" s="8">
        <v>3859</v>
      </c>
    </row>
    <row r="12" spans="2:9" x14ac:dyDescent="0.3">
      <c r="B12" s="22" t="s">
        <v>68</v>
      </c>
      <c r="C12" s="8">
        <v>1275</v>
      </c>
      <c r="D12" s="8">
        <v>1226</v>
      </c>
      <c r="E12" s="8">
        <v>1216</v>
      </c>
      <c r="F12" s="8">
        <v>1208</v>
      </c>
      <c r="G12" s="8">
        <v>1118</v>
      </c>
      <c r="H12" s="8">
        <v>396</v>
      </c>
      <c r="I12" s="8">
        <v>924</v>
      </c>
    </row>
    <row r="13" spans="2:9" x14ac:dyDescent="0.3">
      <c r="B13" s="22" t="s">
        <v>79</v>
      </c>
      <c r="C13" s="8">
        <v>70</v>
      </c>
      <c r="D13" s="8">
        <v>66</v>
      </c>
      <c r="E13" s="8">
        <v>75</v>
      </c>
      <c r="F13" s="8">
        <v>4985</v>
      </c>
      <c r="G13" s="8">
        <v>5017</v>
      </c>
      <c r="H13" s="8">
        <v>5833</v>
      </c>
      <c r="I13" s="8">
        <v>5896</v>
      </c>
    </row>
    <row r="14" spans="2:9" x14ac:dyDescent="0.3">
      <c r="B14" s="22" t="s">
        <v>69</v>
      </c>
      <c r="C14" s="8">
        <v>3983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</row>
    <row r="15" spans="2:9" x14ac:dyDescent="0.3">
      <c r="B15" s="16" t="s">
        <v>70</v>
      </c>
      <c r="C15" s="6">
        <f t="shared" ref="C15:I15" si="0">SUM(C4:C14)</f>
        <v>247680</v>
      </c>
      <c r="D15" s="6">
        <f t="shared" si="0"/>
        <v>246064</v>
      </c>
      <c r="E15" s="6">
        <f t="shared" si="0"/>
        <v>273225</v>
      </c>
      <c r="F15" s="6">
        <f t="shared" si="0"/>
        <v>322814</v>
      </c>
      <c r="G15" s="6">
        <f t="shared" si="0"/>
        <v>361629</v>
      </c>
      <c r="H15" s="6">
        <f t="shared" si="0"/>
        <v>386573</v>
      </c>
      <c r="I15" s="6">
        <f t="shared" si="0"/>
        <v>398594</v>
      </c>
    </row>
    <row r="17" spans="2:9" x14ac:dyDescent="0.3">
      <c r="B17" s="31" t="s">
        <v>71</v>
      </c>
      <c r="C17" s="32"/>
      <c r="D17" s="32"/>
      <c r="E17" s="32"/>
      <c r="F17" s="32"/>
      <c r="G17" s="32"/>
      <c r="H17" s="32"/>
      <c r="I17" s="32"/>
    </row>
    <row r="18" spans="2:9" x14ac:dyDescent="0.3">
      <c r="B18" s="22" t="s">
        <v>72</v>
      </c>
      <c r="C18" s="8">
        <v>173</v>
      </c>
      <c r="D18" s="8">
        <v>83</v>
      </c>
      <c r="E18" s="8">
        <v>200</v>
      </c>
      <c r="F18" s="8">
        <v>235</v>
      </c>
      <c r="G18" s="8">
        <v>158</v>
      </c>
      <c r="H18" s="8">
        <v>200</v>
      </c>
      <c r="I18" s="8">
        <v>247</v>
      </c>
    </row>
    <row r="19" spans="2:9" x14ac:dyDescent="0.3">
      <c r="B19" s="22" t="s">
        <v>144</v>
      </c>
      <c r="C19" s="8">
        <v>6</v>
      </c>
      <c r="D19" s="8">
        <v>6</v>
      </c>
      <c r="E19" s="8">
        <v>6</v>
      </c>
      <c r="F19" s="8">
        <v>6</v>
      </c>
      <c r="G19" s="8">
        <v>9</v>
      </c>
      <c r="H19" s="8">
        <v>8</v>
      </c>
      <c r="I19" s="8">
        <v>13</v>
      </c>
    </row>
    <row r="20" spans="2:9" x14ac:dyDescent="0.3">
      <c r="B20" s="16" t="s">
        <v>73</v>
      </c>
      <c r="C20" s="6">
        <f t="shared" ref="C20:I20" si="1">C15+C18</f>
        <v>247853</v>
      </c>
      <c r="D20" s="6">
        <f t="shared" si="1"/>
        <v>246147</v>
      </c>
      <c r="E20" s="6">
        <f t="shared" si="1"/>
        <v>273425</v>
      </c>
      <c r="F20" s="6">
        <f t="shared" si="1"/>
        <v>323049</v>
      </c>
      <c r="G20" s="6">
        <f t="shared" si="1"/>
        <v>361787</v>
      </c>
      <c r="H20" s="6">
        <f t="shared" si="1"/>
        <v>386773</v>
      </c>
      <c r="I20" s="6">
        <f t="shared" si="1"/>
        <v>398841</v>
      </c>
    </row>
    <row r="22" spans="2:9" x14ac:dyDescent="0.3">
      <c r="B22" s="18" t="s">
        <v>51</v>
      </c>
      <c r="C22" s="20"/>
      <c r="D22" s="20"/>
      <c r="E22" s="20"/>
      <c r="F22" s="20"/>
      <c r="G22" s="20"/>
      <c r="H22" s="20"/>
      <c r="I22" s="20"/>
    </row>
    <row r="23" spans="2:9" x14ac:dyDescent="0.3">
      <c r="B23" s="22" t="s">
        <v>74</v>
      </c>
      <c r="C23" s="9">
        <f>(C4+C5)/IS!C6</f>
        <v>0.47899486228401894</v>
      </c>
      <c r="D23" s="9">
        <f>(D4+D5)/IS!D6</f>
        <v>0.47544863885961802</v>
      </c>
      <c r="E23" s="9">
        <f>(E4+E5)/IS!E6</f>
        <v>0.47323095187855208</v>
      </c>
      <c r="F23" s="9">
        <f>(F4+F5)/IS!F6</f>
        <v>0.50223605815183914</v>
      </c>
      <c r="G23" s="9">
        <f>(G4+G5)/IS!G6</f>
        <v>0.50981686648062974</v>
      </c>
      <c r="H23" s="9">
        <f>(H4+H5)/IS!H6</f>
        <v>0.50659482615074236</v>
      </c>
      <c r="I23" s="9">
        <f>(I4+I5)/IS!I6</f>
        <v>0.50538078259987174</v>
      </c>
    </row>
    <row r="24" spans="2:9" x14ac:dyDescent="0.3">
      <c r="B24" s="22" t="s">
        <v>75</v>
      </c>
      <c r="C24" s="9">
        <f t="shared" ref="C24:I24" si="2">(C4+C5)/C15</f>
        <v>0.72159237726098191</v>
      </c>
      <c r="D24" s="9">
        <f t="shared" si="2"/>
        <v>0.72979387476428892</v>
      </c>
      <c r="E24" s="9">
        <f t="shared" si="2"/>
        <v>0.74695580565468023</v>
      </c>
      <c r="F24" s="9">
        <f t="shared" si="2"/>
        <v>0.76014051435191787</v>
      </c>
      <c r="G24" s="9">
        <f t="shared" si="2"/>
        <v>0.76234206880532263</v>
      </c>
      <c r="H24" s="9">
        <f t="shared" si="2"/>
        <v>0.74765697552596788</v>
      </c>
      <c r="I24" s="9">
        <f t="shared" si="2"/>
        <v>0.73718871834498256</v>
      </c>
    </row>
    <row r="25" spans="2:9" x14ac:dyDescent="0.3">
      <c r="B25" s="22" t="s">
        <v>76</v>
      </c>
      <c r="C25" s="9">
        <f>C20/IS!C6</f>
        <v>0.6642662071220482</v>
      </c>
      <c r="D25" s="9">
        <f>D20/IS!D6</f>
        <v>0.65170321261960618</v>
      </c>
      <c r="E25" s="9">
        <f>E20/IS!E6</f>
        <v>0.63400987332555769</v>
      </c>
      <c r="F25" s="9">
        <f>F20/IS!F6</f>
        <v>0.66119574360958122</v>
      </c>
      <c r="G25" s="9">
        <f>G20/IS!G6</f>
        <v>0.6690429826556672</v>
      </c>
      <c r="H25" s="9">
        <f>H20/IS!H6</f>
        <v>0.67792709496374381</v>
      </c>
      <c r="I25" s="9">
        <f>I20/IS!I6</f>
        <v>0.68597625472764145</v>
      </c>
    </row>
    <row r="26" spans="2:9" x14ac:dyDescent="0.3">
      <c r="B26" s="22" t="s">
        <v>77</v>
      </c>
      <c r="C26" s="8">
        <f t="shared" ref="C26:I26" si="3">C15-C4-C5-C6-C12</f>
        <v>25401</v>
      </c>
      <c r="D26" s="8">
        <f t="shared" si="3"/>
        <v>23924</v>
      </c>
      <c r="E26" s="8">
        <f t="shared" si="3"/>
        <v>24641</v>
      </c>
      <c r="F26" s="8">
        <f t="shared" si="3"/>
        <v>31848</v>
      </c>
      <c r="G26" s="8">
        <f t="shared" si="3"/>
        <v>39101</v>
      </c>
      <c r="H26" s="8">
        <f t="shared" si="3"/>
        <v>47781</v>
      </c>
      <c r="I26" s="8">
        <f t="shared" si="3"/>
        <v>48307</v>
      </c>
    </row>
    <row r="28" spans="2:9" x14ac:dyDescent="0.3">
      <c r="B28" s="11"/>
    </row>
  </sheetData>
  <pageMargins left="0.75" right="0.75" top="1" bottom="1" header="0.511811023622047" footer="0.511811023622047"/>
  <pageSetup paperSize="9" orientation="portrait" horizontalDpi="300" verticalDpi="300"/>
  <ignoredErrors>
    <ignoredError sqref="C2:I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I56"/>
  <sheetViews>
    <sheetView showGridLines="0" zoomScaleNormal="100" workbookViewId="0">
      <pane xSplit="2" ySplit="2" topLeftCell="C30" activePane="bottomRight" state="frozen"/>
      <selection pane="topRight" activeCell="C1" sqref="C1"/>
      <selection pane="bottomLeft" activeCell="A5" sqref="A5"/>
      <selection pane="bottomRight" activeCell="B49" sqref="B49:I49"/>
    </sheetView>
  </sheetViews>
  <sheetFormatPr baseColWidth="10" defaultColWidth="8.7265625" defaultRowHeight="13" x14ac:dyDescent="0.3"/>
  <cols>
    <col min="1" max="1" width="3.7265625" style="10" customWidth="1"/>
    <col min="2" max="2" width="36.54296875" style="10" customWidth="1"/>
    <col min="3" max="9" width="12" style="10" customWidth="1"/>
    <col min="10" max="16384" width="8.7265625" style="10"/>
  </cols>
  <sheetData>
    <row r="2" spans="2:9" x14ac:dyDescent="0.3">
      <c r="B2" s="14" t="s">
        <v>120</v>
      </c>
      <c r="C2" s="15" t="s">
        <v>2</v>
      </c>
      <c r="D2" s="15" t="s">
        <v>3</v>
      </c>
      <c r="E2" s="15" t="s">
        <v>4</v>
      </c>
      <c r="F2" s="15" t="s">
        <v>5</v>
      </c>
      <c r="G2" s="15" t="s">
        <v>6</v>
      </c>
      <c r="H2" s="15" t="s">
        <v>7</v>
      </c>
      <c r="I2" s="15" t="s">
        <v>8</v>
      </c>
    </row>
    <row r="3" spans="2:9" x14ac:dyDescent="0.3">
      <c r="B3" s="31" t="s">
        <v>19</v>
      </c>
      <c r="C3" s="32"/>
      <c r="D3" s="32"/>
      <c r="E3" s="32"/>
      <c r="F3" s="32"/>
      <c r="G3" s="32"/>
      <c r="H3" s="32"/>
      <c r="I3" s="32"/>
    </row>
    <row r="4" spans="2:9" x14ac:dyDescent="0.3">
      <c r="B4" s="4" t="s">
        <v>63</v>
      </c>
      <c r="C4" s="8">
        <v>10791</v>
      </c>
      <c r="D4" s="8">
        <v>9640</v>
      </c>
      <c r="E4" s="8">
        <v>13168</v>
      </c>
      <c r="F4" s="8">
        <v>14300</v>
      </c>
      <c r="G4" s="8">
        <v>14791</v>
      </c>
      <c r="H4" s="8">
        <v>12979</v>
      </c>
      <c r="I4" s="8">
        <v>12426</v>
      </c>
    </row>
    <row r="5" spans="2:9" x14ac:dyDescent="0.3">
      <c r="B5" s="4" t="s">
        <v>64</v>
      </c>
      <c r="C5" s="8">
        <v>5995</v>
      </c>
      <c r="D5" s="8">
        <v>6633</v>
      </c>
      <c r="E5" s="8">
        <v>7038</v>
      </c>
      <c r="F5" s="8">
        <v>7417</v>
      </c>
      <c r="G5" s="8">
        <v>6599</v>
      </c>
      <c r="H5" s="8">
        <v>7268</v>
      </c>
      <c r="I5" s="8">
        <v>7427</v>
      </c>
    </row>
    <row r="6" spans="2:9" x14ac:dyDescent="0.3">
      <c r="B6" s="4" t="s">
        <v>65</v>
      </c>
      <c r="C6" s="8">
        <v>6378</v>
      </c>
      <c r="D6" s="8">
        <v>5221</v>
      </c>
      <c r="E6" s="8">
        <v>5891</v>
      </c>
      <c r="F6" s="8">
        <v>6271</v>
      </c>
      <c r="G6" s="8">
        <v>5166</v>
      </c>
      <c r="H6" s="8">
        <v>4893</v>
      </c>
      <c r="I6" s="8">
        <v>5446</v>
      </c>
    </row>
    <row r="7" spans="2:9" x14ac:dyDescent="0.3">
      <c r="B7" s="4" t="s">
        <v>66</v>
      </c>
      <c r="C7" s="8">
        <v>4599</v>
      </c>
      <c r="D7" s="8">
        <v>4283</v>
      </c>
      <c r="E7" s="8">
        <v>5843</v>
      </c>
      <c r="F7" s="8">
        <v>5990</v>
      </c>
      <c r="G7" s="8">
        <v>6944</v>
      </c>
      <c r="H7" s="8">
        <v>3970</v>
      </c>
      <c r="I7" s="8">
        <v>3757</v>
      </c>
    </row>
    <row r="8" spans="2:9" x14ac:dyDescent="0.3">
      <c r="B8" s="4" t="s">
        <v>79</v>
      </c>
      <c r="C8" s="8">
        <v>4346</v>
      </c>
      <c r="D8" s="8">
        <v>4511</v>
      </c>
      <c r="E8" s="8">
        <v>4875</v>
      </c>
      <c r="F8" s="8">
        <v>564</v>
      </c>
      <c r="G8" s="8">
        <v>1056</v>
      </c>
      <c r="H8" s="8">
        <v>143</v>
      </c>
      <c r="I8" s="8">
        <v>301</v>
      </c>
    </row>
    <row r="9" spans="2:9" x14ac:dyDescent="0.3">
      <c r="B9" s="4" t="s">
        <v>68</v>
      </c>
      <c r="C9" s="8">
        <v>691</v>
      </c>
      <c r="D9" s="8">
        <v>690</v>
      </c>
      <c r="E9" s="8">
        <v>692</v>
      </c>
      <c r="F9" s="8">
        <v>719</v>
      </c>
      <c r="G9" s="8">
        <v>565</v>
      </c>
      <c r="H9" s="8">
        <v>513</v>
      </c>
      <c r="I9" s="8">
        <v>542</v>
      </c>
    </row>
    <row r="10" spans="2:9" x14ac:dyDescent="0.3">
      <c r="B10" s="4" t="s">
        <v>62</v>
      </c>
      <c r="C10" s="8">
        <v>363</v>
      </c>
      <c r="D10" s="8">
        <v>343</v>
      </c>
      <c r="E10" s="8">
        <v>498</v>
      </c>
      <c r="F10" s="8">
        <v>593</v>
      </c>
      <c r="G10" s="8">
        <v>450</v>
      </c>
      <c r="H10" s="8">
        <v>533</v>
      </c>
      <c r="I10" s="8">
        <v>564</v>
      </c>
    </row>
    <row r="11" spans="2:9" x14ac:dyDescent="0.3">
      <c r="B11" s="4" t="s">
        <v>67</v>
      </c>
      <c r="C11" s="8">
        <v>207</v>
      </c>
      <c r="D11" s="8">
        <v>192</v>
      </c>
      <c r="E11" s="8">
        <v>231</v>
      </c>
      <c r="F11" s="8">
        <v>184</v>
      </c>
      <c r="G11" s="8">
        <v>82</v>
      </c>
      <c r="H11" s="8">
        <v>128</v>
      </c>
      <c r="I11" s="8">
        <v>377</v>
      </c>
    </row>
    <row r="12" spans="2:9" x14ac:dyDescent="0.3">
      <c r="B12" s="16" t="s">
        <v>78</v>
      </c>
      <c r="C12" s="6">
        <f t="shared" ref="C12:I12" si="0">SUM(C4:C11)</f>
        <v>33370</v>
      </c>
      <c r="D12" s="6">
        <f t="shared" si="0"/>
        <v>31513</v>
      </c>
      <c r="E12" s="6">
        <f t="shared" si="0"/>
        <v>38236</v>
      </c>
      <c r="F12" s="6">
        <f t="shared" si="0"/>
        <v>36038</v>
      </c>
      <c r="G12" s="6">
        <f t="shared" si="0"/>
        <v>35653</v>
      </c>
      <c r="H12" s="6">
        <f t="shared" si="0"/>
        <v>30427</v>
      </c>
      <c r="I12" s="6">
        <f t="shared" si="0"/>
        <v>30840</v>
      </c>
    </row>
    <row r="14" spans="2:9" x14ac:dyDescent="0.3">
      <c r="B14" s="31" t="s">
        <v>20</v>
      </c>
      <c r="C14" s="32"/>
      <c r="D14" s="32"/>
      <c r="E14" s="32"/>
      <c r="F14" s="32"/>
      <c r="G14" s="32"/>
      <c r="H14" s="32"/>
      <c r="I14" s="32"/>
    </row>
    <row r="15" spans="2:9" x14ac:dyDescent="0.3">
      <c r="B15" s="4" t="s">
        <v>64</v>
      </c>
      <c r="C15" s="8">
        <v>28352</v>
      </c>
      <c r="D15" s="8">
        <v>15195</v>
      </c>
      <c r="E15" s="8">
        <v>17065</v>
      </c>
      <c r="F15" s="8">
        <v>17941</v>
      </c>
      <c r="G15" s="8">
        <v>16636</v>
      </c>
      <c r="H15" s="8">
        <v>18347</v>
      </c>
      <c r="I15" s="8">
        <v>20092</v>
      </c>
    </row>
    <row r="16" spans="2:9" x14ac:dyDescent="0.3">
      <c r="B16" s="4" t="s">
        <v>65</v>
      </c>
      <c r="C16" s="8">
        <v>7080</v>
      </c>
      <c r="D16" s="8">
        <v>5859</v>
      </c>
      <c r="E16" s="8">
        <v>7142</v>
      </c>
      <c r="F16" s="8">
        <v>9639</v>
      </c>
      <c r="G16" s="8">
        <v>12420</v>
      </c>
      <c r="H16" s="8">
        <v>14015</v>
      </c>
      <c r="I16" s="8">
        <v>17094</v>
      </c>
    </row>
    <row r="17" spans="2:9" x14ac:dyDescent="0.3">
      <c r="B17" s="4" t="s">
        <v>62</v>
      </c>
      <c r="C17" s="8">
        <v>2278</v>
      </c>
      <c r="D17" s="8">
        <v>2775</v>
      </c>
      <c r="E17" s="8">
        <v>2839</v>
      </c>
      <c r="F17" s="8">
        <v>3127</v>
      </c>
      <c r="G17" s="8">
        <v>3394</v>
      </c>
      <c r="H17" s="8">
        <v>3462</v>
      </c>
      <c r="I17" s="8">
        <v>3240</v>
      </c>
    </row>
    <row r="18" spans="2:9" x14ac:dyDescent="0.3">
      <c r="B18" s="4" t="s">
        <v>67</v>
      </c>
      <c r="C18" s="8">
        <v>1158</v>
      </c>
      <c r="D18" s="8">
        <v>2295</v>
      </c>
      <c r="E18" s="8">
        <v>2452</v>
      </c>
      <c r="F18" s="8">
        <v>2883</v>
      </c>
      <c r="G18" s="8">
        <v>1849</v>
      </c>
      <c r="H18" s="8">
        <v>1665</v>
      </c>
      <c r="I18" s="8">
        <v>2202</v>
      </c>
    </row>
    <row r="19" spans="2:9" x14ac:dyDescent="0.3">
      <c r="B19" s="4" t="s">
        <v>66</v>
      </c>
      <c r="C19" s="8">
        <v>386</v>
      </c>
      <c r="D19" s="8">
        <v>413</v>
      </c>
      <c r="E19" s="8">
        <v>496</v>
      </c>
      <c r="F19" s="8">
        <v>434</v>
      </c>
      <c r="G19" s="8">
        <v>569</v>
      </c>
      <c r="H19" s="8">
        <v>527</v>
      </c>
      <c r="I19" s="8">
        <v>645</v>
      </c>
    </row>
    <row r="20" spans="2:9" x14ac:dyDescent="0.3">
      <c r="B20" s="4" t="s">
        <v>68</v>
      </c>
      <c r="C20" s="8">
        <v>329</v>
      </c>
      <c r="D20" s="8">
        <v>333</v>
      </c>
      <c r="E20" s="8">
        <v>386</v>
      </c>
      <c r="F20" s="8">
        <v>407</v>
      </c>
      <c r="G20" s="8">
        <v>364</v>
      </c>
      <c r="H20" s="8">
        <v>361</v>
      </c>
      <c r="I20" s="8">
        <v>356</v>
      </c>
    </row>
    <row r="21" spans="2:9" x14ac:dyDescent="0.3">
      <c r="B21" s="4" t="s">
        <v>79</v>
      </c>
      <c r="C21" s="8">
        <v>190</v>
      </c>
      <c r="D21" s="8">
        <v>149</v>
      </c>
      <c r="E21" s="8">
        <v>96</v>
      </c>
      <c r="F21" s="8">
        <v>140</v>
      </c>
      <c r="G21" s="8">
        <v>347</v>
      </c>
      <c r="H21" s="8">
        <v>258</v>
      </c>
      <c r="I21" s="8">
        <v>258</v>
      </c>
    </row>
    <row r="22" spans="2:9" x14ac:dyDescent="0.3">
      <c r="B22" s="4" t="s">
        <v>63</v>
      </c>
      <c r="C22" s="8">
        <v>836</v>
      </c>
      <c r="D22" s="8">
        <v>262</v>
      </c>
      <c r="E22" s="8">
        <v>175</v>
      </c>
      <c r="F22" s="8">
        <v>149</v>
      </c>
      <c r="G22" s="8">
        <v>140</v>
      </c>
      <c r="H22" s="8">
        <v>225</v>
      </c>
      <c r="I22" s="8">
        <v>297</v>
      </c>
    </row>
    <row r="23" spans="2:9" x14ac:dyDescent="0.3">
      <c r="B23" s="16" t="s">
        <v>80</v>
      </c>
      <c r="C23" s="6">
        <f t="shared" ref="C23:I23" si="1">SUM(C15:C22)</f>
        <v>40609</v>
      </c>
      <c r="D23" s="6">
        <f t="shared" si="1"/>
        <v>27281</v>
      </c>
      <c r="E23" s="6">
        <f t="shared" si="1"/>
        <v>30651</v>
      </c>
      <c r="F23" s="6">
        <f t="shared" si="1"/>
        <v>34720</v>
      </c>
      <c r="G23" s="6">
        <f t="shared" si="1"/>
        <v>35719</v>
      </c>
      <c r="H23" s="6">
        <f t="shared" si="1"/>
        <v>38860</v>
      </c>
      <c r="I23" s="6">
        <f t="shared" si="1"/>
        <v>44184</v>
      </c>
    </row>
    <row r="24" spans="2:9" x14ac:dyDescent="0.3">
      <c r="C24" s="7"/>
      <c r="D24" s="7"/>
      <c r="E24" s="7"/>
      <c r="F24" s="7"/>
      <c r="G24" s="7"/>
      <c r="H24" s="7"/>
      <c r="I24" s="7"/>
    </row>
    <row r="25" spans="2:9" x14ac:dyDescent="0.3">
      <c r="B25" s="31" t="s">
        <v>21</v>
      </c>
      <c r="C25" s="32"/>
      <c r="D25" s="32"/>
      <c r="E25" s="32"/>
      <c r="F25" s="32"/>
      <c r="G25" s="32"/>
      <c r="H25" s="32"/>
      <c r="I25" s="32"/>
    </row>
    <row r="26" spans="2:9" x14ac:dyDescent="0.3">
      <c r="B26" s="22" t="s">
        <v>81</v>
      </c>
      <c r="C26" s="8">
        <f>-IS!C17</f>
        <v>2782</v>
      </c>
      <c r="D26" s="8">
        <f>-IS!D17</f>
        <v>4713</v>
      </c>
      <c r="E26" s="8">
        <f>-IS!E17</f>
        <v>2107</v>
      </c>
      <c r="F26" s="8">
        <f>-IS!F17</f>
        <v>1807</v>
      </c>
      <c r="G26" s="8">
        <f>-IS!G17</f>
        <v>4600</v>
      </c>
      <c r="H26" s="8">
        <f>-IS!H17</f>
        <v>2437</v>
      </c>
      <c r="I26" s="8">
        <f>-IS!I17</f>
        <v>1392</v>
      </c>
    </row>
    <row r="27" spans="2:9" x14ac:dyDescent="0.3">
      <c r="C27" s="7"/>
      <c r="D27" s="7"/>
      <c r="E27" s="7"/>
      <c r="F27" s="7"/>
      <c r="G27" s="7"/>
      <c r="H27" s="7"/>
      <c r="I27" s="7"/>
    </row>
    <row r="28" spans="2:9" x14ac:dyDescent="0.3">
      <c r="B28" s="31" t="s">
        <v>82</v>
      </c>
      <c r="C28" s="32"/>
      <c r="D28" s="32"/>
      <c r="E28" s="32"/>
      <c r="F28" s="32"/>
      <c r="G28" s="32"/>
      <c r="H28" s="32"/>
      <c r="I28" s="32"/>
    </row>
    <row r="29" spans="2:9" x14ac:dyDescent="0.3">
      <c r="B29" s="4" t="s">
        <v>83</v>
      </c>
      <c r="C29" s="8">
        <v>2022</v>
      </c>
      <c r="D29" s="8">
        <v>2688</v>
      </c>
      <c r="E29" s="8">
        <v>2889</v>
      </c>
      <c r="F29" s="8">
        <v>3415</v>
      </c>
      <c r="G29" s="8">
        <v>3543</v>
      </c>
      <c r="H29" s="8">
        <v>4647</v>
      </c>
      <c r="I29" s="8">
        <v>5663</v>
      </c>
    </row>
    <row r="30" spans="2:9" x14ac:dyDescent="0.3">
      <c r="B30" s="4" t="s">
        <v>84</v>
      </c>
      <c r="C30" s="8">
        <v>0</v>
      </c>
      <c r="D30" s="8">
        <v>0</v>
      </c>
      <c r="E30" s="8">
        <v>625</v>
      </c>
      <c r="F30" s="8">
        <v>1131</v>
      </c>
      <c r="G30" s="8">
        <v>241</v>
      </c>
      <c r="H30" s="8">
        <v>642</v>
      </c>
      <c r="I30" s="8">
        <v>255</v>
      </c>
    </row>
    <row r="31" spans="2:9" x14ac:dyDescent="0.3">
      <c r="B31" s="4" t="s">
        <v>85</v>
      </c>
      <c r="C31" s="8">
        <v>942</v>
      </c>
      <c r="D31" s="8">
        <v>618</v>
      </c>
      <c r="E31" s="8">
        <v>3278</v>
      </c>
      <c r="F31" s="8">
        <v>2235</v>
      </c>
      <c r="G31" s="8">
        <v>1737</v>
      </c>
      <c r="H31" s="8">
        <v>1343</v>
      </c>
      <c r="I31" s="8">
        <v>1283</v>
      </c>
    </row>
    <row r="32" spans="2:9" x14ac:dyDescent="0.3">
      <c r="B32" s="4" t="s">
        <v>86</v>
      </c>
      <c r="C32" s="8">
        <v>224</v>
      </c>
      <c r="D32" s="8">
        <v>93</v>
      </c>
      <c r="E32" s="8">
        <v>183</v>
      </c>
      <c r="F32" s="8">
        <v>952</v>
      </c>
      <c r="G32" s="8">
        <v>309</v>
      </c>
      <c r="H32" s="8">
        <v>472</v>
      </c>
      <c r="I32" s="8">
        <v>207</v>
      </c>
    </row>
    <row r="33" spans="2:9" x14ac:dyDescent="0.3">
      <c r="B33" s="4" t="s">
        <v>87</v>
      </c>
      <c r="C33" s="8">
        <v>69</v>
      </c>
      <c r="D33" s="8">
        <v>62</v>
      </c>
      <c r="E33" s="8">
        <v>182</v>
      </c>
      <c r="F33" s="8">
        <v>937</v>
      </c>
      <c r="G33" s="8">
        <v>2</v>
      </c>
      <c r="H33" s="8">
        <v>0</v>
      </c>
      <c r="I33" s="8">
        <v>25</v>
      </c>
    </row>
    <row r="34" spans="2:9" x14ac:dyDescent="0.3">
      <c r="B34" s="4" t="s">
        <v>88</v>
      </c>
      <c r="C34" s="8">
        <v>342</v>
      </c>
      <c r="D34" s="8">
        <v>49</v>
      </c>
      <c r="E34" s="8">
        <v>239</v>
      </c>
      <c r="F34" s="8">
        <v>566</v>
      </c>
      <c r="G34" s="8">
        <v>453</v>
      </c>
      <c r="H34" s="8">
        <v>575</v>
      </c>
      <c r="I34" s="8">
        <v>236</v>
      </c>
    </row>
    <row r="35" spans="2:9" x14ac:dyDescent="0.3">
      <c r="B35" s="4" t="s">
        <v>89</v>
      </c>
      <c r="C35" s="8">
        <v>450</v>
      </c>
      <c r="D35" s="8">
        <v>144</v>
      </c>
      <c r="E35" s="8">
        <v>108</v>
      </c>
      <c r="F35" s="8">
        <v>169</v>
      </c>
      <c r="G35" s="8">
        <v>108</v>
      </c>
      <c r="H35" s="8">
        <v>249</v>
      </c>
      <c r="I35" s="8">
        <v>290</v>
      </c>
    </row>
    <row r="36" spans="2:9" x14ac:dyDescent="0.3">
      <c r="B36" s="16" t="s">
        <v>90</v>
      </c>
      <c r="C36" s="6">
        <f t="shared" ref="C36:I36" si="2">SUM(C29:C35)</f>
        <v>4049</v>
      </c>
      <c r="D36" s="6">
        <f t="shared" si="2"/>
        <v>3654</v>
      </c>
      <c r="E36" s="6">
        <f t="shared" si="2"/>
        <v>7504</v>
      </c>
      <c r="F36" s="6">
        <f t="shared" si="2"/>
        <v>9405</v>
      </c>
      <c r="G36" s="6">
        <f t="shared" si="2"/>
        <v>6393</v>
      </c>
      <c r="H36" s="6">
        <f t="shared" si="2"/>
        <v>7928</v>
      </c>
      <c r="I36" s="6">
        <f t="shared" si="2"/>
        <v>7959</v>
      </c>
    </row>
    <row r="37" spans="2:9" x14ac:dyDescent="0.3">
      <c r="C37" s="7"/>
      <c r="D37" s="7"/>
      <c r="E37" s="7"/>
      <c r="F37" s="7"/>
      <c r="G37" s="7"/>
      <c r="H37" s="7"/>
      <c r="I37" s="7"/>
    </row>
    <row r="38" spans="2:9" x14ac:dyDescent="0.3">
      <c r="B38" s="31" t="s">
        <v>91</v>
      </c>
      <c r="C38" s="32"/>
      <c r="D38" s="32"/>
      <c r="E38" s="32"/>
      <c r="F38" s="32"/>
      <c r="G38" s="32"/>
      <c r="H38" s="32"/>
      <c r="I38" s="32"/>
    </row>
    <row r="39" spans="2:9" x14ac:dyDescent="0.3">
      <c r="B39" s="22" t="s">
        <v>92</v>
      </c>
      <c r="C39" s="8">
        <v>1064</v>
      </c>
      <c r="D39" s="8">
        <v>1467</v>
      </c>
      <c r="E39" s="8">
        <v>3593</v>
      </c>
      <c r="F39" s="8">
        <v>1511</v>
      </c>
      <c r="G39" s="8">
        <v>2013</v>
      </c>
      <c r="H39" s="8">
        <v>2137</v>
      </c>
      <c r="I39" s="8">
        <v>488</v>
      </c>
    </row>
    <row r="40" spans="2:9" x14ac:dyDescent="0.3">
      <c r="B40" s="22" t="s">
        <v>93</v>
      </c>
      <c r="C40" s="8">
        <v>1240</v>
      </c>
      <c r="D40" s="8">
        <v>1301</v>
      </c>
      <c r="E40" s="8">
        <v>588</v>
      </c>
      <c r="F40" s="8">
        <v>740</v>
      </c>
      <c r="G40" s="8">
        <v>1058</v>
      </c>
      <c r="H40" s="8">
        <v>1093</v>
      </c>
      <c r="I40" s="8">
        <v>840</v>
      </c>
    </row>
    <row r="41" spans="2:9" x14ac:dyDescent="0.3">
      <c r="B41" s="22" t="s">
        <v>94</v>
      </c>
      <c r="C41" s="8">
        <v>0</v>
      </c>
      <c r="D41" s="8">
        <v>160</v>
      </c>
      <c r="E41" s="8">
        <v>751</v>
      </c>
      <c r="F41" s="8">
        <v>854</v>
      </c>
      <c r="G41" s="8">
        <v>1007</v>
      </c>
      <c r="H41" s="8">
        <v>1470</v>
      </c>
      <c r="I41" s="8">
        <v>2069</v>
      </c>
    </row>
    <row r="42" spans="2:9" x14ac:dyDescent="0.3">
      <c r="B42" s="22" t="s">
        <v>95</v>
      </c>
      <c r="C42" s="8">
        <v>557</v>
      </c>
      <c r="D42" s="8">
        <v>416</v>
      </c>
      <c r="E42" s="8">
        <v>719</v>
      </c>
      <c r="F42" s="8">
        <v>1125</v>
      </c>
      <c r="G42" s="8">
        <v>260</v>
      </c>
      <c r="H42" s="8">
        <v>631</v>
      </c>
      <c r="I42" s="8">
        <v>165</v>
      </c>
    </row>
    <row r="43" spans="2:9" x14ac:dyDescent="0.3">
      <c r="B43" s="22" t="s">
        <v>96</v>
      </c>
      <c r="C43" s="8">
        <v>110</v>
      </c>
      <c r="D43" s="8">
        <v>115</v>
      </c>
      <c r="E43" s="8">
        <v>149</v>
      </c>
      <c r="F43" s="8">
        <v>151</v>
      </c>
      <c r="G43" s="8">
        <v>115</v>
      </c>
      <c r="H43" s="8">
        <v>236</v>
      </c>
      <c r="I43" s="8">
        <v>185</v>
      </c>
    </row>
    <row r="44" spans="2:9" x14ac:dyDescent="0.3">
      <c r="B44" s="22" t="s">
        <v>97</v>
      </c>
      <c r="C44" s="8">
        <v>361</v>
      </c>
      <c r="D44" s="8">
        <v>54</v>
      </c>
      <c r="E44" s="8">
        <v>523</v>
      </c>
      <c r="F44" s="8">
        <v>715</v>
      </c>
      <c r="G44" s="8">
        <v>263</v>
      </c>
      <c r="H44" s="8">
        <v>298</v>
      </c>
      <c r="I44" s="8">
        <v>58</v>
      </c>
    </row>
    <row r="45" spans="2:9" x14ac:dyDescent="0.3">
      <c r="B45" s="22" t="s">
        <v>98</v>
      </c>
      <c r="C45" s="8">
        <v>0</v>
      </c>
      <c r="D45" s="8">
        <v>426</v>
      </c>
      <c r="E45" s="8">
        <v>119</v>
      </c>
      <c r="F45" s="8">
        <v>32</v>
      </c>
      <c r="G45" s="8">
        <v>0</v>
      </c>
      <c r="H45" s="8">
        <v>0</v>
      </c>
      <c r="I45" s="8">
        <v>0</v>
      </c>
    </row>
    <row r="46" spans="2:9" x14ac:dyDescent="0.3">
      <c r="B46" s="22" t="s">
        <v>89</v>
      </c>
      <c r="C46" s="8">
        <v>64</v>
      </c>
      <c r="D46" s="8">
        <v>44</v>
      </c>
      <c r="E46" s="8">
        <v>62</v>
      </c>
      <c r="F46" s="8">
        <v>42</v>
      </c>
      <c r="G46" s="8">
        <v>28</v>
      </c>
      <c r="H46" s="8">
        <v>47</v>
      </c>
      <c r="I46" s="8">
        <v>210</v>
      </c>
    </row>
    <row r="47" spans="2:9" x14ac:dyDescent="0.3">
      <c r="B47" s="16" t="s">
        <v>99</v>
      </c>
      <c r="C47" s="6">
        <f t="shared" ref="C47:I47" si="3">SUM(C39:C46)</f>
        <v>3396</v>
      </c>
      <c r="D47" s="6">
        <f t="shared" si="3"/>
        <v>3983</v>
      </c>
      <c r="E47" s="6">
        <f t="shared" si="3"/>
        <v>6504</v>
      </c>
      <c r="F47" s="6">
        <f t="shared" si="3"/>
        <v>5170</v>
      </c>
      <c r="G47" s="6">
        <f t="shared" si="3"/>
        <v>4744</v>
      </c>
      <c r="H47" s="6">
        <f t="shared" si="3"/>
        <v>5912</v>
      </c>
      <c r="I47" s="6">
        <f t="shared" si="3"/>
        <v>4015</v>
      </c>
    </row>
    <row r="48" spans="2:9" x14ac:dyDescent="0.3">
      <c r="C48" s="7"/>
      <c r="D48" s="7"/>
      <c r="E48" s="7"/>
      <c r="F48" s="7"/>
      <c r="G48" s="7"/>
      <c r="H48" s="7"/>
      <c r="I48" s="7"/>
    </row>
    <row r="49" spans="2:9" x14ac:dyDescent="0.3">
      <c r="B49" s="31" t="s">
        <v>100</v>
      </c>
      <c r="C49" s="32"/>
      <c r="D49" s="32"/>
      <c r="E49" s="32"/>
      <c r="F49" s="32"/>
      <c r="G49" s="32"/>
      <c r="H49" s="32"/>
      <c r="I49" s="32"/>
    </row>
    <row r="50" spans="2:9" x14ac:dyDescent="0.3">
      <c r="B50" s="22" t="s">
        <v>101</v>
      </c>
      <c r="C50" s="8">
        <f t="shared" ref="C50:I50" si="4">C12</f>
        <v>33370</v>
      </c>
      <c r="D50" s="8">
        <f t="shared" si="4"/>
        <v>31513</v>
      </c>
      <c r="E50" s="8">
        <f t="shared" si="4"/>
        <v>38236</v>
      </c>
      <c r="F50" s="8">
        <f t="shared" si="4"/>
        <v>36038</v>
      </c>
      <c r="G50" s="8">
        <f t="shared" si="4"/>
        <v>35653</v>
      </c>
      <c r="H50" s="8">
        <f t="shared" si="4"/>
        <v>30427</v>
      </c>
      <c r="I50" s="8">
        <f t="shared" si="4"/>
        <v>30840</v>
      </c>
    </row>
    <row r="51" spans="2:9" x14ac:dyDescent="0.3">
      <c r="B51" s="22" t="s">
        <v>102</v>
      </c>
      <c r="C51" s="8">
        <f t="shared" ref="C51:I51" si="5">C23</f>
        <v>40609</v>
      </c>
      <c r="D51" s="8">
        <f t="shared" si="5"/>
        <v>27281</v>
      </c>
      <c r="E51" s="8">
        <f t="shared" si="5"/>
        <v>30651</v>
      </c>
      <c r="F51" s="8">
        <f t="shared" si="5"/>
        <v>34720</v>
      </c>
      <c r="G51" s="8">
        <f t="shared" si="5"/>
        <v>35719</v>
      </c>
      <c r="H51" s="8">
        <f t="shared" si="5"/>
        <v>38860</v>
      </c>
      <c r="I51" s="8">
        <f t="shared" si="5"/>
        <v>44184</v>
      </c>
    </row>
    <row r="52" spans="2:9" x14ac:dyDescent="0.3">
      <c r="B52" s="22" t="s">
        <v>103</v>
      </c>
      <c r="C52" s="8">
        <f t="shared" ref="C52:I52" si="6">C26</f>
        <v>2782</v>
      </c>
      <c r="D52" s="8">
        <f t="shared" si="6"/>
        <v>4713</v>
      </c>
      <c r="E52" s="8">
        <f t="shared" si="6"/>
        <v>2107</v>
      </c>
      <c r="F52" s="8">
        <f t="shared" si="6"/>
        <v>1807</v>
      </c>
      <c r="G52" s="8">
        <f t="shared" si="6"/>
        <v>4600</v>
      </c>
      <c r="H52" s="8">
        <f t="shared" si="6"/>
        <v>2437</v>
      </c>
      <c r="I52" s="8">
        <f t="shared" si="6"/>
        <v>1392</v>
      </c>
    </row>
    <row r="53" spans="2:9" x14ac:dyDescent="0.3">
      <c r="B53" s="22" t="s">
        <v>104</v>
      </c>
      <c r="C53" s="8">
        <f t="shared" ref="C53:I53" si="7">C47-C36</f>
        <v>-653</v>
      </c>
      <c r="D53" s="8">
        <f t="shared" si="7"/>
        <v>329</v>
      </c>
      <c r="E53" s="8">
        <f t="shared" si="7"/>
        <v>-1000</v>
      </c>
      <c r="F53" s="8">
        <f t="shared" si="7"/>
        <v>-4235</v>
      </c>
      <c r="G53" s="8">
        <f t="shared" si="7"/>
        <v>-1649</v>
      </c>
      <c r="H53" s="8">
        <f t="shared" si="7"/>
        <v>-2016</v>
      </c>
      <c r="I53" s="8">
        <f t="shared" si="7"/>
        <v>-3944</v>
      </c>
    </row>
    <row r="54" spans="2:9" x14ac:dyDescent="0.3">
      <c r="B54" s="16" t="s">
        <v>105</v>
      </c>
      <c r="C54" s="6">
        <f t="shared" ref="C54:I54" si="8">SUM(C50:C53)</f>
        <v>76108</v>
      </c>
      <c r="D54" s="6">
        <f t="shared" si="8"/>
        <v>63836</v>
      </c>
      <c r="E54" s="6">
        <f t="shared" si="8"/>
        <v>69994</v>
      </c>
      <c r="F54" s="6">
        <f t="shared" si="8"/>
        <v>68330</v>
      </c>
      <c r="G54" s="6">
        <f t="shared" si="8"/>
        <v>74323</v>
      </c>
      <c r="H54" s="6">
        <f t="shared" si="8"/>
        <v>69708</v>
      </c>
      <c r="I54" s="6">
        <f t="shared" si="8"/>
        <v>72472</v>
      </c>
    </row>
    <row r="55" spans="2:9" x14ac:dyDescent="0.3">
      <c r="B55" s="4" t="s">
        <v>106</v>
      </c>
      <c r="C55" s="9">
        <f>(C12+C23)/IS!C6</f>
        <v>0.1982697394692903</v>
      </c>
      <c r="D55" s="9">
        <f>(D12+D23)/IS!D6</f>
        <v>0.15566404905506515</v>
      </c>
      <c r="E55" s="9">
        <f>(E12+E23)/IS!E6</f>
        <v>0.15973315587008391</v>
      </c>
      <c r="F55" s="9">
        <f>(F12+F23)/IS!F6</f>
        <v>0.14482288577375799</v>
      </c>
      <c r="G55" s="9">
        <f>(G12+G23)/IS!G6</f>
        <v>0.13198632277583297</v>
      </c>
      <c r="H55" s="9">
        <f>(H12+H23)/IS!H6</f>
        <v>0.12144470950338548</v>
      </c>
      <c r="I55" s="9">
        <f>(I12+I23)/IS!I6</f>
        <v>0.12903558694990377</v>
      </c>
    </row>
    <row r="56" spans="2:9" x14ac:dyDescent="0.3">
      <c r="B56" s="4" t="s">
        <v>107</v>
      </c>
      <c r="C56" s="9">
        <f>C26/IS!C6</f>
        <v>7.4559863637460033E-3</v>
      </c>
      <c r="D56" s="9">
        <f>D26/IS!D6</f>
        <v>1.2478223342458791E-2</v>
      </c>
      <c r="E56" s="9">
        <f>E26/IS!E6</f>
        <v>4.885649823889367E-3</v>
      </c>
      <c r="F56" s="9">
        <f>F26/IS!F6</f>
        <v>3.6984504168176132E-3</v>
      </c>
      <c r="G56" s="9">
        <f>G26/IS!G6</f>
        <v>8.5066564586789156E-3</v>
      </c>
      <c r="H56" s="9">
        <f>H26/IS!H6</f>
        <v>4.2715192901951367E-3</v>
      </c>
      <c r="I56" s="9">
        <f>I26/IS!I6</f>
        <v>2.3941343707915607E-3</v>
      </c>
    </row>
  </sheetData>
  <pageMargins left="0.75" right="0.75" top="1" bottom="1" header="0.511811023622047" footer="0.511811023622047"/>
  <pageSetup paperSize="9" orientation="portrait" horizontalDpi="300" verticalDpi="300"/>
  <ignoredErrors>
    <ignoredError sqref="C2:I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9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12" sqref="C12"/>
    </sheetView>
  </sheetViews>
  <sheetFormatPr baseColWidth="10" defaultColWidth="8.7265625" defaultRowHeight="13" x14ac:dyDescent="0.3"/>
  <cols>
    <col min="1" max="1" width="58" style="10" customWidth="1"/>
    <col min="2" max="2" width="9" style="10" customWidth="1"/>
    <col min="3" max="9" width="12" style="10" customWidth="1"/>
    <col min="10" max="16384" width="8.7265625" style="10"/>
  </cols>
  <sheetData>
    <row r="1" spans="1:9" x14ac:dyDescent="0.3">
      <c r="A1" s="5" t="s">
        <v>108</v>
      </c>
    </row>
    <row r="2" spans="1:9" x14ac:dyDescent="0.3">
      <c r="A2" s="11" t="s">
        <v>109</v>
      </c>
    </row>
    <row r="4" spans="1:9" x14ac:dyDescent="0.3">
      <c r="A4" s="1" t="s">
        <v>0</v>
      </c>
      <c r="B4" s="1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</row>
    <row r="5" spans="1:9" x14ac:dyDescent="0.3">
      <c r="A5" s="3" t="s">
        <v>110</v>
      </c>
      <c r="B5" s="12"/>
      <c r="C5" s="12"/>
      <c r="D5" s="12"/>
      <c r="E5" s="12"/>
      <c r="F5" s="12"/>
      <c r="G5" s="12"/>
      <c r="H5" s="12"/>
      <c r="I5" s="12"/>
    </row>
    <row r="6" spans="1:9" x14ac:dyDescent="0.3">
      <c r="A6" s="4" t="s">
        <v>60</v>
      </c>
      <c r="C6" s="13">
        <f>Costos!C4</f>
        <v>150389</v>
      </c>
      <c r="D6" s="13">
        <f>Costos!D4</f>
        <v>147275</v>
      </c>
      <c r="E6" s="13">
        <f>Costos!E4</f>
        <v>168635</v>
      </c>
      <c r="F6" s="13">
        <f>Costos!F4</f>
        <v>207229</v>
      </c>
      <c r="G6" s="13">
        <f>Costos!G4</f>
        <v>235874</v>
      </c>
      <c r="H6" s="13">
        <f>Costos!H4</f>
        <v>243210</v>
      </c>
      <c r="I6" s="13">
        <f>Costos!I4</f>
        <v>241681</v>
      </c>
    </row>
    <row r="7" spans="1:9" x14ac:dyDescent="0.3">
      <c r="A7" s="4" t="s">
        <v>61</v>
      </c>
      <c r="C7" s="13">
        <f>Costos!C5</f>
        <v>28335</v>
      </c>
      <c r="D7" s="13">
        <f>Costos!D5</f>
        <v>32301</v>
      </c>
      <c r="E7" s="13">
        <f>Costos!E5</f>
        <v>35452</v>
      </c>
      <c r="F7" s="13">
        <f>Costos!F5</f>
        <v>38155</v>
      </c>
      <c r="G7" s="13">
        <f>Costos!G5</f>
        <v>39811</v>
      </c>
      <c r="H7" s="13">
        <f>Costos!H5</f>
        <v>45814</v>
      </c>
      <c r="I7" s="13">
        <f>Costos!I5</f>
        <v>52158</v>
      </c>
    </row>
    <row r="8" spans="1:9" x14ac:dyDescent="0.3">
      <c r="A8" s="4" t="s">
        <v>64</v>
      </c>
      <c r="C8" s="13">
        <f>Costos!C8+'Gastos Operativos'!C5+'Gastos Operativos'!C15</f>
        <v>40760</v>
      </c>
      <c r="D8" s="13">
        <f>Costos!D8+'Gastos Operativos'!D5+'Gastos Operativos'!D15</f>
        <v>29658</v>
      </c>
      <c r="E8" s="13">
        <f>Costos!E8+'Gastos Operativos'!E5+'Gastos Operativos'!E15</f>
        <v>31831</v>
      </c>
      <c r="F8" s="13">
        <f>Costos!F8+'Gastos Operativos'!F5+'Gastos Operativos'!F15</f>
        <v>32723</v>
      </c>
      <c r="G8" s="13">
        <f>Costos!G8+'Gastos Operativos'!G5+'Gastos Operativos'!G15</f>
        <v>32614</v>
      </c>
      <c r="H8" s="13">
        <f>Costos!H8+'Gastos Operativos'!H5+'Gastos Operativos'!H15</f>
        <v>35573</v>
      </c>
      <c r="I8" s="13">
        <f>Costos!I8+'Gastos Operativos'!I5+'Gastos Operativos'!I15</f>
        <v>37066</v>
      </c>
    </row>
    <row r="9" spans="1:9" x14ac:dyDescent="0.3">
      <c r="A9" s="4" t="s">
        <v>63</v>
      </c>
      <c r="C9" s="13">
        <f>Costos!C7+'Gastos Operativos'!C4+'Gastos Operativos'!C22</f>
        <v>20105</v>
      </c>
      <c r="D9" s="13">
        <f>Costos!D7+'Gastos Operativos'!D4+'Gastos Operativos'!D22</f>
        <v>18376</v>
      </c>
      <c r="E9" s="13">
        <f>Costos!E7+'Gastos Operativos'!E4+'Gastos Operativos'!E22</f>
        <v>22547</v>
      </c>
      <c r="F9" s="13">
        <f>Costos!F7+'Gastos Operativos'!F4+'Gastos Operativos'!F22</f>
        <v>24069</v>
      </c>
      <c r="G9" s="13">
        <f>Costos!G7+'Gastos Operativos'!G4+'Gastos Operativos'!G22</f>
        <v>28979</v>
      </c>
      <c r="H9" s="13">
        <f>Costos!H7+'Gastos Operativos'!H4+'Gastos Operativos'!H22</f>
        <v>32479</v>
      </c>
      <c r="I9" s="13">
        <f>Costos!I7+'Gastos Operativos'!I4+'Gastos Operativos'!I22</f>
        <v>31818</v>
      </c>
    </row>
    <row r="10" spans="1:9" x14ac:dyDescent="0.3">
      <c r="A10" s="4" t="s">
        <v>65</v>
      </c>
      <c r="C10" s="13">
        <f>Costos!C9+'Gastos Operativos'!C6+'Gastos Operativos'!C16</f>
        <v>15772</v>
      </c>
      <c r="D10" s="13">
        <f>Costos!D9+'Gastos Operativos'!D6+'Gastos Operativos'!D16</f>
        <v>13897</v>
      </c>
      <c r="E10" s="13">
        <f>Costos!E9+'Gastos Operativos'!E6+'Gastos Operativos'!E16</f>
        <v>15440</v>
      </c>
      <c r="F10" s="13">
        <f>Costos!F9+'Gastos Operativos'!F6+'Gastos Operativos'!F16</f>
        <v>18763</v>
      </c>
      <c r="G10" s="13">
        <f>Costos!G9+'Gastos Operativos'!G6+'Gastos Operativos'!G16</f>
        <v>19910</v>
      </c>
      <c r="H10" s="13">
        <f>Costos!H9+'Gastos Operativos'!H6+'Gastos Operativos'!H16</f>
        <v>21700</v>
      </c>
      <c r="I10" s="13">
        <f>Costos!I9+'Gastos Operativos'!I6+'Gastos Operativos'!I16</f>
        <v>25969</v>
      </c>
    </row>
    <row r="11" spans="1:9" x14ac:dyDescent="0.3">
      <c r="A11" s="4" t="s">
        <v>62</v>
      </c>
      <c r="C11" s="13">
        <f>Costos!C6+'Gastos Operativos'!C10+'Gastos Operativos'!C17</f>
        <v>44921</v>
      </c>
      <c r="D11" s="13">
        <f>Costos!D6+'Gastos Operativos'!D10+'Gastos Operativos'!D17</f>
        <v>44456</v>
      </c>
      <c r="E11" s="13">
        <f>Costos!E6+'Gastos Operativos'!E10+'Gastos Operativos'!E17</f>
        <v>46618</v>
      </c>
      <c r="F11" s="13">
        <f>Costos!F6+'Gastos Operativos'!F10+'Gastos Operativos'!F17</f>
        <v>48094</v>
      </c>
      <c r="G11" s="13">
        <f>Costos!G6+'Gastos Operativos'!G10+'Gastos Operativos'!G17</f>
        <v>49569</v>
      </c>
      <c r="H11" s="13">
        <f>Costos!H6+'Gastos Operativos'!H10+'Gastos Operativos'!H17</f>
        <v>53367</v>
      </c>
      <c r="I11" s="13">
        <f>Costos!I6+'Gastos Operativos'!I10+'Gastos Operativos'!I17</f>
        <v>59328</v>
      </c>
    </row>
    <row r="12" spans="1:9" x14ac:dyDescent="0.3">
      <c r="A12" s="4" t="s">
        <v>68</v>
      </c>
      <c r="C12" s="13">
        <f>Costos!C12+'Gastos Operativos'!C9+'Gastos Operativos'!C20</f>
        <v>2295</v>
      </c>
      <c r="D12" s="13">
        <f>Costos!D12+'Gastos Operativos'!D9+'Gastos Operativos'!D20</f>
        <v>2249</v>
      </c>
      <c r="E12" s="13">
        <f>Costos!E12+'Gastos Operativos'!E9+'Gastos Operativos'!E20</f>
        <v>2294</v>
      </c>
      <c r="F12" s="13">
        <f>Costos!F12+'Gastos Operativos'!F9+'Gastos Operativos'!F20</f>
        <v>2334</v>
      </c>
      <c r="G12" s="13">
        <f>Costos!G12+'Gastos Operativos'!G9+'Gastos Operativos'!G20</f>
        <v>2047</v>
      </c>
      <c r="H12" s="13">
        <f>Costos!H12+'Gastos Operativos'!H9+'Gastos Operativos'!H20</f>
        <v>1270</v>
      </c>
      <c r="I12" s="13">
        <f>Costos!I12+'Gastos Operativos'!I9+'Gastos Operativos'!I20</f>
        <v>1822</v>
      </c>
    </row>
    <row r="13" spans="1:9" x14ac:dyDescent="0.3">
      <c r="A13" s="4" t="s">
        <v>79</v>
      </c>
      <c r="C13" s="13">
        <f>Costos!C13+'Gastos Operativos'!C8+'Gastos Operativos'!C21</f>
        <v>4606</v>
      </c>
      <c r="D13" s="13">
        <f>Costos!D13+'Gastos Operativos'!D8+'Gastos Operativos'!D21</f>
        <v>4726</v>
      </c>
      <c r="E13" s="13">
        <f>Costos!E13+'Gastos Operativos'!E8+'Gastos Operativos'!E21</f>
        <v>5046</v>
      </c>
      <c r="F13" s="13">
        <f>Costos!F13+'Gastos Operativos'!F8+'Gastos Operativos'!F21</f>
        <v>5689</v>
      </c>
      <c r="G13" s="13">
        <f>Costos!G13+'Gastos Operativos'!G8+'Gastos Operativos'!G21</f>
        <v>6420</v>
      </c>
      <c r="H13" s="13">
        <f>Costos!H13+'Gastos Operativos'!H8+'Gastos Operativos'!H21</f>
        <v>6234</v>
      </c>
      <c r="I13" s="13">
        <f>Costos!I13+'Gastos Operativos'!I8+'Gastos Operativos'!I21</f>
        <v>6455</v>
      </c>
    </row>
    <row r="14" spans="1:9" x14ac:dyDescent="0.3">
      <c r="A14" s="4" t="s">
        <v>66</v>
      </c>
      <c r="C14" s="13">
        <f>Costos!C10+'Gastos Operativos'!C7+'Gastos Operativos'!C19</f>
        <v>6775</v>
      </c>
      <c r="D14" s="13">
        <f>Costos!D10+'Gastos Operativos'!D7+'Gastos Operativos'!D19</f>
        <v>7211</v>
      </c>
      <c r="E14" s="13">
        <f>Costos!E10+'Gastos Operativos'!E7+'Gastos Operativos'!E19</f>
        <v>8958</v>
      </c>
      <c r="F14" s="13">
        <f>Costos!F10+'Gastos Operativos'!F7+'Gastos Operativos'!F19</f>
        <v>9898</v>
      </c>
      <c r="G14" s="13">
        <f>Costos!G10+'Gastos Operativos'!G7+'Gastos Operativos'!G19</f>
        <v>11414</v>
      </c>
      <c r="H14" s="13">
        <f>Costos!H10+'Gastos Operativos'!H7+'Gastos Operativos'!H19</f>
        <v>9727</v>
      </c>
      <c r="I14" s="13">
        <f>Costos!I10+'Gastos Operativos'!I7+'Gastos Operativos'!I19</f>
        <v>10883</v>
      </c>
    </row>
    <row r="15" spans="1:9" x14ac:dyDescent="0.3">
      <c r="A15" s="4" t="s">
        <v>67</v>
      </c>
      <c r="C15" s="13">
        <f>Costos!C11+'Gastos Operativos'!C11+'Gastos Operativos'!C18</f>
        <v>3718</v>
      </c>
      <c r="D15" s="13">
        <f>Costos!D11+'Gastos Operativos'!D11+'Gastos Operativos'!D18</f>
        <v>4709</v>
      </c>
      <c r="E15" s="13">
        <f>Costos!E11+'Gastos Operativos'!E11+'Gastos Operativos'!E18</f>
        <v>5291</v>
      </c>
      <c r="F15" s="13">
        <f>Costos!F11+'Gastos Operativos'!F11+'Gastos Operativos'!F18</f>
        <v>6618</v>
      </c>
      <c r="G15" s="13">
        <f>Costos!G11+'Gastos Operativos'!G11+'Gastos Operativos'!G18</f>
        <v>6363</v>
      </c>
      <c r="H15" s="13">
        <f>Costos!H11+'Gastos Operativos'!H11+'Gastos Operativos'!H18</f>
        <v>6486</v>
      </c>
      <c r="I15" s="13">
        <f>Costos!I11+'Gastos Operativos'!I11+'Gastos Operativos'!I18</f>
        <v>6438</v>
      </c>
    </row>
    <row r="16" spans="1:9" x14ac:dyDescent="0.3">
      <c r="A16" s="4" t="s">
        <v>69</v>
      </c>
      <c r="C16" s="13">
        <f>Costos!C14</f>
        <v>3983</v>
      </c>
      <c r="D16" s="13">
        <f>Costos!D14</f>
        <v>0</v>
      </c>
      <c r="E16" s="13">
        <f>Costos!E14</f>
        <v>0</v>
      </c>
      <c r="F16" s="13">
        <f>Costos!F14</f>
        <v>0</v>
      </c>
      <c r="G16" s="13">
        <f>Costos!G14</f>
        <v>0</v>
      </c>
      <c r="H16" s="13">
        <f>Costos!H14</f>
        <v>0</v>
      </c>
      <c r="I16" s="13">
        <f>Costos!I14</f>
        <v>0</v>
      </c>
    </row>
    <row r="17" spans="1:9" x14ac:dyDescent="0.3">
      <c r="A17" s="5" t="s">
        <v>111</v>
      </c>
      <c r="C17" s="6">
        <f t="shared" ref="C17:I17" si="0">SUM(C6:C16)</f>
        <v>321659</v>
      </c>
      <c r="D17" s="6">
        <f t="shared" si="0"/>
        <v>304858</v>
      </c>
      <c r="E17" s="6">
        <f t="shared" si="0"/>
        <v>342112</v>
      </c>
      <c r="F17" s="6">
        <f t="shared" si="0"/>
        <v>393572</v>
      </c>
      <c r="G17" s="6">
        <f t="shared" si="0"/>
        <v>433001</v>
      </c>
      <c r="H17" s="6">
        <f t="shared" si="0"/>
        <v>455860</v>
      </c>
      <c r="I17" s="6">
        <f t="shared" si="0"/>
        <v>473618</v>
      </c>
    </row>
    <row r="18" spans="1:9" x14ac:dyDescent="0.3">
      <c r="A18" s="4" t="s">
        <v>112</v>
      </c>
      <c r="C18" s="8">
        <f>C17+IS!C8+IS!C15+IS!C16</f>
        <v>0</v>
      </c>
      <c r="D18" s="8">
        <f>D17+IS!D8+IS!D15+IS!D16</f>
        <v>0</v>
      </c>
      <c r="E18" s="8">
        <f>E17+IS!E8+IS!E15+IS!E16</f>
        <v>0</v>
      </c>
      <c r="F18" s="8">
        <f>F17+IS!F8+IS!F15+IS!F16</f>
        <v>0</v>
      </c>
      <c r="G18" s="8">
        <f>G17+IS!G8+IS!G15+IS!G16</f>
        <v>0</v>
      </c>
      <c r="H18" s="8">
        <f>H17+IS!H8+IS!H15+IS!H16</f>
        <v>0</v>
      </c>
      <c r="I18" s="8">
        <f>I17+IS!I8+IS!I15+IS!I16</f>
        <v>0</v>
      </c>
    </row>
    <row r="20" spans="1:9" x14ac:dyDescent="0.3">
      <c r="A20" s="3" t="s">
        <v>113</v>
      </c>
      <c r="B20" s="12"/>
      <c r="C20" s="12"/>
      <c r="D20" s="12"/>
      <c r="E20" s="12"/>
      <c r="F20" s="12"/>
      <c r="G20" s="12"/>
      <c r="H20" s="12"/>
      <c r="I20" s="12"/>
    </row>
    <row r="21" spans="1:9" x14ac:dyDescent="0.3">
      <c r="A21" s="4" t="s">
        <v>25</v>
      </c>
      <c r="C21" s="13">
        <f>IS!C22</f>
        <v>49162</v>
      </c>
      <c r="D21" s="13">
        <f>IS!D22</f>
        <v>67715</v>
      </c>
      <c r="E21" s="13">
        <f>IS!E22</f>
        <v>87844</v>
      </c>
      <c r="F21" s="13">
        <f>IS!F22</f>
        <v>97204</v>
      </c>
      <c r="G21" s="13">
        <f>IS!G22</f>
        <v>104643</v>
      </c>
      <c r="H21" s="13">
        <f>IS!H22</f>
        <v>114042</v>
      </c>
      <c r="I21" s="13">
        <f>IS!I22</f>
        <v>110108</v>
      </c>
    </row>
    <row r="22" spans="1:9" x14ac:dyDescent="0.3">
      <c r="A22" s="4" t="s">
        <v>114</v>
      </c>
      <c r="C22" s="8">
        <f t="shared" ref="C22:I22" si="1">C11</f>
        <v>44921</v>
      </c>
      <c r="D22" s="8">
        <f t="shared" si="1"/>
        <v>44456</v>
      </c>
      <c r="E22" s="8">
        <f t="shared" si="1"/>
        <v>46618</v>
      </c>
      <c r="F22" s="8">
        <f t="shared" si="1"/>
        <v>48094</v>
      </c>
      <c r="G22" s="8">
        <f t="shared" si="1"/>
        <v>49569</v>
      </c>
      <c r="H22" s="8">
        <f t="shared" si="1"/>
        <v>53367</v>
      </c>
      <c r="I22" s="8">
        <f t="shared" si="1"/>
        <v>59328</v>
      </c>
    </row>
    <row r="23" spans="1:9" x14ac:dyDescent="0.3">
      <c r="A23" s="4" t="s">
        <v>115</v>
      </c>
      <c r="C23" s="8">
        <f>C12+Costos!C19</f>
        <v>2301</v>
      </c>
      <c r="D23" s="8">
        <f>D12+Costos!D19</f>
        <v>2255</v>
      </c>
      <c r="E23" s="8">
        <f>E12+Costos!E19</f>
        <v>2300</v>
      </c>
      <c r="F23" s="8">
        <f>F12+Costos!F19</f>
        <v>2340</v>
      </c>
      <c r="G23" s="8">
        <f>G12+Costos!G19</f>
        <v>2056</v>
      </c>
      <c r="H23" s="8">
        <f>H12+Costos!H19</f>
        <v>1278</v>
      </c>
      <c r="I23" s="8">
        <f>I12+Costos!I19</f>
        <v>1835</v>
      </c>
    </row>
    <row r="24" spans="1:9" x14ac:dyDescent="0.3">
      <c r="A24" s="5" t="s">
        <v>113</v>
      </c>
      <c r="C24" s="6">
        <f t="shared" ref="C24:I24" si="2">SUM(C21:C23)</f>
        <v>96384</v>
      </c>
      <c r="D24" s="6">
        <f t="shared" si="2"/>
        <v>114426</v>
      </c>
      <c r="E24" s="6">
        <f t="shared" si="2"/>
        <v>136762</v>
      </c>
      <c r="F24" s="6">
        <f t="shared" si="2"/>
        <v>147638</v>
      </c>
      <c r="G24" s="6">
        <f t="shared" si="2"/>
        <v>156268</v>
      </c>
      <c r="H24" s="6">
        <f t="shared" si="2"/>
        <v>168687</v>
      </c>
      <c r="I24" s="6">
        <f t="shared" si="2"/>
        <v>171271</v>
      </c>
    </row>
    <row r="25" spans="1:9" x14ac:dyDescent="0.3">
      <c r="A25" s="4" t="s">
        <v>116</v>
      </c>
      <c r="C25" s="9">
        <f>C24/IS!C6</f>
        <v>0.25831696250298158</v>
      </c>
      <c r="D25" s="9">
        <f>D24/IS!D6</f>
        <v>0.30295633018972828</v>
      </c>
      <c r="E25" s="9">
        <f>E24/IS!E6</f>
        <v>0.31711971581146542</v>
      </c>
      <c r="F25" s="9">
        <f>F24/IS!F6</f>
        <v>0.30217588413841662</v>
      </c>
      <c r="G25" s="9">
        <f>G24/IS!G6</f>
        <v>0.28898221554018194</v>
      </c>
      <c r="H25" s="9">
        <f>H24/IS!H6</f>
        <v>0.29567081432299835</v>
      </c>
      <c r="I25" s="9">
        <f>I24/IS!I6</f>
        <v>0.2945731234337941</v>
      </c>
    </row>
    <row r="26" spans="1:9" x14ac:dyDescent="0.3">
      <c r="A26" s="4" t="s">
        <v>117</v>
      </c>
      <c r="C26" s="8">
        <f>IS!C6-C6-C7</f>
        <v>194399</v>
      </c>
      <c r="D26" s="8">
        <f>IS!D6-D6-D7</f>
        <v>198122</v>
      </c>
      <c r="E26" s="8">
        <f>IS!E6-E6-E7</f>
        <v>227176</v>
      </c>
      <c r="F26" s="8">
        <f>IS!F6-F6-F7</f>
        <v>243199</v>
      </c>
      <c r="G26" s="8">
        <f>IS!G6-G6-G7</f>
        <v>265068</v>
      </c>
      <c r="H26" s="8">
        <f>IS!H6-H6-H7</f>
        <v>281499</v>
      </c>
      <c r="I26" s="8">
        <f>IS!I6-I6-I7</f>
        <v>287582</v>
      </c>
    </row>
    <row r="28" spans="1:9" x14ac:dyDescent="0.3">
      <c r="A28" s="11" t="s">
        <v>118</v>
      </c>
    </row>
    <row r="29" spans="1:9" x14ac:dyDescent="0.3">
      <c r="A29" s="11" t="s">
        <v>119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IS</vt:lpstr>
      <vt:lpstr>Energía distribuida</vt:lpstr>
      <vt:lpstr>Costos</vt:lpstr>
      <vt:lpstr>Gastos Operativos</vt:lpstr>
      <vt:lpstr>Costos y Gastos x Naturaleza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Franco Olivares Untiveros</cp:lastModifiedBy>
  <cp:revision>0</cp:revision>
  <dcterms:created xsi:type="dcterms:W3CDTF">2026-10-16T17:54:03Z</dcterms:created>
  <dcterms:modified xsi:type="dcterms:W3CDTF">2026-10-20T07:25:58Z</dcterms:modified>
  <dc:language>en-US</dc:language>
</cp:coreProperties>
</file>